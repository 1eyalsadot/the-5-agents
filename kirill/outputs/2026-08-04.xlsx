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FreeSans"/>
            <family val="2"/>
          </rPr>
          <t xml:space="preserve">אין קובץ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מקור היום (</t>
        </r>
        <r>
          <rPr>
            <sz val="10"/>
            <rFont val="Arial"/>
            <family val="2"/>
          </rPr>
          <t xml:space="preserve">03/08/26) — לא נמסר קובץ PPLAY1 </t>
        </r>
        <r>
          <rPr>
            <sz val="10"/>
            <rFont val="FreeSans"/>
            <family val="2"/>
          </rPr>
          <t xml:space="preserve">בתהליך היומי. עמודות </t>
        </r>
        <r>
          <rPr>
            <sz val="10"/>
            <rFont val="Arial"/>
            <family val="2"/>
          </rPr>
          <t xml:space="preserve">G/H </t>
        </r>
        <r>
          <rPr>
            <sz val="10"/>
            <rFont val="FreeSans"/>
            <family val="2"/>
          </rPr>
          <t xml:space="preserve">בגיליון הזה יחזירו </t>
        </r>
        <r>
          <rPr>
            <sz val="10"/>
            <rFont val="Arial"/>
            <family val="2"/>
          </rPr>
          <t xml:space="preserve">"" (</t>
        </r>
        <r>
          <rPr>
            <sz val="10"/>
            <rFont val="FreeSans"/>
            <family val="2"/>
          </rPr>
          <t xml:space="preserve">וממילא </t>
        </r>
        <r>
          <rPr>
            <sz val="10"/>
            <rFont val="Arial"/>
            <family val="2"/>
          </rPr>
          <t xml:space="preserve">0 בסיכומים ב-סהכ!C, </t>
        </r>
        <r>
          <rPr>
            <sz val="10"/>
            <rFont val="FreeSans"/>
            <family val="2"/>
          </rPr>
          <t xml:space="preserve">דרך </t>
        </r>
        <r>
          <rPr>
            <sz val="10"/>
            <rFont val="Arial"/>
            <family val="2"/>
          </rPr>
          <t xml:space="preserve">SUMIF) </t>
        </r>
        <r>
          <rPr>
            <sz val="10"/>
            <rFont val="FreeSans"/>
            <family val="2"/>
          </rPr>
          <t xml:space="preserve">עד שיסופק קובץ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חדש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<sst xmlns="http://schemas.openxmlformats.org/spreadsheetml/2006/main" count="108" uniqueCount="87">
  <si>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</si>
  <si>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</si>
  <si>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</si>
  <si>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</si>
  <si>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</si>
  <si>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</si>
  <si>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</si>
  <si>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</si>
  <si>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</si>
  <si>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</si>
  <si>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</si>
  <si>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</si>
  <si>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</si>
  <si>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</si>
  <si>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</si>
  <si>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</si>
  <si>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</si>
  <si>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</si>
  <si>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</si>
  <si>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</si>
  <si>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</si>
  <si>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</si>
  <si>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</si>
  <si>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</si>
  <si>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</si>
  <si>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</si>
  <si>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</si>
  <si>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</si>
  <si>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</si>
  <si>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</si>
  <si>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</si>
  <si>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</si>
  <si>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</si>
  <si>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</si>
  <si>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</si>
  <si>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</si>
  <si>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</si>
  <si>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</si>
  <si>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</si>
  <si>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</si>
  <si>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</si>
  <si>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</si>
  <si>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</si>
  <si>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</si>
  <si>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</si>
  <si>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</si>
  <si>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</si>
  <si>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</si>
  <si>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</si>
  <si>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</si>
  <si>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</si>
  <si>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</si>
  <si>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</si>
  <si>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</si>
  <si>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</si>
  <si>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</si>
  <si>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</si>
  <si>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</si>
  <si>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</si>
  <si>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</si>
  <si>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</si>
  <si>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</si>
  <si>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</si>
  <si>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</si>
  <si>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</si>
  <si>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</si>
  <si>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</si>
  <si>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</si>
  <si>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</si>
  <si>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</si>
  <si>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</si>
  <si>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</si>
  <si>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</si>
  <si>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</si>
  <si>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</si>
  <si>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תיאור</t>
  </si>
  <si>
    <t xml:space="preserve">2026/Aug (סכום גולמי, MTD)</t>
  </si>
  <si>
    <t xml:space="preserve">הערה</t>
  </si>
  <si>
    <t xml:space="preserve">Source: PPlay0408 - מקור גולמי.xlsx ("PPlay1 of uriel (Reporter)", נוצר 04/08/2026 09:21:07, תקופה 2026/Aug, Month-to-Date). נשלפו 5 שורות קטגוריה שיש להן נתונים עד כה החודש, מתוך 12 הקטגוריות במקרא גיליון Pplay1 (7 הקטגוריות הנותרות אין להן עדיין נתונים החודש — תקין ל-MTD, לא נתון חסר). שורת "Customers" בדוח המקור (₪14,077.8) היא שורת סה"כ-אב ואינה תואמת אף ערך במקרא — לא יובאה, בהתאם למוסכמת עבודה. מכר נטו = עמודה B × 0.91 (מקדם מעודכן; תוקן מ-0.89 (שגוי) ל-0.91 ב-04/08/2026, מתועד ומאושר ב-kirill.md).</t>
  </si>
  <si>
    <t xml:space="preserve">Source: CustomSalesbyCustomerSummary826.xls (Meditex Group IL, Custom Sales by Customer Summary, 01 August 2026 - 31 August 2026, Month-to-Date) — נשלפו 9 שורות הסיכום (קטגוריה) שיש להן מכירות עד כה החודש, מתוך 14 הקטגוריות במקרא "ריכוז" (5 הקטגוריות הנותרות אין להן מכירות עדיין החודש — תקין ל-MTD, לא נתון חסר). לא יובאו שורות פירוט חשבוניות/לקוחות-בת מהדוח הגולמי (254 שורות בקובץ המקור), לפי מוסכמת עבודה. סה"כ הדוח הגולמי המלא: 439,772.07. הערה חשובה: בדוח המקור מופיעות גם שתי קטגוריות נוספות עם מכירות החודש שאינן חלק מ-14 הקטגוריות הקיימות במקרא "ריכוז" — "202 - Super-Pharm POLAND" (132,101.57 ₪) ו-"214 - Alfred Gera&amp; Sons Ltd. MALTA" (25,951.00 ₪), סה"כ 158,052.57 ₪. אלה נראות תואמות ללקוחות "SUPER PHARM POLAND" (#20) ו-"ALFRED GERA" (#33) בגיליון סה"כ, אך אין להן כרגע שורת מיפוי בגיליון "ריכוז" — לא נוספה מיפוי חדש ללא אישור (זהו שינוי מבני בדוח המקור לעומת ימים קודמים). הסכומים האלה אינם משוקללים כרגע בסה"כ הכללי (C41) — יש להעביר לראובן/למשתמש להחלטה.</t>
  </si>
  <si>
    <t xml:space="preserve">Customer</t>
  </si>
  <si>
    <t xml:space="preserve">Sales</t>
  </si>
  <si>
    <t xml:space="preserve">Source: צילום מסך שסופק על ידי המשתמש, לוח בקרה Amazon Seller Central (Sales / Refund cost), "Month to date, 1-3 August 2026", נמסר 04/08/2026. אין קובץ מקור — נתון ידני מתועד.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</si>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</sst>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0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5999"/>
        <bgColor rgb="FFC1E5F5"/>
      </patternFill>
    </fill>
    <fill>
      <patternFill patternType="solid">
        <fgColor theme="9" tint="0.5999"/>
        <bgColor rgb="FFC1E5F5"/>
      </patternFill>
    </fill>
    <fill>
      <patternFill patternType="solid">
        <fgColor rgb="FF92D050"/>
        <bgColor rgb="FFB4E5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6" colorId="64" zoomScale="100" zoomScaleNormal="100" zoomScalePageLayoutView="100" workbookViewId="0">
      <selection pane="topLeft" activeCell="B43" activeCellId="0" sqref="B43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46238</v>
      </c>
      <c r="C2" s="6" t="n">
        <v>7.2026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213454.8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-3145.961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6119.113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5249.4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21161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5820.815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5871.08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1363.29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893.04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3042.1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259828.677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34463.07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238.46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294530.207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18855.99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SUMIF(Pplay1!$F$3:$F$14,A21,Pplay1!$H$3:$H$14)+SUMIF(ריכוז!$B$3:$B$16,A21,ריכוז!$C$3:$C$16)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SUMIF(Pplay1!$F$3:$F$14,A22,Pplay1!$H$3:$H$14)+SUMIF(ריכוז!$B$3:$B$16,A22,ריכוז!$C$3:$C$16)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SUMIF(Pplay1!$F$3:$F$14,A23,Pplay1!$H$3:$H$14)+SUMIF(ריכוז!$B$3:$B$16,A23,ריכוז!$C$3:$C$16)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SUMIF(Pplay1!$F$3:$F$14,A24,Pplay1!$H$3:$H$14)+SUMIF(ריכוז!$B$3:$B$16,A24,ריכוז!$C$3:$C$16)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SUMIF(Pplay1!$F$3:$F$14,A25,Pplay1!$H$3:$H$14)+SUMIF(ריכוז!$B$3:$B$16,A25,ריכוז!$C$3:$C$16)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SUMIF(Pplay1!$F$3:$F$14,A26,Pplay1!$H$3:$H$14)+SUMIF(ריכוז!$B$3:$B$16,A26,ריכוז!$C$3:$C$16)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SUMIF(Pplay1!$F$3:$F$14,A27,Pplay1!$H$3:$H$14)+SUMIF(ריכוז!$B$3:$B$16,A27,ריכוז!$C$3:$C$16)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SUMIF(Pplay1!$F$3:$F$14,A28,Pplay1!$H$3:$H$14)+SUMIF(ריכוז!$B$3:$B$16,A28,ריכוז!$C$3:$C$16)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SUMIF(Pplay1!$F$3:$F$14,A29,Pplay1!$H$3:$H$14)+SUMIF(ריכוז!$B$3:$B$16,A29,ריכוז!$C$3:$C$16)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SUMIF(Pplay1!$F$3:$F$14,A30,Pplay1!$H$3:$H$14)+SUMIF(ריכוז!$B$3:$B$16,A30,ריכוז!$C$3:$C$16)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SUMIF(Pplay1!$F$3:$F$14,A31,Pplay1!$H$3:$H$14)+SUMIF(ריכוז!$B$3:$B$16,A31,ריכוז!$C$3:$C$16)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SUMIF(Pplay1!$F$3:$F$14,A32,Pplay1!$H$3:$H$14)+SUMIF(ריכוז!$B$3:$B$16,A32,ריכוז!$C$3:$C$16)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SUMIF(Pplay1!$F$3:$F$14,A33,Pplay1!$H$3:$H$14)+SUMIF(ריכוז!$B$3:$B$16,A33,ריכוז!$C$3:$C$16)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SUMIF(Pplay1!$F$3:$F$14,A34,Pplay1!$H$3:$H$14)+SUMIF(ריכוז!$B$3:$B$16,A34,ריכוז!$C$3:$C$16)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SUMIF(Pplay1!$F$3:$F$14,A35,Pplay1!$H$3:$H$14)+SUMIF(ריכוז!$B$3:$B$16,A35,ריכוז!$C$3:$C$16)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SUMIF(Pplay1!$F$3:$F$14,A36,Pplay1!$H$3:$H$14)+SUMIF(ריכוז!$B$3:$B$16,A36,ריכוז!$C$3:$C$16)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SUMIF(Pplay1!$F$3:$F$14,A37,Pplay1!$H$3:$H$14)+SUMIF(ריכוז!$B$3:$B$16,A37,ריכוז!$C$3:$C$16)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SUMIF(Pplay1!$F$3:$F$14,A38,Pplay1!$H$3:$H$14)+SUMIF(ריכוז!$B$3:$B$16,A38,ריכוז!$C$3:$C$16)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SUMIF(Pplay1!$F$3:$F$14,A39,Pplay1!$H$3:$H$14)+SUMIF(ריכוז!$B$3:$B$16,A39,ריכוז!$C$3:$C$16)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18855.99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313386.197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4414</v>
      </c>
      <c r="H3" s="27" t="n">
        <f aca="false">IF(G3="","",G3*0.91)</f>
        <v>4016.74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str">
        <f aca="false">IFERROR(INDEX(PPLAY1_מקור!$B:$B,MATCH(A4,PPLAY1_מקור!$A:$A,0)),"")</f>
        <v/>
      </c>
      <c r="H4" s="27" t="str">
        <f aca="false">IF(G4="","",G4*0.91)</f>
        <v/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3267.2</v>
      </c>
      <c r="H5" s="27" t="n">
        <f aca="false">IF(G5="","",G5*0.91)</f>
        <v>2973.152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str">
        <f aca="false">IFERROR(INDEX(PPLAY1_מקור!$B:$B,MATCH(A6,PPLAY1_מקור!$A:$A,0)),"")</f>
        <v/>
      </c>
      <c r="H6" s="27" t="str">
        <f aca="false">IF(G6="","",G6*0.91)</f>
        <v/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str">
        <f aca="false">IFERROR(INDEX(PPLAY1_מקור!$B:$B,MATCH(A9,PPLAY1_מקור!$A:$A,0)),"")</f>
        <v/>
      </c>
      <c r="H9" s="27" t="str">
        <f aca="false">IF(G9="","",G9*0.91)</f>
        <v/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-3457.1</v>
      </c>
      <c r="H10" s="27" t="n">
        <f aca="false">IF(G10="","",G10*0.91)</f>
        <v>-3145.961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6724.3</v>
      </c>
      <c r="H11" s="27" t="n">
        <f aca="false">IF(G11="","",G11*0.91)</f>
        <v>6119.113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6396.5</v>
      </c>
      <c r="H13" s="27" t="n">
        <f aca="false">IF(G13="","",G13*0.91)</f>
        <v>5820.815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8.25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5871.08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213454.8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3042.1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893.04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1363.29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1232.66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21161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34463.07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238.46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29" t="s">
        <v>75</v>
      </c>
      <c r="B1" s="29" t="s">
        <v>76</v>
      </c>
      <c r="C1" s="29" t="s">
        <v>47</v>
      </c>
      <c r="D1" s="29" t="s">
        <v>77</v>
      </c>
    </row>
    <row r="2" customFormat="false" ht="15" hidden="false" customHeight="false" outlineLevel="0" collapsed="false">
      <c r="A2" s="30" t="s">
        <v>48</v>
      </c>
      <c r="B2" s="31" t="n">
        <v>4414</v>
      </c>
      <c r="C2" s="31" t="n">
        <f aca="false">B2*0.91</f>
        <v>4016.74</v>
      </c>
      <c r="D2" s="32" t="s">
        <v>78</v>
      </c>
    </row>
    <row r="3" customFormat="false" ht="15" hidden="false" customHeight="false" outlineLevel="0" collapsed="false">
      <c r="A3" s="30" t="s">
        <v>50</v>
      </c>
      <c r="B3" s="31" t="n">
        <v>3267.2</v>
      </c>
      <c r="C3" s="31" t="n">
        <f aca="false">B3*0.91</f>
        <v>2973.152</v>
      </c>
    </row>
    <row r="4" customFormat="false" ht="15" hidden="false" customHeight="false" outlineLevel="0" collapsed="false">
      <c r="A4" s="30" t="s">
        <v>3</v>
      </c>
      <c r="B4" s="31" t="n">
        <v>-3457.1</v>
      </c>
      <c r="C4" s="31" t="n">
        <f aca="false">B4*0.91</f>
        <v>-3145.961</v>
      </c>
    </row>
    <row r="5" customFormat="false" ht="15" hidden="false" customHeight="false" outlineLevel="0" collapsed="false">
      <c r="A5" s="30" t="s">
        <v>55</v>
      </c>
      <c r="B5" s="31" t="n">
        <v>6724.3</v>
      </c>
      <c r="C5" s="31" t="n">
        <f aca="false">B5*0.91</f>
        <v>6119.113</v>
      </c>
    </row>
    <row r="6" customFormat="false" ht="15" hidden="false" customHeight="false" outlineLevel="0" collapsed="false">
      <c r="A6" s="30" t="s">
        <v>57</v>
      </c>
      <c r="B6" s="31" t="n">
        <v>6396.5</v>
      </c>
      <c r="C6" s="31" t="n">
        <f aca="false">B6*0.91</f>
        <v>5820.815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2" t="s">
        <v>79</v>
      </c>
    </row>
    <row r="2" customFormat="false" ht="15" hidden="false" customHeight="true" outlineLevel="0" collapsed="false">
      <c r="A2" s="24" t="s">
        <v>80</v>
      </c>
      <c r="D2" s="24" t="s">
        <v>81</v>
      </c>
    </row>
    <row r="3" customFormat="false" ht="15" hidden="false" customHeight="true" outlineLevel="0" collapsed="false">
      <c r="A3" s="26" t="s">
        <v>61</v>
      </c>
      <c r="D3" s="27" t="n">
        <v>5871.08</v>
      </c>
    </row>
    <row r="4" customFormat="false" ht="15" hidden="false" customHeight="true" outlineLevel="0" collapsed="false">
      <c r="A4" s="26" t="s">
        <v>62</v>
      </c>
      <c r="D4" s="27" t="n">
        <v>213454.8</v>
      </c>
    </row>
    <row r="5" customFormat="false" ht="15" hidden="false" customHeight="true" outlineLevel="0" collapsed="false">
      <c r="A5" s="26" t="s">
        <v>63</v>
      </c>
      <c r="D5" s="27" t="n">
        <v>3042.1</v>
      </c>
    </row>
    <row r="6" customFormat="false" ht="15" hidden="false" customHeight="true" outlineLevel="0" collapsed="false">
      <c r="A6" s="26" t="s">
        <v>64</v>
      </c>
      <c r="D6" s="27" t="n">
        <v>893.04</v>
      </c>
    </row>
    <row r="7" customFormat="false" ht="15" hidden="false" customHeight="true" outlineLevel="0" collapsed="false">
      <c r="A7" s="26" t="s">
        <v>65</v>
      </c>
      <c r="D7" s="27" t="n">
        <v>1363.29</v>
      </c>
    </row>
    <row r="8" customFormat="false" ht="15" hidden="false" customHeight="true" outlineLevel="0" collapsed="false">
      <c r="A8" s="26" t="s">
        <v>66</v>
      </c>
      <c r="D8" s="27" t="n">
        <v>1232.66</v>
      </c>
    </row>
    <row r="9" customFormat="false" ht="15" hidden="false" customHeight="true" outlineLevel="0" collapsed="false">
      <c r="A9" s="26" t="s">
        <v>69</v>
      </c>
      <c r="D9" s="27" t="n">
        <v>21161</v>
      </c>
    </row>
    <row r="10" customFormat="false" ht="15" hidden="false" customHeight="false" outlineLevel="0" collapsed="false">
      <c r="A10" s="30" t="s">
        <v>70</v>
      </c>
      <c r="D10" s="31" t="n">
        <v>34463.07</v>
      </c>
    </row>
    <row r="11" customFormat="false" ht="15" hidden="false" customHeight="false" outlineLevel="0" collapsed="false">
      <c r="A11" s="30" t="s">
        <v>71</v>
      </c>
      <c r="D11" s="31" t="n">
        <v>238.46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2" t="s">
        <v>82</v>
      </c>
    </row>
    <row r="2" customFormat="false" ht="15" hidden="false" customHeight="true" outlineLevel="0" collapsed="false">
      <c r="A2" s="24" t="s">
        <v>75</v>
      </c>
      <c r="B2" s="24" t="s">
        <v>83</v>
      </c>
      <c r="C2" s="24" t="s">
        <v>77</v>
      </c>
    </row>
    <row r="3" customFormat="false" ht="15" hidden="false" customHeight="true" outlineLevel="0" collapsed="false">
      <c r="A3" s="26" t="s">
        <v>81</v>
      </c>
      <c r="B3" s="27" t="n">
        <v>7079.98</v>
      </c>
      <c r="C3" s="32" t="s">
        <v>84</v>
      </c>
    </row>
    <row r="4" customFormat="false" ht="15" hidden="false" customHeight="true" outlineLevel="0" collapsed="false">
      <c r="A4" s="26" t="s">
        <v>85</v>
      </c>
      <c r="B4" s="27" t="n">
        <v>-794.65</v>
      </c>
      <c r="C4" s="3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2026-08-04T06:39:39Z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