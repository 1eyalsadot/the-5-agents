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<sst xmlns="http://schemas.openxmlformats.org/spreadsheetml/2006/main" count="123" uniqueCount="102">
  <si>
    <t xml:space="preserve">דוח מכירות אוקטובר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</si>
  <si>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</si>
  <si>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</si>
  <si>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</si>
  <si>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</si>
  <si>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</si>
  <si>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</si>
  <si>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</si>
  <si>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</si>
  <si>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</si>
  <si>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</si>
  <si>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</si>
  <si>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</si>
  <si>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</si>
  <si>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</si>
  <si>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</si>
  <si>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</si>
  <si>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</si>
  <si>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</si>
  <si>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</si>
  <si>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</si>
  <si>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</si>
  <si>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</si>
  <si>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</si>
  <si>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</si>
  <si>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</si>
  <si>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</si>
  <si>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</si>
  <si>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</si>
  <si>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</si>
  <si>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</si>
  <si>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</si>
  <si>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</si>
  <si>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</si>
  <si>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</si>
  <si>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</si>
  <si>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</si>
  <si>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</si>
  <si>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</si>
  <si>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</si>
  <si>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</si>
  <si>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</si>
  <si>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</si>
  <si>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</si>
  <si>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</si>
  <si>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</si>
  <si>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</si>
  <si>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</si>
  <si>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</si>
  <si>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</si>
  <si>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</si>
  <si>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</si>
  <si>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</si>
  <si>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</si>
  <si>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</si>
  <si>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</si>
  <si>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</si>
  <si>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</si>
  <si>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</si>
  <si>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זיכויים BE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</si>
  <si>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</si>
  <si>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</si>
  <si>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</si>
  <si>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</si>
  <si>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</si>
  <si>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</si>
  <si>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</si>
  <si>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</si>
  <si>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</si>
  <si>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</si>
  <si>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</si>
  <si>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</si>
  <si>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</si>
  <si>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</si>
  <si>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</si>
  <si>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</si>
  <si>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</si>
  <si>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</si>
  <si>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</si>
  <si>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</si>
  <si>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</si>
  <si>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</si>
  <si>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</si>
  <si>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</si>
  <si>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</si>
  <si>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</si>
  <si>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</si>
  <si>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</si>
  <si>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</si>
  <si>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105 - Pedicure Salons</t>
  </si>
  <si>
    <t xml:space="preserve">Source: PPlay1.xls (uploaded as c7e00cd9-PPlay1.xlsx), "PPlay1 of uriel (Reporter)", נוצר 05/10/2026 09:38:45, תקופה 2026/Oct (ממשיך MTD אוקטובר 2026, אין מעבר חודש - B1 נשאר "אוקטובר 2026"). קובץ xlsx תקני (ZIP, "Microsoft Excel 2007+" לפי file) אך עם bug ידוע בקידוד: xl/styles.xml מכיל rgb="auto" שאינו ערך aRGB חוקי וגורם ל-openpyxl לדרוס בשגיאה ("Colors must be aRGB hex values") - תוקן ע"י unzip, sed החלפת rgb="auto"-&gt;rgb="FF000000" ב-styles.xml בלבד, zip מחדש; לא נגעה בשום דאטה/נוסחה, רק בהגדרת צבע גופן שלא משפיעה על המספרים. נשלפו 7 שורות קטגוריה שיש להן נתונים עד כה החודש (0בתי מרקחת, 0מפיצי משנה, 0פארמים, גוד פארם מרכז, סופרפארם, שופרסל BE, 0קופות חולים), מתוך 13 הקטגוריות במקרא גיליון Pplay1 - עלייה מ-6 קטגוריות אתמול (04/10) ל-7 היום: 0מפיצי משנה (53.5) הופיעה לראשונה החודש. 6 קטגוריות נותרות ללא נתונים עדיין החודש (אילת BE, הפרכל הפרפארם, זיכויים BE, גוד פארם, 0צרכנים פרטיים, 0שונות) - תקין, לא נתון חסר. כל שאר הערכים גדלו באופן עקבי מול 04/10 (הצטברות MTD יום נוסף), חוץ מגוד פארם מרכז (-284.7, ללא שינוי - אין תנועה נוספת החודש בקטגוריה הזו). שורת "Customers" שהופיעה בדוח הגולמי הפעם (ערך 17,768.0) היא שורת-אב/סכום-ביניים של שדה הפיבוט "Customers" ולא קטגוריית-לקוח אמיתית, ואינה שווה לסכום 7 שורות הקטגוריה (27,471.4) - הוחרגה מהייבוא כמקובל לשורות-אב. מכר נטו = עמודה B × 0.91 (מקדם קבוע, מאושר ב-kirill.md).</t>
  </si>
  <si>
    <t xml:space="preserve">2026/Oct (סכום גולמי, MTD)</t>
  </si>
  <si>
    <t xml:space="preserve">הערה</t>
  </si>
  <si>
    <t xml:space="preserve">Source: CustomSalesbyCustomerSummary359.xlsx (uploaded as 9a111336-...), Meditex Group IL, Custom Sales by Customer Summary, 01 October 2026 - 31 October 2026 (MTD, אוקטובר), נמסר 05/10/2026 עבור דוח 05/10/2026. קובץ xlsx תקני (2007+) - נטען ישירות ע"י openpyxl ללא צורך בתיקון קידוד. נשלפו 8 שורות הסיכום (קטגוריה) שיש להן מכירות בחודש עד כה (102 - Orthopedic institutes, 101 - Factory customers, 112 - Kupat Holim Clalit, 114 - IL online, 107 - Pharmacies, 216 - Max Konnaris CYPRUS, 109 - Private Shops, 106 - Hospitals), מתוך 28 הקטגוריות במקרא "ריכוז" - עלייה מ-2 קטגוריות אתמול (04/10: רק 112 ו-114) ל-8 היום; 6 קטגוריות נוספות (כולל קטגוריה בינלאומית אחת, 216 - Max Konnaris CYPRUS, ₪23,787.53) מופיעות לראשונה החודש עם הזמנות בודדות אך גדולות. 112 - Kupat Holim Clalit נשארה בדיוק ₪27,768.00 (זהה ל-04/10, אין תנועה נוספת); 114 - IL online עלתה מ-₪30,483.29 ל-₪42,340.77. 20 הקטגוריות הנותרות אין להן מכירות עדיין החודש, תקין וצפוי לתחילת חודש, לא נתון חסר. לא יובאו שורות פירוט חשבוניות/לקוחות-בת מהדוח הגולמי, לפי מוסכמת עבודה. סה"כ שורת "Total" בדוח הגולמי המלא: ₪112,338.27 - תואם בדיוק לסכום 8 שורות הקטגוריה שנשלפו (אומת ידנית: 7,915.79+7,329.76+27,768.00+42,340.77+1,657.98+23,787.53+1,538.43+0.01).</t>
  </si>
  <si>
    <t xml:space="preserve">Customer</t>
  </si>
  <si>
    <t xml:space="preserve">Sales</t>
  </si>
  <si>
    <t xml:space="preserve">Source: צילום מסך/נתונים שסופקו על ידי המשתמש (ראובן), לוח בקרה Sellerboard/Amazon Seller "Month to date, 1-4 October 2026" (4 ימים לתוך החודש החדש), נמסר 05/10/2026 עבור דוח 05/10/2026, מאומת בטקסט (לא תמלול תמונה). נתונים נוספים שסופקו במקור (לא בשימוש בנוסחה): Sales +20.8% מול תקופה קודמת, Orders/Units 357/370, Refunds 32, Est. payout $3,626.09, Gross profit $1,781.34, Net profit $1,781.34 -5.8% (זהה ל-Gross profit, כפי שמופיע במקור).</t>
  </si>
  <si>
    <t xml:space="preserve">תיאור</t>
  </si>
  <si>
    <t xml:space="preserve">סכום ($)</t>
  </si>
  <si>
    <t xml:space="preserve">משמש בנוסחת 'סהכ'!C20: =(Sales+Refund cost)×3.</t>
  </si>
  <si>
    <t xml:space="preserve">Refund cost</t>
  </si>
  <si>
    <t xml:space="preserve">מכפיל ×3 לפי הנחיית המשתמש (לא מתועד במקור התמונה).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</si>
</sst>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19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tru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46300</v>
      </c>
      <c r="C2" s="6" t="n">
        <v>10.2026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SUMIF(Pplay1!$F$3:$F$15,A3,Pplay1!$H$3:$H$15)+SUMIF(ריכוז!$B$3:$B$30,A3,ריכוז!$C$3:$C$30)</f>
        <v>0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SUMIF(Pplay1!$F$3:$F$15,A4,Pplay1!$H$3:$H$15)+SUMIF(ריכוז!$B$3:$B$30,A4,ריכוז!$C$3:$C$30)</f>
        <v>6919.185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SUMIF(Pplay1!$F$3:$F$15,A5,Pplay1!$H$3:$H$15)+SUMIF(ריכוז!$B$3:$B$30,A5,ריכוז!$C$3:$C$30)</f>
        <v>2170.077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SUMIF(Pplay1!$F$3:$F$15,A6,Pplay1!$H$3:$H$15)+SUMIF(ריכוז!$B$3:$B$30,A6,ריכוז!$C$3:$C$30)</f>
        <v>5573.71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SUMIF(Pplay1!$F$3:$F$15,A7,Pplay1!$H$3:$H$15)+SUMIF(ריכוז!$B$3:$B$30,A7,ריכוז!$C$3:$C$30)</f>
        <v>27768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SUMIF(Pplay1!$F$3:$F$15,A8,Pplay1!$H$3:$H$15)+SUMIF(ריכוז!$B$3:$B$30,A8,ריכוז!$C$3:$C$30)</f>
        <v>3163.888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SUMIF(Pplay1!$F$3:$F$15,A9,Pplay1!$H$3:$H$15)+SUMIF(ריכוז!$B$3:$B$30,A9,ריכוז!$C$3:$C$30)</f>
        <v>7915.79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SUMIF(Pplay1!$F$3:$F$15,A10,Pplay1!$H$3:$H$15)+SUMIF(ריכוז!$B$3:$B$30,A10,ריכוז!$C$3:$C$30)</f>
        <v>7329.76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SUMIF(Pplay1!$F$3:$F$15,A11,Pplay1!$H$3:$H$15)+SUMIF(ריכוז!$B$3:$B$30,A11,ריכוז!$C$3:$C$30)</f>
        <v>1538.43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SUMIF(Pplay1!$F$3:$F$15,A12,Pplay1!$H$3:$H$15)+SUMIF(ריכוז!$B$3:$B$30,A12,ריכוז!$C$3:$C$30)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SUMIF(Pplay1!$F$3:$F$15,A13,Pplay1!$H$3:$H$15)+SUMIF(ריכוז!$B$3:$B$30,A13,ריכוז!$C$3:$C$30)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SUMIF(Pplay1!$F$3:$F$15,A14,Pplay1!$H$3:$H$15)+SUMIF(ריכוז!$B$3:$B$30,A14,ריכוז!$C$3:$C$30)</f>
        <v>0.01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SUMIF(Pplay1!$F$3:$F$15,A15,Pplay1!$H$3:$H$15)+SUMIF(ריכוז!$B$3:$B$30,A15,ריכוז!$C$3:$C$30)</f>
        <v>0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62378.85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SUMIF(Pplay1!$F$3:$F$15,A17,Pplay1!$H$3:$H$15)+SUMIF(ריכוז!$B$3:$B$30,A17,ריכוז!$C$3:$C$30)</f>
        <v>42340.7700000001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SUMIF(Pplay1!$F$3:$F$15,A18,Pplay1!$H$3:$H$15)+SUMIF(ריכוז!$B$3:$B$30,A18,ריכוז!$C$3:$C$30)</f>
        <v>0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104719.62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30631.53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SUMIF(Pplay1!$F$3:$F$15,A21,Pplay1!$H$3:$H$15)+SUMIF(ריכוז!$B$3:$B$30,A21,ריכוז!$C$3:$C$30)</f>
        <v>0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SUMIF(Pplay1!$F$3:$F$15,A22,Pplay1!$H$3:$H$15)+SUMIF(ריכוז!$B$3:$B$30,A22,ריכוז!$C$3:$C$30)</f>
        <v>0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SUMIF(Pplay1!$F$3:$F$15,A23,Pplay1!$H$3:$H$15)+SUMIF(ריכוז!$B$3:$B$30,A23,ריכוז!$C$3:$C$30)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SUMIF(Pplay1!$F$3:$F$15,A24,Pplay1!$H$3:$H$15)+SUMIF(ריכוז!$B$3:$B$30,A24,ריכוז!$C$3:$C$30)</f>
        <v>0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SUMIF(Pplay1!$F$3:$F$15,A25,Pplay1!$H$3:$H$15)+SUMIF(ריכוז!$B$3:$B$30,A25,ריכוז!$C$3:$C$30)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SUMIF(Pplay1!$F$3:$F$15,A26,Pplay1!$H$3:$H$15)+SUMIF(ריכוז!$B$3:$B$30,A26,ריכוז!$C$3:$C$30)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SUMIF(Pplay1!$F$3:$F$15,A27,Pplay1!$H$3:$H$15)+SUMIF(ריכוז!$B$3:$B$30,A27,ריכוז!$C$3:$C$30)</f>
        <v>23787.53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SUMIF(Pplay1!$F$3:$F$15,A28,Pplay1!$H$3:$H$15)+SUMIF(ריכוז!$B$3:$B$30,A28,ריכוז!$C$3:$C$30)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SUMIF(Pplay1!$F$3:$F$15,A29,Pplay1!$H$3:$H$15)+SUMIF(ריכוז!$B$3:$B$30,A29,ריכוז!$C$3:$C$30)</f>
        <v>0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SUMIF(Pplay1!$F$3:$F$15,A30,Pplay1!$H$3:$H$15)+SUMIF(ריכוז!$B$3:$B$30,A30,ריכוז!$C$3:$C$30)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SUMIF(Pplay1!$F$3:$F$15,A31,Pplay1!$H$3:$H$15)+SUMIF(ריכוז!$B$3:$B$30,A31,ריכוז!$C$3:$C$30)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SUMIF(Pplay1!$F$3:$F$15,A32,Pplay1!$H$3:$H$15)+SUMIF(ריכוז!$B$3:$B$30,A32,ריכוז!$C$3:$C$30)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SUMIF(Pplay1!$F$3:$F$15,A33,Pplay1!$H$3:$H$15)+SUMIF(ריכוז!$B$3:$B$30,A33,ריכוז!$C$3:$C$30)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SUMIF(Pplay1!$F$3:$F$15,A34,Pplay1!$H$3:$H$15)+SUMIF(ריכוז!$B$3:$B$30,A34,ריכוז!$C$3:$C$30)</f>
        <v>0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SUMIF(Pplay1!$F$3:$F$15,A35,Pplay1!$H$3:$H$15)+SUMIF(ריכוז!$B$3:$B$30,A35,ריכוז!$C$3:$C$30)</f>
        <v>0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SUMIF(Pplay1!$F$3:$F$15,A36,Pplay1!$H$3:$H$15)+SUMIF(ריכוז!$B$3:$B$30,A36,ריכוז!$C$3:$C$30)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SUMIF(Pplay1!$F$3:$F$15,A37,Pplay1!$H$3:$H$15)+SUMIF(ריכוז!$B$3:$B$30,A37,ריכוז!$C$3:$C$30)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SUMIF(Pplay1!$F$3:$F$15,A38,Pplay1!$H$3:$H$15)+SUMIF(ריכוז!$B$3:$B$30,A38,ריכוז!$C$3:$C$30)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SUMIF(Pplay1!$F$3:$F$15,A39,Pplay1!$H$3:$H$15)+SUMIF(ריכוז!$B$3:$B$30,A39,ריכוז!$C$3:$C$30)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54419.06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159138.68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4534.2</v>
      </c>
      <c r="H3" s="27" t="n">
        <f aca="false">IF(G3="","",G3*0.91)</f>
        <v>4126.122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IFERROR(INDEX(PPLAY1_מקור!$B:$B,MATCH(A4,PPLAY1_מקור!$A:$A,0)),"")</f>
        <v>53.5</v>
      </c>
      <c r="H4" s="27" t="n">
        <f aca="false">IF(G4="","",G4*0.91)</f>
        <v>48.685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9703.4</v>
      </c>
      <c r="H5" s="27" t="n">
        <f aca="false">IF(G5="","",G5*0.91)</f>
        <v>8830.094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str">
        <f aca="false">IFERROR(INDEX(PPLAY1_מקור!$B:$B,MATCH(A6,PPLAY1_מקור!$A:$A,0)),"")</f>
        <v/>
      </c>
      <c r="H6" s="27" t="str">
        <f aca="false">IF(G6="","",G6*0.91)</f>
        <v/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str">
        <f aca="false">IFERROR(INDEX(PPLAY1_מקור!$B:$B,MATCH(A7,PPLAY1_מקור!$A:$A,0)),"")</f>
        <v/>
      </c>
      <c r="H7" s="27" t="str">
        <f aca="false">IF(G7="","",G7*0.91)</f>
        <v/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n">
        <f aca="false">IFERROR(INDEX(PPLAY1_מקור!$B:$B,MATCH(A8,PPLAY1_מקור!$A:$A,0)),"")</f>
        <v>-284.7</v>
      </c>
      <c r="H8" s="27" t="n">
        <f aca="false">IF(G8="","",G8*0.91)</f>
        <v>-259.077</v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str">
        <f aca="false">IFERROR(INDEX(PPLAY1_מקור!$B:$B,MATCH(A9,PPLAY1_מקור!$A:$A,0)),"")</f>
        <v/>
      </c>
      <c r="H9" s="27" t="str">
        <f aca="false">IF(G9="","",G9*0.91)</f>
        <v/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7603.5</v>
      </c>
      <c r="H10" s="27" t="n">
        <f aca="false">IF(G10="","",G10*0.91)</f>
        <v>6919.185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2384.7</v>
      </c>
      <c r="H11" s="27" t="n">
        <f aca="false">IF(G11="","",G11*0.91)</f>
        <v>2170.077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IFERROR(INDEX(PPLAY1_מקור!$B:$B,MATCH(A12,PPLAY1_מקור!$A:$A,0)),"")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3476.8</v>
      </c>
      <c r="H13" s="27" t="n">
        <f aca="false">IF(G13="","",G13*0.91)</f>
        <v>3163.888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  <row r="15" customFormat="false" ht="14.25" hidden="false" customHeight="true" outlineLevel="0" collapsed="false">
      <c r="A15" s="25" t="s">
        <v>59</v>
      </c>
      <c r="B15" s="23"/>
      <c r="C15" s="23" t="n">
        <v>7</v>
      </c>
      <c r="D15" s="23"/>
      <c r="E15" s="23"/>
      <c r="F15" s="26" t="n">
        <f aca="false">IF(B15&lt;&gt;"",B15,IF(C15&lt;&gt;"",C15,IF(D15&lt;&gt;"",D15,IF(E15&lt;&gt;"",E15,""))))</f>
        <v>7</v>
      </c>
      <c r="G15" s="27" t="str">
        <f aca="false">IFERROR(INDEX(PPLAY1_מקור!$B:$B,MATCH(A15,PPLAY1_מקור!$A:$A,0)),"")</f>
        <v/>
      </c>
      <c r="H15" s="27" t="str">
        <f aca="false">IF(G15="","",G15*0.91)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60</v>
      </c>
      <c r="C1" s="24" t="s">
        <v>61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62</v>
      </c>
      <c r="B3" s="1" t="n">
        <v>6</v>
      </c>
      <c r="C3" s="27" t="n">
        <f aca="false">IFERROR(INDEX(NetSuite_מקור!$D:$D,MATCH(A3,NetSuite_מקור!$A:$A,0)),"")</f>
        <v>7915.79</v>
      </c>
    </row>
    <row r="4" customFormat="false" ht="14.25" hidden="false" customHeight="true" outlineLevel="0" collapsed="false">
      <c r="A4" s="28" t="s">
        <v>63</v>
      </c>
      <c r="B4" s="1" t="n">
        <v>5</v>
      </c>
      <c r="C4" s="27" t="str">
        <f aca="false">IFERROR(INDEX(NetSuite_מקור!$D:$D,MATCH(A4,NetSuite_מקור!$A:$A,0)),"")</f>
        <v/>
      </c>
    </row>
    <row r="5" customFormat="false" ht="14.25" hidden="false" customHeight="true" outlineLevel="0" collapsed="false">
      <c r="A5" s="28" t="s">
        <v>64</v>
      </c>
      <c r="B5" s="1" t="n">
        <v>9</v>
      </c>
      <c r="C5" s="27" t="str">
        <f aca="false">IFERROR(INDEX(NetSuite_מקור!$D:$D,MATCH(A5,NetSuite_מקור!$A:$A,0)),"")</f>
        <v/>
      </c>
    </row>
    <row r="6" customFormat="false" ht="14.25" hidden="false" customHeight="true" outlineLevel="0" collapsed="false">
      <c r="A6" s="28" t="s">
        <v>65</v>
      </c>
      <c r="B6" s="1" t="n">
        <v>11</v>
      </c>
      <c r="C6" s="27" t="n">
        <f aca="false">IFERROR(INDEX(NetSuite_מקור!$D:$D,MATCH(A6,NetSuite_מקור!$A:$A,0)),"")</f>
        <v>1538.43</v>
      </c>
    </row>
    <row r="7" customFormat="false" ht="14.25" hidden="false" customHeight="true" outlineLevel="0" collapsed="false">
      <c r="A7" s="28" t="s">
        <v>66</v>
      </c>
      <c r="B7" s="1" t="n">
        <v>10</v>
      </c>
      <c r="C7" s="27" t="n">
        <f aca="false">IFERROR(INDEX(NetSuite_מקור!$D:$D,MATCH(A7,NetSuite_מקור!$A:$A,0)),"")</f>
        <v>7329.76</v>
      </c>
    </row>
    <row r="8" customFormat="false" ht="14.25" hidden="false" customHeight="true" outlineLevel="0" collapsed="false">
      <c r="A8" s="28" t="s">
        <v>67</v>
      </c>
      <c r="B8" s="1" t="n">
        <v>4</v>
      </c>
      <c r="C8" s="27" t="n">
        <f aca="false">IFERROR(INDEX(NetSuite_מקור!$D:$D,MATCH(A8,NetSuite_מקור!$A:$A,0)),"")</f>
        <v>1657.98</v>
      </c>
    </row>
    <row r="9" customFormat="false" ht="14.25" hidden="false" customHeight="true" outlineLevel="0" collapsed="false">
      <c r="A9" s="28" t="s">
        <v>68</v>
      </c>
      <c r="B9" s="1" t="n">
        <v>13</v>
      </c>
      <c r="C9" s="27" t="n">
        <f aca="false">IFERROR(INDEX(NetSuite_מקור!$D:$D,MATCH(A9,NetSuite_מקור!$A:$A,0)),"")</f>
        <v>0.01</v>
      </c>
    </row>
    <row r="10" customFormat="false" ht="14.25" hidden="false" customHeight="true" outlineLevel="0" collapsed="false">
      <c r="A10" s="28" t="s">
        <v>69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70</v>
      </c>
      <c r="B11" s="1" t="n">
        <v>3</v>
      </c>
      <c r="C11" s="27" t="n">
        <f aca="false">IFERROR(INDEX(NetSuite_מקור!$D:$D,MATCH(A11,NetSuite_מקור!$A:$A,0)),"")</f>
        <v>27768</v>
      </c>
    </row>
    <row r="12" customFormat="false" ht="14.25" hidden="false" customHeight="true" outlineLevel="0" collapsed="false">
      <c r="A12" s="28" t="s">
        <v>71</v>
      </c>
      <c r="B12" s="1" t="n">
        <v>2</v>
      </c>
      <c r="C12" s="27" t="n">
        <f aca="false">IFERROR(INDEX(NetSuite_מקור!$D:$D,MATCH(A12,NetSuite_מקור!$A:$A,0)),"")</f>
        <v>42340.7700000001</v>
      </c>
    </row>
    <row r="13" customFormat="false" ht="14.25" hidden="false" customHeight="true" outlineLevel="0" collapsed="false">
      <c r="A13" s="28" t="s">
        <v>72</v>
      </c>
      <c r="B13" s="1" t="n">
        <v>12</v>
      </c>
      <c r="C13" s="27" t="str">
        <f aca="false">IFERROR(INDEX(NetSuite_מקור!$D:$D,MATCH(A13,NetSuite_מקור!$A:$A,0)),"")</f>
        <v/>
      </c>
    </row>
    <row r="14" customFormat="false" ht="14.25" hidden="false" customHeight="true" outlineLevel="0" collapsed="false">
      <c r="A14" s="28" t="s">
        <v>73</v>
      </c>
      <c r="B14" s="1" t="n">
        <v>23</v>
      </c>
      <c r="C14" s="27" t="str">
        <f aca="false">IFERROR(INDEX(NetSuite_מקור!$D:$D,MATCH(A14,NetSuite_מקור!$A:$A,0)),"")</f>
        <v/>
      </c>
    </row>
    <row r="15" customFormat="false" ht="14.25" hidden="false" customHeight="true" outlineLevel="0" collapsed="false">
      <c r="A15" s="28" t="s">
        <v>74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75</v>
      </c>
      <c r="B16" s="1" t="n">
        <v>28</v>
      </c>
      <c r="C16" s="27" t="str">
        <f aca="false">IFERROR(INDEX(NetSuite_מקור!$D:$D,MATCH(A16,NetSuite_מקור!$A:$A,0)),"")</f>
        <v/>
      </c>
    </row>
    <row r="17" customFormat="false" ht="14.25" hidden="false" customHeight="true" outlineLevel="0" collapsed="false">
      <c r="A17" s="28" t="s">
        <v>76</v>
      </c>
      <c r="B17" s="1" t="n">
        <v>20</v>
      </c>
      <c r="C17" s="29" t="str">
        <f aca="false">IFERROR(INDEX(NetSuite_מקור!$D:$D,MATCH(A17,NetSuite_מקור!$A:$A,0)),"")</f>
        <v/>
      </c>
    </row>
    <row r="18" customFormat="false" ht="14.25" hidden="false" customHeight="true" outlineLevel="0" collapsed="false">
      <c r="A18" s="28" t="s">
        <v>77</v>
      </c>
      <c r="B18" s="1" t="n">
        <v>33</v>
      </c>
      <c r="C18" s="29" t="str">
        <f aca="false">IFERROR(INDEX(NetSuite_מקור!$D:$D,MATCH(A18,NetSuite_מקור!$A:$A,0)),"")</f>
        <v/>
      </c>
    </row>
    <row r="19" customFormat="false" ht="14.25" hidden="false" customHeight="true" outlineLevel="0" collapsed="false">
      <c r="A19" s="28" t="s">
        <v>78</v>
      </c>
      <c r="B19" s="1" t="n">
        <v>21</v>
      </c>
      <c r="C19" s="29" t="str">
        <f aca="false">IFERROR(INDEX(NetSuite_מקור!$D:$D,MATCH(A19,NetSuite_מקור!$A:$A,0)),"")</f>
        <v/>
      </c>
    </row>
    <row r="20" customFormat="false" ht="14.25" hidden="false" customHeight="true" outlineLevel="0" collapsed="false">
      <c r="A20" s="28" t="s">
        <v>79</v>
      </c>
      <c r="B20" s="1" t="n">
        <v>22</v>
      </c>
      <c r="C20" s="29" t="str">
        <f aca="false">IFERROR(INDEX(NetSuite_מקור!$D:$D,MATCH(A20,NetSuite_מקור!$A:$A,0)),"")</f>
        <v/>
      </c>
    </row>
    <row r="21" customFormat="false" ht="14.25" hidden="false" customHeight="true" outlineLevel="0" collapsed="false">
      <c r="A21" s="28" t="s">
        <v>80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81</v>
      </c>
      <c r="B22" s="1" t="n">
        <v>26</v>
      </c>
      <c r="C22" s="29" t="n">
        <f aca="false">IFERROR(INDEX(NetSuite_מקור!$D:$D,MATCH(A22,NetSuite_מקור!$A:$A,0)),"")</f>
        <v>23787.53</v>
      </c>
    </row>
    <row r="23" customFormat="false" ht="14.25" hidden="false" customHeight="true" outlineLevel="0" collapsed="false">
      <c r="A23" s="28" t="s">
        <v>82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83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84</v>
      </c>
      <c r="B25" s="1" t="n">
        <v>30</v>
      </c>
      <c r="C25" s="29" t="str">
        <f aca="false">IFERROR(INDEX(NetSuite_מקור!$D:$D,MATCH(A25,NetSuite_מקור!$A:$A,0)),"")</f>
        <v/>
      </c>
    </row>
    <row r="26" customFormat="false" ht="14.25" hidden="false" customHeight="true" outlineLevel="0" collapsed="false">
      <c r="A26" s="28" t="s">
        <v>85</v>
      </c>
      <c r="B26" s="1" t="n">
        <v>31</v>
      </c>
      <c r="C26" s="29" t="str">
        <f aca="false">IFERROR(INDEX(NetSuite_מקור!$D:$D,MATCH(A26,NetSuite_מקור!$A:$A,0)),"")</f>
        <v/>
      </c>
    </row>
    <row r="27" customFormat="false" ht="14.25" hidden="false" customHeight="true" outlineLevel="0" collapsed="false">
      <c r="A27" s="28" t="s">
        <v>86</v>
      </c>
      <c r="B27" s="1" t="n">
        <v>32</v>
      </c>
      <c r="C27" s="29" t="str">
        <f aca="false">IFERROR(INDEX(NetSuite_מקור!$D:$D,MATCH(A27,NetSuite_מקור!$A:$A,0)),"")</f>
        <v/>
      </c>
    </row>
    <row r="28" customFormat="false" ht="14.25" hidden="false" customHeight="true" outlineLevel="0" collapsed="false">
      <c r="A28" s="28" t="s">
        <v>87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88</v>
      </c>
      <c r="B29" s="1" t="n">
        <v>35</v>
      </c>
      <c r="C29" s="29" t="str">
        <f aca="false">IFERROR(INDEX(NetSuite_מקור!$D:$D,MATCH(A29,NetSuite_מקור!$A:$A,0)),"")</f>
        <v/>
      </c>
    </row>
    <row r="30" customFormat="false" ht="14.25" hidden="false" customHeight="true" outlineLevel="0" collapsed="false">
      <c r="A30" s="28" t="s">
        <v>89</v>
      </c>
      <c r="B30" s="1" t="n">
        <v>14</v>
      </c>
      <c r="C30" s="29" t="str">
        <f aca="false">IFERROR(INDEX(NetSuite_מקור!$D:$D,MATCH(A30,NetSuite_מקור!$A:$A,0)),"")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90</v>
      </c>
      <c r="B1" s="24" t="s">
        <v>91</v>
      </c>
      <c r="C1" s="24" t="s">
        <v>47</v>
      </c>
      <c r="D1" s="24" t="s">
        <v>92</v>
      </c>
    </row>
    <row r="2" customFormat="false" ht="14.25" hidden="false" customHeight="true" outlineLevel="0" collapsed="false">
      <c r="A2" s="26" t="s">
        <v>48</v>
      </c>
      <c r="B2" s="27" t="n">
        <v>4534.2</v>
      </c>
      <c r="C2" s="27" t="n">
        <f aca="false">B2*0.91</f>
        <v>4126.122</v>
      </c>
      <c r="D2" s="30"/>
    </row>
    <row r="3" customFormat="false" ht="14.25" hidden="false" customHeight="true" outlineLevel="0" collapsed="false">
      <c r="A3" s="26" t="s">
        <v>49</v>
      </c>
      <c r="B3" s="27" t="n">
        <v>53.5</v>
      </c>
      <c r="C3" s="27" t="n">
        <f aca="false">B3*0.91</f>
        <v>48.685</v>
      </c>
      <c r="D3" s="30"/>
    </row>
    <row r="4" customFormat="false" ht="14.25" hidden="false" customHeight="true" outlineLevel="0" collapsed="false">
      <c r="A4" s="26" t="s">
        <v>50</v>
      </c>
      <c r="B4" s="27" t="n">
        <v>9703.4</v>
      </c>
      <c r="C4" s="27" t="n">
        <f aca="false">B4*0.91</f>
        <v>8830.094</v>
      </c>
      <c r="D4" s="30"/>
    </row>
    <row r="5" customFormat="false" ht="14.25" hidden="false" customHeight="true" outlineLevel="0" collapsed="false">
      <c r="A5" s="26" t="s">
        <v>53</v>
      </c>
      <c r="B5" s="27" t="n">
        <v>-284.7</v>
      </c>
      <c r="C5" s="27" t="n">
        <f aca="false">B5*0.91</f>
        <v>-259.077</v>
      </c>
      <c r="D5" s="30"/>
    </row>
    <row r="6" customFormat="false" ht="14.25" hidden="false" customHeight="true" outlineLevel="0" collapsed="false">
      <c r="A6" s="26" t="s">
        <v>3</v>
      </c>
      <c r="B6" s="27" t="n">
        <v>7603.5</v>
      </c>
      <c r="C6" s="27" t="n">
        <f aca="false">B6*0.91</f>
        <v>6919.185</v>
      </c>
      <c r="D6" s="30"/>
    </row>
    <row r="7" customFormat="false" ht="14.25" hidden="false" customHeight="true" outlineLevel="0" collapsed="false">
      <c r="A7" s="26" t="s">
        <v>55</v>
      </c>
      <c r="B7" s="27" t="n">
        <v>2384.7</v>
      </c>
      <c r="C7" s="27" t="n">
        <f aca="false">B7*0.91</f>
        <v>2170.077</v>
      </c>
      <c r="D7" s="30"/>
    </row>
    <row r="8" customFormat="false" ht="14.25" hidden="false" customHeight="true" outlineLevel="0" collapsed="false">
      <c r="A8" s="26" t="s">
        <v>57</v>
      </c>
      <c r="B8" s="27" t="n">
        <v>3476.8</v>
      </c>
      <c r="C8" s="27" t="n">
        <f aca="false">B8*0.91</f>
        <v>3163.888</v>
      </c>
      <c r="D8" s="30"/>
    </row>
    <row r="9" customFormat="false" ht="14.25" hidden="false" customHeight="true" outlineLevel="0" collapsed="false">
      <c r="A9" s="26"/>
      <c r="B9" s="27"/>
      <c r="C9" s="27"/>
    </row>
    <row r="10" customFormat="false" ht="14.25" hidden="false" customHeight="true" outlineLevel="0" collapsed="false">
      <c r="A10" s="26"/>
      <c r="B10" s="27"/>
      <c r="C10" s="27"/>
    </row>
    <row r="11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93</v>
      </c>
    </row>
    <row r="2" customFormat="false" ht="15" hidden="false" customHeight="true" outlineLevel="0" collapsed="false">
      <c r="A2" s="24" t="s">
        <v>94</v>
      </c>
      <c r="D2" s="24" t="s">
        <v>95</v>
      </c>
    </row>
    <row r="3" customFormat="false" ht="15" hidden="false" customHeight="true" outlineLevel="0" collapsed="false">
      <c r="A3" s="26" t="s">
        <v>62</v>
      </c>
      <c r="D3" s="29" t="n">
        <v>7915.79</v>
      </c>
    </row>
    <row r="4" customFormat="false" ht="15" hidden="false" customHeight="true" outlineLevel="0" collapsed="false">
      <c r="A4" s="26" t="s">
        <v>66</v>
      </c>
      <c r="D4" s="29" t="n">
        <v>7329.76</v>
      </c>
    </row>
    <row r="5" customFormat="false" ht="15" hidden="false" customHeight="true" outlineLevel="0" collapsed="false">
      <c r="A5" s="26" t="s">
        <v>70</v>
      </c>
      <c r="D5" s="29" t="n">
        <v>27768</v>
      </c>
    </row>
    <row r="6" customFormat="false" ht="15" hidden="false" customHeight="true" outlineLevel="0" collapsed="false">
      <c r="A6" s="26" t="s">
        <v>71</v>
      </c>
      <c r="D6" s="29" t="n">
        <v>42340.7700000001</v>
      </c>
    </row>
    <row r="7" customFormat="false" ht="15" hidden="false" customHeight="true" outlineLevel="0" collapsed="false">
      <c r="A7" s="26" t="s">
        <v>67</v>
      </c>
      <c r="D7" s="29" t="n">
        <v>1657.98</v>
      </c>
    </row>
    <row r="8" customFormat="false" ht="15" hidden="false" customHeight="true" outlineLevel="0" collapsed="false">
      <c r="A8" s="26" t="s">
        <v>81</v>
      </c>
      <c r="D8" s="29" t="n">
        <v>23787.53</v>
      </c>
    </row>
    <row r="9" customFormat="false" ht="15" hidden="false" customHeight="true" outlineLevel="0" collapsed="false">
      <c r="A9" s="26" t="s">
        <v>65</v>
      </c>
      <c r="D9" s="29" t="n">
        <v>1538.43</v>
      </c>
    </row>
    <row r="10" customFormat="false" ht="14.25" hidden="false" customHeight="true" outlineLevel="0" collapsed="false">
      <c r="A10" s="26" t="s">
        <v>68</v>
      </c>
      <c r="D10" s="29" t="n">
        <v>0.01</v>
      </c>
    </row>
    <row r="11" customFormat="false" ht="14.25" hidden="false" customHeight="true" outlineLevel="0" collapsed="false">
      <c r="A11" s="26"/>
      <c r="D11" s="29"/>
    </row>
    <row r="12" customFormat="false" ht="14.25" hidden="false" customHeight="true" outlineLevel="0" collapsed="false">
      <c r="A12" s="26"/>
      <c r="B12" s="31"/>
      <c r="C12" s="31"/>
      <c r="D12" s="29"/>
      <c r="E12" s="32"/>
    </row>
    <row r="13" customFormat="false" ht="14.25" hidden="false" customHeight="true" outlineLevel="0" collapsed="false">
      <c r="A13" s="33"/>
      <c r="B13" s="31"/>
      <c r="C13" s="31"/>
      <c r="D13" s="34"/>
      <c r="E13" s="32"/>
    </row>
    <row r="14" customFormat="false" ht="14.25" hidden="false" customHeight="true" outlineLevel="0" collapsed="false">
      <c r="A14" s="26"/>
      <c r="D14" s="27"/>
    </row>
    <row r="15" customFormat="false" ht="14.25" hidden="false" customHeight="true" outlineLevel="0" collapsed="false">
      <c r="A15" s="26"/>
      <c r="D15" s="27"/>
    </row>
    <row r="16" customFormat="false" ht="14.25" hidden="false" customHeight="true" outlineLevel="0" collapsed="false">
      <c r="A16" s="26"/>
      <c r="D16" s="27"/>
    </row>
    <row r="17" customFormat="false" ht="14.25" hidden="false" customHeight="true" outlineLevel="0" collapsed="false"/>
    <row r="18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96</v>
      </c>
    </row>
    <row r="2" customFormat="false" ht="15" hidden="false" customHeight="true" outlineLevel="0" collapsed="false">
      <c r="A2" s="24" t="s">
        <v>97</v>
      </c>
      <c r="B2" s="24" t="s">
        <v>98</v>
      </c>
      <c r="C2" s="24" t="s">
        <v>92</v>
      </c>
    </row>
    <row r="3" customFormat="false" ht="15" hidden="false" customHeight="true" outlineLevel="0" collapsed="false">
      <c r="A3" s="26" t="s">
        <v>95</v>
      </c>
      <c r="B3" s="27" t="n">
        <v>11113.86</v>
      </c>
      <c r="C3" s="30" t="s">
        <v>99</v>
      </c>
    </row>
    <row r="4" customFormat="false" ht="15" hidden="false" customHeight="true" outlineLevel="0" collapsed="false">
      <c r="A4" s="26" t="s">
        <v>100</v>
      </c>
      <c r="B4" s="27" t="n">
        <v>-903.35</v>
      </c>
      <c r="C4" s="30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2026-10-05T07:02:34Z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