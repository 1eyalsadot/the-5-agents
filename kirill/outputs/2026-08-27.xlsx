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<sst xmlns="http://schemas.openxmlformats.org/spreadsheetml/2006/main" count="132" uniqueCount="101">
  <si>
    <t xml:space="preserve">דוח מכירות אוגוסט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</si>
  <si>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</si>
  <si>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</si>
  <si>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</si>
  <si>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</si>
  <si>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</si>
  <si>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</si>
  <si>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</si>
  <si>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</si>
  <si>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</si>
  <si>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</si>
  <si>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</si>
  <si>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</si>
  <si>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</si>
  <si>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</si>
  <si>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</si>
  <si>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</si>
  <si>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</si>
  <si>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</si>
  <si>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</si>
  <si>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</si>
  <si>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</si>
  <si>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</si>
  <si>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</si>
  <si>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</si>
  <si>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</si>
  <si>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</si>
  <si>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</si>
  <si>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</si>
  <si>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</si>
  <si>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</si>
  <si>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</si>
  <si>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</si>
  <si>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</si>
  <si>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</si>
  <si>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</si>
  <si>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</si>
  <si>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</si>
  <si>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</si>
  <si>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</si>
  <si>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</si>
  <si>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</si>
  <si>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</si>
  <si>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</si>
  <si>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</si>
  <si>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</si>
  <si>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</si>
  <si>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</si>
  <si>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</si>
  <si>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</si>
  <si>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</si>
  <si>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</si>
  <si>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</si>
  <si>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</si>
  <si>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</si>
  <si>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</si>
  <si>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</si>
  <si>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</si>
  <si>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</si>
  <si>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</si>
  <si>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</si>
  <si>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</si>
  <si>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</si>
  <si>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</si>
  <si>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</si>
  <si>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</si>
  <si>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</si>
  <si>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</si>
  <si>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</si>
  <si>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</si>
  <si>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</si>
  <si>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</si>
  <si>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</si>
  <si>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</si>
  <si>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</si>
  <si>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</si>
  <si>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</si>
  <si>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</si>
  <si>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</si>
  <si>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</si>
  <si>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</si>
  <si>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</si>
  <si>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</si>
  <si>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</si>
  <si>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</si>
  <si>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</si>
  <si>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</si>
  <si>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</si>
  <si>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</si>
  <si>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PPlay1.xlsx (74d365e2), "PPlay1 of uriel (Reporter)", נוצר 27/08/2026 08:42:38, תקופה 2026/Aug, Month-to-Date. **הערה חשובה**: חותמת הזמן בקובץ המקור היא 27/08/2026 (יום חמישי) — יום אחד מאוחר מתאריך ההכנה שנמסר לצורך דוח זה (26/08/2026). מדובר בדוח MTD מצטבר, כך שהנתונים תקינים ועקביים (ראה השוואה לדוח 24/08 למטה), אך יש לוודא מול ראובן/המשתמש שזה אכן המקור המיועד ליום 26/08 ולא לדוח של 27/08 שנמסר בטעות מוקדם/באיחור. נשלפו 10 שורות קטגוריה שיש להן נתונים עד כה החודש, מתוך 12 הקטגוריות במקרא גיליון Pplay1 (2 הקטגוריות הנותרות — 0צרכנים פרטיים, 0שונות — אין להן עדיין נתונים החודש; תקין ל-MTD, לא נתון חסר). לעומת 24/08, אותן 10 קטגוריות בדיוק, ללא קטגוריה חדשה — עלייה טבעית בסכומים המצטברים (MTD) בכל השורות (כולל "גוד פארם" שנותר ללא שינוי). שורת "Customers" בדוח המקור (₪756,344.2) היא שורת סה"כ-אב ואינה שווה לסכום שורות הקטגוריה — כפי שהיה גם בדוחות הקודמים, זו שורת מטה-דוח שאינה תואמת אף ערך במקרא ולכן לא יובאה. שורה נוספת בדוח המקור, "זיכויים BE" (₪-17,252.0, עלייה משמעותית בערך המוחלט מ-₪-3,153.8 ב-24/08), שוב אינה תואמת אף ערך במקרא הקבוע (12 הקטגוריות) — הוחרגה לפי מוסכמת "שם תואם בדיוק למקרא", כפי שנעשה בעקביות בכל הדוחות הקודמים. מכר נטו = עמודה B × 0.91 (מקדם קבוע, מאושר ב-kirill.md).</t>
  </si>
  <si>
    <t xml:space="preserve">2026/Aug (סכום גולמי, MTD)</t>
  </si>
  <si>
    <t xml:space="preserve">הערה</t>
  </si>
  <si>
    <t xml:space="preserve">Source: CustomSalesbyCustomerSummary5.xls (23a91957), Meditex Group IL, Custom Sales by Customer Summary, 01 August 2026 - 31 August 2026, Month-to-Date, נמסר 26/08/2026. נשלפו 15 שורות הסיכום (קטגוריה) שיש להן מכירות עד כה החודש, מתוך 28 הקטגוריות במקרא "ריכוז" (13 הקטגוריות הנותרות אין להן מכירות עדיין החודש — תקין ל-MTD, לא נתון חסר). לעומת 24/08, אותן 15 קטגוריות בדיוק (כולל "105 - Pedicure Salons" שממשיכה להיות ממופה דרך שורת המיפוי הקבועה מול לקוח #14), ללא קטגוריה חדשה — עלייה טבעית בסכומים המצטברים ברוב השורות (5 קטגוריות בינלאומיות — פולין, מלטה, ספרד, רומניה, שוויץ — ללא שינוי מ-24/08). לא יובאו שורות פירוט חשבוניות/לקוחות-בת מהדוח הגולמי (2,043 שורות בקובץ המקור), לפי מוסכמת עבודה. סה"כ שורת "Total" בדוח הגולמי המלא: ₪1,210,296.99 — תואם בדיוק לסכום 15 שורות הקטגוריה שנשלפו, ובוצעה גם בדיקה מלאה שאין שורת "Total -" נוספת מחוץ ל-28 המקרא — לא נמצאה חריגה.</t>
  </si>
  <si>
    <t xml:space="preserve">Customer</t>
  </si>
  <si>
    <t xml:space="preserve">Sales</t>
  </si>
  <si>
    <t xml:space="preserve">Source: צילום מסך שסופק על ידי המשתמש (ראובן), לוח בקרה Sellerboard "Month to date, 1-26 August 2026", נמסר 26/08/2026.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Sales -6.6% מול תקופה קודמת, Orders/Units 2,000/2,037, Refunds 158, Est. payout $20,890.98, Gross profit $9,631.65, Net profit $9,631.65 (-0.6%) — כפי שמוצג בצילום המקור (Net profit זהה ל-Gross profit בתמונה, תמלול מדויק).</t>
  </si>
  <si>
    <t xml:space="preserve">תיאור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</si>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</sst>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46261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SUMIF(Pplay1!$F$3:$F$14,A3,Pplay1!$H$3:$H$14)+SUMIF(ריכוז!$B$3:$B$30,A3,ריכוז!$C$3:$C$30)</f>
        <v>299421.55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SUMIF(Pplay1!$F$3:$F$14,A4,Pplay1!$H$3:$H$14)+SUMIF(ריכוז!$B$3:$B$30,A4,ריכוז!$C$3:$C$30)</f>
        <v>450309.132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SUMIF(Pplay1!$F$3:$F$14,A5,Pplay1!$H$3:$H$14)+SUMIF(ריכוז!$B$3:$B$30,A5,ריכוז!$C$3:$C$30)</f>
        <v>72111.858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SUMIF(Pplay1!$F$3:$F$14,A6,Pplay1!$H$3:$H$14)+SUMIF(ריכוז!$B$3:$B$30,A6,ריכוז!$C$3:$C$30)</f>
        <v>132609.46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SUMIF(Pplay1!$F$3:$F$14,A7,Pplay1!$H$3:$H$14)+SUMIF(ריכוז!$B$3:$B$30,A7,ריכוז!$C$3:$C$30)</f>
        <v>256986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SUMIF(Pplay1!$F$3:$F$14,A8,Pplay1!$H$3:$H$14)+SUMIF(ריכוז!$B$3:$B$30,A8,ריכוז!$C$3:$C$30)</f>
        <v>64292.592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SUMIF(Pplay1!$F$3:$F$14,A9,Pplay1!$H$3:$H$14)+SUMIF(ריכוז!$B$3:$B$30,A9,ריכוז!$C$3:$C$30)</f>
        <v>72021.83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SUMIF(Pplay1!$F$3:$F$14,A10,Pplay1!$H$3:$H$14)+SUMIF(ריכוז!$B$3:$B$30,A10,ריכוז!$C$3:$C$30)</f>
        <v>7749.86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SUMIF(Pplay1!$F$3:$F$14,A11,Pplay1!$H$3:$H$14)+SUMIF(ריכוז!$B$3:$B$30,A11,ריכוז!$C$3:$C$30)</f>
        <v>2043.68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SUMIF(Pplay1!$F$3:$F$14,A12,Pplay1!$H$3:$H$14)+SUMIF(ריכוז!$B$3:$B$30,A12,ריכוז!$C$3:$C$30)</f>
        <v>728.87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SUMIF(Pplay1!$F$3:$F$14,A13,Pplay1!$H$3:$H$14)+SUMIF(ריכוז!$B$3:$B$30,A13,ריכוז!$C$3:$C$30)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SUMIF(Pplay1!$F$3:$F$14,A14,Pplay1!$H$3:$H$14)+SUMIF(ריכוז!$B$3:$B$30,A14,ריכוז!$C$3:$C$30)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SUMIF(Pplay1!$F$3:$F$14,A15,Pplay1!$H$3:$H$14)+SUMIF(ריכוז!$B$3:$B$30,A15,ריכוז!$C$3:$C$30)</f>
        <v>10118.69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1368393.522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SUMIF(Pplay1!$F$3:$F$14,A17,Pplay1!$H$3:$H$14)+SUMIF(ריכוז!$B$3:$B$30,A17,ריכוז!$C$3:$C$30)</f>
        <v>327159.86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SUMIF(Pplay1!$F$3:$F$14,A18,Pplay1!$H$3:$H$14)+SUMIF(ריכוז!$B$3:$B$30,A18,ריכוז!$C$3:$C$30)</f>
        <v>934.55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1696487.932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172698.15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SUMIF(Pplay1!$F$3:$F$14,A21,Pplay1!$H$3:$H$14)+SUMIF(ריכוז!$B$3:$B$30,A21,ריכוז!$C$3:$C$30)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SUMIF(Pplay1!$F$3:$F$14,A22,Pplay1!$H$3:$H$14)+SUMIF(ריכוז!$B$3:$B$30,A22,ריכוז!$C$3:$C$30)</f>
        <v>10986.57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SUMIF(Pplay1!$F$3:$F$14,A23,Pplay1!$H$3:$H$14)+SUMIF(ריכוז!$B$3:$B$30,A23,ריכוז!$C$3:$C$30)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SUMIF(Pplay1!$F$3:$F$14,A24,Pplay1!$H$3:$H$14)+SUMIF(ריכוז!$B$3:$B$30,A24,ריכוז!$C$3:$C$30)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SUMIF(Pplay1!$F$3:$F$14,A25,Pplay1!$H$3:$H$14)+SUMIF(ריכוז!$B$3:$B$30,A25,ריכוז!$C$3:$C$30)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SUMIF(Pplay1!$F$3:$F$14,A26,Pplay1!$H$3:$H$14)+SUMIF(ריכוז!$B$3:$B$30,A26,ריכוז!$C$3:$C$30)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SUMIF(Pplay1!$F$3:$F$14,A27,Pplay1!$H$3:$H$14)+SUMIF(ריכוז!$B$3:$B$30,A27,ריכוז!$C$3:$C$30)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SUMIF(Pplay1!$F$3:$F$14,A28,Pplay1!$H$3:$H$14)+SUMIF(ריכוז!$B$3:$B$30,A28,ריכוז!$C$3:$C$30)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SUMIF(Pplay1!$F$3:$F$14,A29,Pplay1!$H$3:$H$14)+SUMIF(ריכוז!$B$3:$B$30,A29,ריכוז!$C$3:$C$30)</f>
        <v>30237.69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SUMIF(Pplay1!$F$3:$F$14,A30,Pplay1!$H$3:$H$14)+SUMIF(ריכוז!$B$3:$B$30,A30,ריכוז!$C$3:$C$30)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SUMIF(Pplay1!$F$3:$F$14,A31,Pplay1!$H$3:$H$14)+SUMIF(ריכוז!$B$3:$B$30,A31,ריכוז!$C$3:$C$30)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SUMIF(Pplay1!$F$3:$F$14,A32,Pplay1!$H$3:$H$14)+SUMIF(ריכוז!$B$3:$B$30,A32,ריכוז!$C$3:$C$30)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SUMIF(Pplay1!$F$3:$F$14,A33,Pplay1!$H$3:$H$14)+SUMIF(ריכוז!$B$3:$B$30,A33,ריכוז!$C$3:$C$30)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SUMIF(Pplay1!$F$3:$F$14,A34,Pplay1!$H$3:$H$14)+SUMIF(ריכוז!$B$3:$B$30,A34,ריכוז!$C$3:$C$30)</f>
        <v>18350.05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SUMIF(Pplay1!$F$3:$F$14,A35,Pplay1!$H$3:$H$14)+SUMIF(ריכוז!$B$3:$B$30,A35,ריכוז!$C$3:$C$30)</f>
        <v>26105.72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SUMIF(Pplay1!$F$3:$F$14,A36,Pplay1!$H$3:$H$14)+SUMIF(ריכוז!$B$3:$B$30,A36,ריכוז!$C$3:$C$30)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SUMIF(Pplay1!$F$3:$F$14,A37,Pplay1!$H$3:$H$14)+SUMIF(ריכוז!$B$3:$B$30,A37,ריכוז!$C$3:$C$30)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SUMIF(Pplay1!$F$3:$F$14,A38,Pplay1!$H$3:$H$14)+SUMIF(ריכוז!$B$3:$B$30,A38,ריכוז!$C$3:$C$30)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SUMIF(Pplay1!$F$3:$F$14,A39,Pplay1!$H$3:$H$14)+SUMIF(ריכוז!$B$3:$B$30,A39,ריכוז!$C$3:$C$30)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390479.75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2086967.682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124607.4</v>
      </c>
      <c r="H3" s="27" t="n">
        <f aca="false">IF(G3="","",G3*0.91)</f>
        <v>113392.734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622.9</v>
      </c>
      <c r="H4" s="27" t="n">
        <f aca="false">IF(G4="","",G4*0.91)</f>
        <v>566.839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560462.8</v>
      </c>
      <c r="H5" s="27" t="n">
        <f aca="false">IF(G5="","",G5*0.91)</f>
        <v>510021.148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2131.3</v>
      </c>
      <c r="H6" s="27" t="n">
        <f aca="false">IF(G6="","",G6*0.91)</f>
        <v>1939.483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58.9</v>
      </c>
      <c r="H7" s="27" t="n">
        <f aca="false">IF(G7="","",G7*0.91)</f>
        <v>53.599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n">
        <f aca="false">IFERROR(INDEX(PPLAY1_מקור!$B:$B,MATCH(A8,PPLAY1_מקור!$A:$A,0)),"")</f>
        <v>3566.8</v>
      </c>
      <c r="H8" s="27" t="n">
        <f aca="false">IF(G8="","",G8*0.91)</f>
        <v>3245.788</v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526.9</v>
      </c>
      <c r="H9" s="27" t="n">
        <f aca="false">IF(G9="","",G9*0.91)</f>
        <v>479.479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494845.2</v>
      </c>
      <c r="H10" s="27" t="n">
        <f aca="false">IF(G10="","",G10*0.91)</f>
        <v>450309.132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76585.6</v>
      </c>
      <c r="H11" s="27" t="n">
        <f aca="false">IF(G11="","",G11*0.91)</f>
        <v>69692.896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70651.2</v>
      </c>
      <c r="H13" s="27" t="n">
        <f aca="false">IF(G13="","",G13*0.91)</f>
        <v>64292.592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72021.83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299421.55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10118.69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2043.68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7749.86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15350.5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256986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327159.86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934.55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n">
        <f aca="false">IFERROR(INDEX(NetSuite_מקור!$D:$D,MATCH(A16,NetSuite_מקור!$A:$A,0)),"")</f>
        <v>30237.69</v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26105.72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n">
        <f aca="false">IFERROR(INDEX(NetSuite_מקור!$D:$D,MATCH(A19,NetSuite_מקור!$A:$A,0)),"")</f>
        <v>10986.57</v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n">
        <f aca="false">IFERROR(INDEX(NetSuite_מקור!$D:$D,MATCH(A27,NetSuite_מקור!$A:$A,0)),"")</f>
        <v>18350.05</v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  <row r="30" customFormat="false" ht="14.25" hidden="false" customHeight="true" outlineLevel="0" collapsed="false">
      <c r="A30" s="28" t="s">
        <v>88</v>
      </c>
      <c r="B30" s="1" t="n">
        <v>14</v>
      </c>
      <c r="C30" s="29" t="n">
        <f aca="false">IFERROR(INDEX(NetSuite_מקור!$D:$D,MATCH(A30,NetSuite_מקור!$A:$A,0)),"")</f>
        <v>728.87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89</v>
      </c>
      <c r="B1" s="24" t="s">
        <v>90</v>
      </c>
      <c r="C1" s="24" t="s">
        <v>47</v>
      </c>
      <c r="D1" s="24" t="s">
        <v>91</v>
      </c>
    </row>
    <row r="2" customFormat="false" ht="14.25" hidden="false" customHeight="true" outlineLevel="0" collapsed="false">
      <c r="A2" s="26" t="s">
        <v>48</v>
      </c>
      <c r="B2" s="27" t="n">
        <v>124607.4</v>
      </c>
      <c r="C2" s="27" t="n">
        <f aca="false">B2*0.91</f>
        <v>113392.734</v>
      </c>
      <c r="D2" s="30"/>
    </row>
    <row r="3" customFormat="false" ht="14.25" hidden="false" customHeight="true" outlineLevel="0" collapsed="false">
      <c r="A3" s="26" t="s">
        <v>49</v>
      </c>
      <c r="B3" s="27" t="n">
        <v>622.9</v>
      </c>
      <c r="C3" s="27" t="n">
        <f aca="false">B3*0.91</f>
        <v>566.839</v>
      </c>
    </row>
    <row r="4" customFormat="false" ht="14.25" hidden="false" customHeight="true" outlineLevel="0" collapsed="false">
      <c r="A4" s="26" t="s">
        <v>50</v>
      </c>
      <c r="B4" s="27" t="n">
        <v>560462.8</v>
      </c>
      <c r="C4" s="27" t="n">
        <f aca="false">B4*0.91</f>
        <v>510021.148</v>
      </c>
    </row>
    <row r="5" customFormat="false" ht="14.25" hidden="false" customHeight="true" outlineLevel="0" collapsed="false">
      <c r="A5" s="26" t="s">
        <v>51</v>
      </c>
      <c r="B5" s="27" t="n">
        <v>2131.3</v>
      </c>
      <c r="C5" s="27" t="n">
        <f aca="false">B5*0.91</f>
        <v>1939.483</v>
      </c>
    </row>
    <row r="6" customFormat="false" ht="14.25" hidden="false" customHeight="true" outlineLevel="0" collapsed="false">
      <c r="A6" s="26" t="s">
        <v>52</v>
      </c>
      <c r="B6" s="27" t="n">
        <v>58.9</v>
      </c>
      <c r="C6" s="27" t="n">
        <f aca="false">B6*0.91</f>
        <v>53.599</v>
      </c>
    </row>
    <row r="7" customFormat="false" ht="14.25" hidden="false" customHeight="true" outlineLevel="0" collapsed="false">
      <c r="A7" s="26" t="s">
        <v>53</v>
      </c>
      <c r="B7" s="27" t="n">
        <v>3566.8</v>
      </c>
      <c r="C7" s="27" t="n">
        <f aca="false">B7*0.91</f>
        <v>3245.788</v>
      </c>
    </row>
    <row r="8" customFormat="false" ht="14.25" hidden="false" customHeight="true" outlineLevel="0" collapsed="false">
      <c r="A8" s="26" t="s">
        <v>54</v>
      </c>
      <c r="B8" s="27" t="n">
        <v>526.9</v>
      </c>
      <c r="C8" s="27" t="n">
        <f aca="false">B8*0.91</f>
        <v>479.479</v>
      </c>
    </row>
    <row r="9" customFormat="false" ht="14.25" hidden="false" customHeight="true" outlineLevel="0" collapsed="false">
      <c r="A9" s="26" t="s">
        <v>3</v>
      </c>
      <c r="B9" s="27" t="n">
        <v>494845.2</v>
      </c>
      <c r="C9" s="27" t="n">
        <f aca="false">B9*0.91</f>
        <v>450309.132</v>
      </c>
    </row>
    <row r="10" customFormat="false" ht="14.25" hidden="false" customHeight="true" outlineLevel="0" collapsed="false">
      <c r="A10" s="26" t="s">
        <v>55</v>
      </c>
      <c r="B10" s="27" t="n">
        <v>76585.6</v>
      </c>
      <c r="C10" s="27" t="n">
        <f aca="false">B10*0.91</f>
        <v>69692.896</v>
      </c>
    </row>
    <row r="11" customFormat="false" ht="14.25" hidden="false" customHeight="true" outlineLevel="0" collapsed="false">
      <c r="A11" s="1" t="s">
        <v>57</v>
      </c>
      <c r="B11" s="1" t="n">
        <v>70651.2</v>
      </c>
      <c r="C11" s="1" t="n">
        <f aca="false">B11*0.91</f>
        <v>64292.592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92</v>
      </c>
    </row>
    <row r="2" customFormat="false" ht="15" hidden="false" customHeight="true" outlineLevel="0" collapsed="false">
      <c r="A2" s="24" t="s">
        <v>93</v>
      </c>
      <c r="D2" s="24" t="s">
        <v>94</v>
      </c>
    </row>
    <row r="3" customFormat="false" ht="15" hidden="false" customHeight="true" outlineLevel="0" collapsed="false">
      <c r="A3" s="26" t="s">
        <v>61</v>
      </c>
      <c r="D3" s="29" t="n">
        <v>72021.83</v>
      </c>
    </row>
    <row r="4" customFormat="false" ht="15" hidden="false" customHeight="true" outlineLevel="0" collapsed="false">
      <c r="A4" s="26" t="s">
        <v>62</v>
      </c>
      <c r="D4" s="29" t="n">
        <v>299421.55</v>
      </c>
    </row>
    <row r="5" customFormat="false" ht="15" hidden="false" customHeight="true" outlineLevel="0" collapsed="false">
      <c r="A5" s="26" t="s">
        <v>63</v>
      </c>
      <c r="D5" s="29" t="n">
        <v>10118.69</v>
      </c>
    </row>
    <row r="6" customFormat="false" ht="15" hidden="false" customHeight="true" outlineLevel="0" collapsed="false">
      <c r="A6" s="26" t="s">
        <v>65</v>
      </c>
      <c r="D6" s="29" t="n">
        <v>7749.86</v>
      </c>
    </row>
    <row r="7" customFormat="false" ht="15" hidden="false" customHeight="true" outlineLevel="0" collapsed="false">
      <c r="A7" s="26" t="s">
        <v>66</v>
      </c>
      <c r="D7" s="29" t="n">
        <v>15350.5</v>
      </c>
    </row>
    <row r="8" customFormat="false" ht="15" hidden="false" customHeight="true" outlineLevel="0" collapsed="false">
      <c r="A8" s="26" t="s">
        <v>69</v>
      </c>
      <c r="D8" s="29" t="n">
        <v>256986</v>
      </c>
    </row>
    <row r="9" customFormat="false" ht="15" hidden="false" customHeight="true" outlineLevel="0" collapsed="false">
      <c r="A9" s="26" t="s">
        <v>70</v>
      </c>
      <c r="D9" s="29" t="n">
        <v>327159.86</v>
      </c>
    </row>
    <row r="10" customFormat="false" ht="14.25" hidden="false" customHeight="true" outlineLevel="0" collapsed="false">
      <c r="A10" s="26" t="s">
        <v>71</v>
      </c>
      <c r="D10" s="29" t="n">
        <v>934.55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26105.72</v>
      </c>
      <c r="E12" s="34"/>
    </row>
    <row r="13" customFormat="false" ht="14.25" hidden="false" customHeight="true" outlineLevel="0" collapsed="false">
      <c r="A13" s="31" t="s">
        <v>85</v>
      </c>
      <c r="B13" s="32"/>
      <c r="C13" s="32"/>
      <c r="D13" s="33" t="n">
        <v>18350.05</v>
      </c>
      <c r="E13" s="34"/>
    </row>
    <row r="14" customFormat="false" ht="14.25" hidden="false" customHeight="true" outlineLevel="0" collapsed="false">
      <c r="A14" s="26" t="s">
        <v>74</v>
      </c>
      <c r="D14" s="27" t="n">
        <v>30237.69</v>
      </c>
    </row>
    <row r="15" customFormat="false" ht="14.25" hidden="false" customHeight="true" outlineLevel="0" collapsed="false">
      <c r="A15" s="26" t="s">
        <v>64</v>
      </c>
      <c r="D15" s="27" t="n">
        <v>2043.68</v>
      </c>
    </row>
    <row r="16" customFormat="false" ht="14.25" hidden="false" customHeight="true" outlineLevel="0" collapsed="false">
      <c r="A16" s="1" t="s">
        <v>77</v>
      </c>
      <c r="D16" s="1" t="n">
        <v>10986.57</v>
      </c>
    </row>
    <row r="17" customFormat="false" ht="14.25" hidden="false" customHeight="true" outlineLevel="0" collapsed="false">
      <c r="A17" s="1" t="s">
        <v>88</v>
      </c>
      <c r="D17" s="1" t="n">
        <v>728.87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95</v>
      </c>
    </row>
    <row r="2" customFormat="false" ht="15" hidden="false" customHeight="true" outlineLevel="0" collapsed="false">
      <c r="A2" s="24" t="s">
        <v>96</v>
      </c>
      <c r="B2" s="24" t="s">
        <v>97</v>
      </c>
      <c r="C2" s="24" t="s">
        <v>91</v>
      </c>
    </row>
    <row r="3" customFormat="false" ht="15" hidden="false" customHeight="true" outlineLevel="0" collapsed="false">
      <c r="A3" s="26" t="s">
        <v>94</v>
      </c>
      <c r="B3" s="27" t="n">
        <v>62330.57</v>
      </c>
      <c r="C3" s="30" t="s">
        <v>98</v>
      </c>
    </row>
    <row r="4" customFormat="false" ht="15" hidden="false" customHeight="true" outlineLevel="0" collapsed="false">
      <c r="A4" s="26" t="s">
        <v>99</v>
      </c>
      <c r="B4" s="27" t="n">
        <v>-4764.52</v>
      </c>
      <c r="C4" s="3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2026-08-27T05:50:27Z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