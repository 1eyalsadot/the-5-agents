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_מקור" sheetId="2" state="visible" r:id="rId4"/>
    <sheet name="NetSuite_מקור" sheetId="3" state="visible" r:id="rId5"/>
    <sheet name="Amazon_מקור" sheetId="4" state="visible" r:id="rId6"/>
    <sheet name="Pplay1" sheetId="5" state="visible" r:id="rId7"/>
    <sheet name="ריכוז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<sst xmlns="http://schemas.openxmlformats.org/spreadsheetml/2006/main" count="121" uniqueCount="88">
  <si>
    <t xml:space="preserve">דוח מכירות יולי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</si>
  <si>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</si>
  <si>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</si>
  <si>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</si>
  <si>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</si>
  <si>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</si>
  <si>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</si>
  <si>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</si>
  <si>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</si>
  <si>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</si>
  <si>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</si>
  <si>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</si>
  <si>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</si>
  <si>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</si>
  <si>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</si>
  <si>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</si>
  <si>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</si>
  <si>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</si>
  <si>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</si>
  <si>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</si>
  <si>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</si>
  <si>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</si>
  <si>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</si>
  <si>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</si>
  <si>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</si>
  <si>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</si>
  <si>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</si>
  <si>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</si>
  <si>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</si>
  <si>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</si>
  <si>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</si>
  <si>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</si>
  <si>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</si>
  <si>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</si>
  <si>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</si>
  <si>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</si>
  <si>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</si>
  <si>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</si>
  <si>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</si>
  <si>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</si>
  <si>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</si>
  <si>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תיאור</t>
  </si>
  <si>
    <t xml:space="preserve">2026/Jul (סכום גולמי)</t>
  </si>
  <si>
    <t xml:space="preserve">מכר נטו</t>
  </si>
  <si>
    <t xml:space="preserve">הערה</t>
  </si>
  <si>
    <t xml:space="preserve">Customers</t>
  </si>
  <si>
    <t xml:space="preserve">Source: PPlay0208 - שוחזר מהמקור.xlsx (גיליון Pplay1). מכר נטו = עמודה B × 0.91 (מקדם לפי הנחיית המשתמש). עדכון: המקדם תוקן מ-0.89 (שגוי, בגרסה קודמת) ל-0.91 (הערך הנכון) — בבנייה מחדש מלאה של דוח יולי 2026.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</si>
  <si>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</si>
  <si>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</si>
  <si>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</si>
  <si>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</si>
  <si>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</si>
  <si>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</si>
  <si>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</si>
  <si>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</si>
  <si>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</si>
  <si>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</si>
  <si>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</si>
  <si>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Source: CustomSalesbyCustomerSummary497.xlsx (Meditex Group IL, Custom Sales by Customer Summary, 01 July 2026 - 31 July 2026) — נשלפו רק 14 שורות הסיכום (קטגוריה) התואמות Exact Match למקרא בגיליון "ריכוז". לא יובאו שורות פירוט חשבוניות/לקוחות-בת מהדוח הגולמי, לפי מוסכמת עבודה. סה"כ הדוח הגולמי המלא (כל השורות, כולל אלה שלא נשלפות לכאן): 1,245,659.18.</t>
  </si>
  <si>
    <t xml:space="preserve">Customer</t>
  </si>
  <si>
    <t xml:space="preserve">Sales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</si>
  <si>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</si>
  <si>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</si>
  <si>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</si>
  <si>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</si>
  <si>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</si>
  <si>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</si>
  <si>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</si>
  <si>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</si>
  <si>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</si>
  <si>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</si>
  <si>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</si>
  <si>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</si>
  <si>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</si>
  <si>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</si>
  <si>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Source: צילום מסך שסופק על ידי המשתמש, לוח בקרה Amazon Seller Central (Sales / Refund cost), נמסר 02/08/2026. אין קובץ מקור — נתון ידני מתועד. Refund cost השתנה מול הריצה הקודמת (01/08/2026): היה -5,069.77, כעת -4,974.75. Sales זהה: 79,639.60. בבנייה מחדש זו (04/08/2026) לא נמסרו קובץ/תמונה חדשים — נעשה שימוש חוזר באותם ערכים שנמסרו ב-02/08/2026.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</si>
  <si>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</si>
  <si>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</si>
  <si>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</si>
  <si>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</si>
  <si>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</si>
  <si>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</si>
  <si>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</si>
  <si>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</si>
  <si>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</si>
  <si>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</si>
  <si>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מקרא </t>
  </si>
  <si>
    <t xml:space="preserve">סכום מכירות (NetSuite)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</si>
</sst>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8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5999"/>
        <bgColor rgb="FFCCCCFF"/>
      </patternFill>
    </fill>
    <fill>
      <patternFill patternType="solid">
        <fgColor theme="9" tint="0.5999"/>
        <bgColor rgb="FFDCE6F2"/>
      </patternFill>
    </fill>
    <fill>
      <patternFill patternType="solid">
        <fgColor rgb="FF92D05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38"/>
    <col collapsed="false" customWidth="true" hidden="false" outlineLevel="0" max="2" min="2" style="0" width="27"/>
    <col collapsed="false" customWidth="true" hidden="false" outlineLevel="0" max="3" min="3" style="0" width="9.87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2" t="s">
        <v>1</v>
      </c>
      <c r="B2" s="3" t="n">
        <v>46238</v>
      </c>
      <c r="C2" s="4" t="n">
        <v>7.2026</v>
      </c>
    </row>
    <row r="3" customFormat="false" ht="15" hidden="false" customHeight="false" outlineLevel="0" collapsed="false">
      <c r="A3" s="5" t="n">
        <v>5</v>
      </c>
      <c r="B3" s="6" t="s">
        <v>2</v>
      </c>
      <c r="C3" s="7" t="n">
        <f aca="false">IF(COUNTIF(Pplay1!$F$3:$F$14,A3)+COUNTIF(ריכוז!$B$3:$B$16,A3)=0,"",SUMIF(Pplay1!$F$3:$F$14,A3,Pplay1!$H$3:$H$14)+SUMIF(ריכוז!$B$3:$B$16,A3,ריכוז!$C$3:$C$16))</f>
        <v>73969</v>
      </c>
    </row>
    <row r="4" customFormat="false" ht="15" hidden="false" customHeight="false" outlineLevel="0" collapsed="false">
      <c r="A4" s="5" t="n">
        <v>1</v>
      </c>
      <c r="B4" s="6" t="s">
        <v>3</v>
      </c>
      <c r="C4" s="7" t="n">
        <f aca="false">IF(COUNTIF(Pplay1!$F$3:$F$14,A4)+COUNTIF(ריכוז!$B$3:$B$16,A4)=0,"",SUMIF(Pplay1!$F$3:$F$14,A4,Pplay1!$H$3:$H$14)+SUMIF(ריכוז!$B$3:$B$16,A4,ריכוז!$C$3:$C$16))</f>
        <v>453851.216</v>
      </c>
    </row>
    <row r="5" customFormat="false" ht="15" hidden="false" customHeight="false" outlineLevel="0" collapsed="false">
      <c r="A5" s="5" t="n">
        <v>7</v>
      </c>
      <c r="B5" s="6" t="s">
        <v>4</v>
      </c>
      <c r="C5" s="7" t="n">
        <f aca="false">IF(COUNTIF(Pplay1!$F$3:$F$14,A5)+COUNTIF(ריכוז!$B$3:$B$16,A5)=0,"",SUMIF(Pplay1!$F$3:$F$14,A5,Pplay1!$H$3:$H$14)+SUMIF(ריכוז!$B$3:$B$16,A5,ריכוז!$C$3:$C$16))</f>
        <v>72470.216</v>
      </c>
    </row>
    <row r="6" customFormat="false" ht="15" hidden="false" customHeight="false" outlineLevel="0" collapsed="false">
      <c r="A6" s="5" t="n">
        <v>4</v>
      </c>
      <c r="B6" s="6" t="s">
        <v>5</v>
      </c>
      <c r="C6" s="7" t="n">
        <f aca="false">IF(COUNTIF(Pplay1!$F$3:$F$14,A6)+COUNTIF(ריכוז!$B$3:$B$16,A6)=0,"",SUMIF(Pplay1!$F$3:$F$14,A6,Pplay1!$H$3:$H$14)+SUMIF(ריכוז!$B$3:$B$16,A6,ריכוז!$C$3:$C$16))</f>
        <v>152144.318</v>
      </c>
    </row>
    <row r="7" customFormat="false" ht="15" hidden="false" customHeight="false" outlineLevel="0" collapsed="false">
      <c r="A7" s="5" t="n">
        <v>3</v>
      </c>
      <c r="B7" s="6" t="s">
        <v>6</v>
      </c>
      <c r="C7" s="7" t="n">
        <f aca="false">IF(COUNTIF(Pplay1!$F$3:$F$14,A7)+COUNTIF(ריכוז!$B$3:$B$16,A7)=0,"",SUMIF(Pplay1!$F$3:$F$14,A7,Pplay1!$H$3:$H$14)+SUMIF(ריכוז!$B$3:$B$16,A7,ריכוז!$C$3:$C$16))</f>
        <v>392888.3</v>
      </c>
    </row>
    <row r="8" customFormat="false" ht="15" hidden="false" customHeight="false" outlineLevel="0" collapsed="false">
      <c r="A8" s="5" t="n">
        <v>8</v>
      </c>
      <c r="B8" s="6" t="s">
        <v>7</v>
      </c>
      <c r="C8" s="7" t="n">
        <f aca="false">IF(COUNTIF(Pplay1!$F$3:$F$14,A8)+COUNTIF(ריכוז!$B$3:$B$16,A8)=0,"",SUMIF(Pplay1!$F$3:$F$14,A8,Pplay1!$H$3:$H$14)+SUMIF(ריכוז!$B$3:$B$16,A8,ריכוז!$C$3:$C$16))</f>
        <v>49165.266</v>
      </c>
    </row>
    <row r="9" customFormat="false" ht="15" hidden="false" customHeight="false" outlineLevel="0" collapsed="false">
      <c r="A9" s="5" t="n">
        <v>6</v>
      </c>
      <c r="B9" s="6" t="s">
        <v>8</v>
      </c>
      <c r="C9" s="7" t="n">
        <f aca="false">IF(COUNTIF(Pplay1!$F$3:$F$14,A9)+COUNTIF(ריכוז!$B$3:$B$16,A9)=0,"",SUMIF(Pplay1!$F$3:$F$14,A9,Pplay1!$H$3:$H$14)+SUMIF(ריכוז!$B$3:$B$16,A9,ריכוז!$C$3:$C$16))</f>
        <v>65635.87</v>
      </c>
    </row>
    <row r="10" customFormat="false" ht="15" hidden="false" customHeight="false" outlineLevel="0" collapsed="false">
      <c r="A10" s="5" t="n">
        <v>10</v>
      </c>
      <c r="B10" s="6" t="s">
        <v>9</v>
      </c>
      <c r="C10" s="7" t="n">
        <f aca="false">IF(COUNTIF(Pplay1!$F$3:$F$14,A10)+COUNTIF(ריכוז!$B$3:$B$16,A10)=0,"",SUMIF(Pplay1!$F$3:$F$14,A10,Pplay1!$H$3:$H$14)+SUMIF(ריכוז!$B$3:$B$16,A10,ריכוז!$C$3:$C$16))</f>
        <v>5105.8</v>
      </c>
    </row>
    <row r="11" customFormat="false" ht="15" hidden="false" customHeight="false" outlineLevel="0" collapsed="false">
      <c r="A11" s="5" t="n">
        <v>11</v>
      </c>
      <c r="B11" s="6" t="s">
        <v>10</v>
      </c>
      <c r="C11" s="7" t="n">
        <f aca="false">IF(COUNTIF(Pplay1!$F$3:$F$14,A11)+COUNTIF(ריכוז!$B$3:$B$16,A11)=0,"",SUMIF(Pplay1!$F$3:$F$14,A11,Pplay1!$H$3:$H$14)+SUMIF(ריכוז!$B$3:$B$16,A11,ריכוז!$C$3:$C$16))</f>
        <v>3863.17</v>
      </c>
    </row>
    <row r="12" customFormat="false" ht="15" hidden="false" customHeight="false" outlineLevel="0" collapsed="false">
      <c r="A12" s="5" t="n">
        <v>14</v>
      </c>
      <c r="B12" s="6" t="s">
        <v>11</v>
      </c>
      <c r="C12" s="7" t="str">
        <f aca="false">IF(COUNTIF(Pplay1!$F$3:$F$14,A12)+COUNTIF(ריכוז!$B$3:$B$16,A12)=0,"",SUMIF(Pplay1!$F$3:$F$14,A12,Pplay1!$H$3:$H$14)+SUMIF(ריכוז!$B$3:$B$16,A12,ריכוז!$C$3:$C$16))</f>
        <v/>
      </c>
    </row>
    <row r="13" customFormat="false" ht="15" hidden="false" customHeight="false" outlineLevel="0" collapsed="false">
      <c r="A13" s="5" t="n">
        <v>15</v>
      </c>
      <c r="B13" s="6" t="s">
        <v>12</v>
      </c>
      <c r="C13" s="7" t="str">
        <f aca="false">IF(COUNTIF(Pplay1!$F$3:$F$14,A13)+COUNTIF(ריכוז!$B$3:$B$16,A13)=0,"",SUMIF(Pplay1!$F$3:$F$14,A13,Pplay1!$H$3:$H$14)+SUMIF(ריכוז!$B$3:$B$16,A13,ריכוז!$C$3:$C$16))</f>
        <v/>
      </c>
    </row>
    <row r="14" customFormat="false" ht="15" hidden="false" customHeight="false" outlineLevel="0" collapsed="false">
      <c r="A14" s="5" t="n">
        <v>13</v>
      </c>
      <c r="B14" s="6" t="s">
        <v>13</v>
      </c>
      <c r="C14" s="7" t="n">
        <f aca="false">IF(COUNTIF(Pplay1!$F$3:$F$14,A14)+COUNTIF(ריכוז!$B$3:$B$16,A14)=0,"",SUMIF(Pplay1!$F$3:$F$14,A14,Pplay1!$H$3:$H$14)+SUMIF(ריכוז!$B$3:$B$16,A14,ריכוז!$C$3:$C$16))</f>
        <v>478.2</v>
      </c>
    </row>
    <row r="15" customFormat="false" ht="15" hidden="false" customHeight="false" outlineLevel="0" collapsed="false">
      <c r="A15" s="5" t="n">
        <v>9</v>
      </c>
      <c r="B15" s="6" t="s">
        <v>14</v>
      </c>
      <c r="C15" s="7" t="n">
        <f aca="false">IF(COUNTIF(Pplay1!$F$3:$F$14,A15)+COUNTIF(ריכוז!$B$3:$B$16,A15)=0,"",SUMIF(Pplay1!$F$3:$F$14,A15,Pplay1!$H$3:$H$14)+SUMIF(ריכוז!$B$3:$B$16,A15,ריכוז!$C$3:$C$16))</f>
        <v>10025.73</v>
      </c>
    </row>
    <row r="16" customFormat="false" ht="15" hidden="false" customHeight="false" outlineLevel="0" collapsed="false">
      <c r="A16" s="5"/>
      <c r="B16" s="8" t="s">
        <v>15</v>
      </c>
      <c r="C16" s="9" t="n">
        <f aca="false">SUM(C3:C15)</f>
        <v>1279597.086</v>
      </c>
    </row>
    <row r="17" customFormat="false" ht="15" hidden="false" customHeight="false" outlineLevel="0" collapsed="false">
      <c r="A17" s="5" t="n">
        <v>2</v>
      </c>
      <c r="B17" s="6" t="s">
        <v>16</v>
      </c>
      <c r="C17" s="7" t="n">
        <f aca="false">IF(COUNTIF(Pplay1!$F$3:$F$14,A17)+COUNTIF(ריכוז!$B$3:$B$16,A17)=0,"",SUMIF(Pplay1!$F$3:$F$14,A17,Pplay1!$H$3:$H$14)+SUMIF(ריכוז!$B$3:$B$16,A17,ריכוז!$C$3:$C$16))</f>
        <v>398018.329999997</v>
      </c>
    </row>
    <row r="18" customFormat="false" ht="15" hidden="false" customHeight="false" outlineLevel="0" collapsed="false">
      <c r="A18" s="5" t="n">
        <v>12</v>
      </c>
      <c r="B18" s="6" t="s">
        <v>17</v>
      </c>
      <c r="C18" s="7" t="n">
        <f aca="false">IF(COUNTIF(Pplay1!$F$3:$F$14,A18)+COUNTIF(ריכוז!$B$3:$B$16,A18)=0,"",SUMIF(Pplay1!$F$3:$F$14,A18,Pplay1!$H$3:$H$14)+SUMIF(ריכוז!$B$3:$B$16,A18,ריכוז!$C$3:$C$16))</f>
        <v>1741.74</v>
      </c>
    </row>
    <row r="19" customFormat="false" ht="15" hidden="false" customHeight="false" outlineLevel="0" collapsed="false">
      <c r="A19" s="5"/>
      <c r="B19" s="8" t="s">
        <v>18</v>
      </c>
      <c r="C19" s="9" t="n">
        <f aca="false">C18+C17+C16</f>
        <v>1679357.156</v>
      </c>
    </row>
    <row r="20" customFormat="false" ht="15" hidden="false" customHeight="false" outlineLevel="0" collapsed="false">
      <c r="A20" s="5" t="n">
        <v>50</v>
      </c>
      <c r="B20" s="6" t="s">
        <v>19</v>
      </c>
      <c r="C20" s="7" t="n">
        <f aca="false">(Amazon_מקור!B3+Amazon_מקור!B4)*3</f>
        <v>223994.55</v>
      </c>
    </row>
    <row r="21" customFormat="false" ht="15" hidden="false" customHeight="false" outlineLevel="0" collapsed="false">
      <c r="A21" s="5" t="n">
        <v>20</v>
      </c>
      <c r="B21" s="6" t="s">
        <v>20</v>
      </c>
      <c r="C21" s="7" t="str">
        <f aca="false">IF(COUNTIF(Pplay1!$F$3:$F$14,A21)+COUNTIF(ריכוז!$B$3:$B$16,A21)=0,"",SUMIF(Pplay1!$F$3:$F$14,A21,Pplay1!$H$3:$H$14)+SUMIF(ריכוז!$B$3:$B$16,A21,ריכוז!$C$3:$C$16))</f>
        <v/>
      </c>
    </row>
    <row r="22" customFormat="false" ht="15" hidden="false" customHeight="false" outlineLevel="0" collapsed="false">
      <c r="A22" s="5" t="n">
        <v>21</v>
      </c>
      <c r="B22" s="6" t="s">
        <v>21</v>
      </c>
      <c r="C22" s="7" t="str">
        <f aca="false">IF(COUNTIF(Pplay1!$F$3:$F$14,A22)+COUNTIF(ריכוז!$B$3:$B$16,A22)=0,"",SUMIF(Pplay1!$F$3:$F$14,A22,Pplay1!$H$3:$H$14)+SUMIF(ריכוז!$B$3:$B$16,A22,ריכוז!$C$3:$C$16))</f>
        <v/>
      </c>
    </row>
    <row r="23" customFormat="false" ht="15" hidden="false" customHeight="false" outlineLevel="0" collapsed="false">
      <c r="A23" s="5" t="n">
        <v>22</v>
      </c>
      <c r="B23" s="6" t="s">
        <v>22</v>
      </c>
      <c r="C23" s="7" t="str">
        <f aca="false">IF(COUNTIF(Pplay1!$F$3:$F$14,A23)+COUNTIF(ריכוז!$B$3:$B$16,A23)=0,"",SUMIF(Pplay1!$F$3:$F$14,A23,Pplay1!$H$3:$H$14)+SUMIF(ריכוז!$B$3:$B$16,A23,ריכוז!$C$3:$C$16))</f>
        <v/>
      </c>
    </row>
    <row r="24" customFormat="false" ht="15" hidden="false" customHeight="false" outlineLevel="0" collapsed="false">
      <c r="A24" s="5" t="n">
        <v>23</v>
      </c>
      <c r="B24" s="6" t="s">
        <v>23</v>
      </c>
      <c r="C24" s="7" t="n">
        <f aca="false">IF(COUNTIF(Pplay1!$F$3:$F$14,A24)+COUNTIF(ריכוז!$B$3:$B$16,A24)=0,"",SUMIF(Pplay1!$F$3:$F$14,A24,Pplay1!$H$3:$H$14)+SUMIF(ריכוז!$B$3:$B$16,A24,ריכוז!$C$3:$C$16))</f>
        <v>19451.36</v>
      </c>
    </row>
    <row r="25" customFormat="false" ht="15" hidden="false" customHeight="false" outlineLevel="0" collapsed="false">
      <c r="A25" s="5" t="n">
        <v>24</v>
      </c>
      <c r="B25" s="6" t="s">
        <v>24</v>
      </c>
      <c r="C25" s="7" t="str">
        <f aca="false">IF(COUNTIF(Pplay1!$F$3:$F$14,A25)+COUNTIF(ריכוז!$B$3:$B$16,A25)=0,"",SUMIF(Pplay1!$F$3:$F$14,A25,Pplay1!$H$3:$H$14)+SUMIF(ריכוז!$B$3:$B$16,A25,ריכוז!$C$3:$C$16))</f>
        <v/>
      </c>
    </row>
    <row r="26" customFormat="false" ht="15" hidden="false" customHeight="false" outlineLevel="0" collapsed="false">
      <c r="A26" s="5" t="n">
        <v>25</v>
      </c>
      <c r="B26" s="6" t="s">
        <v>25</v>
      </c>
      <c r="C26" s="7" t="n">
        <f aca="false">IF(COUNTIF(Pplay1!$F$3:$F$14,A26)+COUNTIF(ריכוז!$B$3:$B$16,A26)=0,"",SUMIF(Pplay1!$F$3:$F$14,A26,Pplay1!$H$3:$H$14)+SUMIF(ריכוז!$B$3:$B$16,A26,ריכוז!$C$3:$C$16))</f>
        <v>221407.78</v>
      </c>
    </row>
    <row r="27" customFormat="false" ht="15" hidden="false" customHeight="false" outlineLevel="0" collapsed="false">
      <c r="A27" s="5" t="n">
        <v>26</v>
      </c>
      <c r="B27" s="6" t="s">
        <v>26</v>
      </c>
      <c r="C27" s="7" t="str">
        <f aca="false">IF(COUNTIF(Pplay1!$F$3:$F$14,A27)+COUNTIF(ריכוז!$B$3:$B$16,A27)=0,"",SUMIF(Pplay1!$F$3:$F$14,A27,Pplay1!$H$3:$H$14)+SUMIF(ריכוז!$B$3:$B$16,A27,ריכוז!$C$3:$C$16))</f>
        <v/>
      </c>
    </row>
    <row r="28" customFormat="false" ht="15" hidden="false" customHeight="false" outlineLevel="0" collapsed="false">
      <c r="A28" s="5" t="n">
        <v>27</v>
      </c>
      <c r="B28" s="6" t="s">
        <v>27</v>
      </c>
      <c r="C28" s="7" t="str">
        <f aca="false">IF(COUNTIF(Pplay1!$F$3:$F$14,A28)+COUNTIF(ריכוז!$B$3:$B$16,A28)=0,"",SUMIF(Pplay1!$F$3:$F$14,A28,Pplay1!$H$3:$H$14)+SUMIF(ריכוז!$B$3:$B$16,A28,ריכוז!$C$3:$C$16))</f>
        <v/>
      </c>
    </row>
    <row r="29" customFormat="false" ht="15" hidden="false" customHeight="false" outlineLevel="0" collapsed="false">
      <c r="A29" s="5" t="n">
        <v>28</v>
      </c>
      <c r="B29" s="6" t="s">
        <v>28</v>
      </c>
      <c r="C29" s="7" t="n">
        <f aca="false">IF(COUNTIF(Pplay1!$F$3:$F$14,A29)+COUNTIF(ריכוז!$B$3:$B$16,A29)=0,"",SUMIF(Pplay1!$F$3:$F$14,A29,Pplay1!$H$3:$H$14)+SUMIF(ריכוז!$B$3:$B$16,A29,ריכוז!$C$3:$C$16))</f>
        <v>41960.14</v>
      </c>
    </row>
    <row r="30" customFormat="false" ht="15" hidden="false" customHeight="false" outlineLevel="0" collapsed="false">
      <c r="A30" s="5" t="n">
        <v>29</v>
      </c>
      <c r="B30" s="6" t="s">
        <v>29</v>
      </c>
      <c r="C30" s="7" t="str">
        <f aca="false">IF(COUNTIF(Pplay1!$F$3:$F$14,A30)+COUNTIF(ריכוז!$B$3:$B$16,A30)=0,"",SUMIF(Pplay1!$F$3:$F$14,A30,Pplay1!$H$3:$H$14)+SUMIF(ריכוז!$B$3:$B$16,A30,ריכוז!$C$3:$C$16))</f>
        <v/>
      </c>
    </row>
    <row r="31" customFormat="false" ht="15" hidden="false" customHeight="false" outlineLevel="0" collapsed="false">
      <c r="A31" s="5" t="n">
        <v>30</v>
      </c>
      <c r="B31" s="6" t="s">
        <v>30</v>
      </c>
      <c r="C31" s="7" t="str">
        <f aca="false">IF(COUNTIF(Pplay1!$F$3:$F$14,A31)+COUNTIF(ריכוז!$B$3:$B$16,A31)=0,"",SUMIF(Pplay1!$F$3:$F$14,A31,Pplay1!$H$3:$H$14)+SUMIF(ריכוז!$B$3:$B$16,A31,ריכוז!$C$3:$C$16))</f>
        <v/>
      </c>
    </row>
    <row r="32" customFormat="false" ht="15" hidden="false" customHeight="false" outlineLevel="0" collapsed="false">
      <c r="A32" s="5" t="n">
        <v>31</v>
      </c>
      <c r="B32" s="6" t="s">
        <v>31</v>
      </c>
      <c r="C32" s="7" t="str">
        <f aca="false">IF(COUNTIF(Pplay1!$F$3:$F$14,A32)+COUNTIF(ריכוז!$B$3:$B$16,A32)=0,"",SUMIF(Pplay1!$F$3:$F$14,A32,Pplay1!$H$3:$H$14)+SUMIF(ריכוז!$B$3:$B$16,A32,ריכוז!$C$3:$C$16))</f>
        <v/>
      </c>
    </row>
    <row r="33" customFormat="false" ht="15" hidden="false" customHeight="false" outlineLevel="0" collapsed="false">
      <c r="A33" s="5" t="n">
        <v>37</v>
      </c>
      <c r="B33" s="6" t="s">
        <v>32</v>
      </c>
      <c r="C33" s="7" t="str">
        <f aca="false">IF(COUNTIF(Pplay1!$F$3:$F$14,A33)+COUNTIF(ריכוז!$B$3:$B$16,A33)=0,"",SUMIF(Pplay1!$F$3:$F$14,A33,Pplay1!$H$3:$H$14)+SUMIF(ריכוז!$B$3:$B$16,A33,ריכוז!$C$3:$C$16))</f>
        <v/>
      </c>
    </row>
    <row r="34" customFormat="false" ht="15" hidden="false" customHeight="false" outlineLevel="0" collapsed="false">
      <c r="A34" s="5" t="n">
        <v>32</v>
      </c>
      <c r="B34" s="6" t="s">
        <v>33</v>
      </c>
      <c r="C34" s="7" t="str">
        <f aca="false">IF(COUNTIF(Pplay1!$F$3:$F$14,A34)+COUNTIF(ריכוז!$B$3:$B$16,A34)=0,"",SUMIF(Pplay1!$F$3:$F$14,A34,Pplay1!$H$3:$H$14)+SUMIF(ריכוז!$B$3:$B$16,A34,ריכוז!$C$3:$C$16))</f>
        <v/>
      </c>
    </row>
    <row r="35" customFormat="false" ht="15" hidden="false" customHeight="false" outlineLevel="0" collapsed="false">
      <c r="A35" s="5" t="n">
        <v>33</v>
      </c>
      <c r="B35" s="6" t="s">
        <v>34</v>
      </c>
      <c r="C35" s="7" t="str">
        <f aca="false">IF(COUNTIF(Pplay1!$F$3:$F$14,A35)+COUNTIF(ריכוז!$B$3:$B$16,A35)=0,"",SUMIF(Pplay1!$F$3:$F$14,A35,Pplay1!$H$3:$H$14)+SUMIF(ריכוז!$B$3:$B$16,A35,ריכוז!$C$3:$C$16))</f>
        <v/>
      </c>
    </row>
    <row r="36" customFormat="false" ht="15" hidden="false" customHeight="false" outlineLevel="0" collapsed="false">
      <c r="A36" s="5" t="n">
        <v>38</v>
      </c>
      <c r="B36" s="6" t="s">
        <v>35</v>
      </c>
      <c r="C36" s="7" t="str">
        <f aca="false">IF(COUNTIF(Pplay1!$F$3:$F$14,A36)+COUNTIF(ריכוז!$B$3:$B$16,A36)=0,"",SUMIF(Pplay1!$F$3:$F$14,A36,Pplay1!$H$3:$H$14)+SUMIF(ריכוז!$B$3:$B$16,A36,ריכוז!$C$3:$C$16))</f>
        <v/>
      </c>
    </row>
    <row r="37" customFormat="false" ht="15" hidden="false" customHeight="false" outlineLevel="0" collapsed="false">
      <c r="A37" s="5" t="n">
        <v>34</v>
      </c>
      <c r="B37" s="6" t="s">
        <v>36</v>
      </c>
      <c r="C37" s="7" t="str">
        <f aca="false">IF(COUNTIF(Pplay1!$F$3:$F$14,A37)+COUNTIF(ריכוז!$B$3:$B$16,A37)=0,"",SUMIF(Pplay1!$F$3:$F$14,A37,Pplay1!$H$3:$H$14)+SUMIF(ריכוז!$B$3:$B$16,A37,ריכוז!$C$3:$C$16))</f>
        <v/>
      </c>
    </row>
    <row r="38" customFormat="false" ht="15" hidden="false" customHeight="false" outlineLevel="0" collapsed="false">
      <c r="A38" s="5" t="n">
        <v>35</v>
      </c>
      <c r="B38" s="6" t="s">
        <v>37</v>
      </c>
      <c r="C38" s="7" t="str">
        <f aca="false">IF(COUNTIF(Pplay1!$F$3:$F$14,A38)+COUNTIF(ריכוז!$B$3:$B$16,A38)=0,"",SUMIF(Pplay1!$F$3:$F$14,A38,Pplay1!$H$3:$H$14)+SUMIF(ריכוז!$B$3:$B$16,A38,ריכוז!$C$3:$C$16))</f>
        <v/>
      </c>
    </row>
    <row r="39" customFormat="false" ht="15" hidden="false" customHeight="false" outlineLevel="0" collapsed="false">
      <c r="A39" s="5" t="n">
        <v>36</v>
      </c>
      <c r="B39" s="6" t="s">
        <v>38</v>
      </c>
      <c r="C39" s="7" t="str">
        <f aca="false">IF(COUNTIF(Pplay1!$F$3:$F$14,A39)+COUNTIF(ריכוז!$B$3:$B$16,A39)=0,"",SUMIF(Pplay1!$F$3:$F$14,A39,Pplay1!$H$3:$H$14)+SUMIF(ריכוז!$B$3:$B$16,A39,ריכוז!$C$3:$C$16))</f>
        <v/>
      </c>
    </row>
    <row r="40" customFormat="false" ht="15" hidden="false" customHeight="false" outlineLevel="0" collapsed="false">
      <c r="A40" s="5"/>
      <c r="B40" s="10" t="s">
        <v>39</v>
      </c>
      <c r="C40" s="11" t="n">
        <f aca="false">SUM(C20:C39)</f>
        <v>506813.83</v>
      </c>
    </row>
    <row r="41" customFormat="false" ht="15" hidden="false" customHeight="false" outlineLevel="0" collapsed="false">
      <c r="A41" s="5"/>
      <c r="B41" s="12" t="s">
        <v>40</v>
      </c>
      <c r="C41" s="13" t="n">
        <f aca="false">C40+C19</f>
        <v>2186170.986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14" t="s">
        <v>41</v>
      </c>
      <c r="B1" s="14" t="s">
        <v>42</v>
      </c>
      <c r="C1" s="14" t="s">
        <v>43</v>
      </c>
      <c r="D1" s="14" t="s">
        <v>44</v>
      </c>
    </row>
    <row r="2" customFormat="false" ht="15" hidden="false" customHeight="false" outlineLevel="0" collapsed="false">
      <c r="A2" s="15" t="s">
        <v>45</v>
      </c>
      <c r="B2" s="16" t="n">
        <v>787381.7</v>
      </c>
      <c r="C2" s="16" t="n">
        <f aca="false">B2*0.91</f>
        <v>716517.347</v>
      </c>
      <c r="D2" s="17" t="s">
        <v>46</v>
      </c>
    </row>
    <row r="3" customFormat="false" ht="15" hidden="false" customHeight="false" outlineLevel="0" collapsed="false">
      <c r="A3" s="15" t="s">
        <v>47</v>
      </c>
      <c r="B3" s="16" t="n">
        <v>149239.8</v>
      </c>
      <c r="C3" s="16" t="n">
        <f aca="false">B3*0.91</f>
        <v>135808.218</v>
      </c>
    </row>
    <row r="4" customFormat="false" ht="15" hidden="false" customHeight="false" outlineLevel="0" collapsed="false">
      <c r="A4" s="15" t="s">
        <v>48</v>
      </c>
      <c r="B4" s="16" t="n">
        <v>703.1</v>
      </c>
      <c r="C4" s="16" t="n">
        <f aca="false">B4*0.91</f>
        <v>639.821</v>
      </c>
    </row>
    <row r="5" customFormat="false" ht="15" hidden="false" customHeight="false" outlineLevel="0" collapsed="false">
      <c r="A5" s="15" t="s">
        <v>49</v>
      </c>
      <c r="B5" s="16" t="n">
        <v>579463.6</v>
      </c>
      <c r="C5" s="16" t="n">
        <f aca="false">B5*0.91</f>
        <v>527311.876</v>
      </c>
    </row>
    <row r="6" customFormat="false" ht="15" hidden="false" customHeight="false" outlineLevel="0" collapsed="false">
      <c r="A6" s="15" t="s">
        <v>50</v>
      </c>
      <c r="B6" s="16" t="n">
        <v>7133</v>
      </c>
      <c r="C6" s="16" t="n">
        <f aca="false">B6*0.91</f>
        <v>6491.03</v>
      </c>
    </row>
    <row r="7" customFormat="false" ht="15" hidden="false" customHeight="false" outlineLevel="0" collapsed="false">
      <c r="A7" s="15" t="s">
        <v>51</v>
      </c>
      <c r="B7" s="16" t="n">
        <v>895.1</v>
      </c>
      <c r="C7" s="16" t="n">
        <f aca="false">B7*0.91</f>
        <v>814.541</v>
      </c>
    </row>
    <row r="8" customFormat="false" ht="15" hidden="false" customHeight="false" outlineLevel="0" collapsed="false">
      <c r="A8" s="15" t="s">
        <v>52</v>
      </c>
      <c r="B8" s="16" t="n">
        <v>193.3</v>
      </c>
      <c r="C8" s="16" t="n">
        <f aca="false">B8*0.91</f>
        <v>175.903</v>
      </c>
    </row>
    <row r="9" customFormat="false" ht="15" hidden="false" customHeight="false" outlineLevel="0" collapsed="false">
      <c r="A9" s="15" t="s">
        <v>53</v>
      </c>
      <c r="B9" s="16" t="n">
        <v>612.2</v>
      </c>
      <c r="C9" s="16" t="n">
        <f aca="false">B9*0.91</f>
        <v>557.102</v>
      </c>
    </row>
    <row r="10" customFormat="false" ht="15" hidden="false" customHeight="false" outlineLevel="0" collapsed="false">
      <c r="A10" s="15" t="s">
        <v>3</v>
      </c>
      <c r="B10" s="16" t="n">
        <v>498737.6</v>
      </c>
      <c r="C10" s="16" t="n">
        <f aca="false">B10*0.91</f>
        <v>453851.216</v>
      </c>
    </row>
    <row r="11" customFormat="false" ht="15" hidden="false" customHeight="false" outlineLevel="0" collapsed="false">
      <c r="A11" s="15" t="s">
        <v>54</v>
      </c>
      <c r="B11" s="16" t="n">
        <v>71892.4</v>
      </c>
      <c r="C11" s="16" t="n">
        <f aca="false">B11*0.91</f>
        <v>65422.084</v>
      </c>
    </row>
    <row r="12" customFormat="false" ht="15" hidden="false" customHeight="false" outlineLevel="0" collapsed="false">
      <c r="A12" s="15" t="s">
        <v>55</v>
      </c>
      <c r="B12" s="16" t="n">
        <v>74.3</v>
      </c>
      <c r="C12" s="16" t="n">
        <f aca="false">B12*0.91</f>
        <v>67.613</v>
      </c>
    </row>
    <row r="13" customFormat="false" ht="15" hidden="false" customHeight="false" outlineLevel="0" collapsed="false">
      <c r="A13" s="15" t="s">
        <v>56</v>
      </c>
      <c r="B13" s="16" t="n">
        <v>58724.6</v>
      </c>
      <c r="C13" s="16" t="n">
        <f aca="false">B13*0.91</f>
        <v>53439.386</v>
      </c>
    </row>
    <row r="14" customFormat="false" ht="15" hidden="false" customHeight="false" outlineLevel="0" collapsed="false">
      <c r="A14" s="15" t="s">
        <v>57</v>
      </c>
      <c r="B14" s="16" t="n">
        <v>-823.8</v>
      </c>
      <c r="C14" s="16" t="n">
        <f aca="false">B14*0.91</f>
        <v>-749.658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7" t="s">
        <v>58</v>
      </c>
    </row>
    <row r="2" customFormat="false" ht="15" hidden="false" customHeight="false" outlineLevel="0" collapsed="false">
      <c r="A2" s="14" t="s">
        <v>59</v>
      </c>
      <c r="D2" s="14" t="s">
        <v>60</v>
      </c>
    </row>
    <row r="3" customFormat="false" ht="15" hidden="false" customHeight="false" outlineLevel="0" collapsed="false">
      <c r="A3" s="15" t="s">
        <v>61</v>
      </c>
      <c r="D3" s="16" t="n">
        <v>65635.87</v>
      </c>
    </row>
    <row r="4" customFormat="false" ht="15" hidden="false" customHeight="false" outlineLevel="0" collapsed="false">
      <c r="A4" s="15" t="s">
        <v>62</v>
      </c>
      <c r="D4" s="16" t="n">
        <v>73969</v>
      </c>
    </row>
    <row r="5" customFormat="false" ht="15" hidden="false" customHeight="false" outlineLevel="0" collapsed="false">
      <c r="A5" s="15" t="s">
        <v>63</v>
      </c>
      <c r="D5" s="16" t="n">
        <v>10025.73</v>
      </c>
    </row>
    <row r="6" customFormat="false" ht="15" hidden="false" customHeight="false" outlineLevel="0" collapsed="false">
      <c r="A6" s="15" t="s">
        <v>64</v>
      </c>
      <c r="D6" s="16" t="n">
        <v>3863.17</v>
      </c>
    </row>
    <row r="7" customFormat="false" ht="15" hidden="false" customHeight="false" outlineLevel="0" collapsed="false">
      <c r="A7" s="15" t="s">
        <v>65</v>
      </c>
      <c r="D7" s="16" t="n">
        <v>5105.8</v>
      </c>
    </row>
    <row r="8" customFormat="false" ht="15" hidden="false" customHeight="false" outlineLevel="0" collapsed="false">
      <c r="A8" s="15" t="s">
        <v>66</v>
      </c>
      <c r="D8" s="16" t="n">
        <v>15387.88</v>
      </c>
    </row>
    <row r="9" customFormat="false" ht="15" hidden="false" customHeight="false" outlineLevel="0" collapsed="false">
      <c r="A9" s="15" t="s">
        <v>67</v>
      </c>
      <c r="D9" s="16" t="n">
        <v>478.2</v>
      </c>
    </row>
    <row r="10" customFormat="false" ht="15" hidden="false" customHeight="false" outlineLevel="0" collapsed="false">
      <c r="A10" s="15" t="s">
        <v>68</v>
      </c>
      <c r="D10" s="16" t="n">
        <v>-4274.12</v>
      </c>
    </row>
    <row r="11" customFormat="false" ht="15" hidden="false" customHeight="false" outlineLevel="0" collapsed="false">
      <c r="A11" s="15" t="s">
        <v>69</v>
      </c>
      <c r="D11" s="16" t="n">
        <v>392888.3</v>
      </c>
    </row>
    <row r="12" customFormat="false" ht="15" hidden="false" customHeight="false" outlineLevel="0" collapsed="false">
      <c r="A12" s="15" t="s">
        <v>70</v>
      </c>
      <c r="D12" s="16" t="n">
        <v>398018.329999997</v>
      </c>
    </row>
    <row r="13" customFormat="false" ht="15" hidden="false" customHeight="false" outlineLevel="0" collapsed="false">
      <c r="A13" s="15" t="s">
        <v>71</v>
      </c>
      <c r="D13" s="16" t="n">
        <v>1741.74</v>
      </c>
    </row>
    <row r="14" customFormat="false" ht="15" hidden="false" customHeight="false" outlineLevel="0" collapsed="false">
      <c r="A14" s="15" t="s">
        <v>72</v>
      </c>
      <c r="D14" s="16" t="n">
        <v>19451.36</v>
      </c>
    </row>
    <row r="15" customFormat="false" ht="15" hidden="false" customHeight="false" outlineLevel="0" collapsed="false">
      <c r="A15" s="15" t="s">
        <v>73</v>
      </c>
      <c r="D15" s="16" t="n">
        <v>221407.78</v>
      </c>
    </row>
    <row r="16" customFormat="false" ht="15" hidden="false" customHeight="false" outlineLevel="0" collapsed="false">
      <c r="A16" s="15" t="s">
        <v>74</v>
      </c>
      <c r="D16" s="16" t="n">
        <v>41960.14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17" t="s">
        <v>75</v>
      </c>
    </row>
    <row r="2" customFormat="false" ht="15" hidden="false" customHeight="false" outlineLevel="0" collapsed="false">
      <c r="A2" s="14" t="s">
        <v>41</v>
      </c>
      <c r="B2" s="14" t="s">
        <v>76</v>
      </c>
      <c r="C2" s="14" t="s">
        <v>44</v>
      </c>
    </row>
    <row r="3" customFormat="false" ht="15" hidden="false" customHeight="false" outlineLevel="0" collapsed="false">
      <c r="A3" s="15" t="s">
        <v>60</v>
      </c>
      <c r="B3" s="16" t="n">
        <v>79639.6</v>
      </c>
      <c r="C3" s="17" t="s">
        <v>77</v>
      </c>
    </row>
    <row r="4" customFormat="false" ht="15" hidden="false" customHeight="false" outlineLevel="0" collapsed="false">
      <c r="A4" s="15" t="s">
        <v>78</v>
      </c>
      <c r="B4" s="16" t="n">
        <v>-4974.75</v>
      </c>
      <c r="C4" s="1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11.5"/>
  </cols>
  <sheetData>
    <row r="1" customFormat="false" ht="15" hidden="false" customHeight="false" outlineLevel="0" collapsed="false">
      <c r="A1" s="14" t="s">
        <v>80</v>
      </c>
      <c r="F1" s="17" t="s">
        <v>81</v>
      </c>
    </row>
    <row r="2" customFormat="false" ht="15" hidden="false" customHeight="false" outlineLevel="0" collapsed="false">
      <c r="B2" s="18" t="s">
        <v>5</v>
      </c>
      <c r="C2" s="18" t="s">
        <v>4</v>
      </c>
      <c r="D2" s="18" t="s">
        <v>82</v>
      </c>
      <c r="E2" s="18" t="s">
        <v>83</v>
      </c>
      <c r="F2" s="14" t="s">
        <v>84</v>
      </c>
      <c r="G2" s="14" t="s">
        <v>85</v>
      </c>
      <c r="H2" s="14" t="s">
        <v>43</v>
      </c>
    </row>
    <row r="3" customFormat="false" ht="15" hidden="false" customHeight="false" outlineLevel="0" collapsed="false">
      <c r="A3" s="19" t="s">
        <v>47</v>
      </c>
      <c r="B3" s="18" t="n">
        <v>4</v>
      </c>
      <c r="F3" s="15" t="n">
        <f aca="false">IF(B3&lt;&gt;"",B3,IF(C3&lt;&gt;"",C3,IF(D3&lt;&gt;"",D3,IF(E3&lt;&gt;"",E3,""))))</f>
        <v>4</v>
      </c>
      <c r="G3" s="16" t="n">
        <f aca="false">IFERROR(INDEX(PPLAY1_מקור!$B:$B,MATCH(A3,PPLAY1_מקור!$A:$A,0)),"")</f>
        <v>149239.8</v>
      </c>
      <c r="H3" s="16" t="n">
        <f aca="false">IF(G3="","",G3*0.91)</f>
        <v>135808.218</v>
      </c>
    </row>
    <row r="4" customFormat="false" ht="15" hidden="false" customHeight="false" outlineLevel="0" collapsed="false">
      <c r="A4" s="19" t="s">
        <v>48</v>
      </c>
      <c r="B4" s="18" t="n">
        <v>4</v>
      </c>
      <c r="F4" s="15" t="n">
        <f aca="false">IF(B4&lt;&gt;"",B4,IF(C4&lt;&gt;"",C4,IF(D4&lt;&gt;"",D4,IF(E4&lt;&gt;"",E4,""))))</f>
        <v>4</v>
      </c>
      <c r="G4" s="16" t="n">
        <f aca="false">IFERROR(INDEX(PPLAY1_מקור!$B:$B,MATCH(A4,PPLAY1_מקור!$A:$A,0)),"")</f>
        <v>703.1</v>
      </c>
      <c r="H4" s="16" t="n">
        <f aca="false">IF(G4="","",G4*0.91)</f>
        <v>639.821</v>
      </c>
    </row>
    <row r="5" customFormat="false" ht="15" hidden="false" customHeight="false" outlineLevel="0" collapsed="false">
      <c r="A5" s="19" t="s">
        <v>49</v>
      </c>
      <c r="F5" s="15" t="str">
        <f aca="false">IF(B5&lt;&gt;"",B5,IF(C5&lt;&gt;"",C5,IF(D5&lt;&gt;"",D5,IF(E5&lt;&gt;"",E5,""))))</f>
        <v/>
      </c>
      <c r="G5" s="16" t="n">
        <f aca="false">IFERROR(INDEX(PPLAY1_מקור!$B:$B,MATCH(A5,PPLAY1_מקור!$A:$A,0)),"")</f>
        <v>579463.6</v>
      </c>
      <c r="H5" s="16" t="n">
        <f aca="false">IF(G5="","",G5*0.91)</f>
        <v>527311.876</v>
      </c>
    </row>
    <row r="6" customFormat="false" ht="15" hidden="false" customHeight="false" outlineLevel="0" collapsed="false">
      <c r="A6" s="19" t="s">
        <v>50</v>
      </c>
      <c r="C6" s="18" t="n">
        <v>7</v>
      </c>
      <c r="F6" s="15" t="n">
        <f aca="false">IF(B6&lt;&gt;"",B6,IF(C6&lt;&gt;"",C6,IF(D6&lt;&gt;"",D6,IF(E6&lt;&gt;"",E6,""))))</f>
        <v>7</v>
      </c>
      <c r="G6" s="16" t="n">
        <f aca="false">IFERROR(INDEX(PPLAY1_מקור!$B:$B,MATCH(A6,PPLAY1_מקור!$A:$A,0)),"")</f>
        <v>7133</v>
      </c>
      <c r="H6" s="16" t="n">
        <f aca="false">IF(G6="","",G6*0.91)</f>
        <v>6491.03</v>
      </c>
    </row>
    <row r="7" customFormat="false" ht="15" hidden="false" customHeight="false" outlineLevel="0" collapsed="false">
      <c r="A7" s="19" t="s">
        <v>51</v>
      </c>
      <c r="B7" s="18" t="n">
        <v>4</v>
      </c>
      <c r="F7" s="15" t="n">
        <f aca="false">IF(B7&lt;&gt;"",B7,IF(C7&lt;&gt;"",C7,IF(D7&lt;&gt;"",D7,IF(E7&lt;&gt;"",E7,""))))</f>
        <v>4</v>
      </c>
      <c r="G7" s="16" t="n">
        <f aca="false">IFERROR(INDEX(PPLAY1_מקור!$B:$B,MATCH(A7,PPLAY1_מקור!$A:$A,0)),"")</f>
        <v>895.1</v>
      </c>
      <c r="H7" s="16" t="n">
        <f aca="false">IF(G7="","",G7*0.91)</f>
        <v>814.541</v>
      </c>
    </row>
    <row r="8" customFormat="false" ht="15" hidden="false" customHeight="false" outlineLevel="0" collapsed="false">
      <c r="A8" s="19" t="s">
        <v>52</v>
      </c>
      <c r="B8" s="18" t="n">
        <v>4</v>
      </c>
      <c r="F8" s="15" t="n">
        <f aca="false">IF(B8&lt;&gt;"",B8,IF(C8&lt;&gt;"",C8,IF(D8&lt;&gt;"",D8,IF(E8&lt;&gt;"",E8,""))))</f>
        <v>4</v>
      </c>
      <c r="G8" s="16" t="n">
        <f aca="false">IFERROR(INDEX(PPLAY1_מקור!$B:$B,MATCH(A8,PPLAY1_מקור!$A:$A,0)),"")</f>
        <v>193.3</v>
      </c>
      <c r="H8" s="16" t="n">
        <f aca="false">IF(G8="","",G8*0.91)</f>
        <v>175.903</v>
      </c>
    </row>
    <row r="9" customFormat="false" ht="15" hidden="false" customHeight="false" outlineLevel="0" collapsed="false">
      <c r="A9" s="19" t="s">
        <v>53</v>
      </c>
      <c r="C9" s="18" t="n">
        <v>7</v>
      </c>
      <c r="F9" s="15" t="n">
        <f aca="false">IF(B9&lt;&gt;"",B9,IF(C9&lt;&gt;"",C9,IF(D9&lt;&gt;"",D9,IF(E9&lt;&gt;"",E9,""))))</f>
        <v>7</v>
      </c>
      <c r="G9" s="16" t="n">
        <f aca="false">IFERROR(INDEX(PPLAY1_מקור!$B:$B,MATCH(A9,PPLAY1_מקור!$A:$A,0)),"")</f>
        <v>612.2</v>
      </c>
      <c r="H9" s="16" t="n">
        <f aca="false">IF(G9="","",G9*0.91)</f>
        <v>557.102</v>
      </c>
    </row>
    <row r="10" customFormat="false" ht="15" hidden="false" customHeight="false" outlineLevel="0" collapsed="false">
      <c r="A10" s="19" t="s">
        <v>3</v>
      </c>
      <c r="D10" s="18" t="n">
        <v>1</v>
      </c>
      <c r="F10" s="15" t="n">
        <f aca="false">IF(B10&lt;&gt;"",B10,IF(C10&lt;&gt;"",C10,IF(D10&lt;&gt;"",D10,IF(E10&lt;&gt;"",E10,""))))</f>
        <v>1</v>
      </c>
      <c r="G10" s="16" t="n">
        <f aca="false">IFERROR(INDEX(PPLAY1_מקור!$B:$B,MATCH(A10,PPLAY1_מקור!$A:$A,0)),"")</f>
        <v>498737.6</v>
      </c>
      <c r="H10" s="16" t="n">
        <f aca="false">IF(G10="","",G10*0.91)</f>
        <v>453851.216</v>
      </c>
    </row>
    <row r="11" customFormat="false" ht="15" hidden="false" customHeight="false" outlineLevel="0" collapsed="false">
      <c r="A11" s="19" t="s">
        <v>54</v>
      </c>
      <c r="C11" s="18" t="n">
        <v>7</v>
      </c>
      <c r="F11" s="15" t="n">
        <f aca="false">IF(B11&lt;&gt;"",B11,IF(C11&lt;&gt;"",C11,IF(D11&lt;&gt;"",D11,IF(E11&lt;&gt;"",E11,""))))</f>
        <v>7</v>
      </c>
      <c r="G11" s="16" t="n">
        <f aca="false">IFERROR(INDEX(PPLAY1_מקור!$B:$B,MATCH(A11,PPLAY1_מקור!$A:$A,0)),"")</f>
        <v>71892.4</v>
      </c>
      <c r="H11" s="16" t="n">
        <f aca="false">IF(G11="","",G11*0.91)</f>
        <v>65422.084</v>
      </c>
    </row>
    <row r="12" customFormat="false" ht="15" hidden="false" customHeight="false" outlineLevel="0" collapsed="false">
      <c r="A12" s="19" t="s">
        <v>55</v>
      </c>
      <c r="B12" s="18" t="n">
        <v>4</v>
      </c>
      <c r="F12" s="15" t="n">
        <f aca="false">IF(B12&lt;&gt;"",B12,IF(C12&lt;&gt;"",C12,IF(D12&lt;&gt;"",D12,IF(E12&lt;&gt;"",E12,""))))</f>
        <v>4</v>
      </c>
      <c r="G12" s="16" t="n">
        <f aca="false">IFERROR(INDEX(PPLAY1_מקור!$B:$B,MATCH(A12,PPLAY1_מקור!$A:$A,0)),"")</f>
        <v>74.3</v>
      </c>
      <c r="H12" s="16" t="n">
        <f aca="false">IF(G12="","",G12*0.91)</f>
        <v>67.613</v>
      </c>
    </row>
    <row r="13" customFormat="false" ht="15" hidden="false" customHeight="false" outlineLevel="0" collapsed="false">
      <c r="A13" s="19" t="s">
        <v>56</v>
      </c>
      <c r="E13" s="18" t="n">
        <v>8</v>
      </c>
      <c r="F13" s="15" t="n">
        <f aca="false">IF(B13&lt;&gt;"",B13,IF(C13&lt;&gt;"",C13,IF(D13&lt;&gt;"",D13,IF(E13&lt;&gt;"",E13,""))))</f>
        <v>8</v>
      </c>
      <c r="G13" s="16" t="n">
        <f aca="false">IFERROR(INDEX(PPLAY1_מקור!$B:$B,MATCH(A13,PPLAY1_מקור!$A:$A,0)),"")</f>
        <v>58724.6</v>
      </c>
      <c r="H13" s="16" t="n">
        <f aca="false">IF(G13="","",G13*0.91)</f>
        <v>53439.386</v>
      </c>
    </row>
    <row r="14" customFormat="false" ht="15" hidden="false" customHeight="false" outlineLevel="0" collapsed="false">
      <c r="A14" s="19" t="s">
        <v>57</v>
      </c>
      <c r="B14" s="18" t="n">
        <v>4</v>
      </c>
      <c r="F14" s="15" t="n">
        <f aca="false">IF(B14&lt;&gt;"",B14,IF(C14&lt;&gt;"",C14,IF(D14&lt;&gt;"",D14,IF(E14&lt;&gt;"",E14,""))))</f>
        <v>4</v>
      </c>
      <c r="G14" s="16" t="n">
        <f aca="false">IFERROR(INDEX(PPLAY1_מקור!$B:$B,MATCH(A14,PPLAY1_מקור!$A:$A,0)),"")</f>
        <v>-823.8</v>
      </c>
      <c r="H14" s="16" t="n">
        <f aca="false">IF(G14="","",G14*0.91)</f>
        <v>-749.658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.25"/>
  </cols>
  <sheetData>
    <row r="1" customFormat="false" ht="15" hidden="false" customHeight="false" outlineLevel="0" collapsed="false">
      <c r="A1" s="14" t="s">
        <v>86</v>
      </c>
      <c r="C1" s="14" t="s">
        <v>87</v>
      </c>
    </row>
    <row r="3" customFormat="false" ht="15" hidden="false" customHeight="false" outlineLevel="0" collapsed="false">
      <c r="A3" s="20" t="s">
        <v>61</v>
      </c>
      <c r="B3" s="15" t="n">
        <v>6</v>
      </c>
      <c r="C3" s="16" t="n">
        <f aca="false">IFERROR(INDEX(NetSuite_מקור!$D:$D,MATCH(A3,NetSuite_מקור!$A:$A,0)),"")</f>
        <v>65635.87</v>
      </c>
    </row>
    <row r="4" customFormat="false" ht="15" hidden="false" customHeight="false" outlineLevel="0" collapsed="false">
      <c r="A4" s="20" t="s">
        <v>62</v>
      </c>
      <c r="B4" s="15" t="n">
        <v>5</v>
      </c>
      <c r="C4" s="16" t="n">
        <f aca="false">IFERROR(INDEX(NetSuite_מקור!$D:$D,MATCH(A4,NetSuite_מקור!$A:$A,0)),"")</f>
        <v>73969</v>
      </c>
    </row>
    <row r="5" customFormat="false" ht="15" hidden="false" customHeight="false" outlineLevel="0" collapsed="false">
      <c r="A5" s="20" t="s">
        <v>63</v>
      </c>
      <c r="B5" s="15" t="n">
        <v>9</v>
      </c>
      <c r="C5" s="16" t="n">
        <f aca="false">IFERROR(INDEX(NetSuite_מקור!$D:$D,MATCH(A5,NetSuite_מקור!$A:$A,0)),"")</f>
        <v>10025.73</v>
      </c>
    </row>
    <row r="6" customFormat="false" ht="15" hidden="false" customHeight="false" outlineLevel="0" collapsed="false">
      <c r="A6" s="20" t="s">
        <v>64</v>
      </c>
      <c r="B6" s="15" t="n">
        <v>11</v>
      </c>
      <c r="C6" s="16" t="n">
        <f aca="false">IFERROR(INDEX(NetSuite_מקור!$D:$D,MATCH(A6,NetSuite_מקור!$A:$A,0)),"")</f>
        <v>3863.17</v>
      </c>
    </row>
    <row r="7" customFormat="false" ht="15" hidden="false" customHeight="false" outlineLevel="0" collapsed="false">
      <c r="A7" s="20" t="s">
        <v>65</v>
      </c>
      <c r="B7" s="15" t="n">
        <v>10</v>
      </c>
      <c r="C7" s="16" t="n">
        <f aca="false">IFERROR(INDEX(NetSuite_מקור!$D:$D,MATCH(A7,NetSuite_מקור!$A:$A,0)),"")</f>
        <v>5105.8</v>
      </c>
    </row>
    <row r="8" customFormat="false" ht="15" hidden="false" customHeight="false" outlineLevel="0" collapsed="false">
      <c r="A8" s="20" t="s">
        <v>66</v>
      </c>
      <c r="B8" s="15" t="n">
        <v>4</v>
      </c>
      <c r="C8" s="16" t="n">
        <f aca="false">IFERROR(INDEX(NetSuite_מקור!$D:$D,MATCH(A8,NetSuite_מקור!$A:$A,0)),"")</f>
        <v>15387.88</v>
      </c>
    </row>
    <row r="9" customFormat="false" ht="15" hidden="false" customHeight="false" outlineLevel="0" collapsed="false">
      <c r="A9" s="20" t="s">
        <v>67</v>
      </c>
      <c r="B9" s="15" t="n">
        <v>13</v>
      </c>
      <c r="C9" s="16" t="n">
        <f aca="false">IFERROR(INDEX(NetSuite_מקור!$D:$D,MATCH(A9,NetSuite_מקור!$A:$A,0)),"")</f>
        <v>478.2</v>
      </c>
    </row>
    <row r="10" customFormat="false" ht="15" hidden="false" customHeight="false" outlineLevel="0" collapsed="false">
      <c r="A10" s="20" t="s">
        <v>68</v>
      </c>
      <c r="B10" s="15" t="n">
        <v>8</v>
      </c>
      <c r="C10" s="16" t="n">
        <f aca="false">IFERROR(INDEX(NetSuite_מקור!$D:$D,MATCH(A10,NetSuite_מקור!$A:$A,0)),"")</f>
        <v>-4274.12</v>
      </c>
    </row>
    <row r="11" customFormat="false" ht="15" hidden="false" customHeight="false" outlineLevel="0" collapsed="false">
      <c r="A11" s="20" t="s">
        <v>69</v>
      </c>
      <c r="B11" s="15" t="n">
        <v>3</v>
      </c>
      <c r="C11" s="16" t="n">
        <f aca="false">IFERROR(INDEX(NetSuite_מקור!$D:$D,MATCH(A11,NetSuite_מקור!$A:$A,0)),"")</f>
        <v>392888.3</v>
      </c>
    </row>
    <row r="12" customFormat="false" ht="15" hidden="false" customHeight="false" outlineLevel="0" collapsed="false">
      <c r="A12" s="20" t="s">
        <v>70</v>
      </c>
      <c r="B12" s="15" t="n">
        <v>2</v>
      </c>
      <c r="C12" s="16" t="n">
        <f aca="false">IFERROR(INDEX(NetSuite_מקור!$D:$D,MATCH(A12,NetSuite_מקור!$A:$A,0)),"")</f>
        <v>398018.329999997</v>
      </c>
    </row>
    <row r="13" customFormat="false" ht="15" hidden="false" customHeight="false" outlineLevel="0" collapsed="false">
      <c r="A13" s="20" t="s">
        <v>71</v>
      </c>
      <c r="B13" s="15" t="n">
        <v>12</v>
      </c>
      <c r="C13" s="16" t="n">
        <f aca="false">IFERROR(INDEX(NetSuite_מקור!$D:$D,MATCH(A13,NetSuite_מקור!$A:$A,0)),"")</f>
        <v>1741.74</v>
      </c>
    </row>
    <row r="14" customFormat="false" ht="15" hidden="false" customHeight="false" outlineLevel="0" collapsed="false">
      <c r="A14" s="20" t="s">
        <v>72</v>
      </c>
      <c r="B14" s="15" t="n">
        <v>23</v>
      </c>
      <c r="C14" s="16" t="n">
        <f aca="false">IFERROR(INDEX(NetSuite_מקור!$D:$D,MATCH(A14,NetSuite_מקור!$A:$A,0)),"")</f>
        <v>19451.36</v>
      </c>
    </row>
    <row r="15" customFormat="false" ht="15" hidden="false" customHeight="false" outlineLevel="0" collapsed="false">
      <c r="A15" s="20" t="s">
        <v>73</v>
      </c>
      <c r="B15" s="15" t="n">
        <v>25</v>
      </c>
      <c r="C15" s="16" t="n">
        <f aca="false">IFERROR(INDEX(NetSuite_מקור!$D:$D,MATCH(A15,NetSuite_מקור!$A:$A,0)),"")</f>
        <v>221407.78</v>
      </c>
    </row>
    <row r="16" customFormat="false" ht="15" hidden="false" customHeight="false" outlineLevel="0" collapsed="false">
      <c r="A16" s="20" t="s">
        <v>74</v>
      </c>
      <c r="B16" s="15" t="n">
        <v>28</v>
      </c>
      <c r="C16" s="16" t="n">
        <f aca="false">IFERROR(INDEX(NetSuite_מקור!$D:$D,MATCH(A16,NetSuite_מקור!$A:$A,0)),"")</f>
        <v>41960.14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2026-08-04T05:58:12Z</dcterms:created>
  <dc:creator>openpyxl</dc:creator>
  <dc:description/>
  <dc:language>en-US</dc:language>
  <cp:lastModifiedBy/>
  <dcterms:modified xsi:type="dcterms:W3CDTF">2026-08-04T05:58:12Z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