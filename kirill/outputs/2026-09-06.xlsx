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46271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SUMIF(Pplay1!$F$3:$F$15,A3,Pplay1!$H$3:$H$15)+SUMIF(ריכוז!$B$3:$B$30,A3,ריכוז!$C$3:$C$30)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SUMIF(Pplay1!$F$3:$F$15,A4,Pplay1!$H$3:$H$15)+SUMIF(ריכוז!$B$3:$B$30,A4,ריכוז!$C$3:$C$30)</f>
        <v>47011.055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SUMIF(Pplay1!$F$3:$F$15,A5,Pplay1!$H$3:$H$15)+SUMIF(ריכוז!$B$3:$B$30,A5,ריכוז!$C$3:$C$30)</f>
        <v>5255.523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SUMIF(Pplay1!$F$3:$F$15,A6,Pplay1!$H$3:$H$15)+SUMIF(ריכוז!$B$3:$B$30,A6,ריכוז!$C$3:$C$30)</f>
        <v>14412.853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SUMIF(Pplay1!$F$3:$F$15,A7,Pplay1!$H$3:$H$15)+SUMIF(ריכוז!$B$3:$B$30,A7,ריכוז!$C$3:$C$30)</f>
        <v>14312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SUMIF(Pplay1!$F$3:$F$15,A8,Pplay1!$H$3:$H$15)+SUMIF(ריכוז!$B$3:$B$30,A8,ריכוז!$C$3:$C$30)</f>
        <v>7749.287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SUMIF(Pplay1!$F$3:$F$15,A9,Pplay1!$H$3:$H$15)+SUMIF(ריכוז!$B$3:$B$30,A9,ריכוז!$C$3:$C$30)</f>
        <v>9796.49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SUMIF(Pplay1!$F$3:$F$15,A10,Pplay1!$H$3:$H$15)+SUMIF(ריכוז!$B$3:$B$30,A10,ריכוז!$C$3:$C$30)</f>
        <v>1916.36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SUMIF(Pplay1!$F$3:$F$15,A11,Pplay1!$H$3:$H$15)+SUMIF(ריכוז!$B$3:$B$30,A11,ריכוז!$C$3:$C$30)</f>
        <v>4292.7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SUMIF(Pplay1!$F$3:$F$15,A12,Pplay1!$H$3:$H$15)+SUMIF(ריכוז!$B$3:$B$30,A12,ריכוז!$C$3:$C$30)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SUMIF(Pplay1!$F$3:$F$15,A13,Pplay1!$H$3:$H$15)+SUMIF(ריכוז!$B$3:$B$30,A13,ריכוז!$C$3:$C$30)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SUMIF(Pplay1!$F$3:$F$15,A14,Pplay1!$H$3:$H$15)+SUMIF(ריכוז!$B$3:$B$30,A14,ריכוז!$C$3:$C$30)</f>
        <v>0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SUMIF(Pplay1!$F$3:$F$15,A15,Pplay1!$H$3:$H$15)+SUMIF(ריכוז!$B$3:$B$30,A15,ריכוז!$C$3:$C$30)</f>
        <v>2725.87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107472.138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SUMIF(Pplay1!$F$3:$F$15,A17,Pplay1!$H$3:$H$15)+SUMIF(ריכוז!$B$3:$B$30,A17,ריכוז!$C$3:$C$30)</f>
        <v>54289.3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SUMIF(Pplay1!$F$3:$F$15,A18,Pplay1!$H$3:$H$15)+SUMIF(ריכוז!$B$3:$B$30,A18,ריכוז!$C$3:$C$30)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161761.438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33088.89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SUMIF(Pplay1!$F$3:$F$15,A21,Pplay1!$H$3:$H$15)+SUMIF(ריכוז!$B$3:$B$30,A21,ריכוז!$C$3:$C$30)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SUMIF(Pplay1!$F$3:$F$15,A22,Pplay1!$H$3:$H$15)+SUMIF(ריכוז!$B$3:$B$30,A22,ריכוז!$C$3:$C$30)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SUMIF(Pplay1!$F$3:$F$15,A23,Pplay1!$H$3:$H$15)+SUMIF(ריכוז!$B$3:$B$30,A23,ריכוז!$C$3:$C$30)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SUMIF(Pplay1!$F$3:$F$15,A24,Pplay1!$H$3:$H$15)+SUMIF(ריכוז!$B$3:$B$30,A24,ריכוז!$C$3:$C$30)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SUMIF(Pplay1!$F$3:$F$15,A25,Pplay1!$H$3:$H$15)+SUMIF(ריכוז!$B$3:$B$30,A25,ריכוז!$C$3:$C$30)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SUMIF(Pplay1!$F$3:$F$15,A26,Pplay1!$H$3:$H$15)+SUMIF(ריכוז!$B$3:$B$30,A26,ריכוז!$C$3:$C$30)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SUMIF(Pplay1!$F$3:$F$15,A27,Pplay1!$H$3:$H$15)+SUMIF(ריכוז!$B$3:$B$30,A27,ריכוז!$C$3:$C$30)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SUMIF(Pplay1!$F$3:$F$15,A28,Pplay1!$H$3:$H$15)+SUMIF(ריכוז!$B$3:$B$30,A28,ריכוז!$C$3:$C$30)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SUMIF(Pplay1!$F$3:$F$15,A29,Pplay1!$H$3:$H$15)+SUMIF(ריכוז!$B$3:$B$30,A29,ריכוז!$C$3:$C$30)</f>
        <v>24990.03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SUMIF(Pplay1!$F$3:$F$15,A30,Pplay1!$H$3:$H$15)+SUMIF(ריכוז!$B$3:$B$30,A30,ריכוז!$C$3:$C$30)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SUMIF(Pplay1!$F$3:$F$15,A31,Pplay1!$H$3:$H$15)+SUMIF(ריכוז!$B$3:$B$30,A31,ריכוז!$C$3:$C$30)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SUMIF(Pplay1!$F$3:$F$15,A32,Pplay1!$H$3:$H$15)+SUMIF(ריכוז!$B$3:$B$30,A32,ריכוז!$C$3:$C$30)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SUMIF(Pplay1!$F$3:$F$15,A33,Pplay1!$H$3:$H$15)+SUMIF(ריכוז!$B$3:$B$30,A33,ריכוז!$C$3:$C$30)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SUMIF(Pplay1!$F$3:$F$15,A34,Pplay1!$H$3:$H$15)+SUMIF(ריכוז!$B$3:$B$30,A34,ריכוז!$C$3:$C$30)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SUMIF(Pplay1!$F$3:$F$15,A35,Pplay1!$H$3:$H$15)+SUMIF(ריכוז!$B$3:$B$30,A35,ריכוז!$C$3:$C$30)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SUMIF(Pplay1!$F$3:$F$15,A36,Pplay1!$H$3:$H$15)+SUMIF(ריכוז!$B$3:$B$30,A36,ריכוז!$C$3:$C$30)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SUMIF(Pplay1!$F$3:$F$15,A37,Pplay1!$H$3:$H$15)+SUMIF(ריכוז!$B$3:$B$30,A37,ריכוז!$C$3:$C$30)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SUMIF(Pplay1!$F$3:$F$15,A38,Pplay1!$H$3:$H$15)+SUMIF(ריכוז!$B$3:$B$30,A38,ריכוז!$C$3:$C$30)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SUMIF(Pplay1!$F$3:$F$15,A39,Pplay1!$H$3:$H$15)+SUMIF(ריכוז!$B$3:$B$30,A39,ריכוז!$C$3:$C$30)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58078.92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219840.358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15638.9</v>
      </c>
      <c r="H3" s="62">
        <f>IF(G3="","",G3*0.91)</f>
        <v>14231.399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t="str" r="G4" s="62">
        <f>IFERROR(INDEX(PPLAY1_מקור!$B:$B,MATCH(A4,PPLAY1_מקור!$A:$A,0)),"")</f>
        <v/>
      </c>
      <c t="str" r="H4" s="62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t="str" r="F5" s="61">
        <f>IF(B5&lt;&gt;"",B5,IF(C5&lt;&gt;"",C5,IF(D5&lt;&gt;"",D5,IF(E5&lt;&gt;"",E5,""))))</f>
        <v/>
      </c>
      <c r="G5" s="62">
        <f>IFERROR(INDEX(PPLAY1_מקור!$B:$B,MATCH(A5,PPLAY1_מקור!$A:$A,0)),"")</f>
        <v>57635.1</v>
      </c>
      <c r="H5" s="62">
        <f>IF(G5="","",G5*0.91)</f>
        <v>52447.941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332.2</v>
      </c>
      <c r="H6" s="62">
        <f>IF(G6="","",G6*0.91)</f>
        <v>302.302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r="G7" s="62">
        <f>IFERROR(INDEX(PPLAY1_מקור!$B:$B,MATCH(A7,PPLAY1_מקור!$A:$A,0)),"")</f>
        <v>199.4</v>
      </c>
      <c r="H7" s="62">
        <f>IF(G7="","",G7*0.91)</f>
        <v>181.454</v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t="str" r="G8" s="62">
        <f>IFERROR(INDEX(PPLAY1_מקור!$B:$B,MATCH(A8,PPLAY1_מקור!$A:$A,0)),"")</f>
        <v/>
      </c>
      <c t="str" r="H8" s="62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104</v>
      </c>
      <c r="H9" s="62">
        <f>IF(G9="","",G9*0.91)</f>
        <v>94.64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51660.5</v>
      </c>
      <c r="H10" s="62">
        <f>IF(G10="","",G10*0.91)</f>
        <v>47011.055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5339.1</v>
      </c>
      <c r="H11" s="62">
        <f>IF(G11="","",G11*0.91)</f>
        <v>4858.581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t="str" r="G12" s="62">
        <f>IFERROR(INDEX(PPLAY1_מקור!$B:$B,MATCH(A12,PPLAY1_מקור!$A:$A,0)),"")</f>
        <v/>
      </c>
      <c t="str" r="H12" s="62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8515.7</v>
      </c>
      <c r="H13" s="62">
        <f>IF(G13="","",G13*0.91)</f>
        <v>7749.287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t="str" r="G14" s="62">
        <f>IFERROR(INDEX(PPLAY1_מקור!$B:$B,MATCH(A14,PPLAY1_מקור!$A:$A,0)),"")</f>
        <v/>
      </c>
      <c t="str" r="H14" s="62">
        <f>IF(G14="","",G14*0.91)</f>
        <v/>
      </c>
    </row>
    <row r="15">
      <c r="A15" s="60" t="inlineStr">
        <is>
          <t>זיכויים BE</t>
        </is>
      </c>
      <c r="B15" s="58" t="n"/>
      <c r="C15" s="58" t="n">
        <v>7</v>
      </c>
      <c r="D15" s="58" t="n"/>
      <c r="E15" s="58" t="n"/>
      <c r="F15" s="61">
        <f>IF(B15&lt;&gt;"",B15,IF(C15&lt;&gt;"",C15,IF(D15&lt;&gt;"",D15,IF(E15&lt;&gt;"",E15,""))))</f>
        <v>7</v>
      </c>
      <c r="G15" s="62">
        <f>IFERROR(INDEX(PPLAY1_מקור!$B:$B,MATCH(A15,PPLAY1_מקור!$A:$A,0)),"")</f>
        <v>0</v>
      </c>
      <c r="H15" s="62">
        <f>IF(G15="","",G15*0.91)</f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9796.49</v>
      </c>
    </row>
    <row r="4" ht="14.25" customHeight="1" s="36">
      <c r="A4" s="63" t="inlineStr">
        <is>
          <t>111 - Superpharm Life</t>
        </is>
      </c>
      <c r="B4" s="35" t="n">
        <v>5</v>
      </c>
      <c t="str" r="C4" s="62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2725.87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4292.7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1916.36</v>
      </c>
    </row>
    <row r="8" ht="14.25" customHeight="1" s="36">
      <c r="A8" s="63" t="inlineStr">
        <is>
          <t>107 - Pharmacies</t>
        </is>
      </c>
      <c r="B8" s="35" t="n">
        <v>4</v>
      </c>
      <c t="str" r="C8" s="62">
        <f>IFERROR(INDEX(NetSuite_מקור!$D:$D,MATCH(A8,NetSuite_מקור!$A:$A,0)),"")</f>
        <v/>
      </c>
    </row>
    <row r="9" ht="14.25" customHeight="1" s="36">
      <c r="A9" s="63" t="inlineStr">
        <is>
          <t>106 - Hospitals</t>
        </is>
      </c>
      <c r="B9" s="35" t="n">
        <v>13</v>
      </c>
      <c t="str" r="C9" s="62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t="str" r="C10" s="62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14312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54289.3</v>
      </c>
    </row>
    <row r="13" ht="14.25" customHeight="1" s="36">
      <c r="A13" s="63" t="inlineStr">
        <is>
          <t>115-SuperPharm Online</t>
        </is>
      </c>
      <c r="B13" s="35" t="n">
        <v>12</v>
      </c>
      <c t="str" r="C13" s="62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t="str" r="C14" s="62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t="str" r="C15" s="62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24990.03</v>
      </c>
    </row>
    <row r="17" ht="14.25" customHeight="1" s="36">
      <c r="A17" s="63" t="inlineStr">
        <is>
          <t>202 - Super-Pharm POLAND</t>
        </is>
      </c>
      <c r="B17" s="35" t="n">
        <v>20</v>
      </c>
      <c t="str" r="C17" s="64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t="str" r="C18" s="64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t="str" r="C19" s="64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t="str" r="C20" s="64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t="str" r="C21" s="64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t="str" r="C22" s="64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t="str" r="C23" s="64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t="str" r="C24" s="64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t="str" r="C25" s="64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t="str" r="C26" s="64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t="str" r="C27" s="64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t="str" r="C28" s="64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t="str" r="C29" s="64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t="str" r="C30" s="64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(46153956), "PPlay1 of uriel (Reporter)", נוצר 06/09/2026 09:05:29, תקופה 2026/Sep (המשך MTD ספטמבר). חותמת הזמן אומתה מול תאריך ההכנה שנמסר (06/09/2026) — תואמת במדויק. נשלפו 9 שורות קטגוריה שיש להן נתונים עד כה החודש, מתוך 13 הקטגוריות במקרא גיליון Pplay1 (12 המקוריות + "זיכויים BE" שנוספה כשורה קבועה ב-06/09/2026; 4 הקטגוריות הנותרות — 0מפיצי משנה, גוד פארם מרכז, 0צרכנים פרטיים, 0שונות — אין להן עדיין נתונים החודש; תקין ל-MTD, לא נתון חסר). לעומת 03/09, אותן 7 קטגוריות ותיקות עם עלייה טבעית, פלוס "גוד פארם" (₪199.4) שקיבלה נתונים לראשונה החודש. **"זיכויים BE" הופיעה בדוח הגולמי החודש לראשונה מאז שנקבע הכלל הקבוע (01/09/2026) — לפי הכלל, נוספה כשורה רגילה בגיליון Pplay1 (מיפוי ישיר ל-BE, לקוח #7) ובגיליון זה, עם הערך כפי שמופיע במקור: ₪0.0 (אין השפעה בפועל על הסה"כ החודש, אך המבנה כבר מוכן להמשך).** שורת "Customers" בדוח המקור (₪81,789.7) היא שורת סה"כ-אב ואינה שווה לסכום שורות הקטגוריה — כרגיל, לא יובאה. קטגוריות נוספות הופיעו החודש בדוח הגולמי עם ערך 0 בלבד ולכן לא יובאו (שורות "אפס" אמיתיות, לא רק לא-נמצאות): "0בתי טבע", "0בתי טבע רשתות", "0כללי", "BE" (שורה עצמאית, שונה מ"אילת BE"/"שופרסל BE"), "אילת זיכויי BE" (שורה נפרדת מ"זיכויים BE" — שם דומה אך לא זהה, לתשומת לב אם תקבל ערך בעתיד). מכר נטו = עמודה B × 0.91 (מקדם קבוע, מאושר ב-kirill.md). הערת שקיפות טכנית: LibreOffice עדיין שבור בסביבה — הקובץ הגולמי נקרא ישירות ע"י תיקון ידני של rgb="auto" ב-xl/styles.xml, ללא LibreOffice.</t>
        </is>
      </c>
      <c r="B1" s="59" t="inlineStr">
        <is>
          <t>2026/Aug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15638.9</v>
      </c>
      <c r="C2" s="62">
        <f>B2*0.91</f>
        <v>14231.399</v>
      </c>
      <c r="D2" s="65" t="n"/>
    </row>
    <row r="3" ht="14.25" customHeight="1" s="36">
      <c r="A3" s="61" t="inlineStr">
        <is>
          <t>0פארמים</t>
        </is>
      </c>
      <c r="B3" s="62" t="n">
        <v>57635.1</v>
      </c>
      <c r="C3" s="62">
        <f>B3*0.91</f>
        <v>52447.941</v>
      </c>
      <c r="D3" s="65" t="n"/>
    </row>
    <row r="4" ht="14.25" customHeight="1" s="36">
      <c r="A4" s="61" t="inlineStr">
        <is>
          <t>אילת BE</t>
        </is>
      </c>
      <c r="B4" s="62" t="n">
        <v>332.2</v>
      </c>
      <c r="C4" s="62">
        <f>B4*0.91</f>
        <v>302.302</v>
      </c>
      <c r="D4" s="65" t="n"/>
    </row>
    <row r="5" ht="14.25" customHeight="1" s="36">
      <c r="A5" s="61" t="inlineStr">
        <is>
          <t>הפרכל הפרפארם</t>
        </is>
      </c>
      <c r="B5" s="62" t="n">
        <v>104</v>
      </c>
      <c r="C5" s="62">
        <f>B5*0.91</f>
        <v>94.64</v>
      </c>
      <c r="D5" s="65" t="n"/>
    </row>
    <row r="6" ht="14.25" customHeight="1" s="36">
      <c r="A6" s="61" t="inlineStr">
        <is>
          <t>סופרפארם</t>
        </is>
      </c>
      <c r="B6" s="62" t="n">
        <v>51660.5</v>
      </c>
      <c r="C6" s="62">
        <f>B6*0.91</f>
        <v>47011.055</v>
      </c>
      <c r="D6" s="65" t="n"/>
    </row>
    <row r="7" ht="14.25" customHeight="1" s="36">
      <c r="A7" s="61" t="inlineStr">
        <is>
          <t>שופרסל BE</t>
        </is>
      </c>
      <c r="B7" s="62" t="n">
        <v>5339.1</v>
      </c>
      <c r="C7" s="62">
        <f>B7*0.91</f>
        <v>4858.581</v>
      </c>
      <c r="D7" s="65" t="n"/>
    </row>
    <row r="8" ht="14.25" customHeight="1" s="36">
      <c r="A8" s="61" t="inlineStr">
        <is>
          <t>0קופות חולים</t>
        </is>
      </c>
      <c r="B8" s="62" t="n">
        <v>8515.700000000001</v>
      </c>
      <c r="C8" s="62">
        <f>B8*0.91</f>
        <v>7749.287</v>
      </c>
      <c r="D8" s="65" t="n"/>
    </row>
    <row r="9" ht="14.25" customHeight="1" s="36">
      <c r="A9" s="61" t="inlineStr">
        <is>
          <t>גוד פארם</t>
        </is>
      </c>
      <c r="B9" s="62" t="n">
        <v>199.4</v>
      </c>
      <c r="C9" s="62">
        <f>B9*0.91</f>
        <v>181.454</v>
      </c>
    </row>
    <row r="10" ht="14.25" customHeight="1" s="36">
      <c r="A10" s="61" t="inlineStr">
        <is>
          <t>זיכויים BE</t>
        </is>
      </c>
      <c r="B10" s="62" t="n">
        <v>0</v>
      </c>
      <c r="C10" s="62">
        <f>B10*0.91</f>
        <v>0</v>
      </c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CustomSalesbyCustomerSummary760.xls (c90d513b), Meditex Group IL, Custom Sales by Customer Summary, 01 September 2026 - 30 September 2026, נמסר 06/09/2026. הקובץ הוא SpreadsheetML XML עם סיומת .xls — נפרס ישירות עם xml.etree.ElementTree ללא LibreOffice (שבור בסביבה). נשלפו 7 שורות הסיכום (קטגוריה) שיש להן מכירות עד כה החודש, מתוך 28 הקטגוריות במקרא "ריכוז" (21 הקטגוריות הנותרות אין להן מכירות עדיין החודש — תקין ל-MTD, לא נתון חסר). לעומת 03/09, אותן 7 קטגוריות בדיוק — עלייה טבעית בסכומים המצטברים בכל השורות. לא יובאו שורות פירוט חשבוניות/לקוחות-בת מהדוח הגולמי (373 שורות בקובץ המקור), לפי מוסכמת עבודה. סה"כ שורת "Total" בדוח הגולמי המלא: ₪112,322.75 — תואם בדיוק לסכום 7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9796.49</v>
      </c>
    </row>
    <row r="4" ht="15" customHeight="1" s="36">
      <c r="A4" s="61" t="inlineStr">
        <is>
          <t>103 - Physiotherapy institutes</t>
        </is>
      </c>
      <c r="D4" s="64" t="n">
        <v>2725.87</v>
      </c>
    </row>
    <row r="5" ht="15" customHeight="1" s="36">
      <c r="A5" s="61" t="inlineStr">
        <is>
          <t>109 - Private Shops</t>
        </is>
      </c>
      <c r="D5" s="64" t="n">
        <v>4292.7</v>
      </c>
    </row>
    <row r="6" ht="15" customHeight="1" s="36">
      <c r="A6" s="61" t="inlineStr">
        <is>
          <t>101 - Factory customers</t>
        </is>
      </c>
      <c r="D6" s="64" t="n">
        <v>1916.36</v>
      </c>
    </row>
    <row r="7" ht="15" customHeight="1" s="36">
      <c r="A7" s="61" t="inlineStr">
        <is>
          <t>112 - Kupat Holim Clalit</t>
        </is>
      </c>
      <c r="D7" s="64" t="n">
        <v>14312</v>
      </c>
    </row>
    <row r="8" ht="15" customHeight="1" s="36">
      <c r="A8" s="61" t="inlineStr">
        <is>
          <t>114 - IL online</t>
        </is>
      </c>
      <c r="D8" s="64" t="n">
        <v>54289.3</v>
      </c>
    </row>
    <row r="9" ht="15" customHeight="1" s="36">
      <c r="A9" s="61" t="inlineStr">
        <is>
          <t>209 - Ortoprofil Prod ROMANIA</t>
        </is>
      </c>
      <c r="D9" s="64" t="n">
        <v>24990.03</v>
      </c>
    </row>
    <row r="10" ht="14.25" customHeight="1" s="36">
      <c r="A10" s="61" t="n"/>
      <c r="D10" s="64" t="n"/>
    </row>
    <row r="11" ht="14.25" customHeight="1" s="36">
      <c r="A11" s="61" t="n"/>
      <c r="D11" s="64" t="n"/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1-5 September 2026" (יום לפני יום ההכנה 06/09 — תקין, כרגיל), נמסר 06/09/2026.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-0.6% מול תקופה קודמת, Orders/Units 365/373, Refunds 43, Est. payout $4,354.45, Gross profit $2,007.12, Net profit $2,007.12 (+8.2%)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12119.52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-1089.89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2026-09-06T06:10:35Z</dcterms:modified>
  <cp:lastModifiedBy>Eyal Sadot</cp:lastModifiedBy>
  <cp:revision>0</cp:revision>
</cp:coreProperties>
</file>