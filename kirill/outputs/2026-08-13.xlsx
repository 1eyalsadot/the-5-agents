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<sst xmlns="http://schemas.openxmlformats.org/spreadsheetml/2006/main" count="127" uniqueCount="100">
  <si>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</si>
  <si>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</si>
  <si>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</si>
  <si>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</si>
  <si>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</si>
  <si>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</si>
  <si>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</si>
  <si>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</si>
  <si>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</si>
  <si>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</si>
  <si>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</si>
  <si>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</si>
  <si>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</si>
  <si>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</si>
  <si>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</si>
  <si>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</si>
  <si>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</si>
  <si>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</si>
  <si>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</si>
  <si>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</si>
  <si>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</si>
  <si>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</si>
  <si>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</si>
  <si>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</si>
  <si>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</si>
  <si>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</si>
  <si>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</si>
  <si>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</si>
  <si>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</si>
  <si>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</si>
  <si>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</si>
  <si>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</si>
  <si>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</si>
  <si>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</si>
  <si>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</si>
  <si>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</si>
  <si>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</si>
  <si>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</si>
  <si>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</si>
  <si>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</si>
  <si>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</si>
  <si>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</si>
  <si>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</si>
  <si>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</si>
  <si>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</si>
  <si>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</si>
  <si>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</si>
  <si>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</si>
  <si>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</si>
  <si>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</si>
  <si>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</si>
  <si>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</si>
  <si>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</si>
  <si>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</si>
  <si>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</si>
  <si>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</si>
  <si>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</si>
  <si>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</si>
  <si>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</si>
  <si>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</si>
  <si>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</si>
  <si>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</si>
  <si>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</si>
  <si>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</si>
  <si>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</si>
  <si>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</si>
  <si>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</si>
  <si>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</si>
  <si>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</si>
  <si>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</si>
  <si>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</si>
  <si>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</si>
  <si>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</si>
  <si>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</si>
  <si>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</si>
  <si>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</si>
  <si>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</si>
  <si>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</si>
  <si>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</si>
  <si>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</si>
  <si>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</si>
  <si>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</si>
  <si>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</si>
  <si>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</si>
  <si>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</si>
  <si>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</si>
  <si>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</si>
  <si>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</si>
  <si>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תיאור</t>
  </si>
  <si>
    <t xml:space="preserve">2026/Aug (סכום גולמי, MTD)</t>
  </si>
  <si>
    <t xml:space="preserve">הערה</t>
  </si>
  <si>
    <t xml:space="preserve">Source: PPlay1.xlsx (54c5ec42), "PPlay1 of uriel (Reporter)", נוצר 13/08/2026 10:06:43, תקופה 2026/Aug, Month-to-Date. גרסה זו היא הקובץ המתוקן: קובץ ראשוני שנשלח (e313ddd6) הציג בטעות תקופה "2026 Q 3" (סיכום רבעוני מצטבר יולי+אוגוסט) — זוהה כאנומליה, הוחזר לראובן, והתקבל קובץ מתוקן עם "2026/Aug" תואם למוסכמה של כל הדוחות הקודמים. נשלפו 9 שורות קטגוריה שיש להן נתונים עד כה החודש, מתוך 12 הקטגוריות במקרא גיליון Pplay1 (3 הקטגוריות הנותרות — גוד פארם מרכז, 0צרכנים פרטיים, 0שונות — אין להן עדיין נתונים החודש; תקין ל-MTD, לא נתון חסר). שורת "Customers" בדוח המקור (₪314,113.5) היא שורת סה"כ-אב ואינה שווה לסכום שורות הקטגוריה (₪542,071.7) — כפי שהיה גם בדוחות הקודמים (למשל 11/08), זו שורת מטה-דוח שאינה תואמת אף ערך במקרא ולכן לא יובאה, בהתאם למוסכמת עבודה. שורה נוספת בדוח המקור, "זיכויים BE" (₪-65.6), שוב אינה תואמת אף ערך במקרא הקבוע (12 הקטגוריות) — כמו ב-11/08,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</si>
  <si>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Source: report.xls (efbc5a4e), Meditex Group IL, Custom Sales by Customer Summary, 01 August 2026 - 31 August 2026, Month-to-Date.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(864 שורות בקובץ המקור), לפי מוסכמת עבודה. סה"כ שורת "Total" בדוח הגולמי המלא: 731,824.54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</si>
  <si>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</si>
  <si>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</si>
  <si>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Amazon Seller Central (Sales / Refund cost), "Month to date, 1-12 August 2026", נמסר 13/08/2026. אין קובץ מקור — נתון ידני מתועד. נתונים נוספים בצילום (לא בשימוש בנוסחה): Sales +6.4% מול תקופה קודמת, Orders/Units 953/964, Refunds 84, Est. payout $10,538.82, Gross profit $5,185.55, Net profit $5,185.55 (+53.0%).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</si>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</sst>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46247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173777.331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33610.941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47436.304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102284.3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36735.517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30856.48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2038.73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5352.24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732882.343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126255.26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859675.133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81051.81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239104.38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1098779.513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45638.5</v>
      </c>
      <c r="H3" s="27" t="n">
        <f aca="false">IF(G3="","",G3*0.91)</f>
        <v>41531.035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214</v>
      </c>
      <c r="H4" s="27" t="n">
        <f aca="false">IF(G4="","",G4*0.91)</f>
        <v>194.74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227892.4</v>
      </c>
      <c r="H5" s="27" t="n">
        <f aca="false">IF(G5="","",G5*0.91)</f>
        <v>207382.084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1091.2</v>
      </c>
      <c r="H6" s="27" t="n">
        <f aca="false">IF(G6="","",G6*0.91)</f>
        <v>992.992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176</v>
      </c>
      <c r="H9" s="27" t="n">
        <f aca="false">IF(G9="","",G9*0.91)</f>
        <v>160.16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190964.1</v>
      </c>
      <c r="H10" s="27" t="n">
        <f aca="false">IF(G10="","",G10*0.91)</f>
        <v>173777.331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35667.9</v>
      </c>
      <c r="H11" s="27" t="n">
        <f aca="false">IF(G11="","",G11*0.91)</f>
        <v>32457.789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40368.7</v>
      </c>
      <c r="H13" s="27" t="n">
        <f aca="false">IF(G13="","",G13*0.91)</f>
        <v>36735.517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30856.48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5352.24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2038.73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5656.93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102284.3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126255.26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45638.5</v>
      </c>
      <c r="C2" s="27" t="n">
        <f aca="false">B2*0.91</f>
        <v>41531.035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214</v>
      </c>
      <c r="C3" s="27" t="n">
        <f aca="false">B3*0.91</f>
        <v>194.74</v>
      </c>
    </row>
    <row r="4" customFormat="false" ht="14.25" hidden="false" customHeight="true" outlineLevel="0" collapsed="false">
      <c r="A4" s="26" t="s">
        <v>50</v>
      </c>
      <c r="B4" s="27" t="n">
        <v>227892.4</v>
      </c>
      <c r="C4" s="27" t="n">
        <f aca="false">B4*0.91</f>
        <v>207382.084</v>
      </c>
    </row>
    <row r="5" customFormat="false" ht="14.25" hidden="false" customHeight="true" outlineLevel="0" collapsed="false">
      <c r="A5" s="26" t="s">
        <v>51</v>
      </c>
      <c r="B5" s="27" t="n">
        <v>1091.2</v>
      </c>
      <c r="C5" s="27" t="n">
        <f aca="false">B5*0.91</f>
        <v>992.992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54</v>
      </c>
      <c r="B7" s="27" t="n">
        <v>176</v>
      </c>
      <c r="C7" s="27" t="n">
        <f aca="false">B7*0.91</f>
        <v>160.16</v>
      </c>
    </row>
    <row r="8" customFormat="false" ht="14.25" hidden="false" customHeight="true" outlineLevel="0" collapsed="false">
      <c r="A8" s="26" t="s">
        <v>3</v>
      </c>
      <c r="B8" s="27" t="n">
        <v>190964.1</v>
      </c>
      <c r="C8" s="27" t="n">
        <f aca="false">B8*0.91</f>
        <v>173777.331</v>
      </c>
    </row>
    <row r="9" customFormat="false" ht="14.25" hidden="false" customHeight="true" outlineLevel="0" collapsed="false">
      <c r="A9" s="26" t="s">
        <v>55</v>
      </c>
      <c r="B9" s="27" t="n">
        <v>35667.9</v>
      </c>
      <c r="C9" s="27" t="n">
        <f aca="false">B9*0.91</f>
        <v>32457.789</v>
      </c>
    </row>
    <row r="10" customFormat="false" ht="14.25" hidden="false" customHeight="false" outlineLevel="0" collapsed="false">
      <c r="A10" s="31" t="s">
        <v>57</v>
      </c>
      <c r="B10" s="32" t="n">
        <v>40368.7</v>
      </c>
      <c r="C10" s="32" t="n">
        <f aca="false">B10*0.91</f>
        <v>36735.517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30856.48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5352.24</v>
      </c>
    </row>
    <row r="6" customFormat="false" ht="15" hidden="false" customHeight="true" outlineLevel="0" collapsed="false">
      <c r="A6" s="26" t="s">
        <v>65</v>
      </c>
      <c r="D6" s="29" t="n">
        <v>2038.73</v>
      </c>
    </row>
    <row r="7" customFormat="false" ht="15" hidden="false" customHeight="true" outlineLevel="0" collapsed="false">
      <c r="A7" s="26" t="s">
        <v>66</v>
      </c>
      <c r="D7" s="29" t="n">
        <v>5656.93</v>
      </c>
    </row>
    <row r="8" customFormat="false" ht="15" hidden="false" customHeight="true" outlineLevel="0" collapsed="false">
      <c r="A8" s="26" t="s">
        <v>69</v>
      </c>
      <c r="D8" s="29" t="n">
        <v>102284.3</v>
      </c>
    </row>
    <row r="9" customFormat="false" ht="15" hidden="false" customHeight="true" outlineLevel="0" collapsed="false">
      <c r="A9" s="26" t="s">
        <v>70</v>
      </c>
      <c r="D9" s="29" t="n">
        <v>126255.26</v>
      </c>
    </row>
    <row r="10" customFormat="false" ht="14.25" hidden="false" customHeight="true" outlineLevel="0" collapsed="false">
      <c r="A10" s="26" t="s">
        <v>71</v>
      </c>
      <c r="D10" s="29" t="n">
        <v>537.53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3" t="s">
        <v>76</v>
      </c>
      <c r="B12" s="34"/>
      <c r="C12" s="34"/>
      <c r="D12" s="35" t="n">
        <v>25951</v>
      </c>
      <c r="E12" s="36"/>
    </row>
    <row r="13" customFormat="false" ht="14.25" hidden="false" customHeight="true" outlineLevel="0" collapsed="false">
      <c r="A13" s="33" t="s">
        <v>64</v>
      </c>
      <c r="B13" s="34"/>
      <c r="C13" s="34"/>
      <c r="D13" s="35" t="n">
        <v>1368.95</v>
      </c>
      <c r="E13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88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29476.75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-2459.48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2026-08-13T07:12:59Z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