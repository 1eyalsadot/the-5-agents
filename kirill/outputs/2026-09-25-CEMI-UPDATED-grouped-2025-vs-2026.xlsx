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0.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Group Mapping" sheetId="2" state="visible" r:id="rId4"/>
    <sheet name="Catalog" sheetId="3" state="visible" r:id="rId5"/>
    <sheet name="בתי מרקחת" sheetId="4" state="visible" r:id="rId6"/>
    <sheet name="בתי מרקחת Raw" sheetId="5" state="visible" r:id="rId7"/>
    <sheet name="BE" sheetId="6" state="visible" r:id="rId8"/>
    <sheet name="BE Raw" sheetId="7" state="visible" r:id="rId9"/>
    <sheet name="סופר פארם" sheetId="8" state="visible" r:id="rId10"/>
    <sheet name="סופר פארם Raw" sheetId="9" state="visible" r:id="rId11"/>
    <sheet name="מאוחדת" sheetId="10" state="visible" r:id="rId12"/>
    <sheet name="מאוחדת Raw" sheetId="11" state="visible" r:id="rId13"/>
    <sheet name="מכבי" sheetId="12" state="visible" r:id="rId14"/>
    <sheet name="מכבי Raw" sheetId="13" state="visible" r:id="rId1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SYNCED 25/09/2026 from kirill/outputs/2026-09-19-CEMI-grouped-2025-vs-2026.xlsx: "</t>
        </r>
        <r>
          <rPr>
            <sz val="10"/>
            <rFont val="FreeSans"/>
            <family val="2"/>
          </rPr>
          <t xml:space="preserve">בתי מרקחת</t>
        </r>
        <r>
          <rPr>
            <sz val="10"/>
            <rFont val="Arial"/>
            <family val="2"/>
          </rPr>
          <t xml:space="preserve">" here now = the same CEMI+SALES combined build (group #4 + SALES Sale Type "107 - Pharmacies"), matched via TRANS + 3 manual override rules (397/397A "</t>
        </r>
        <r>
          <rPr>
            <sz val="10"/>
            <rFont val="FreeSans"/>
            <family val="2"/>
          </rPr>
          <t xml:space="preserve">אנטי", </t>
        </r>
        <r>
          <rPr>
            <sz val="10"/>
            <rFont val="Arial"/>
            <family val="2"/>
          </rPr>
          <t xml:space="preserve">363 "בננה", 394 B/W/G color family incl. 394G via the fuller Catalog), with "67 0" kept as its own product row (no CHEMIPAL Code exists for it). Previously this sheet was CEMI-only (100% Catalog-matched, no SALES). BE / </t>
        </r>
        <r>
          <rPr>
            <sz val="10"/>
            <rFont val="FreeSans"/>
            <family val="2"/>
          </rPr>
          <t xml:space="preserve">סופר פארם / מאוחדת / מכבי </t>
        </r>
        <r>
          <rPr>
            <sz val="10"/>
            <rFont val="Arial"/>
            <family val="2"/>
          </rPr>
          <t xml:space="preserve">in this file are unaffected - unchanged.</t>
        </r>
      </text>
    </comment>
    <comment ref="A9" authorId="0">
      <text>
        <r>
          <rPr>
            <sz val="10"/>
            <rFont val="Arial"/>
            <family val="2"/>
          </rPr>
          <t xml:space="preserve">25/09/2026: "</t>
        </r>
        <r>
          <rPr>
            <sz val="10"/>
            <rFont val="FreeSans"/>
            <family val="2"/>
          </rPr>
          <t xml:space="preserve">מאוחדת</t>
        </r>
        <r>
          <rPr>
            <sz val="10"/>
            <rFont val="Arial"/>
            <family val="2"/>
          </rPr>
          <t xml:space="preserve">" here is copied unchanged from kirill/outputs/2026-09-19-CEMI-grouped-2025-vs-2026.xlsx - already the CEMI+SALES combined build (see that sheet's own comment/note for full detail). Its 217 CHEMIPAL Codes (TRANS + 4 manual overrides) were cross-checked against this file's Catalog (from "</t>
        </r>
        <r>
          <rPr>
            <sz val="10"/>
            <rFont val="FreeSans"/>
            <family val="2"/>
          </rPr>
          <t xml:space="preserve">חנה_</t>
        </r>
        <r>
          <rPr>
            <sz val="10"/>
            <rFont val="Arial"/>
            <family val="2"/>
          </rPr>
          <t xml:space="preserve">1"): all 217 found, no discrepancies - an independent corroboration of the TRANS-based matching.</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G8" authorId="0">
      <text>
        <r>
          <rPr>
            <sz val="10"/>
            <rFont val="Arial"/>
            <family val="2"/>
          </rPr>
          <t xml:space="preserve">If the 2025 base is 0 and the 2026-annualized value is &gt; 0, shows "New". If both are 0, shows 0%.</t>
        </r>
      </text>
    </comment>
    <comment ref="J4" authorId="0">
      <text>
        <r>
          <rPr>
            <sz val="10"/>
            <rFont val="Arial"/>
            <family val="2"/>
          </rPr>
          <t xml:space="preserve">Hardcoded input: number of months in a full year.</t>
        </r>
      </text>
    </comment>
    <comment ref="L4" authorId="0">
      <text>
        <r>
          <rPr>
            <sz val="10"/>
            <rFont val="Arial"/>
            <family val="2"/>
          </rPr>
          <t xml:space="preserve">Hardcoded input: how many months of 2026 the "actual" figures cover, per the user (1/1 to 15/9 2026 ≈ 9.5 months).</t>
        </r>
      </text>
    </comment>
    <comment ref="L8" authorId="0">
      <text>
        <r>
          <rPr>
            <sz val="10"/>
            <rFont val="Arial"/>
            <family val="2"/>
          </rPr>
          <t xml:space="preserve">If the 2025 base is 0 and the 2026-annualized value is &gt; 0, shows "New". If both are 0, shows 0%.</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G8" authorId="0">
      <text>
        <r>
          <rPr>
            <sz val="10"/>
            <rFont val="Arial"/>
            <family val="2"/>
          </rPr>
          <t xml:space="preserve">If the 2025 base is 0 and the 2026-annualized value is &gt; 0, shows "New". If both are 0, shows 0%.</t>
        </r>
      </text>
    </comment>
    <comment ref="J4" authorId="0">
      <text>
        <r>
          <rPr>
            <sz val="10"/>
            <rFont val="Arial"/>
            <family val="2"/>
          </rPr>
          <t xml:space="preserve">Hardcoded input: number of months in a full year.</t>
        </r>
      </text>
    </comment>
    <comment ref="L4" authorId="0">
      <text>
        <r>
          <rPr>
            <sz val="10"/>
            <rFont val="Arial"/>
            <family val="2"/>
          </rPr>
          <t xml:space="preserve">Hardcoded input: how many months of 2026 the "actual" figures cover, per the user (1/1 to 15/9 2026 ≈ 9.5 months).</t>
        </r>
      </text>
    </comment>
    <comment ref="L8" authorId="0">
      <text>
        <r>
          <rPr>
            <sz val="10"/>
            <rFont val="Arial"/>
            <family val="2"/>
          </rPr>
          <t xml:space="preserve">If the 2025 base is 0 and the 2026-annualized value is &gt; 0, shows "New". If both are 0, shows 0%.</t>
        </r>
      </text>
    </comment>
  </commentList>
</comments>
</file>

<file path=xl/sharedStrings.xml><?xml version="1.0" encoding="utf-8"?>
<sst xmlns="http://schemas.openxmlformats.org/spreadsheetml/2006/main" count="7811" uniqueCount="1370">
  <si>
    <t xml:space="preserve">CEMI UPDATED — Sales Comparison 2025 vs 2026 - by Daily-Report Group - with real CHEMIPAL Code (Annualized + DROP/NEW)</t>
  </si>
  <si>
    <t xml:space="preserve">Calculation date:</t>
  </si>
  <si>
    <t xml:space="preserve">Builds on kirill/outputs/2026-09-19-CEMI-grouped-2025-vs-2026.xlsx (NOT modified - this is a new, separate file). Every group sheet below now carries a REAL CHEMIPAL Code (matched via the "Catalog" sheet, sourced from the uploaded "חנה_1" PPLAY1 export's columns A/B - a global מק"ט&lt;-&gt;item-name catalog, verified against TRANS: e.g. code 4420016 = "40-רצועת פיקה לברך") instead of the old "first token of item name" Product Code. Match rate: 100% by quantity and amount for בתי מרקחת / BE / סופר פארם / מכבי (every raw item name found in the Catalog). 0פארמים is intentionally NOT included in this file (per 25/09/2026 instruction). "מאוחדת" is unchanged from the CEMI file - the CEMI+SALES combined build (see that sheet's own note/comment) - its CHEMIPAL Code already comes from the TRANS crosswalk + 4 manual overrides; cross-checked against this file's Catalog: all 217 matched codes used in מאוחדת are also present in the Catalog, with no discrepancies. "מכבי" (group #20, "ק.חולים מכבי") is NEW - same underlying data as kirill/outputs/2026-09-24-grouped-2025-vs-2026-with-maccabi.xlsx (verified identical: 3 items, 666 ₪ total, 2026-only), but annualized here with the 12/9.5 factor for consistency with the rest of this file (not the 12/8.75 factor used in that other workbook).</t>
  </si>
  <si>
    <t xml:space="preserve">Group</t>
  </si>
  <si>
    <t xml:space="preserve">Sheet</t>
  </si>
  <si>
    <t xml:space="preserve"># Raw categories</t>
  </si>
  <si>
    <t xml:space="preserve"># Codes</t>
  </si>
  <si>
    <t xml:space="preserve"># Codes 25</t>
  </si>
  <si>
    <t xml:space="preserve"># Codes 26</t>
  </si>
  <si>
    <t xml:space="preserve"># DROP</t>
  </si>
  <si>
    <t xml:space="preserve"># NEW</t>
  </si>
  <si>
    <t xml:space="preserve">Total Units Drop 25</t>
  </si>
  <si>
    <t xml:space="preserve">Total Amount Drop 25</t>
  </si>
  <si>
    <t xml:space="preserve">NEW — Quantity 2026</t>
  </si>
  <si>
    <t xml:space="preserve">NEW — Amount 2026 (₪)</t>
  </si>
  <si>
    <t xml:space="preserve">NEW — Quantity 2026 Annualized</t>
  </si>
  <si>
    <t xml:space="preserve">NEW — Amount 2026 Annualized (₪)</t>
  </si>
  <si>
    <t xml:space="preserve">Quantity 2025</t>
  </si>
  <si>
    <t xml:space="preserve">Quantity 2026 (Actual)</t>
  </si>
  <si>
    <t xml:space="preserve">Quantity 2026 Annualized</t>
  </si>
  <si>
    <t xml:space="preserve">Qty Change % (vs Annualized)</t>
  </si>
  <si>
    <t xml:space="preserve">Amount 2025 (₪)</t>
  </si>
  <si>
    <t xml:space="preserve">Amount 2026 (Actual) (₪)</t>
  </si>
  <si>
    <t xml:space="preserve">Amount 2026 (Annualized) (₪)</t>
  </si>
  <si>
    <t xml:space="preserve">Amount Change % (vs Annualized)</t>
  </si>
  <si>
    <t xml:space="preserve">בתי מרקחת</t>
  </si>
  <si>
    <t xml:space="preserve">BE</t>
  </si>
  <si>
    <t xml:space="preserve">סופר פארם</t>
  </si>
  <si>
    <t xml:space="preserve">מאוחדת</t>
  </si>
  <si>
    <t xml:space="preserve">מכבי</t>
  </si>
  <si>
    <t xml:space="preserve">Category -&gt; Group mapping (CEMI UPDATED, 25/09/2026)</t>
  </si>
  <si>
    <t xml:space="preserve">Raw category (PPLAY1 column)</t>
  </si>
  <si>
    <t xml:space="preserve">Group #</t>
  </si>
  <si>
    <t xml:space="preserve">Group name</t>
  </si>
  <si>
    <t xml:space="preserve">Source of mapping</t>
  </si>
  <si>
    <t xml:space="preserve">0בתי טבע</t>
  </si>
  <si>
    <t xml:space="preserve">4</t>
  </si>
  <si>
    <t xml:space="preserve">Confirmed by user 19/09/2026 (same as CEMI file)</t>
  </si>
  <si>
    <t xml:space="preserve">0בתי טבע רשתות</t>
  </si>
  <si>
    <t xml:space="preserve">0בתי מרקחת</t>
  </si>
  <si>
    <t xml:space="preserve">Daily report Pplay1 legend</t>
  </si>
  <si>
    <t xml:space="preserve">0כללי</t>
  </si>
  <si>
    <t xml:space="preserve">0מפיצי משנה</t>
  </si>
  <si>
    <t xml:space="preserve">0צרכנים פרטיים</t>
  </si>
  <si>
    <t xml:space="preserve">0שונות</t>
  </si>
  <si>
    <t xml:space="preserve">גוד פארם</t>
  </si>
  <si>
    <t xml:space="preserve">גוד פארם מרכז</t>
  </si>
  <si>
    <t xml:space="preserve">7</t>
  </si>
  <si>
    <t xml:space="preserve">אילת BE</t>
  </si>
  <si>
    <t xml:space="preserve">אילת זיכויי BE</t>
  </si>
  <si>
    <t xml:space="preserve">הפרכל הפרפארם</t>
  </si>
  <si>
    <t xml:space="preserve">זיכויים BE</t>
  </si>
  <si>
    <t xml:space="preserve">שופרסל BE</t>
  </si>
  <si>
    <t xml:space="preserve">סופרפארם</t>
  </si>
  <si>
    <t xml:space="preserve">1</t>
  </si>
  <si>
    <t xml:space="preserve">0קופות חולים (CEMI/PPLAY1)</t>
  </si>
  <si>
    <t xml:space="preserve">8</t>
  </si>
  <si>
    <t xml:space="preserve">CEMI side of the combined build - see מאוחדת sheet note</t>
  </si>
  <si>
    <t xml:space="preserve">113 - Kupat Holim Meuhedet (SALES/NetSuite)</t>
  </si>
  <si>
    <t xml:space="preserve">SALES side of the combined build - see מאוחדת sheet note</t>
  </si>
  <si>
    <t xml:space="preserve">ק.חולים מכבי</t>
  </si>
  <si>
    <t xml:space="preserve">20</t>
  </si>
  <si>
    <t xml:space="preserve">New group, "חנה_1" export column, confirmed by user 24/09/2026</t>
  </si>
  <si>
    <t xml:space="preserve">0פארמים</t>
  </si>
  <si>
    <t xml:space="preserve">(excluded)</t>
  </si>
  <si>
    <t xml:space="preserve">(not included in this file)</t>
  </si>
  <si>
    <t xml:space="preserve">Per user instruction 25/09/2026 - not needed in CEMI UPDATED</t>
  </si>
  <si>
    <t xml:space="preserve">CHEMIPAL Code methodology (new in this file, 25/09/2026): every group sheet now carries a real CHEMIPAL Code (see "Catalog" sheet - global מק"ט&lt;-&gt;item-name table from the uploaded "חנה_1" export) instead of the old first-token-of-name Product Code. Match rate against the Catalog: 100% for בתי מרקחת / BE / סופר פארם / מכבי. "מאוחדת" keeps its own TRANS-based CHEMIPAL Code (cross-checked against this file's Catalog: 100% consistent, 0 discrepancies).</t>
  </si>
  <si>
    <t xml:space="preserve">Catalog — global מק"ט (CHEMIPAL Code) &lt;-&gt; Item Name, source: PPLAY1 "חנה_1" export (23/09/2026 17:01, uploaded 25/09/2026)</t>
  </si>
  <si>
    <t xml:space="preserve">Column A ("מק"ט") is a real numeric CHEMIPAL Code per item - NOT customer/group dependent (same catalog covers every group in this file). Verified against TRANS (kirill/outputs/2026-09-24-meuhedet-comparison-v2.xlsx): e.g. code 4420016 = "40-רצועת פיקה לברך", exact match. Column C is a whitespace-normalized helper column used as a fallback match key by every "&lt;Group&gt; Raw" sheet in this file (exact match first, then normalized).</t>
  </si>
  <si>
    <t xml:space="preserve">CHEMIPAL Code</t>
  </si>
  <si>
    <t xml:space="preserve">Item Name</t>
  </si>
  <si>
    <t xml:space="preserve">Item Name (normalized)</t>
  </si>
  <si>
    <t xml:space="preserve">BE CARE  תחבושת אלסטית 10ס""מ</t>
  </si>
  <si>
    <t xml:space="preserve">BE CARE  תחבושת אלסטית 5 ס""מ</t>
  </si>
  <si>
    <t xml:space="preserve">BE CARE  תחבושת אלסטית 7.5סמ</t>
  </si>
  <si>
    <t xml:space="preserve">BE CARE CB BEIGE</t>
  </si>
  <si>
    <t xml:space="preserve">BE CARE CB BLACK</t>
  </si>
  <si>
    <t xml:space="preserve">BE CARE CB GREEN</t>
  </si>
  <si>
    <t xml:space="preserve">BE CARE CB PINK</t>
  </si>
  <si>
    <t xml:space="preserve">BE CARE KT BEIGE</t>
  </si>
  <si>
    <t xml:space="preserve">BE CARE KT BLACK</t>
  </si>
  <si>
    <t xml:space="preserve">BE CARE KT BLUE</t>
  </si>
  <si>
    <t xml:space="preserve">BE CARE KT PINK</t>
  </si>
  <si>
    <t xml:space="preserve">40-רצועת פיקה לברך</t>
  </si>
  <si>
    <t xml:space="preserve">4022 רצועת ""פיקה""+כרית</t>
  </si>
  <si>
    <t xml:space="preserve">41  XL.מ.ברך מוצלב+ספירלות בצד</t>
  </si>
  <si>
    <t xml:space="preserve">41 Lמ.ברך מוצלב+ספירלות בצדדים</t>
  </si>
  <si>
    <t xml:space="preserve">41 Mמ.ברך מוצלב+ספירלות בצדדים</t>
  </si>
  <si>
    <t xml:space="preserve">41 Sמ.ברך מוצלב+ספירלות בצדדים</t>
  </si>
  <si>
    <t xml:space="preserve">41 XS מ.ברך מוצלב+מוטות</t>
  </si>
  <si>
    <t xml:space="preserve">41 XXL.מ.ברך מוצלב+ספירלות בצד</t>
  </si>
  <si>
    <t xml:space="preserve">41X L מגן ברך מוצלב+מוט</t>
  </si>
  <si>
    <t xml:space="preserve">41X M מגן ברך מוצלב+מוט</t>
  </si>
  <si>
    <t xml:space="preserve">41X S מגן ברך מוצלב+מוט</t>
  </si>
  <si>
    <t xml:space="preserve">41X XL מגן ברך מוצלב+מוט</t>
  </si>
  <si>
    <t xml:space="preserve">41X XS מגן ברך מוצלב+מוט</t>
  </si>
  <si>
    <t xml:space="preserve">41X XXL מגן ברך מוצלב+מוט</t>
  </si>
  <si>
    <t xml:space="preserve">422 Lמ.ברך+כרית סיל.סביב לפיקה</t>
  </si>
  <si>
    <t xml:space="preserve">422 Mמ.ברך+כרית סיל.סביב לפיקה</t>
  </si>
  <si>
    <t xml:space="preserve">422 Sמ.ברך+כרית סיל.סביב לפיקה</t>
  </si>
  <si>
    <t xml:space="preserve">422 XLמ.ברך+כרית סיל.סביב לפיק</t>
  </si>
  <si>
    <t xml:space="preserve">422 XXLמ.ברך+כרית סיל.סב. פיקה</t>
  </si>
  <si>
    <t xml:space="preserve">422+ L מ.ברך סיליק.רצועות לבן</t>
  </si>
  <si>
    <t xml:space="preserve">422+ Mמ.ברך סיל.רצועות חזק לבן</t>
  </si>
  <si>
    <t xml:space="preserve">422+ XLמ.ברך סיליק.לבן</t>
  </si>
  <si>
    <t xml:space="preserve">422+ XXLמ.ברך סיל.רצוע.חזק לבן</t>
  </si>
  <si>
    <t xml:space="preserve">422E L מגן ברך ארוך עם כרית</t>
  </si>
  <si>
    <t xml:space="preserve">422E M מגן ברך ארוך עם כרית</t>
  </si>
  <si>
    <t xml:space="preserve">422E S מגן ברך ארוך עם כרית</t>
  </si>
  <si>
    <t xml:space="preserve">422E XL מגן ברך ארוך עם כרית</t>
  </si>
  <si>
    <t xml:space="preserve">422E XXL מגן ברך ארוך עם כרית</t>
  </si>
  <si>
    <t xml:space="preserve">422E XXXL מגן ברך ארוך עם כרית</t>
  </si>
  <si>
    <t xml:space="preserve">422N L מ.ברך אפור+כרית סיליקון</t>
  </si>
  <si>
    <t xml:space="preserve">422N M מ.ברך אפור+כרית סיליקון</t>
  </si>
  <si>
    <t xml:space="preserve">422N XLמ.ברך אפור+כרית סיליקון</t>
  </si>
  <si>
    <t xml:space="preserve">422N XXL.מ.ברך אפור+כרית סיליק</t>
  </si>
  <si>
    <t xml:space="preserve">44G XL-Lסד ברך לאחר ניתוח</t>
  </si>
  <si>
    <t xml:space="preserve">45  XS מגן ברך רגיל לבן</t>
  </si>
  <si>
    <t xml:space="preserve">45 L מגן ברך לבן</t>
  </si>
  <si>
    <t xml:space="preserve">45 M מגן ברך לבן</t>
  </si>
  <si>
    <t xml:space="preserve">45 S מגן ברך לבן</t>
  </si>
  <si>
    <t xml:space="preserve">45 XL מגן ברך לבן</t>
  </si>
  <si>
    <t xml:space="preserve">45 XXL מגן ברך לבן</t>
  </si>
  <si>
    <t xml:space="preserve">45B L מגן ברך שחור</t>
  </si>
  <si>
    <t xml:space="preserve">45B M מגן ברך שחור</t>
  </si>
  <si>
    <t xml:space="preserve">45B S מגן ברך שחור</t>
  </si>
  <si>
    <t xml:space="preserve">45B XL מגן ברך שחור</t>
  </si>
  <si>
    <t xml:space="preserve">45B XXLמגן ברך שחור</t>
  </si>
  <si>
    <t xml:space="preserve">45C L מגן ברך חום</t>
  </si>
  <si>
    <t xml:space="preserve">45C M מגן ברך חום</t>
  </si>
  <si>
    <t xml:space="preserve">45C S מגן ברך חום</t>
  </si>
  <si>
    <t xml:space="preserve">45C XL מגן ברך חום</t>
  </si>
  <si>
    <t xml:space="preserve">45E  L        מגן ברך ארוך לבן</t>
  </si>
  <si>
    <t xml:space="preserve">45E Mמגן ברך ארוך לבן</t>
  </si>
  <si>
    <t xml:space="preserve">45E Sמגן ברך ארוך לבן</t>
  </si>
  <si>
    <t xml:space="preserve">45E XLמגן ברך ארוך לבן</t>
  </si>
  <si>
    <t xml:space="preserve">45E XXLמגן ברך ארוך לבן</t>
  </si>
  <si>
    <t xml:space="preserve">45EC L 'מגן ברך ארוך בז</t>
  </si>
  <si>
    <t xml:space="preserve">45EC M 'מגן ברך ארוך בז</t>
  </si>
  <si>
    <t xml:space="preserve">45EC S 'מגן ברך ארוך בז</t>
  </si>
  <si>
    <t xml:space="preserve">45EC XL'מגן ברך ארוך בז</t>
  </si>
  <si>
    <t xml:space="preserve">45EC XXL'מגן ברך ארוך בז</t>
  </si>
  <si>
    <t xml:space="preserve">48 L מגן ברך מחמם</t>
  </si>
  <si>
    <t xml:space="preserve">48 M מגן ברך מחמם</t>
  </si>
  <si>
    <t xml:space="preserve">48 S מגן ברך מחמם</t>
  </si>
  <si>
    <t xml:space="preserve">48 XL מגן ברך מחמם</t>
  </si>
  <si>
    <t xml:space="preserve">48 XXL מגן ברך מחמם</t>
  </si>
  <si>
    <t xml:space="preserve">AC40 רצועה לפיקת הברך</t>
  </si>
  <si>
    <t xml:space="preserve">AC43D מגן ברך + צירים</t>
  </si>
  <si>
    <t xml:space="preserve">AC45X מגן ברך עם תמיכות</t>
  </si>
  <si>
    <t xml:space="preserve">S-XLST422 מגן ברך+כרית ג'ל</t>
  </si>
  <si>
    <t xml:space="preserve">SC422  S מגן ברך</t>
  </si>
  <si>
    <t xml:space="preserve">SC422 XXLמגן ברך</t>
  </si>
  <si>
    <t xml:space="preserve">SH422 1 תומך ברך גנושילד</t>
  </si>
  <si>
    <t xml:space="preserve">SH422 2 תומך ברך גנושילד</t>
  </si>
  <si>
    <t xml:space="preserve">SH422 3 תומך ברך גנושילד</t>
  </si>
  <si>
    <t xml:space="preserve">SH422 4 תומך ברך גנושילד</t>
  </si>
  <si>
    <t xml:space="preserve">SH422 5 תומך ברך גנושילד</t>
  </si>
  <si>
    <t xml:space="preserve">SH422 6 תומך ברך גנושילד</t>
  </si>
  <si>
    <t xml:space="preserve">ST433 H מגן ברך עם ציר</t>
  </si>
  <si>
    <t xml:space="preserve">T 45 L מגן ברך רגיל</t>
  </si>
  <si>
    <t xml:space="preserve">T 45 M מגן ברך רגיל</t>
  </si>
  <si>
    <t xml:space="preserve">T 45XL מגן ברך רגיל</t>
  </si>
  <si>
    <t xml:space="preserve">T40 רצועת פיקה לברך</t>
  </si>
  <si>
    <t xml:space="preserve">T402 L מיצב פיקה</t>
  </si>
  <si>
    <t xml:space="preserve">T402 M מיצב פיקה</t>
  </si>
  <si>
    <t xml:space="preserve">T402 S מיצב פיקה</t>
  </si>
  <si>
    <t xml:space="preserve">T402 XL מיצב פיקה</t>
  </si>
  <si>
    <t xml:space="preserve">T402 XXL מיצב פיקה</t>
  </si>
  <si>
    <t xml:space="preserve">T40B רצועה לפיקה</t>
  </si>
  <si>
    <t xml:space="preserve">T43 SKI XXL מגן ברך לסקי</t>
  </si>
  <si>
    <t xml:space="preserve">T433 XL מגן ברך משופר</t>
  </si>
  <si>
    <t xml:space="preserve">T43SKI L מגן ברך לסקי</t>
  </si>
  <si>
    <t xml:space="preserve">T43SKI M מגן ברך לסקי</t>
  </si>
  <si>
    <t xml:space="preserve">T43SKI XLמגן ברך לסקי</t>
  </si>
  <si>
    <t xml:space="preserve">T45 S מגן ברך רגיל</t>
  </si>
  <si>
    <t xml:space="preserve">T45 XXL מגן ברך רגיל</t>
  </si>
  <si>
    <t xml:space="preserve">T45X-XXLמגן ברך רגיל</t>
  </si>
  <si>
    <t xml:space="preserve">T45X L מגן ברך רגיל</t>
  </si>
  <si>
    <t xml:space="preserve">T45X M מגן ברך רגיל</t>
  </si>
  <si>
    <t xml:space="preserve">T45X S מגן ברך רגיל</t>
  </si>
  <si>
    <t xml:space="preserve">T45X XL מגן ברך רגיל</t>
  </si>
  <si>
    <t xml:space="preserve">3444 0   גרביים+סיליקון</t>
  </si>
  <si>
    <t xml:space="preserve">3444B גרבי ג'ל לריכוך עור העקב</t>
  </si>
  <si>
    <t xml:space="preserve">3445Wתתגרב לבן סיליקון טיפ יום</t>
  </si>
  <si>
    <t xml:space="preserve">390B 39-42.גרב.כסף לסכרתיים שח</t>
  </si>
  <si>
    <t xml:space="preserve">390B 43-46.גרב.כסף לסכרתיים שח</t>
  </si>
  <si>
    <t xml:space="preserve">390B גרב.כסף לסכרתים שחור35-38</t>
  </si>
  <si>
    <t xml:space="preserve">390G 39-42.גרב.כסף לסכרתיים אפ</t>
  </si>
  <si>
    <t xml:space="preserve">390G ג.כסף לסכרתיים אפור35-38</t>
  </si>
  <si>
    <t xml:space="preserve">390W גרב כסף לסכרתיים לבן35-38</t>
  </si>
  <si>
    <t xml:space="preserve">390W גרב.כסף לסכרתיים לבן39-42</t>
  </si>
  <si>
    <t xml:space="preserve">390W גרב.כסף לסכרתיים לבן43-46</t>
  </si>
  <si>
    <t xml:space="preserve">394B גרב.כסף לסכרתים שחור35-38</t>
  </si>
  <si>
    <t xml:space="preserve">394B גרב.כסף לסכרתים שחור39-42</t>
  </si>
  <si>
    <t xml:space="preserve">394B גרב.כסף לסכרתים שחור43-46</t>
  </si>
  <si>
    <t xml:space="preserve">394G גרב.כסף לסכרתים אפור35-38</t>
  </si>
  <si>
    <t xml:space="preserve">394G גרב.כסף לסכרתים אפור39-42</t>
  </si>
  <si>
    <t xml:space="preserve">394G גרב.כסף לסכרתים אפור43-46</t>
  </si>
  <si>
    <t xml:space="preserve">394W 35-38 גרב.כסף לסכרתים לבן</t>
  </si>
  <si>
    <t xml:space="preserve">394W 39-42 גרב.כסף לסכרתים לבן</t>
  </si>
  <si>
    <t xml:space="preserve">394W 43-46 גרב.כסף לסכרתים לבן</t>
  </si>
  <si>
    <t xml:space="preserve">395B גרבי קיץ אנטי בקטריא39-42</t>
  </si>
  <si>
    <t xml:space="preserve">395B גרבי קיץ אנטי בקטריא43-46</t>
  </si>
  <si>
    <t xml:space="preserve">396-35-38 גרביים טרמיות</t>
  </si>
  <si>
    <t xml:space="preserve">396-39-42 גרביים טרמיות</t>
  </si>
  <si>
    <t xml:space="preserve">397 35-38 גרבי טיסה מידה</t>
  </si>
  <si>
    <t xml:space="preserve">397 39-42 גרבי טיסה מידה</t>
  </si>
  <si>
    <t xml:space="preserve">397 43-46 גרבי טיסה מידה</t>
  </si>
  <si>
    <t xml:space="preserve">397A-גרבי טיסה אנטי בקטרי35-38</t>
  </si>
  <si>
    <t xml:space="preserve">397A-גרבי טיסה אנטי בקטרי39-42</t>
  </si>
  <si>
    <t xml:space="preserve">397A-גרבי טיסה אנטי בקטרי43-46</t>
  </si>
  <si>
    <t xml:space="preserve">G390.43-46 גרבי כסף לסכרת מידה</t>
  </si>
  <si>
    <t xml:space="preserve">ST3555 S-Mגרב לילה לטיפ.בדורבן</t>
  </si>
  <si>
    <t xml:space="preserve">ST3555L-XLגרב לילה לטיפ.בדורבן</t>
  </si>
  <si>
    <t xml:space="preserve">06 L  ""ח.גב קלה ""מיקדו</t>
  </si>
  <si>
    <t xml:space="preserve">06 M  ""ח.גב קלה ""מיקדו</t>
  </si>
  <si>
    <t xml:space="preserve">06 S  ""ח.גב קלה ""מיקדו</t>
  </si>
  <si>
    <t xml:space="preserve">06 XL ""ח.גב קלה ""מיקדו</t>
  </si>
  <si>
    <t xml:space="preserve">06 XXL ""ח.גב קלה ""מיקדו</t>
  </si>
  <si>
    <t xml:space="preserve">06U  XXL ח.בטן מותנית צר</t>
  </si>
  <si>
    <t xml:space="preserve">06U L ח.בטן מותנית צר</t>
  </si>
  <si>
    <t xml:space="preserve">06U M ח.בטן מותנית צר</t>
  </si>
  <si>
    <t xml:space="preserve">06U XL ח.בטן מותנית צר</t>
  </si>
  <si>
    <t xml:space="preserve">06W S חגורת גב לנשים</t>
  </si>
  <si>
    <t xml:space="preserve">077A   XXL חגורת גב עם חיזוקים</t>
  </si>
  <si>
    <t xml:space="preserve">077A L-XLחגורת גב</t>
  </si>
  <si>
    <t xml:space="preserve">077A S-M חגורת גב</t>
  </si>
  <si>
    <t xml:space="preserve">078 L חגורת גב +סגירה</t>
  </si>
  <si>
    <t xml:space="preserve">078C L'חגורת גב+סגירה כפו בז</t>
  </si>
  <si>
    <t xml:space="preserve">078C M'חגורת גב+סגירה כפו בז</t>
  </si>
  <si>
    <t xml:space="preserve">078C S'חגורת גב+סגירה כפו בז</t>
  </si>
  <si>
    <t xml:space="preserve">078C XLתתחגורת גב+סגירה כפו בז</t>
  </si>
  <si>
    <t xml:space="preserve">078C XXL 'חג.גב+סגירה כפו בז</t>
  </si>
  <si>
    <t xml:space="preserve">078G-L חגורת גב אפורה</t>
  </si>
  <si>
    <t xml:space="preserve">078G-M חגורת גב אפורה</t>
  </si>
  <si>
    <t xml:space="preserve">078G-S חגורת גב אפורה</t>
  </si>
  <si>
    <t xml:space="preserve">078G-XLחגורת גב אפורה</t>
  </si>
  <si>
    <t xml:space="preserve">078G-XXLחגורת גב אפורה</t>
  </si>
  <si>
    <t xml:space="preserve">078XL חגורת גב +סגירה כפולה</t>
  </si>
  <si>
    <t xml:space="preserve">078XXL חגורת גב +סגירה כפולה</t>
  </si>
  <si>
    <t xml:space="preserve">079  M ח.גב סג.כפולה שחור+אדום</t>
  </si>
  <si>
    <t xml:space="preserve">079 L ח.גב סג.כפולה שחור+אדום</t>
  </si>
  <si>
    <t xml:space="preserve">079 S ח.גב סג. כפולה שחור+אדום</t>
  </si>
  <si>
    <t xml:space="preserve">079 XL ח.גב סג.כפולה שחור+אדום</t>
  </si>
  <si>
    <t xml:space="preserve">079 XXLח.גב סג.כפולה שחור+אדום</t>
  </si>
  <si>
    <t xml:space="preserve">07AU L ח.גב ""איטלקית"" אורירית</t>
  </si>
  <si>
    <t xml:space="preserve">07AU M ח.גב ""איטלקית"" אורירית</t>
  </si>
  <si>
    <t xml:space="preserve">07AU S ח.גב ""איטלקית"" אורירית</t>
  </si>
  <si>
    <t xml:space="preserve">07AU XL ח.גב ""איטלקית"" אורירית</t>
  </si>
  <si>
    <t xml:space="preserve">07AU XXL.ח.גב ""איטלקית"" אוריר</t>
  </si>
  <si>
    <t xml:space="preserve">07UC L-XLח.גב אמר+סגירה כפ.חום</t>
  </si>
  <si>
    <t xml:space="preserve">10 L ""חגורת גב ""לומבו</t>
  </si>
  <si>
    <t xml:space="preserve">10 M ""חגורת גב ""לומבו</t>
  </si>
  <si>
    <t xml:space="preserve">10 S ""חגורת גב ""לומבו</t>
  </si>
  <si>
    <t xml:space="preserve">10 XL ""חגורת גב ""לומבו</t>
  </si>
  <si>
    <t xml:space="preserve">10 XXL""חגורת גב ""לומבו</t>
  </si>
  <si>
    <t xml:space="preserve">11 L""חגורת בטן""אורירית</t>
  </si>
  <si>
    <t xml:space="preserve">11 M""חגורת בטן""אורירית</t>
  </si>
  <si>
    <t xml:space="preserve">11 S""חגורת בטן""אורירית</t>
  </si>
  <si>
    <t xml:space="preserve">11 XL""חגורת בטן""אורירית</t>
  </si>
  <si>
    <t xml:space="preserve">11 XS  חגורת בטן</t>
  </si>
  <si>
    <t xml:space="preserve">11 XXL""חגורת בטן""אורירית</t>
  </si>
  <si>
    <t xml:space="preserve">11EU L ח.בטן לאחר ניתוח</t>
  </si>
  <si>
    <t xml:space="preserve">11EU M ח.בטן לאחר ניתוח</t>
  </si>
  <si>
    <t xml:space="preserve">11EU S ח.בטן לאחר ניתוח</t>
  </si>
  <si>
    <t xml:space="preserve">11EU XLח.בטן לאחר ניתוח</t>
  </si>
  <si>
    <t xml:space="preserve">11EU XXL חגורת בטןלאחר ניתוח</t>
  </si>
  <si>
    <t xml:space="preserve">11PS Lחגורה למנותחי בטן</t>
  </si>
  <si>
    <t xml:space="preserve">11PS Mחגורה למנותחי בטן</t>
  </si>
  <si>
    <t xml:space="preserve">11PS Sחגורה למנותחי בטן</t>
  </si>
  <si>
    <t xml:space="preserve">11PS XLחגורה למנותחי בטן</t>
  </si>
  <si>
    <t xml:space="preserve">11PS XXLחגורה למנותחי בטן</t>
  </si>
  <si>
    <t xml:space="preserve">11STO L חגורה אחרי ניתוח</t>
  </si>
  <si>
    <t xml:space="preserve">11STO M חגורה אחרי ניתוח</t>
  </si>
  <si>
    <t xml:space="preserve">11STO S חגורה אחרי ניתוח</t>
  </si>
  <si>
    <t xml:space="preserve">11STO XL  חגורה אחרי ניתוח</t>
  </si>
  <si>
    <t xml:space="preserve">11STO XXL חגורה אחרי ניתוח</t>
  </si>
  <si>
    <t xml:space="preserve">11TO L חגורה למנותחי בית החזה</t>
  </si>
  <si>
    <t xml:space="preserve">11TO M חגורה למנותחי בית החזה</t>
  </si>
  <si>
    <t xml:space="preserve">11TO S חגורה למנותחי בית החזה</t>
  </si>
  <si>
    <t xml:space="preserve">11TO XLחגורה למנותחי בית החזה</t>
  </si>
  <si>
    <t xml:space="preserve">11TO XXLחגורה למנותחי בית החזה</t>
  </si>
  <si>
    <t xml:space="preserve">11U Lחגורת בטן וחזה אחרי ניתוח</t>
  </si>
  <si>
    <t xml:space="preserve">11U Mחגורת בטן וחזה אחרי ניתוח</t>
  </si>
  <si>
    <t xml:space="preserve">11U XL ח.בטן לאחר ניתוח קלה</t>
  </si>
  <si>
    <t xml:space="preserve">11UC'M'תתחגורת בטן עממית בז</t>
  </si>
  <si>
    <t xml:space="preserve">11UC S'תתחגורת בטן עממית בז</t>
  </si>
  <si>
    <t xml:space="preserve">11UC XL 'תתחגורת בטן עממ.בז</t>
  </si>
  <si>
    <t xml:space="preserve">12 L ח.גב מגנטית+מוטות תמיכה</t>
  </si>
  <si>
    <t xml:space="preserve">12 M ח.גב מגנטית+מוטות תמיכה</t>
  </si>
  <si>
    <t xml:space="preserve">12 S ח.גב מגנטית+מוטות תמיכה</t>
  </si>
  <si>
    <t xml:space="preserve">12 XL ח.גב מגנטית+מוטות תמיכה</t>
  </si>
  <si>
    <t xml:space="preserve">13 L חגורה לשבר טבור</t>
  </si>
  <si>
    <t xml:space="preserve">13 M חגורה לשבר טבור</t>
  </si>
  <si>
    <t xml:space="preserve">13 S חגורה לשבר טבור</t>
  </si>
  <si>
    <t xml:space="preserve">13 XL חגורה לשבר טבור</t>
  </si>
  <si>
    <t xml:space="preserve">13 XXL חגורה לשבר טבור</t>
  </si>
  <si>
    <t xml:space="preserve">14 0 חגורה למנותחי בית חזה</t>
  </si>
  <si>
    <t xml:space="preserve">15M L חגורת צלעות לגבר</t>
  </si>
  <si>
    <t xml:space="preserve">15M M חגורת צלעות לגבר</t>
  </si>
  <si>
    <t xml:space="preserve">15M XL חגורת צלעות לגבר</t>
  </si>
  <si>
    <t xml:space="preserve">15W L חגורת צלעות לאשה</t>
  </si>
  <si>
    <t xml:space="preserve">15W M חגורת צלעות לאשה</t>
  </si>
  <si>
    <t xml:space="preserve">15W XL חגורת צלעות לאשה</t>
  </si>
  <si>
    <t xml:space="preserve">15W XXL חגורת צלעות לאשה</t>
  </si>
  <si>
    <t xml:space="preserve">16 L-XL חגורת הריון</t>
  </si>
  <si>
    <t xml:space="preserve">16 S-M חגורת הריון</t>
  </si>
  <si>
    <t xml:space="preserve">16 XXL חגורת הריון</t>
  </si>
  <si>
    <t xml:space="preserve">18  XL.ח.הריון מכנס למניעת כאב</t>
  </si>
  <si>
    <t xml:space="preserve">18 L ח.הריון מכנס למניעת כאבים</t>
  </si>
  <si>
    <t xml:space="preserve">18 M ח.הריון מכנס למניעת כאבים</t>
  </si>
  <si>
    <t xml:space="preserve">18 S ח.הריון מכנס למניעת כאבים</t>
  </si>
  <si>
    <t xml:space="preserve">19 L-XLחגורת הריון בכאב.חזק</t>
  </si>
  <si>
    <t xml:space="preserve">19 S-M חגורת הריון בכאב חזק</t>
  </si>
  <si>
    <t xml:space="preserve">70 L חגורת פיסוק פאב</t>
  </si>
  <si>
    <t xml:space="preserve">70 M חגורת פיסוק פאב</t>
  </si>
  <si>
    <t xml:space="preserve">70 S חגורת פיסוק פאב</t>
  </si>
  <si>
    <t xml:space="preserve">70N L חגורת פאבליק</t>
  </si>
  <si>
    <t xml:space="preserve">70N M חגורת פאבליק</t>
  </si>
  <si>
    <t xml:space="preserve">70N S חגורת פאבליק</t>
  </si>
  <si>
    <t xml:space="preserve">70N XS חגורת פאבליק</t>
  </si>
  <si>
    <t xml:space="preserve">776 L  ח.גב גבוהה</t>
  </si>
  <si>
    <t xml:space="preserve">776 M  ח.גב גבוהה</t>
  </si>
  <si>
    <t xml:space="preserve">776 XL ח.גב גבוהה</t>
  </si>
  <si>
    <t xml:space="preserve">AC-07 חגורת גב עם תמיכות</t>
  </si>
  <si>
    <t xml:space="preserve">AC-11 חגורת בטן קלה</t>
  </si>
  <si>
    <t xml:space="preserve">L-XL 099 חגורת גב שרוכים</t>
  </si>
  <si>
    <t xml:space="preserve">L 11 אפורUG חגורת בטן</t>
  </si>
  <si>
    <t xml:space="preserve">M 11 אפורUG חגורת בטן</t>
  </si>
  <si>
    <t xml:space="preserve">M078 חגורת גב +סגירה כפולה</t>
  </si>
  <si>
    <t xml:space="preserve">S-M 099 חגורת גב שרוכים</t>
  </si>
  <si>
    <t xml:space="preserve">S 11 אפורUGחגורת בטן</t>
  </si>
  <si>
    <t xml:space="preserve">S078 חגורת גב +סגירה כפולה</t>
  </si>
  <si>
    <t xml:space="preserve">ST11  חגורת בטן</t>
  </si>
  <si>
    <t xml:space="preserve">T11C L  חגורת גב פוג'יאמה</t>
  </si>
  <si>
    <t xml:space="preserve">T11C M  חגורת גב פוג'יאמה</t>
  </si>
  <si>
    <t xml:space="preserve">T11C S  חגורת גב פוג'יאמה</t>
  </si>
  <si>
    <t xml:space="preserve">T11C XL חגורת גב פוג'יאמה</t>
  </si>
  <si>
    <t xml:space="preserve">T11C XXL חגורת גב פוג'יאמה</t>
  </si>
  <si>
    <t xml:space="preserve">XL 11 אפורUG חגורת בטן</t>
  </si>
  <si>
    <t xml:space="preserve">XXL 11אפורUGחגורת בטן</t>
  </si>
  <si>
    <t xml:space="preserve">804AT-B      טייפ חבישה לספורט</t>
  </si>
  <si>
    <t xml:space="preserve">804AT-BL     טייפ חבישה לספורט</t>
  </si>
  <si>
    <t xml:space="preserve">804AT-C      טייפ חבישה לספורט</t>
  </si>
  <si>
    <t xml:space="preserve">804AT-W      טייפ חבישה לספורט</t>
  </si>
  <si>
    <t xml:space="preserve">805AT-B אתלטיק טייפ שחור 20מ""מ</t>
  </si>
  <si>
    <t xml:space="preserve">805AT-BLאתלטיק טייפ כחול 20מ""מ</t>
  </si>
  <si>
    <t xml:space="preserve">805AT-Cאתלטיק טייפ בז' 20מ""מ20</t>
  </si>
  <si>
    <t xml:space="preserve">805AT-W  אתלטיק טייפ לבן 20מ""מ</t>
  </si>
  <si>
    <t xml:space="preserve">808KT-B        טייפ קינזיולוגי</t>
  </si>
  <si>
    <t xml:space="preserve">808KT-BL       טייפ קינזיולוגי</t>
  </si>
  <si>
    <t xml:space="preserve">808KT-C        טייפ קינזיולוגי</t>
  </si>
  <si>
    <t xml:space="preserve">808KT-P        טייפ קינזיולוגי</t>
  </si>
  <si>
    <t xml:space="preserve">239B L-XL STRAP4U</t>
  </si>
  <si>
    <t xml:space="preserve">239B S-M STRAP4U</t>
  </si>
  <si>
    <t xml:space="preserve">239P S-M STRAP4U</t>
  </si>
  <si>
    <t xml:space="preserve">239TR L-XL STRAP4U</t>
  </si>
  <si>
    <t xml:space="preserve">67 כרית שינה חלומי</t>
  </si>
  <si>
    <t xml:space="preserve">FC342-נוזל לציפורן חודרנית</t>
  </si>
  <si>
    <t xml:space="preserve">FCתתסבון אנטי ספטי לכף הרגל350</t>
  </si>
  <si>
    <t xml:space="preserve">STRAP4U DISPLAY 239D</t>
  </si>
  <si>
    <t xml:space="preserve">שרוול לגבס ארוך רגל</t>
  </si>
  <si>
    <t xml:space="preserve">שרוול לגבס קצר רגל</t>
  </si>
  <si>
    <t xml:space="preserve">FC321-מלח אמבט לכף הרגל</t>
  </si>
  <si>
    <t xml:space="preserve">FC334  תרסיס דאודורנט לכף הרגל</t>
  </si>
  <si>
    <t xml:space="preserve">FC335 טלק מעושר באלוורה</t>
  </si>
  <si>
    <t xml:space="preserve">FCתרסיס דאודורנט אנטיבק.נעל333</t>
  </si>
  <si>
    <t xml:space="preserve">שרוול לגבס ארוך יד</t>
  </si>
  <si>
    <t xml:space="preserve">שרוול לגבס קצר יד</t>
  </si>
  <si>
    <t xml:space="preserve">74  SM מיצב כתפיים</t>
  </si>
  <si>
    <t xml:space="preserve">74 L-XL מיצב כתפיים</t>
  </si>
  <si>
    <t xml:space="preserve">75  XXL מיישר כתף יציב ישור צר</t>
  </si>
  <si>
    <t xml:space="preserve">75 Lמיישר כתף יציב יישור גב צר</t>
  </si>
  <si>
    <t xml:space="preserve">75 Mמיישר כתף יציב יישור גב צר</t>
  </si>
  <si>
    <t xml:space="preserve">75 Sמיישר כתף יציב יישור גב צר</t>
  </si>
  <si>
    <t xml:space="preserve">75 XLמיישר כתף יציב יישור ג.צר</t>
  </si>
  <si>
    <t xml:space="preserve">76 Lמיישר כתף יציב יישור רחב</t>
  </si>
  <si>
    <t xml:space="preserve">76 Mמיישר כתף יציב,יישור רחב</t>
  </si>
  <si>
    <t xml:space="preserve">76 Sמיישר כתף יציב יישור ג.רחב</t>
  </si>
  <si>
    <t xml:space="preserve">76 XLמיישר כתף יציב יישור רחב</t>
  </si>
  <si>
    <t xml:space="preserve">76 XXL מישר כתפיים רחב</t>
  </si>
  <si>
    <t xml:space="preserve">776 S  ח.גב גבוהה</t>
  </si>
  <si>
    <t xml:space="preserve">78 M מגן למרפק כתף</t>
  </si>
  <si>
    <t xml:space="preserve">78 XXLמגן למרפק כתף</t>
  </si>
  <si>
    <t xml:space="preserve">78A  M מגן למפרק כתף</t>
  </si>
  <si>
    <t xml:space="preserve">78A L מגן למפרק כתף</t>
  </si>
  <si>
    <t xml:space="preserve">78A S מגן למפרק כתף</t>
  </si>
  <si>
    <t xml:space="preserve">78A XL מגן למפרק כתף</t>
  </si>
  <si>
    <t xml:space="preserve">78A XXL מגן למפרק כתף</t>
  </si>
  <si>
    <t xml:space="preserve">87 L מקבע כתף ויד</t>
  </si>
  <si>
    <t xml:space="preserve">87 M מקבע כתף ויד</t>
  </si>
  <si>
    <t xml:space="preserve">87 S מקבע כתף ויד</t>
  </si>
  <si>
    <t xml:space="preserve">87 XL מקבע כתף ויד</t>
  </si>
  <si>
    <t xml:space="preserve">87 XXL מקבע כתף ויד</t>
  </si>
  <si>
    <t xml:space="preserve">AC75 XXL  מיישר כתפיים אקטיב</t>
  </si>
  <si>
    <t xml:space="preserve">AC75 מישר כתפיים אקטיב</t>
  </si>
  <si>
    <t xml:space="preserve">T78 L תומך זרוע וכתף</t>
  </si>
  <si>
    <t xml:space="preserve">T78 M תומך זרוע וכתף</t>
  </si>
  <si>
    <t xml:space="preserve">T78 S תומך זרוע וכתף</t>
  </si>
  <si>
    <t xml:space="preserve">T78 XLתומך זרוע וכתף</t>
  </si>
  <si>
    <t xml:space="preserve">T78 XXL תומך זרוע וכתף</t>
  </si>
  <si>
    <t xml:space="preserve">LF360 מדרס מטטרזלי לנעלי עקב</t>
  </si>
  <si>
    <t xml:space="preserve">LF370 ריפוד סיליקון לעקב אחורי</t>
  </si>
  <si>
    <t xml:space="preserve">LF371 ריפוד סיליקון לנעלי אצבע</t>
  </si>
  <si>
    <t xml:space="preserve">LF374 ריפוד סיליק.לעקב תחתון</t>
  </si>
  <si>
    <t xml:space="preserve">LF377 L-מדרס סיליקון לנעלי עקב</t>
  </si>
  <si>
    <t xml:space="preserve">LF377 M-מדרס סיליקון לנעלי עקב</t>
  </si>
  <si>
    <t xml:space="preserve">LF377 S-מדרס סיליקון לנעלי עקב</t>
  </si>
  <si>
    <t xml:space="preserve">LF378 L מדרס ג'ל לנעלי עקב</t>
  </si>
  <si>
    <t xml:space="preserve">LFריפוד סיליק.לכרית כף הרגל373</t>
  </si>
  <si>
    <t xml:space="preserve">300M תתמדרס.ציפוי עור גבר זו43</t>
  </si>
  <si>
    <t xml:space="preserve">300M תתמדרס/ציפוי עור גבר זו44</t>
  </si>
  <si>
    <t xml:space="preserve">302 W מדרס לאישה</t>
  </si>
  <si>
    <t xml:space="preserve">302 מדרס ג'ל לגבר</t>
  </si>
  <si>
    <t xml:space="preserve">302SP M מדרס ג'ל ספורט לגבר</t>
  </si>
  <si>
    <t xml:space="preserve">302SP Wמדרס ג'ל ספורט לאישה</t>
  </si>
  <si>
    <t xml:space="preserve">303 37-38 מדרסי סיליק.לח.סכרת</t>
  </si>
  <si>
    <t xml:space="preserve">303 39-40 מדרסי סיליק.לח.סכרת</t>
  </si>
  <si>
    <t xml:space="preserve">303 41-42 מדרסי סיליק.לח.סכרת</t>
  </si>
  <si>
    <t xml:space="preserve">303 43-44 מדרסי סיליק.לח.סכרת</t>
  </si>
  <si>
    <t xml:space="preserve">303 45-46 מדרסי סיליק.לח.סכרת</t>
  </si>
  <si>
    <t xml:space="preserve">305GA מדרס אורטופ.מתכוון35-36</t>
  </si>
  <si>
    <t xml:space="preserve">305GA מדרס אורטופ.מתכוון37-38</t>
  </si>
  <si>
    <t xml:space="preserve">305GA מדרס אורטופ.מתכוון39-40</t>
  </si>
  <si>
    <t xml:space="preserve">305GA מדרס אורטופ.מתכוון41-42</t>
  </si>
  <si>
    <t xml:space="preserve">305GA מדרס אורטופ.מתכוון43-44</t>
  </si>
  <si>
    <t xml:space="preserve">305GA מדרס אורטופ.מתכוון45-46</t>
  </si>
  <si>
    <t xml:space="preserve">305GA מדרס מתכוונן47-48</t>
  </si>
  <si>
    <t xml:space="preserve">310Lמדרס 3/4לכאבי דורבן וספורט</t>
  </si>
  <si>
    <t xml:space="preserve">310Mמדרס 3/4לכאבי דורבן וספורט</t>
  </si>
  <si>
    <t xml:space="preserve">310Sמדרס 3/4לכאבי דורבן וספורט</t>
  </si>
  <si>
    <t xml:space="preserve">35-38 מדרסי אפיק ג'ל נוחות</t>
  </si>
  <si>
    <t xml:space="preserve">35-38 מדרסי אפיק ג'ל עבודה</t>
  </si>
  <si>
    <t xml:space="preserve">39-42 מדרסי אפיק ג'ל נוחות</t>
  </si>
  <si>
    <t xml:space="preserve">39-42 מדרסי אפיק ג'ל עבודה</t>
  </si>
  <si>
    <t xml:space="preserve">43-47 מדרסי אפיק ג'ל נוחות</t>
  </si>
  <si>
    <t xml:space="preserve">43-47 מדרסי אפיק ג'ל עבודה</t>
  </si>
  <si>
    <t xml:space="preserve">LF378 M מדרס ג'ל לנעלי עקב</t>
  </si>
  <si>
    <t xml:space="preserve">LF378 S מדרס ג'ל לנעלי עקב</t>
  </si>
  <si>
    <t xml:space="preserve">מדרסי אפיק ג'ל מולט.ספורט35-38</t>
  </si>
  <si>
    <t xml:space="preserve">מדרסי אפיק ג'ל מולט.ספורט43-47</t>
  </si>
  <si>
    <t xml:space="preserve">מדרסי אפיק ג'ל מולטי ספור39-42</t>
  </si>
  <si>
    <t xml:space="preserve">50 L מתלה אשכים לאחר ניתוח</t>
  </si>
  <si>
    <t xml:space="preserve">50 M מתלה אשכים לאחר ניתוח</t>
  </si>
  <si>
    <t xml:space="preserve">50 S מתלה אשכים לאחר ניתוח</t>
  </si>
  <si>
    <t xml:space="preserve">50 XL מתלה אשכים לאחר ניתוח</t>
  </si>
  <si>
    <t xml:space="preserve">50 XXL מתלה אשכים לאחר ניתוח</t>
  </si>
  <si>
    <t xml:space="preserve">55 L מתלה אשכים לספורטאים</t>
  </si>
  <si>
    <t xml:space="preserve">55 M מתלה אשכים לספורטאים</t>
  </si>
  <si>
    <t xml:space="preserve">55 S מתלה אשכים לספורטאים</t>
  </si>
  <si>
    <t xml:space="preserve">55 XL מתלה אשכים לספורטאים</t>
  </si>
  <si>
    <t xml:space="preserve">55 XXL מתלה אשכים לספורטאים</t>
  </si>
  <si>
    <t xml:space="preserve">59D L חגורת שבר דו צדדי</t>
  </si>
  <si>
    <t xml:space="preserve">59D M חגורת שבר דו צדדי</t>
  </si>
  <si>
    <t xml:space="preserve">59D S חגורת שבר דו צדדי</t>
  </si>
  <si>
    <t xml:space="preserve">59D XL חגורת שבר דו צדדי</t>
  </si>
  <si>
    <t xml:space="preserve">59D XXLחגורת שבר דו צדדי</t>
  </si>
  <si>
    <t xml:space="preserve">59L L חגורת שבר לצד שמאל</t>
  </si>
  <si>
    <t xml:space="preserve">59L M חגורת שבר לצד שמאל</t>
  </si>
  <si>
    <t xml:space="preserve">59L S חגורת שבר לצד שמאל</t>
  </si>
  <si>
    <t xml:space="preserve">59L XLחגורת שבר לצד שמאל</t>
  </si>
  <si>
    <t xml:space="preserve">59R L חגורת שבר לצד ימין</t>
  </si>
  <si>
    <t xml:space="preserve">59R M חגורת שבר לצד ימין</t>
  </si>
  <si>
    <t xml:space="preserve">59R S חגורת שבר לצד ימין</t>
  </si>
  <si>
    <t xml:space="preserve">59R XL חגורת שבר לצד ימין</t>
  </si>
  <si>
    <t xml:space="preserve">604L מסכה ארקי</t>
  </si>
  <si>
    <t xml:space="preserve">604XL מסכה ארקי</t>
  </si>
  <si>
    <t xml:space="preserve">605XL מסכה אלה</t>
  </si>
  <si>
    <t xml:space="preserve">655L ""מסכה ""גדי</t>
  </si>
  <si>
    <t xml:space="preserve">91  חבק ""טניס אלבו רצועה</t>
  </si>
  <si>
    <t xml:space="preserve">911 חבק לטניס אלבו</t>
  </si>
  <si>
    <t xml:space="preserve">91B חבק טניס אלבו</t>
  </si>
  <si>
    <t xml:space="preserve">922L.חבק יד לטניס כרית סיליק</t>
  </si>
  <si>
    <t xml:space="preserve">922M.מחבק יד לטניס כרית סילי</t>
  </si>
  <si>
    <t xml:space="preserve">922S.חבק יד לטניס כרית סיליק</t>
  </si>
  <si>
    <t xml:space="preserve">922XLחבק יד לטניס כרית סיליק</t>
  </si>
  <si>
    <t xml:space="preserve">922XXLמגן מרפק+כרית סילקון</t>
  </si>
  <si>
    <t xml:space="preserve">95 L מגן מרפק רגיל לבן</t>
  </si>
  <si>
    <t xml:space="preserve">95 M מגן מרפק רגיל לבן</t>
  </si>
  <si>
    <t xml:space="preserve">95 S מגן מרפק רגיל לבן</t>
  </si>
  <si>
    <t xml:space="preserve">95 XL מגן מרפק רגיל לבן</t>
  </si>
  <si>
    <t xml:space="preserve">95 XS מגן מרפק רגיל לבן</t>
  </si>
  <si>
    <t xml:space="preserve">95 XXL מגן מרפק רגיל לבן</t>
  </si>
  <si>
    <t xml:space="preserve">95+ L מגן מרפק+רצועה לטניס</t>
  </si>
  <si>
    <t xml:space="preserve">95+ M מגן מרפק+רצועה לטניס</t>
  </si>
  <si>
    <t xml:space="preserve">95+ XL מגן מרפק+רצועה לטניס</t>
  </si>
  <si>
    <t xml:space="preserve">95B L מגן מרפק שחור</t>
  </si>
  <si>
    <t xml:space="preserve">95B M מגן מרפק שחור</t>
  </si>
  <si>
    <t xml:space="preserve">95B S מגן מרפק שחור</t>
  </si>
  <si>
    <t xml:space="preserve">95B XL מגן מרפק שחור</t>
  </si>
  <si>
    <t xml:space="preserve">95B XXLמגן מרפק שחור</t>
  </si>
  <si>
    <t xml:space="preserve">95C L 'מגן מרפק בז</t>
  </si>
  <si>
    <t xml:space="preserve">95C M 'מגן מרפק בז</t>
  </si>
  <si>
    <t xml:space="preserve">95C S 'מגן מרפק בז</t>
  </si>
  <si>
    <t xml:space="preserve">95C XL'מגן מרפק בז</t>
  </si>
  <si>
    <t xml:space="preserve">95C XS'מגן מרפק בז</t>
  </si>
  <si>
    <t xml:space="preserve">95C XXL'מגן מרפק בז</t>
  </si>
  <si>
    <t xml:space="preserve">95G XXLמגן מרפק אפור</t>
  </si>
  <si>
    <t xml:space="preserve">AC91 חבק טניס</t>
  </si>
  <si>
    <t xml:space="preserve">AC95 מגן מרפק</t>
  </si>
  <si>
    <t xml:space="preserve">SC95 S מגן מרפק</t>
  </si>
  <si>
    <t xml:space="preserve">SC95 XXL מגן מרפק</t>
  </si>
  <si>
    <t xml:space="preserve">ST91 מגן מרפק לטניס</t>
  </si>
  <si>
    <t xml:space="preserve">T90 רצועת טניס אלבו עם פלסטיק</t>
  </si>
  <si>
    <t xml:space="preserve">T91  L-XL רצועת טניס אלבו</t>
  </si>
  <si>
    <t xml:space="preserve">T91 S-M רצועת טניס אלבו</t>
  </si>
  <si>
    <t xml:space="preserve">T95 L מגן מרפק רגיל</t>
  </si>
  <si>
    <t xml:space="preserve">T95 M מגן מרפק רגיל</t>
  </si>
  <si>
    <t xml:space="preserve">T95 S מגן מרפק רגיל</t>
  </si>
  <si>
    <t xml:space="preserve">T95 XLמגן מרפק רגיל</t>
  </si>
  <si>
    <t xml:space="preserve">T95+ L מגן מרפק +רצועה</t>
  </si>
  <si>
    <t xml:space="preserve">T95+ XLמגן מרפק +רצועה</t>
  </si>
  <si>
    <t xml:space="preserve">80 L תתמתלה ליד רצועה</t>
  </si>
  <si>
    <t xml:space="preserve">80 M תתמתלה ליד רצועה</t>
  </si>
  <si>
    <t xml:space="preserve">80 S תתמתלה ליד רצועה</t>
  </si>
  <si>
    <t xml:space="preserve">80 XL  תתמתלה ליד</t>
  </si>
  <si>
    <t xml:space="preserve">82 0 מתלה יד מספוג</t>
  </si>
  <si>
    <t xml:space="preserve">85 L (מתלה ליד )כיס</t>
  </si>
  <si>
    <t xml:space="preserve">85 M (מתלה ליד )כיס</t>
  </si>
  <si>
    <t xml:space="preserve">85 S (מתלה ליד )כיס</t>
  </si>
  <si>
    <t xml:space="preserve">85 XL (מתלה ליד )כיס</t>
  </si>
  <si>
    <t xml:space="preserve">85+ Lמתלה ליד)כיס(+רצועת חיזוק</t>
  </si>
  <si>
    <t xml:space="preserve">85+ Mמתלה ליד)כיס(+רצועת חיזוק</t>
  </si>
  <si>
    <t xml:space="preserve">85+ Sמתלה ליד)כיס(+רצועת חיזוק</t>
  </si>
  <si>
    <t xml:space="preserve">85+ XLמתלה ליד)כיס(רצועת חיזוק</t>
  </si>
  <si>
    <t xml:space="preserve">85B L מתלה רשת לזרוע שחור</t>
  </si>
  <si>
    <t xml:space="preserve">85B M מתלה רשת לזרוע שחור</t>
  </si>
  <si>
    <t xml:space="preserve">85B S מתלה רשת לזרוע שחור</t>
  </si>
  <si>
    <t xml:space="preserve">85B XL מתלה רשת לזרוע שחור</t>
  </si>
  <si>
    <t xml:space="preserve">85K מתלה ליד לילדים</t>
  </si>
  <si>
    <t xml:space="preserve">306  L זוג עקבים סיליקון</t>
  </si>
  <si>
    <t xml:space="preserve">307 L עקבים לדורבן-זוג כריות</t>
  </si>
  <si>
    <t xml:space="preserve">307 M עקבים לדורבן-זוג כריות</t>
  </si>
  <si>
    <t xml:space="preserve">307 S עקבים לדורבן-זוג כריות</t>
  </si>
  <si>
    <t xml:space="preserve">307 XL כרית סיליקון לעקב</t>
  </si>
  <si>
    <t xml:space="preserve">308 Lעקבים סיליקון כחול לדורבן</t>
  </si>
  <si>
    <t xml:space="preserve">308 Mעקבים סיליק.כחול לדורבן</t>
  </si>
  <si>
    <t xml:space="preserve">308 Sעקבים סיליק.כחול לדורבן</t>
  </si>
  <si>
    <t xml:space="preserve">309 L תתמוקפאעקב סיליקון+ קשת</t>
  </si>
  <si>
    <t xml:space="preserve">309 M תתעקב סיליקון+ קשת</t>
  </si>
  <si>
    <t xml:space="preserve">309 S תתמוקפאעקב סיליקון+ קשת</t>
  </si>
  <si>
    <t xml:space="preserve">311'מדב.ג'ל למניעת שפשוף 5 יח</t>
  </si>
  <si>
    <t xml:space="preserve">312 9 מ""ס להתאמהX5 מדבקה גדולה</t>
  </si>
  <si>
    <t xml:space="preserve">313 סט פלסטרים נגד שפשופים</t>
  </si>
  <si>
    <t xml:space="preserve">320 בליסטר פלסטר</t>
  </si>
  <si>
    <t xml:space="preserve">3611 שרוול מטטרזלי מסיליקון</t>
  </si>
  <si>
    <t xml:space="preserve">3622S מדבקה לשחרור לחץ 2 יח</t>
  </si>
  <si>
    <t xml:space="preserve">3623 כרית ליישור אצבע פטיש</t>
  </si>
  <si>
    <t xml:space="preserve">363  בננה לתמיכת אצבעות ז.כרית</t>
  </si>
  <si>
    <t xml:space="preserve">364 XLמפריד אצבע סיליקון ליבלת</t>
  </si>
  <si>
    <t xml:space="preserve">3641-מיישר בוהן סיליקון קשיח</t>
  </si>
  <si>
    <t xml:space="preserve">364S Lמפר.אצבע סיליק. ליבל.זוג</t>
  </si>
  <si>
    <t xml:space="preserve">365  X-Lטבעת אלסטית מסיליקון</t>
  </si>
  <si>
    <t xml:space="preserve">365 S-Lטבעת אלסטית מסיליקון</t>
  </si>
  <si>
    <t xml:space="preserve">3655 שרוול מסיליקון לאצבע</t>
  </si>
  <si>
    <t xml:space="preserve">3666 מפריד הלוקס</t>
  </si>
  <si>
    <t xml:space="preserve">366S-'מדבק.לשחרור לחץ מיבלת2יח</t>
  </si>
  <si>
    <t xml:space="preserve">3672 שרוול מגן לבוניון</t>
  </si>
  <si>
    <t xml:space="preserve">3674 0 מ.בוניון+מפריד אצבע</t>
  </si>
  <si>
    <t xml:space="preserve">3675    מגן זרת מסיליקון</t>
  </si>
  <si>
    <t xml:space="preserve">3677S-מד.לשחרור לחץ א.הבוניון</t>
  </si>
  <si>
    <t xml:space="preserve">369   XL אצבעון מסיליקון יחידה</t>
  </si>
  <si>
    <t xml:space="preserve">369  S-L אצבעון מסיליקון יחידה</t>
  </si>
  <si>
    <t xml:space="preserve">38 .חבישת""הלוקס ולגוס""לאחר נית</t>
  </si>
  <si>
    <t xml:space="preserve">386  מיישר בוניון-האלוקס ולגוס</t>
  </si>
  <si>
    <t xml:space="preserve">388L סד לילה לבוהן</t>
  </si>
  <si>
    <t xml:space="preserve">388R סד לילה לבוהן</t>
  </si>
  <si>
    <t xml:space="preserve">820 0 כרית חום וקור</t>
  </si>
  <si>
    <t xml:space="preserve">URI 3667 מגן בוניון</t>
  </si>
  <si>
    <t xml:space="preserve">כרית מטטרזלי סיליקון362</t>
  </si>
  <si>
    <t xml:space="preserve">PD 344-אבן טבעית להסרת עור קשה</t>
  </si>
  <si>
    <t xml:space="preserve">PD340-קוצץ ציפורניים</t>
  </si>
  <si>
    <t xml:space="preserve">PD341-מקצוע להסרת עור קשה</t>
  </si>
  <si>
    <t xml:space="preserve">PD342-פומפיה להסרת עור קשה</t>
  </si>
  <si>
    <t xml:space="preserve">PD343-פומפיה מאבן להסר.עור</t>
  </si>
  <si>
    <t xml:space="preserve">PD346-10 סכינים למקצוע</t>
  </si>
  <si>
    <t xml:space="preserve">PD350-תתמשופית ניקל קדמיום</t>
  </si>
  <si>
    <t xml:space="preserve">213CTSR L ימין CTS כפפות</t>
  </si>
  <si>
    <t xml:space="preserve">20 L חבק יד מתכוון עם צמדן</t>
  </si>
  <si>
    <t xml:space="preserve">20 M חבק יד מתכוון עם צמדן</t>
  </si>
  <si>
    <t xml:space="preserve">20 S חבק יד מתכוון עם צמדן</t>
  </si>
  <si>
    <t xml:space="preserve">20 XL חבק יד מתכוון עם צמדן</t>
  </si>
  <si>
    <t xml:space="preserve">20 XXL חבק יד מתכוון עם צמדן</t>
  </si>
  <si>
    <t xml:space="preserve">202  ONE SIZE חבק יד</t>
  </si>
  <si>
    <t xml:space="preserve">21 L  חבק יד ארוך</t>
  </si>
  <si>
    <t xml:space="preserve">21 M  חבק יד ארוך</t>
  </si>
  <si>
    <t xml:space="preserve">21 S  חבק יד ארוך</t>
  </si>
  <si>
    <t xml:space="preserve">21 XL חבק יד ארוך</t>
  </si>
  <si>
    <t xml:space="preserve">21 XS מגן יד</t>
  </si>
  <si>
    <t xml:space="preserve">21 XXL מגן יד</t>
  </si>
  <si>
    <t xml:space="preserve">211L כפפות לחץ</t>
  </si>
  <si>
    <t xml:space="preserve">211M כפפות לחץ</t>
  </si>
  <si>
    <t xml:space="preserve">211S כפפות לחץ</t>
  </si>
  <si>
    <t xml:space="preserve">211XL כפפות לחץ</t>
  </si>
  <si>
    <t xml:space="preserve">212L כפפות אגודל לחץ</t>
  </si>
  <si>
    <t xml:space="preserve">212M כפפות אגודל לחץ</t>
  </si>
  <si>
    <t xml:space="preserve">212S כפפות אגודל לחץ</t>
  </si>
  <si>
    <t xml:space="preserve">212XL כפפות אגודל לחץ</t>
  </si>
  <si>
    <t xml:space="preserve">213CTS  S ימין CTS כפפות</t>
  </si>
  <si>
    <t xml:space="preserve">213CTSL L שמאל CTS כפפות</t>
  </si>
  <si>
    <t xml:space="preserve">213CTSL M שמאל CTS כפפות</t>
  </si>
  <si>
    <t xml:space="preserve">213CTSL S שמאל CTS כפפות</t>
  </si>
  <si>
    <t xml:space="preserve">213CTSR M ימין CTS כפפות</t>
  </si>
  <si>
    <t xml:space="preserve">238L סד ליישור אצבע</t>
  </si>
  <si>
    <t xml:space="preserve">238M סד ליישור אצבע</t>
  </si>
  <si>
    <t xml:space="preserve">238S סד ליישור אצבע</t>
  </si>
  <si>
    <t xml:space="preserve">238XL סד ליישור אצבע</t>
  </si>
  <si>
    <t xml:space="preserve">24 M(תתחבקון ליד )ללא צמדן</t>
  </si>
  <si>
    <t xml:space="preserve">25 L חבק יד אגודלי</t>
  </si>
  <si>
    <t xml:space="preserve">25 M חבק יד אגודלי</t>
  </si>
  <si>
    <t xml:space="preserve">25 S חבק יד אגודלי</t>
  </si>
  <si>
    <t xml:space="preserve">25 XL חבק יד אגודלי</t>
  </si>
  <si>
    <t xml:space="preserve">26 L סד ליד דו צדדי לאחר שבר</t>
  </si>
  <si>
    <t xml:space="preserve">26 M סד ליד דו צדדי לאחר שבר</t>
  </si>
  <si>
    <t xml:space="preserve">26 S סד ליד דו צדדי לאחר שבר</t>
  </si>
  <si>
    <t xml:space="preserve">26 XL סד ליד דו צדדי לאחר שבר</t>
  </si>
  <si>
    <t xml:space="preserve">26 XS סד ליד דו צדדי לאחר שבר</t>
  </si>
  <si>
    <t xml:space="preserve">26 XXL סד ליד דו צדדי לאחר שבר</t>
  </si>
  <si>
    <t xml:space="preserve">266 סד ליד דו צדדי</t>
  </si>
  <si>
    <t xml:space="preserve">267LB  L-XLסד יד שמאל שחור</t>
  </si>
  <si>
    <t xml:space="preserve">267LB  S-M סד יד שמאל שחור</t>
  </si>
  <si>
    <t xml:space="preserve">267LC   S-M'סד יד שמאל בז</t>
  </si>
  <si>
    <t xml:space="preserve">267LC  L-XL 'סד יד שמאל בז</t>
  </si>
  <si>
    <t xml:space="preserve">267LC  XXL'סד יד שמאל בז</t>
  </si>
  <si>
    <t xml:space="preserve">267RB  L-XLסד יד ימין שחור</t>
  </si>
  <si>
    <t xml:space="preserve">267RB  S-M סד יד ימין שחור</t>
  </si>
  <si>
    <t xml:space="preserve">267RC  L-XL 'סד יד ימין בז</t>
  </si>
  <si>
    <t xml:space="preserve">267RC  S-M 'סד יד ימין בז</t>
  </si>
  <si>
    <t xml:space="preserve">267RC XXL 'סד יד ימין בז</t>
  </si>
  <si>
    <t xml:space="preserve">268 סד לאגודל</t>
  </si>
  <si>
    <t xml:space="preserve">27 R-M סד ליד ימין</t>
  </si>
  <si>
    <t xml:space="preserve">278 L-XL סד יד ואגודל</t>
  </si>
  <si>
    <t xml:space="preserve">278 S-M סד יד ואגודל</t>
  </si>
  <si>
    <t xml:space="preserve">27L L סד ליד שמאל</t>
  </si>
  <si>
    <t xml:space="preserve">27L M סד ליד שמאל</t>
  </si>
  <si>
    <t xml:space="preserve">27L S סד ליד שמאל</t>
  </si>
  <si>
    <t xml:space="preserve">27L XLסד ליד שמאל</t>
  </si>
  <si>
    <t xml:space="preserve">27R L סד ליד ימין</t>
  </si>
  <si>
    <t xml:space="preserve">27R XLסד ליד ימין</t>
  </si>
  <si>
    <t xml:space="preserve">28-XS סד לאגודל לאחר שבר</t>
  </si>
  <si>
    <t xml:space="preserve">28 L סד לאגודל לאחר שבר</t>
  </si>
  <si>
    <t xml:space="preserve">28 M סד לאגודל לאחר שבר</t>
  </si>
  <si>
    <t xml:space="preserve">28 S סד לאגודל לאחר שבר</t>
  </si>
  <si>
    <t xml:space="preserve">28 XL סד לאגודל לאחר שבר</t>
  </si>
  <si>
    <t xml:space="preserve">28 XXL סד לאגודל לאחר שבר</t>
  </si>
  <si>
    <t xml:space="preserve">28A S-M  סד לאגודל</t>
  </si>
  <si>
    <t xml:space="preserve">AC-28 סד לאגודל</t>
  </si>
  <si>
    <t xml:space="preserve">ST20 חבק יד</t>
  </si>
  <si>
    <t xml:space="preserve">ST25 חבק שורש לכף היד</t>
  </si>
  <si>
    <t xml:space="preserve">ST28 סד אגודלי עם מוט תמיכה</t>
  </si>
  <si>
    <t xml:space="preserve">T20 L-XL  חבק יד עם צמדן</t>
  </si>
  <si>
    <t xml:space="preserve">T20 S-M חבק יד עם צמדן</t>
  </si>
  <si>
    <t xml:space="preserve">T20C L-XL חבק יד עם צמדן חום</t>
  </si>
  <si>
    <t xml:space="preserve">T20C S-M חבק יד עם צמדןחום</t>
  </si>
  <si>
    <t xml:space="preserve">T25-חבק יד אגודלי</t>
  </si>
  <si>
    <t xml:space="preserve">T25B   חבק יד אגודלי</t>
  </si>
  <si>
    <t xml:space="preserve">T25C-חבק יד אגודלי</t>
  </si>
  <si>
    <t xml:space="preserve">T26 L סד לאגודל דו צדדי</t>
  </si>
  <si>
    <t xml:space="preserve">T26 M סד לאגודל דו צדדי</t>
  </si>
  <si>
    <t xml:space="preserve">T26 S סד לאגודל דו צדדי</t>
  </si>
  <si>
    <t xml:space="preserve">T26 XLסד לאגודל דו צדדי</t>
  </si>
  <si>
    <t xml:space="preserve">T27L L סד ליד שמאל</t>
  </si>
  <si>
    <t xml:space="preserve">T27L M סד ליד שמאל</t>
  </si>
  <si>
    <t xml:space="preserve">T27L S סד ליד שמאל</t>
  </si>
  <si>
    <t xml:space="preserve">T27L XL סד ליד שמאל</t>
  </si>
  <si>
    <t xml:space="preserve">T27R Mסד ליד ימין</t>
  </si>
  <si>
    <t xml:space="preserve">T27R Sסד ליד ימין</t>
  </si>
  <si>
    <t xml:space="preserve">T27R XLסד ליד ימין</t>
  </si>
  <si>
    <t xml:space="preserve">T28 L סד לאגודל כפפה</t>
  </si>
  <si>
    <t xml:space="preserve">T28 M סד לאגודל כפפה</t>
  </si>
  <si>
    <t xml:space="preserve">T28 S סד לאגודל כפפה</t>
  </si>
  <si>
    <t xml:space="preserve">T28 XL סד לאגודל כפפה</t>
  </si>
  <si>
    <t xml:space="preserve">T28 XXLסד לאגודל צד ימין</t>
  </si>
  <si>
    <t xml:space="preserve">T28A L-XL סד לאגודל</t>
  </si>
  <si>
    <t xml:space="preserve">T28A S-M סד לאגודל</t>
  </si>
  <si>
    <t xml:space="preserve">T28A XS סד לאגודל</t>
  </si>
  <si>
    <t xml:space="preserve">T28AC L-XL סד לאגודל</t>
  </si>
  <si>
    <t xml:space="preserve">T28AC S-M סד לאגודל</t>
  </si>
  <si>
    <t xml:space="preserve">T28C  XL סד לאגודל כפפה</t>
  </si>
  <si>
    <t xml:space="preserve">T28C L סד לאגודל כפפה</t>
  </si>
  <si>
    <t xml:space="preserve">T28C M סד לאגודל כפפה</t>
  </si>
  <si>
    <t xml:space="preserve">T28C S סד לאגודל כפפה</t>
  </si>
  <si>
    <t xml:space="preserve">סד קיבוע לאצבע הדק</t>
  </si>
  <si>
    <t xml:space="preserve">1314-    62 L צוארון ספוגי</t>
  </si>
  <si>
    <t xml:space="preserve">60 L צוארון ספוגי</t>
  </si>
  <si>
    <t xml:space="preserve">60 M צוארון ספוגי</t>
  </si>
  <si>
    <t xml:space="preserve">60 S צוארון ספוגי</t>
  </si>
  <si>
    <t xml:space="preserve">60 XL צוארון ספוגי</t>
  </si>
  <si>
    <t xml:space="preserve">60 XXL צוארון ספוגי</t>
  </si>
  <si>
    <t xml:space="preserve">60XS צוארון ספוגי</t>
  </si>
  <si>
    <t xml:space="preserve">62 M צוארון ספוגי</t>
  </si>
  <si>
    <t xml:space="preserve">62 S צוארון ספוגי</t>
  </si>
  <si>
    <t xml:space="preserve">62 XL צוארון ספוגי</t>
  </si>
  <si>
    <t xml:space="preserve">63 L צוארון פלסטי מתכוון</t>
  </si>
  <si>
    <t xml:space="preserve">63 M צוארון פלסטי מתכוון</t>
  </si>
  <si>
    <t xml:space="preserve">63 S צוארון פלסטי מתכוון</t>
  </si>
  <si>
    <t xml:space="preserve">FC310-תתקרם הגנה לכף הרגל</t>
  </si>
  <si>
    <t xml:space="preserve">FC311-תתקרם דאודורנט לכף הרגל</t>
  </si>
  <si>
    <t xml:space="preserve">FC312-תתקרם מירוק גרגרי פילינג</t>
  </si>
  <si>
    <t xml:space="preserve">FC313- תתקרם ריכוך</t>
  </si>
  <si>
    <t xml:space="preserve">FC314-תתטלק נוזלי</t>
  </si>
  <si>
    <t xml:space="preserve">FC315-תתג'ל צינון</t>
  </si>
  <si>
    <t xml:space="preserve">FC316   קרם רגליים שיקומי</t>
  </si>
  <si>
    <t xml:space="preserve">FC330Z-תתדאו'אנטי בקט.לנעל120</t>
  </si>
  <si>
    <t xml:space="preserve">FC331Z- 120 תתתרסיס מרענן לרגל</t>
  </si>
  <si>
    <t xml:space="preserve">FC341-טיפות נגד פטרת הציפורן</t>
  </si>
  <si>
    <t xml:space="preserve">30 L מגן קרסול מתכוון עם סקוטש</t>
  </si>
  <si>
    <t xml:space="preserve">30 M מגן קרסול מתכוון עם סקוטש</t>
  </si>
  <si>
    <t xml:space="preserve">30 S מגן קרסול מתכוון עם סקוטש</t>
  </si>
  <si>
    <t xml:space="preserve">30 XL מגן קרסול מתכוון סקוטש</t>
  </si>
  <si>
    <t xml:space="preserve">30 XXL מגן קרסול מתכוון+סקוטש</t>
  </si>
  <si>
    <t xml:space="preserve">32 L  סד קרסול+מוטות אלומיניום</t>
  </si>
  <si>
    <t xml:space="preserve">32 M  סד קרסול+מוטות אלומיניום</t>
  </si>
  <si>
    <t xml:space="preserve">32 XL סד קרסול+מוטות אלומיניום</t>
  </si>
  <si>
    <t xml:space="preserve">322-L מגן קרסול+כרית סילקון</t>
  </si>
  <si>
    <t xml:space="preserve">322-M מגן קרסול+כרית סילקון</t>
  </si>
  <si>
    <t xml:space="preserve">322-S מגן קרסול+כרית סילקון</t>
  </si>
  <si>
    <t xml:space="preserve">322XL מגן קרסול+כרית סילקון</t>
  </si>
  <si>
    <t xml:space="preserve">322XXLמגן קרסול+כרית סילקון</t>
  </si>
  <si>
    <t xml:space="preserve">33 Lסד קל לקרסול עם סדי פלסטיק</t>
  </si>
  <si>
    <t xml:space="preserve">33 Mסד קל לקרסול עם סדי פלסטיק</t>
  </si>
  <si>
    <t xml:space="preserve">33 Sסד קל לקרסול עם סדי פלסטיק</t>
  </si>
  <si>
    <t xml:space="preserve">33 XL.סד קל לקרסול עם סדי פלסט</t>
  </si>
  <si>
    <t xml:space="preserve">332CL'מייצב קרסול עם שרוכים בז</t>
  </si>
  <si>
    <t xml:space="preserve">332CM'מייצב קרסול עם שרוכים בז</t>
  </si>
  <si>
    <t xml:space="preserve">332CS'מייצב קרסול עם שרוכים בז</t>
  </si>
  <si>
    <t xml:space="preserve">332CXLמייצב קרסול עם שרוכים בז</t>
  </si>
  <si>
    <t xml:space="preserve">332CXXLמיצב קרסול עם שרוכים בז</t>
  </si>
  <si>
    <t xml:space="preserve">333 סד לקרסול עם כריות אויר</t>
  </si>
  <si>
    <t xml:space="preserve">34  L מגן קרסול עקב סגור</t>
  </si>
  <si>
    <t xml:space="preserve">34  M מגן קרסול עקב סגור</t>
  </si>
  <si>
    <t xml:space="preserve">34  S מגן קרסול עקב סגור</t>
  </si>
  <si>
    <t xml:space="preserve">34 XL מגן קרסול עקב סגור</t>
  </si>
  <si>
    <t xml:space="preserve">34 XS מגן קרסול עקב סגור</t>
  </si>
  <si>
    <t xml:space="preserve">34 XXL מגן קרסול עקב סגור</t>
  </si>
  <si>
    <t xml:space="preserve">34+ L מגן קרסול עקב סגור+רצוע</t>
  </si>
  <si>
    <t xml:space="preserve">34+ M מגן קרסול עקב סגור+רצוע</t>
  </si>
  <si>
    <t xml:space="preserve">34+ S מגן קרסול עקב סגור+רצוע</t>
  </si>
  <si>
    <t xml:space="preserve">34+XL מגן קרסול עקב סגור+רצוע</t>
  </si>
  <si>
    <t xml:space="preserve">34+XXL מ.קרסול+עכב סגור+רצועות</t>
  </si>
  <si>
    <t xml:space="preserve">35 L מגן קרסול לבן</t>
  </si>
  <si>
    <t xml:space="preserve">35 M מגן קרסול לבן</t>
  </si>
  <si>
    <t xml:space="preserve">35 S מגן קרסול לבן</t>
  </si>
  <si>
    <t xml:space="preserve">35 XL מגן קרסול לבן</t>
  </si>
  <si>
    <t xml:space="preserve">35 XS מגן קרסול לבן</t>
  </si>
  <si>
    <t xml:space="preserve">35 XXL מגן קרסול לבן</t>
  </si>
  <si>
    <t xml:space="preserve">35B L מגן קרסול שחור</t>
  </si>
  <si>
    <t xml:space="preserve">35B M מגן קרסול שחור</t>
  </si>
  <si>
    <t xml:space="preserve">35B S מגן קרסול שחור</t>
  </si>
  <si>
    <t xml:space="preserve">35B XL מגן קרסול שחור</t>
  </si>
  <si>
    <t xml:space="preserve">35B XXL מגן קרסול שחור</t>
  </si>
  <si>
    <t xml:space="preserve">35C L מגן קרסול חום</t>
  </si>
  <si>
    <t xml:space="preserve">35C M מגן קרסול חום</t>
  </si>
  <si>
    <t xml:space="preserve">35C S מגן קרסול חום</t>
  </si>
  <si>
    <t xml:space="preserve">35C XL מגן קרסול חום</t>
  </si>
  <si>
    <t xml:space="preserve">35C XXL מגן קרסול חום</t>
  </si>
  <si>
    <t xml:space="preserve">AC37 מגן קרסול נושם</t>
  </si>
  <si>
    <t xml:space="preserve">SH333 מקבע קרסול</t>
  </si>
  <si>
    <t xml:space="preserve">ST37 חבק לקרסול</t>
  </si>
  <si>
    <t xml:space="preserve">T32 S סד קרסול+מוטות אלומיניום</t>
  </si>
  <si>
    <t xml:space="preserve">T33  L  סד לקרסול</t>
  </si>
  <si>
    <t xml:space="preserve">T33  M  סד לקרסול</t>
  </si>
  <si>
    <t xml:space="preserve">T33 XXL סד לקרסול</t>
  </si>
  <si>
    <t xml:space="preserve">T35 Lמגן קרסול+ צמדן</t>
  </si>
  <si>
    <t xml:space="preserve">T35 Mמגן קרסול+ צמדן</t>
  </si>
  <si>
    <t xml:space="preserve">T35 Sמגן קרסול+ צמדן</t>
  </si>
  <si>
    <t xml:space="preserve">T35 XLמגן קרסול+ צמדן</t>
  </si>
  <si>
    <t xml:space="preserve">301CM 41-45 'רפידת ג'ל בז</t>
  </si>
  <si>
    <t xml:space="preserve">301CW 36-40 'רפידת ג'ל בז</t>
  </si>
  <si>
    <t xml:space="preserve">301JM רפידת ג'ל כחול40-45</t>
  </si>
  <si>
    <t xml:space="preserve">301JW רפידת ג'ל כחול36-40</t>
  </si>
  <si>
    <t xml:space="preserve">35-37 רפידת ספורט 376 מידה</t>
  </si>
  <si>
    <t xml:space="preserve">370  רפידת נוחות-זוג</t>
  </si>
  <si>
    <t xml:space="preserve">370K 0 רפידת לילדים אנטי ריח</t>
  </si>
  <si>
    <t xml:space="preserve">371 רפידת מגבת כותנה-זוג</t>
  </si>
  <si>
    <t xml:space="preserve">372 רפידת אנטי ריח -זוג</t>
  </si>
  <si>
    <t xml:space="preserve">374 רפידת בולמת זעזועים -זוג</t>
  </si>
  <si>
    <t xml:space="preserve">377   רפ.ורטופדית ספורט זוג38</t>
  </si>
  <si>
    <t xml:space="preserve">377   רפידה אורט.ספורט זוג43</t>
  </si>
  <si>
    <t xml:space="preserve">377  רפ.אורטופדית ספורט זוג35</t>
  </si>
  <si>
    <t xml:space="preserve">377  רפ.אורטופדית ספורט זוג37</t>
  </si>
  <si>
    <t xml:space="preserve">377  רפ.אורטופדית ספורט זוג39</t>
  </si>
  <si>
    <t xml:space="preserve">377  רפ.אורטופדית ספורט זוג40</t>
  </si>
  <si>
    <t xml:space="preserve">377  רפ.אורטופדית ספורט זוג46</t>
  </si>
  <si>
    <t xml:space="preserve">377  רפידה אורט.ספורט זוג44</t>
  </si>
  <si>
    <t xml:space="preserve">377  רפידה אורטופ.ספורט זוג41</t>
  </si>
  <si>
    <t xml:space="preserve">377 רפ.אורטופדית ספורט זוג36</t>
  </si>
  <si>
    <t xml:space="preserve">377 רפ.אורטופדית ספורט זוג45</t>
  </si>
  <si>
    <t xml:space="preserve">377 רפידה אורטופ.ספורט זוג42</t>
  </si>
  <si>
    <t xml:space="preserve">38-40 רפידת ספורט 376 מידה</t>
  </si>
  <si>
    <t xml:space="preserve">41-43 רפידת ספורט 376 מידה</t>
  </si>
  <si>
    <t xml:space="preserve">44-45 רפידת ספורט 376 מידה</t>
  </si>
  <si>
    <t xml:space="preserve">46-47 רפידת ספורט 376 מידה</t>
  </si>
  <si>
    <t xml:space="preserve">SP372 רפידה אנטי ריח ספורט</t>
  </si>
  <si>
    <t xml:space="preserve">49  L מגן ירך</t>
  </si>
  <si>
    <t xml:space="preserve">49  M מגן ירך</t>
  </si>
  <si>
    <t xml:space="preserve">49  S מגן ירך</t>
  </si>
  <si>
    <t xml:space="preserve">49 XL מגן ירך</t>
  </si>
  <si>
    <t xml:space="preserve">49 XXL מגן ירך</t>
  </si>
  <si>
    <t xml:space="preserve">AC49 מגן ירך</t>
  </si>
  <si>
    <t xml:space="preserve">ST49 מגן ירך</t>
  </si>
  <si>
    <t xml:space="preserve">T39  M מגן שוק</t>
  </si>
  <si>
    <t xml:space="preserve">T39  S מגן שוק</t>
  </si>
  <si>
    <t xml:space="preserve">T39 XL מגן שוק</t>
  </si>
  <si>
    <t xml:space="preserve">T49 M מגן ירך</t>
  </si>
  <si>
    <t xml:space="preserve">T49 XS מגן ירך</t>
  </si>
  <si>
    <t xml:space="preserve">AC-25 חבק לשורש כף היד</t>
  </si>
  <si>
    <t xml:space="preserve">AC-27L סד לש.כף יד שמאל</t>
  </si>
  <si>
    <t xml:space="preserve">AC-27R סד לש.כף יד ימין</t>
  </si>
  <si>
    <t xml:space="preserve">SC25  L חבק יד</t>
  </si>
  <si>
    <t xml:space="preserve">SC25  M חבק יד</t>
  </si>
  <si>
    <t xml:space="preserve">SC25  S חבק יד</t>
  </si>
  <si>
    <t xml:space="preserve">SC25 XL חבק יד</t>
  </si>
  <si>
    <t xml:space="preserve">SC35L  L מגן קרסול שמאל</t>
  </si>
  <si>
    <t xml:space="preserve">SC35L  M מגן קרסול שמאל</t>
  </si>
  <si>
    <t xml:space="preserve">SC35L  S מגן קרסול שמאל</t>
  </si>
  <si>
    <t xml:space="preserve">SC35L XL מגן קרסול שמאל</t>
  </si>
  <si>
    <t xml:space="preserve">SC35R  L מגן קרסול ימין</t>
  </si>
  <si>
    <t xml:space="preserve">SC35R  M מגן קרסול ימין</t>
  </si>
  <si>
    <t xml:space="preserve">SC35R  S מגן קרסול ימין</t>
  </si>
  <si>
    <t xml:space="preserve">SC35R  XLמגן קרסול ימין</t>
  </si>
  <si>
    <t xml:space="preserve">SC39  L מגן שוק</t>
  </si>
  <si>
    <t xml:space="preserve">SC39  M מגן שוק</t>
  </si>
  <si>
    <t xml:space="preserve">SC39  S מגן שוק</t>
  </si>
  <si>
    <t xml:space="preserve">SC39 XL מגן שוק</t>
  </si>
  <si>
    <t xml:space="preserve">SC39 XXLמגן שוק</t>
  </si>
  <si>
    <t xml:space="preserve">SC422  L מגן ברך</t>
  </si>
  <si>
    <t xml:space="preserve">SC422  M מגן ברך</t>
  </si>
  <si>
    <t xml:space="preserve">SC422 XL מגן ברך</t>
  </si>
  <si>
    <t xml:space="preserve">SC95 L מגן מרפק</t>
  </si>
  <si>
    <t xml:space="preserve">SC95 M מגן מרפק</t>
  </si>
  <si>
    <t xml:space="preserve">SC95 XLמגן מרפק</t>
  </si>
  <si>
    <t xml:space="preserve">T39  L מגן שוק</t>
  </si>
  <si>
    <t xml:space="preserve">381 HV רצועה אלסטית</t>
  </si>
  <si>
    <t xml:space="preserve">388B L סד לילה שחור לבוהן ימין</t>
  </si>
  <si>
    <t xml:space="preserve">388B L סד לילה שחור לבוהן שמאל</t>
  </si>
  <si>
    <t xml:space="preserve">801  תחבושת אלסטית מקררת</t>
  </si>
  <si>
    <t xml:space="preserve">806CB-BEIGE      תחבושת א.נצמ</t>
  </si>
  <si>
    <t xml:space="preserve">806CB-BLACK      תחבושת א.נצמ</t>
  </si>
  <si>
    <t xml:space="preserve">806CB-GREEN      תחבושת א.נצמ</t>
  </si>
  <si>
    <t xml:space="preserve">806CB-PINK       תחבושת א.נצמ</t>
  </si>
  <si>
    <t xml:space="preserve">807B-Bתחבושת נצמדת שחור 20 מ""מ</t>
  </si>
  <si>
    <t xml:space="preserve">807CB-BLתחבושת נצמדת כחול20מ""מ</t>
  </si>
  <si>
    <t xml:space="preserve">807CB-Cתחבושת נצמדת בז' 20 מ""מ</t>
  </si>
  <si>
    <t xml:space="preserve">807CB-P תחבושת נצמדת ורוד 20ממ</t>
  </si>
  <si>
    <t xml:space="preserve">B10 - תחבושת אלסטית 10 ס""מ</t>
  </si>
  <si>
    <t xml:space="preserve">B10 - תחבושת אלסטית 5ס""מ</t>
  </si>
  <si>
    <t xml:space="preserve">B75 תחבושת אלסטית 7.5ס""מ</t>
  </si>
  <si>
    <t xml:space="preserve">Sales Comparison 2025 vs 2026 (Annualized) - Group: בתי מרקחת — CEMI (PPLAY1) + SALES (NetSuite "107 - Pharmacies") COMBINED (by CHEMIPAL Code / raw item name) — updated 25/09/2026</t>
  </si>
  <si>
    <t xml:space="preserve">UPDATED 25/09/2026: this sheet now combines BOTH source systems for בתי מרקחת - CEMI/PPLAY1 (group #4, from kirill/outputs/2026-09-25-CEMI-UPDATED-grouped-2025-vs-2026.xlsx, already 100% CHEMIPAL-Code-matched) AND SALES/NetSuite (Sale Type "107 - Pharmacies") - not CEMI-only as before. For each product (CHEMIPAL Code where matched - via TRANS, automatically or via 3 user-approved manual override rules re-used from מאוחדת: 397/397A "אנטי", 363 "בננה", 394 color family B/W/G - see the "בתי מרקחת Raw" sheet note for full detail; otherwise the raw item name itself, so unmatched items are still fully included), 2025/2026 quantity and amount are a SIMPLE SUM of both sources. "67 0" is intentionally kept as its own product row (no CHEMIPAL Code exists for it in TRANS or the Catalog) per explicit 25/09/2026 instruction - it is an important product, not a non-product adjustment line. First-pass matching/reporting only (without these rules) was done in kirill/outputs/2026-09-25-BETI-comparison.xlsx - see that file for the full match-rate audit trail. Other groups in this file (BE / סופר פארם / מאוחדת / 0פארמים) are unaffected - unchanged.</t>
  </si>
  <si>
    <t xml:space="preserve">Annualization note: 2026 actual data covers approximately 9.5 months (1 Jan - 15 Sep 2026) for CEMI, and a similar partial-year window for SALES. Per 25/09/2026 instruction, the SAME factor already used for every other group in this file is reused here for consistency (12 / 9.5 ≈ 1.263158) - straight-line extrapolation, does NOT account for seasonality - treat as an estimate, not an exact forecast.</t>
  </si>
  <si>
    <t xml:space="preserve">Months in full year:</t>
  </si>
  <si>
    <t xml:space="preserve">Months covered by 2026 actual (1/1–15/9):</t>
  </si>
  <si>
    <t xml:space="preserve"># DROP (sold 2025, 0 in 2026):</t>
  </si>
  <si>
    <t xml:space="preserve"># NEW (sold 2026, 0 in 2025):</t>
  </si>
  <si>
    <t xml:space="preserve">Normalization factor (J4/L4):</t>
  </si>
  <si>
    <t xml:space="preserve">DROP — Quantity 2025:</t>
  </si>
  <si>
    <t xml:space="preserve">DROP — Amount 2025 (₪):</t>
  </si>
  <si>
    <t xml:space="preserve">NEW — Quantity 2026:</t>
  </si>
  <si>
    <t xml:space="preserve">NEW — Amount 2026 (₪):</t>
  </si>
  <si>
    <t xml:space="preserve">NEW — Quantity 2026 Annualized:</t>
  </si>
  <si>
    <t xml:space="preserve">NEW — Amount 2026 Annualized (₪):</t>
  </si>
  <si>
    <t xml:space="preserve">Product Code</t>
  </si>
  <si>
    <t xml:space="preserve">Product Name</t>
  </si>
  <si>
    <t xml:space="preserve">Quantity 2026 (Actual, partial year)</t>
  </si>
  <si>
    <t xml:space="preserve">Quantity 2026 (Annualized)</t>
  </si>
  <si>
    <t xml:space="preserve">Quantity Change (Annualized vs 2025)</t>
  </si>
  <si>
    <t xml:space="preserve">Quantity Change % (Annualized vs 2025)</t>
  </si>
  <si>
    <t xml:space="preserve">Amount 2026 (Actual, partial year) (₪)</t>
  </si>
  <si>
    <t xml:space="preserve">062 XXL</t>
  </si>
  <si>
    <t xml:space="preserve">06U M</t>
  </si>
  <si>
    <t xml:space="preserve">06U XXL</t>
  </si>
  <si>
    <t xml:space="preserve">07UB-L-XL</t>
  </si>
  <si>
    <t xml:space="preserve">07UB-S-M</t>
  </si>
  <si>
    <t xml:space="preserve">10 XXL</t>
  </si>
  <si>
    <t xml:space="preserve">11EU S</t>
  </si>
  <si>
    <t xml:space="preserve">11EU XS</t>
  </si>
  <si>
    <t xml:space="preserve">11PS M</t>
  </si>
  <si>
    <t xml:space="preserve">13 L</t>
  </si>
  <si>
    <t xml:space="preserve">13 M</t>
  </si>
  <si>
    <t xml:space="preserve">15M L</t>
  </si>
  <si>
    <t xml:space="preserve">15M XL</t>
  </si>
  <si>
    <t xml:space="preserve">15W S</t>
  </si>
  <si>
    <t xml:space="preserve">15W XL</t>
  </si>
  <si>
    <t xml:space="preserve">18 L</t>
  </si>
  <si>
    <t xml:space="preserve">18 M</t>
  </si>
  <si>
    <t xml:space="preserve">18 S</t>
  </si>
  <si>
    <t xml:space="preserve">18 XL</t>
  </si>
  <si>
    <t xml:space="preserve">18 XXL</t>
  </si>
  <si>
    <t xml:space="preserve">239P-S-M</t>
  </si>
  <si>
    <t xml:space="preserve">30 S</t>
  </si>
  <si>
    <t xml:space="preserve">303-43-44</t>
  </si>
  <si>
    <t xml:space="preserve">305GA-35-36</t>
  </si>
  <si>
    <t xml:space="preserve">32 M</t>
  </si>
  <si>
    <t xml:space="preserve">322B M</t>
  </si>
  <si>
    <t xml:space="preserve">332B L</t>
  </si>
  <si>
    <t xml:space="preserve">332B M</t>
  </si>
  <si>
    <t xml:space="preserve">35 XS</t>
  </si>
  <si>
    <t xml:space="preserve">376-38-40</t>
  </si>
  <si>
    <t xml:space="preserve">376-44-45</t>
  </si>
  <si>
    <t xml:space="preserve">390G-39-42</t>
  </si>
  <si>
    <t xml:space="preserve">422 XL</t>
  </si>
  <si>
    <t xml:space="preserve">422 XXL</t>
  </si>
  <si>
    <t xml:space="preserve">422E XL</t>
  </si>
  <si>
    <t xml:space="preserve">422EB L</t>
  </si>
  <si>
    <t xml:space="preserve">422ED L</t>
  </si>
  <si>
    <t xml:space="preserve">45C XXL</t>
  </si>
  <si>
    <t xml:space="preserve">48 S</t>
  </si>
  <si>
    <t xml:space="preserve">48 XL</t>
  </si>
  <si>
    <t xml:space="preserve">49PS L</t>
  </si>
  <si>
    <t xml:space="preserve">49PS M</t>
  </si>
  <si>
    <t xml:space="preserve">49PS XL</t>
  </si>
  <si>
    <t xml:space="preserve">50 S</t>
  </si>
  <si>
    <t xml:space="preserve">50 XXL</t>
  </si>
  <si>
    <t xml:space="preserve">55 M</t>
  </si>
  <si>
    <t xml:space="preserve">55 XXL</t>
  </si>
  <si>
    <t xml:space="preserve">56B XL</t>
  </si>
  <si>
    <t xml:space="preserve">59R XXL</t>
  </si>
  <si>
    <t xml:space="preserve">63 L</t>
  </si>
  <si>
    <t xml:space="preserve">63 S</t>
  </si>
  <si>
    <t xml:space="preserve">67 0</t>
  </si>
  <si>
    <t xml:space="preserve">67600000</t>
  </si>
  <si>
    <t xml:space="preserve">776 L</t>
  </si>
  <si>
    <t xml:space="preserve">776 M</t>
  </si>
  <si>
    <t xml:space="preserve">776 XXL</t>
  </si>
  <si>
    <t xml:space="preserve">78A S</t>
  </si>
  <si>
    <t xml:space="preserve">84-S-M</t>
  </si>
  <si>
    <t xml:space="preserve">FC316 0</t>
  </si>
  <si>
    <t xml:space="preserve">M93</t>
  </si>
  <si>
    <t xml:space="preserve">SH776 L</t>
  </si>
  <si>
    <t xml:space="preserve">T28A XS</t>
  </si>
  <si>
    <t xml:space="preserve">T28AC XS</t>
  </si>
  <si>
    <t xml:space="preserve">T39 L</t>
  </si>
  <si>
    <t xml:space="preserve">T39 M</t>
  </si>
  <si>
    <t xml:space="preserve">T402 L</t>
  </si>
  <si>
    <t xml:space="preserve">T402 M</t>
  </si>
  <si>
    <t xml:space="preserve">T402 XL</t>
  </si>
  <si>
    <t xml:space="preserve">T402 XXL</t>
  </si>
  <si>
    <t xml:space="preserve">T45X L</t>
  </si>
  <si>
    <t xml:space="preserve">T45X M</t>
  </si>
  <si>
    <t xml:space="preserve">TOTAL</t>
  </si>
  <si>
    <t xml:space="preserve">בתי מרקחת Raw — combined CEMI (PPLAY1, group #4) + SALES (NetSuite "107 - Pharmacies") item-level data</t>
  </si>
  <si>
    <t xml:space="preserve">Source: kirill/outputs/2026-09-25-CEMI-UPDATED-grouped-2025-vs-2026.xlsx ("בתי מרקחת Raw", already 100% CHEMIPAL-Code-matched via the "חנה_1" Catalog) + kirill/outputs/2026-09-20-salestype-2025-vs-2026.xlsx (Source sheet, Sale Type "107 - Pharmacies"). Product Key = CHEMIPAL Code where matched (via TRANS, automatically or via the 3 user-approved manual override RULES below); otherwise the raw item name itself, so every row from both sources is included - per 25/09/2026 instruction, ALL remaining unmatched SALES items are kept as their own product rows (not dropped), unlike a plain "exclude the unmatched" approach. Manual override RULES applied (same 3 rules already approved for מאוחדת, re-verified here against BOTH TRANS and the fuller 777-row Catalog): (1) "397"/"397A" - items whose description contains "אנטי" are the anti-bacterial variant of the same product: SALES "397-35-38" -&gt; 4403041, "397-43-46" -&gt; 4403043 (TRANS+Catalog agree). (2) "363" - "בננה" variants are the same product: SALES "363 L/R" -&gt; 4402000 (TRANS+Catalog agree). (3) "394" color family (B=שחור/black, W=לבן/white, G=אפור/gray - 3 legitimate variants): unlike at מאוחדת (where TRANS lacked a 394G code and it was left Unmatched), the FULLER 777-row Catalog DOES have 394G codes (4403020/4403021/4403022) - and CEMI's own בתי מרקחת 2025 data already uses them (17/30/37 units respectively) - so SALES "394G-35-38/39-42/43-46" ARE matched here: -&gt; 4403020/4403021/4403022. NOTE for Reuven: this suggests the earlier "no CHEMIPAL Code exists for 394G" conclusion at מאוחדת (based on TRANS alone) may be revisable using this fuller Catalog - flagged, not changed here (out of scope for this task). "67 0" (SALES, unmatched, no CHEMIPAL Code in either TRANS or the Catalog) is KEPT as its own product row in both years per explicit 25/09/2026 instruction ("פריט חשוב, אל תשמיט") - not excluded like a non-product adjustment line.</t>
  </si>
  <si>
    <t xml:space="preserve">Source</t>
  </si>
  <si>
    <t xml:space="preserve">Item Name (raw)</t>
  </si>
  <si>
    <t xml:space="preserve">Year</t>
  </si>
  <si>
    <t xml:space="preserve">Quantity</t>
  </si>
  <si>
    <t xml:space="preserve">Amount (₪)</t>
  </si>
  <si>
    <t xml:space="preserve">Product Key (CHEMIPAL Code or raw name)</t>
  </si>
  <si>
    <t xml:space="preserve">CEMI</t>
  </si>
  <si>
    <t xml:space="preserve">SALES</t>
  </si>
  <si>
    <t xml:space="preserve">369-S-L</t>
  </si>
  <si>
    <t xml:space="preserve">369-XL</t>
  </si>
  <si>
    <t xml:space="preserve">PD344 0</t>
  </si>
  <si>
    <t xml:space="preserve">805AT-C</t>
  </si>
  <si>
    <t xml:space="preserve">805AT-W</t>
  </si>
  <si>
    <t xml:space="preserve">363 L/R</t>
  </si>
  <si>
    <t xml:space="preserve">320 0</t>
  </si>
  <si>
    <t xml:space="preserve">390B-43-46</t>
  </si>
  <si>
    <t xml:space="preserve">390G-43-46</t>
  </si>
  <si>
    <t xml:space="preserve">394B-35-38</t>
  </si>
  <si>
    <t xml:space="preserve">394B-39-42</t>
  </si>
  <si>
    <t xml:space="preserve">394B-43-46</t>
  </si>
  <si>
    <t xml:space="preserve">394G-35-38</t>
  </si>
  <si>
    <t xml:space="preserve">394G-39-42</t>
  </si>
  <si>
    <t xml:space="preserve">394G-43-46</t>
  </si>
  <si>
    <t xml:space="preserve">394W-35-38</t>
  </si>
  <si>
    <t xml:space="preserve">394W-39-42</t>
  </si>
  <si>
    <t xml:space="preserve">394W-43-46</t>
  </si>
  <si>
    <t xml:space="preserve">397-39-42</t>
  </si>
  <si>
    <t xml:space="preserve">ST3555-S-M</t>
  </si>
  <si>
    <t xml:space="preserve">ST3555-L-XL</t>
  </si>
  <si>
    <t xml:space="preserve">397-35-38</t>
  </si>
  <si>
    <t xml:space="preserve">397A-35-38</t>
  </si>
  <si>
    <t xml:space="preserve">397A-39-42</t>
  </si>
  <si>
    <t xml:space="preserve">397-43-46</t>
  </si>
  <si>
    <t xml:space="preserve">397A-43-46</t>
  </si>
  <si>
    <t xml:space="preserve">395B-39-42</t>
  </si>
  <si>
    <t xml:space="preserve">395B-43-46</t>
  </si>
  <si>
    <t xml:space="preserve">07AU M</t>
  </si>
  <si>
    <t xml:space="preserve">07AU XL</t>
  </si>
  <si>
    <t xml:space="preserve">07AU XXL</t>
  </si>
  <si>
    <t xml:space="preserve">10 L</t>
  </si>
  <si>
    <t xml:space="preserve">10 M</t>
  </si>
  <si>
    <t xml:space="preserve">10 XL</t>
  </si>
  <si>
    <t xml:space="preserve">11 S</t>
  </si>
  <si>
    <t xml:space="preserve">11 L</t>
  </si>
  <si>
    <t xml:space="preserve">11 M</t>
  </si>
  <si>
    <t xml:space="preserve">11 XL</t>
  </si>
  <si>
    <t xml:space="preserve">11 XXL</t>
  </si>
  <si>
    <t xml:space="preserve">20 L</t>
  </si>
  <si>
    <t xml:space="preserve">20 M</t>
  </si>
  <si>
    <t xml:space="preserve">20 S</t>
  </si>
  <si>
    <t xml:space="preserve">21 S</t>
  </si>
  <si>
    <t xml:space="preserve">21 L</t>
  </si>
  <si>
    <t xml:space="preserve">21 M</t>
  </si>
  <si>
    <t xml:space="preserve">21 XL</t>
  </si>
  <si>
    <t xml:space="preserve">59D S</t>
  </si>
  <si>
    <t xml:space="preserve">59D L</t>
  </si>
  <si>
    <t xml:space="preserve">59D M</t>
  </si>
  <si>
    <t xml:space="preserve">59D XL</t>
  </si>
  <si>
    <t xml:space="preserve">59L S</t>
  </si>
  <si>
    <t xml:space="preserve">59L L</t>
  </si>
  <si>
    <t xml:space="preserve">59L M</t>
  </si>
  <si>
    <t xml:space="preserve">59L XL</t>
  </si>
  <si>
    <t xml:space="preserve">59R S</t>
  </si>
  <si>
    <t xml:space="preserve">59R L</t>
  </si>
  <si>
    <t xml:space="preserve">59R M</t>
  </si>
  <si>
    <t xml:space="preserve">59R XL</t>
  </si>
  <si>
    <t xml:space="preserve">922 L</t>
  </si>
  <si>
    <t xml:space="preserve">922 XL</t>
  </si>
  <si>
    <t xml:space="preserve">T11C L</t>
  </si>
  <si>
    <t xml:space="preserve">T11C M</t>
  </si>
  <si>
    <t xml:space="preserve">T11C XL</t>
  </si>
  <si>
    <t xml:space="preserve">T11C XXL</t>
  </si>
  <si>
    <t xml:space="preserve">T20-S-M</t>
  </si>
  <si>
    <t xml:space="preserve">T20-L-XL</t>
  </si>
  <si>
    <t xml:space="preserve">T20C-S-M</t>
  </si>
  <si>
    <t xml:space="preserve">T20C-L-XL</t>
  </si>
  <si>
    <t xml:space="preserve">T25 0</t>
  </si>
  <si>
    <t xml:space="preserve">T25C 0</t>
  </si>
  <si>
    <t xml:space="preserve">11EU M</t>
  </si>
  <si>
    <t xml:space="preserve">11EU L</t>
  </si>
  <si>
    <t xml:space="preserve">11EU XL</t>
  </si>
  <si>
    <t xml:space="preserve">06U L</t>
  </si>
  <si>
    <t xml:space="preserve">06U XL</t>
  </si>
  <si>
    <t xml:space="preserve">15W L</t>
  </si>
  <si>
    <t xml:space="preserve">11EU XXL</t>
  </si>
  <si>
    <t xml:space="preserve">077A-S-M</t>
  </si>
  <si>
    <t xml:space="preserve">077A-L-XL</t>
  </si>
  <si>
    <t xml:space="preserve">11PS S</t>
  </si>
  <si>
    <t xml:space="preserve">11PS L</t>
  </si>
  <si>
    <t xml:space="preserve">11PS XL</t>
  </si>
  <si>
    <t xml:space="preserve">11PS XXL</t>
  </si>
  <si>
    <t xml:space="preserve">11TO XXL</t>
  </si>
  <si>
    <t xml:space="preserve">13 XL</t>
  </si>
  <si>
    <t xml:space="preserve">078 L</t>
  </si>
  <si>
    <t xml:space="preserve">14 0</t>
  </si>
  <si>
    <t xml:space="preserve">AC07 0</t>
  </si>
  <si>
    <t xml:space="preserve">AC25 0</t>
  </si>
  <si>
    <t xml:space="preserve">AC91 0</t>
  </si>
  <si>
    <t xml:space="preserve">078 XL</t>
  </si>
  <si>
    <t xml:space="preserve">078G XL</t>
  </si>
  <si>
    <t xml:space="preserve">16-L-XL</t>
  </si>
  <si>
    <t xml:space="preserve">16-S-M</t>
  </si>
  <si>
    <t xml:space="preserve">SC25 S</t>
  </si>
  <si>
    <t xml:space="preserve">SC25 M</t>
  </si>
  <si>
    <t xml:space="preserve">SC25 L</t>
  </si>
  <si>
    <t xml:space="preserve">SC25 XL</t>
  </si>
  <si>
    <t xml:space="preserve">11STO S</t>
  </si>
  <si>
    <t xml:space="preserve">11STO M</t>
  </si>
  <si>
    <t xml:space="preserve">11STO L</t>
  </si>
  <si>
    <t xml:space="preserve">11STO XL</t>
  </si>
  <si>
    <t xml:space="preserve">11STO XXL</t>
  </si>
  <si>
    <t xml:space="preserve">T25B 0</t>
  </si>
  <si>
    <t xml:space="preserve">91B 0</t>
  </si>
  <si>
    <t xml:space="preserve">70N XS</t>
  </si>
  <si>
    <t xml:space="preserve">365-S-L</t>
  </si>
  <si>
    <t xml:space="preserve">365-XL</t>
  </si>
  <si>
    <t xml:space="preserve">FC335 0</t>
  </si>
  <si>
    <t xml:space="preserve">808KT-P</t>
  </si>
  <si>
    <t xml:space="preserve">808KT-BL</t>
  </si>
  <si>
    <t xml:space="preserve">808KT-C</t>
  </si>
  <si>
    <t xml:space="preserve">808KT-B</t>
  </si>
  <si>
    <t xml:space="preserve">362-L-R</t>
  </si>
  <si>
    <t xml:space="preserve">3623 0</t>
  </si>
  <si>
    <t xml:space="preserve">820 0</t>
  </si>
  <si>
    <t xml:space="preserve">307 XL</t>
  </si>
  <si>
    <t xml:space="preserve">212 L</t>
  </si>
  <si>
    <t xml:space="preserve">212 M</t>
  </si>
  <si>
    <t xml:space="preserve">212 S</t>
  </si>
  <si>
    <t xml:space="preserve">311 0</t>
  </si>
  <si>
    <t xml:space="preserve">312 0</t>
  </si>
  <si>
    <t xml:space="preserve">34 M</t>
  </si>
  <si>
    <t xml:space="preserve">34 S</t>
  </si>
  <si>
    <t xml:space="preserve">34 L</t>
  </si>
  <si>
    <t xml:space="preserve">34 XL</t>
  </si>
  <si>
    <t xml:space="preserve">35 S</t>
  </si>
  <si>
    <t xml:space="preserve">35 L</t>
  </si>
  <si>
    <t xml:space="preserve">35 M</t>
  </si>
  <si>
    <t xml:space="preserve">35 XL</t>
  </si>
  <si>
    <t xml:space="preserve">35 XXL</t>
  </si>
  <si>
    <t xml:space="preserve">35C S</t>
  </si>
  <si>
    <t xml:space="preserve">35C L</t>
  </si>
  <si>
    <t xml:space="preserve">35C M</t>
  </si>
  <si>
    <t xml:space="preserve">35C XL</t>
  </si>
  <si>
    <t xml:space="preserve">LF360 0</t>
  </si>
  <si>
    <t xml:space="preserve">3622S 0</t>
  </si>
  <si>
    <t xml:space="preserve">364-S-L</t>
  </si>
  <si>
    <t xml:space="preserve">364 XL</t>
  </si>
  <si>
    <t xml:space="preserve">3641 0</t>
  </si>
  <si>
    <t xml:space="preserve">366S 0</t>
  </si>
  <si>
    <t xml:space="preserve">3677S 0</t>
  </si>
  <si>
    <t xml:space="preserve">41 L</t>
  </si>
  <si>
    <t xml:space="preserve">41 M</t>
  </si>
  <si>
    <t xml:space="preserve">41 XL</t>
  </si>
  <si>
    <t xml:space="preserve">41X L</t>
  </si>
  <si>
    <t xml:space="preserve">45 L</t>
  </si>
  <si>
    <t xml:space="preserve">45 M</t>
  </si>
  <si>
    <t xml:space="preserve">45 S</t>
  </si>
  <si>
    <t xml:space="preserve">45 XL</t>
  </si>
  <si>
    <t xml:space="preserve">45 XXL</t>
  </si>
  <si>
    <t xml:space="preserve">45C S</t>
  </si>
  <si>
    <t xml:space="preserve">45C L</t>
  </si>
  <si>
    <t xml:space="preserve">45C M</t>
  </si>
  <si>
    <t xml:space="preserve">45C XL</t>
  </si>
  <si>
    <t xml:space="preserve">45E S</t>
  </si>
  <si>
    <t xml:space="preserve">45E L</t>
  </si>
  <si>
    <t xml:space="preserve">45E M</t>
  </si>
  <si>
    <t xml:space="preserve">45E XL</t>
  </si>
  <si>
    <t xml:space="preserve">45E XXL</t>
  </si>
  <si>
    <t xml:space="preserve">48 L</t>
  </si>
  <si>
    <t xml:space="preserve">48 M</t>
  </si>
  <si>
    <t xml:space="preserve">49 L</t>
  </si>
  <si>
    <t xml:space="preserve">50 L</t>
  </si>
  <si>
    <t xml:space="preserve">50 M</t>
  </si>
  <si>
    <t xml:space="preserve">50 XL</t>
  </si>
  <si>
    <t xml:space="preserve">55 L</t>
  </si>
  <si>
    <t xml:space="preserve">55 XL</t>
  </si>
  <si>
    <t xml:space="preserve">75 L</t>
  </si>
  <si>
    <t xml:space="preserve">75 XXL</t>
  </si>
  <si>
    <t xml:space="preserve">76 S</t>
  </si>
  <si>
    <t xml:space="preserve">76 L</t>
  </si>
  <si>
    <t xml:space="preserve">76 M</t>
  </si>
  <si>
    <t xml:space="preserve">76 XL</t>
  </si>
  <si>
    <t xml:space="preserve">85 L</t>
  </si>
  <si>
    <t xml:space="preserve">85 M</t>
  </si>
  <si>
    <t xml:space="preserve">85 S</t>
  </si>
  <si>
    <t xml:space="preserve">85 XL</t>
  </si>
  <si>
    <t xml:space="preserve">95 L</t>
  </si>
  <si>
    <t xml:space="preserve">95 M</t>
  </si>
  <si>
    <t xml:space="preserve">95 XL</t>
  </si>
  <si>
    <t xml:space="preserve">95 XS</t>
  </si>
  <si>
    <t xml:space="preserve">FC321 0</t>
  </si>
  <si>
    <t xml:space="preserve">PD341 0</t>
  </si>
  <si>
    <t xml:space="preserve">305GA-39-40</t>
  </si>
  <si>
    <t xml:space="preserve">305GA-41-42</t>
  </si>
  <si>
    <t xml:space="preserve">305GA-43-44</t>
  </si>
  <si>
    <t xml:space="preserve">305GA-45-46</t>
  </si>
  <si>
    <t xml:space="preserve">34+ M</t>
  </si>
  <si>
    <t xml:space="preserve">34+ L</t>
  </si>
  <si>
    <t xml:space="preserve">34+ XL</t>
  </si>
  <si>
    <t xml:space="preserve">74-L-XL</t>
  </si>
  <si>
    <t xml:space="preserve">85+ L</t>
  </si>
  <si>
    <t xml:space="preserve">85+ XL</t>
  </si>
  <si>
    <t xml:space="preserve">T39 S</t>
  </si>
  <si>
    <t xml:space="preserve">T45 L</t>
  </si>
  <si>
    <t xml:space="preserve">87 S</t>
  </si>
  <si>
    <t xml:space="preserve">87 M</t>
  </si>
  <si>
    <t xml:space="preserve">87 L</t>
  </si>
  <si>
    <t xml:space="preserve">87 XL</t>
  </si>
  <si>
    <t xml:space="preserve">87 XXL</t>
  </si>
  <si>
    <t xml:space="preserve">T45X XL</t>
  </si>
  <si>
    <t xml:space="preserve">T45X XXL</t>
  </si>
  <si>
    <t xml:space="preserve">T45 XXL</t>
  </si>
  <si>
    <t xml:space="preserve">3667 0</t>
  </si>
  <si>
    <t xml:space="preserve">AC37 0</t>
  </si>
  <si>
    <t xml:space="preserve">AC43D 0</t>
  </si>
  <si>
    <t xml:space="preserve">AC45X 0</t>
  </si>
  <si>
    <t xml:space="preserve">AC49 0</t>
  </si>
  <si>
    <t xml:space="preserve">AC95 0</t>
  </si>
  <si>
    <t xml:space="preserve">45 XS</t>
  </si>
  <si>
    <t xml:space="preserve">302M 0</t>
  </si>
  <si>
    <t xml:space="preserve">95C M</t>
  </si>
  <si>
    <t xml:space="preserve">95C L</t>
  </si>
  <si>
    <t xml:space="preserve">95C XL</t>
  </si>
  <si>
    <t xml:space="preserve">3674 0</t>
  </si>
  <si>
    <t xml:space="preserve">3675 0</t>
  </si>
  <si>
    <t xml:space="preserve">302W 0</t>
  </si>
  <si>
    <t xml:space="preserve">45EC S</t>
  </si>
  <si>
    <t xml:space="preserve">45EC M</t>
  </si>
  <si>
    <t xml:space="preserve">45EC L</t>
  </si>
  <si>
    <t xml:space="preserve">45EC XL</t>
  </si>
  <si>
    <t xml:space="preserve">45EC XXL</t>
  </si>
  <si>
    <t xml:space="preserve">SC95 M</t>
  </si>
  <si>
    <t xml:space="preserve">SC95 L</t>
  </si>
  <si>
    <t xml:space="preserve">SC95 XL</t>
  </si>
  <si>
    <t xml:space="preserve">SC39 S</t>
  </si>
  <si>
    <t xml:space="preserve">SC39 M</t>
  </si>
  <si>
    <t xml:space="preserve">SC39 L</t>
  </si>
  <si>
    <t xml:space="preserve">SC39 XL</t>
  </si>
  <si>
    <t xml:space="preserve">SC35L S</t>
  </si>
  <si>
    <t xml:space="preserve">SC35L M</t>
  </si>
  <si>
    <t xml:space="preserve">SC35L L</t>
  </si>
  <si>
    <t xml:space="preserve">SC35L XL</t>
  </si>
  <si>
    <t xml:space="preserve">SC35R S</t>
  </si>
  <si>
    <t xml:space="preserve">SC35R M</t>
  </si>
  <si>
    <t xml:space="preserve">SC35R L</t>
  </si>
  <si>
    <t xml:space="preserve">SC35R XL</t>
  </si>
  <si>
    <t xml:space="preserve">SC422 S</t>
  </si>
  <si>
    <t xml:space="preserve">SC422 M</t>
  </si>
  <si>
    <t xml:space="preserve">SC422 L</t>
  </si>
  <si>
    <t xml:space="preserve">SC422 XL</t>
  </si>
  <si>
    <t xml:space="preserve">SC422 XXL</t>
  </si>
  <si>
    <t xml:space="preserve">LF378 S</t>
  </si>
  <si>
    <t xml:space="preserve">386 0</t>
  </si>
  <si>
    <t xml:space="preserve">AC75-S-XL</t>
  </si>
  <si>
    <t xml:space="preserve">85K 0</t>
  </si>
  <si>
    <t xml:space="preserve">AC75 XXL</t>
  </si>
  <si>
    <t xml:space="preserve">45B M</t>
  </si>
  <si>
    <t xml:space="preserve">95B M</t>
  </si>
  <si>
    <t xml:space="preserve">95B XL</t>
  </si>
  <si>
    <t xml:space="preserve">85B M</t>
  </si>
  <si>
    <t xml:space="preserve">FC342 0</t>
  </si>
  <si>
    <t xml:space="preserve">26 L</t>
  </si>
  <si>
    <t xml:space="preserve">26 M</t>
  </si>
  <si>
    <t xml:space="preserve">28 L</t>
  </si>
  <si>
    <t xml:space="preserve">28 M</t>
  </si>
  <si>
    <t xml:space="preserve">28 S</t>
  </si>
  <si>
    <t xml:space="preserve">28 XL</t>
  </si>
  <si>
    <t xml:space="preserve">28 XS</t>
  </si>
  <si>
    <t xml:space="preserve">AC27L 0</t>
  </si>
  <si>
    <t xml:space="preserve">AC27R 0</t>
  </si>
  <si>
    <t xml:space="preserve">AC28 0</t>
  </si>
  <si>
    <t xml:space="preserve">237 0</t>
  </si>
  <si>
    <t xml:space="preserve">T28A-L-XL</t>
  </si>
  <si>
    <t xml:space="preserve">266 0</t>
  </si>
  <si>
    <t xml:space="preserve">268 0</t>
  </si>
  <si>
    <t xml:space="preserve">238 S</t>
  </si>
  <si>
    <t xml:space="preserve">238 M</t>
  </si>
  <si>
    <t xml:space="preserve">238 L</t>
  </si>
  <si>
    <t xml:space="preserve">238 XL</t>
  </si>
  <si>
    <t xml:space="preserve">313 0</t>
  </si>
  <si>
    <t xml:space="preserve">388BL 0</t>
  </si>
  <si>
    <t xml:space="preserve">388BR 0</t>
  </si>
  <si>
    <t xml:space="preserve">307 L</t>
  </si>
  <si>
    <t xml:space="preserve">307 M</t>
  </si>
  <si>
    <t xml:space="preserve">307 S</t>
  </si>
  <si>
    <t xml:space="preserve">308 L</t>
  </si>
  <si>
    <t xml:space="preserve">PD342 0</t>
  </si>
  <si>
    <t xml:space="preserve">60 L</t>
  </si>
  <si>
    <t xml:space="preserve">60 M</t>
  </si>
  <si>
    <t xml:space="preserve">60 S</t>
  </si>
  <si>
    <t xml:space="preserve">60 XL</t>
  </si>
  <si>
    <t xml:space="preserve">239B-S-M</t>
  </si>
  <si>
    <t xml:space="preserve">370 0</t>
  </si>
  <si>
    <t xml:space="preserve">371 0</t>
  </si>
  <si>
    <t xml:space="preserve">372 0</t>
  </si>
  <si>
    <t xml:space="preserve">374 0</t>
  </si>
  <si>
    <t xml:space="preserve">4022 0</t>
  </si>
  <si>
    <t xml:space="preserve">LF371 0</t>
  </si>
  <si>
    <t xml:space="preserve">LF373 0</t>
  </si>
  <si>
    <t xml:space="preserve">AC40 0</t>
  </si>
  <si>
    <t xml:space="preserve">3655 0</t>
  </si>
  <si>
    <t xml:space="preserve">3611 0</t>
  </si>
  <si>
    <t xml:space="preserve">3672 0</t>
  </si>
  <si>
    <t xml:space="preserve">250 0</t>
  </si>
  <si>
    <t xml:space="preserve">251 0</t>
  </si>
  <si>
    <t xml:space="preserve">350 0</t>
  </si>
  <si>
    <t xml:space="preserve">351 0</t>
  </si>
  <si>
    <t xml:space="preserve">801 0</t>
  </si>
  <si>
    <t xml:space="preserve">T78 S</t>
  </si>
  <si>
    <t xml:space="preserve">T78 M</t>
  </si>
  <si>
    <t xml:space="preserve">T78 L</t>
  </si>
  <si>
    <t xml:space="preserve">T78 XL</t>
  </si>
  <si>
    <t xml:space="preserve">T78 XXL</t>
  </si>
  <si>
    <t xml:space="preserve">806CB-C</t>
  </si>
  <si>
    <t xml:space="preserve">806CB-B</t>
  </si>
  <si>
    <t xml:space="preserve">806CB-GR</t>
  </si>
  <si>
    <t xml:space="preserve">806CB-P</t>
  </si>
  <si>
    <t xml:space="preserve">807CB-C</t>
  </si>
  <si>
    <t xml:space="preserve">807CB-P</t>
  </si>
  <si>
    <t xml:space="preserve">FC333 0</t>
  </si>
  <si>
    <t xml:space="preserve">FC334 0</t>
  </si>
  <si>
    <t xml:space="preserve">SH422 2</t>
  </si>
  <si>
    <t xml:space="preserve">SH422 3</t>
  </si>
  <si>
    <t xml:space="preserve">SH422 4</t>
  </si>
  <si>
    <t xml:space="preserve">SH422 5</t>
  </si>
  <si>
    <t xml:space="preserve">SH422 6</t>
  </si>
  <si>
    <t xml:space="preserve">Sales Comparison 2025 vs 2026 (Annualized) - Group: BE (by CHEMIPAL Code) — CEMI UPDATED 25/09/2026</t>
  </si>
  <si>
    <t xml:space="preserve">Source: original raw PPLAY1 pivot files, summed across raw customer columns: BE, אילת BE, אילת זיכויי BE, הפרכל הפרפארם, זיכויים BE, שופרסל BE (same 6 categories as 2026-09-19-CEMI-grouped-2025-vs-2026.xlsx). REBUILT 25/09/2026 at true CHEMIPAL Code granularity via the Catalog sheet - match rate: 100% by quantity and amount.</t>
  </si>
  <si>
    <t xml:space="preserve">Annualization note: 2026 actual data covers approximately 9.5 months (1 Jan - 15 Sep 2026). Reused for consistency across the whole CEMI UPDATED file (per 25/09/2026 instruction), even for groups sourced from the newer "חנה_1" file whose own snapshot date (23/09/2026) would imply a slightly different factor (12/8.75) - straight-line extrapolation, no seasonality adjustment - treat as an estimate.</t>
  </si>
  <si>
    <t xml:space="preserve">BE Raw — item-level data with CHEMIPAL Code (matched via Catalog sheet)</t>
  </si>
  <si>
    <t xml:space="preserve">Item-level data for group "BE", pre-aggregation, from the original raw PPLAY1 files. CHEMIPAL Code matched live against the Catalog sheet (exact match first, then whitespace-normalized fallback). Match rate for this group: 100% (verified in Python before building this file).</t>
  </si>
  <si>
    <t xml:space="preserve">Match Status</t>
  </si>
  <si>
    <t xml:space="preserve">Sales Comparison 2025 vs 2026 (Annualized) - Group: סופר פארם (by CHEMIPAL Code) — CEMI UPDATED 25/09/2026</t>
  </si>
  <si>
    <t xml:space="preserve">Source: original raw PPLAY1 pivot files, raw customer column: סופרפארם (same as 2026-09-19-CEMI-grouped-2025-vs-2026.xlsx). REBUILT 25/09/2026 at true CHEMIPAL Code granularity via the Catalog sheet - match rate: 100% by quantity and amount.</t>
  </si>
  <si>
    <t xml:space="preserve">סופר פארם Raw — item-level data with CHEMIPAL Code (matched via Catalog sheet)</t>
  </si>
  <si>
    <t xml:space="preserve">Item-level data for group "סופר פארם", pre-aggregation, from the original raw PPLAY1 files. CHEMIPAL Code matched live against the Catalog sheet (exact match first, then whitespace-normalized fallback). Match rate for this group: 100% (verified in Python before building this file).</t>
  </si>
  <si>
    <t xml:space="preserve">Sales Comparison 2025 vs 2026 (Annualized) - Group: מאוחדת — CEMI (PPLAY1) + SALES (NetSuite) COMBINED (by CHEMIPAL CODE / raw item name) — updated 25/09/2026</t>
  </si>
  <si>
    <t xml:space="preserve">UPDATED 25/09/2026: this sheet now combines BOTH source systems for the real-world "מאוחדת" customer - CEMI/PPLAY1 (customer "0קופות חולים") AND SALES/NetSuite (Sale Type "113 - Kupat Holim Meuhedet") - not CEMI-only as before. For each product (CHEMIPAL CODE where matched via TRANS, automatically or via the 4 user-approved manual overrides; otherwise the raw item name itself, so unmatched items from either source are still fully included), 2025/2026 quantity and amount are a SIMPLE SUM of both sources (no de-duplication - same convention already used for the "סהכ" totals). "בונוסים ללקוחות" and "(NO ITEM CODE)" (SALES, non-product adjustment/credit lines) are excluded from this product list - see the "מאוחדת Raw" sheet for their values and full row-level detail/audit trail. Full matching methodology, TRANS crosswalk, and match-rate detail: kirill/outputs/2026-09-24-meuhedet-comparison-v2.xlsx. Other groups in this file (בתי מרקחת / BE / סופר פארם / 0פארמים) are unaffected - still CEMI-only, unchanged.</t>
  </si>
  <si>
    <t xml:space="preserve">Annualization note: 2026 actual data covers approximately 9.5 months (1 Jan - 15 Sep 2026) for CEMI, and a similar partial-year window for SALES. Per 25/09/2026 instruction, the SAME factor already used for every other group in this file is reused here for consistency (12 / 9.5 ≈ 1.263158) rather than a SALES-specific factor, even though the SALES source snapshot date may differ slightly - straight-line extrapolation, does NOT account for seasonality - treat as an estimate, not an exact forecast.</t>
  </si>
  <si>
    <t xml:space="preserve">078C L</t>
  </si>
  <si>
    <t xml:space="preserve">078C M</t>
  </si>
  <si>
    <t xml:space="preserve">078C XL</t>
  </si>
  <si>
    <t xml:space="preserve">11U L</t>
  </si>
  <si>
    <t xml:space="preserve">11U M</t>
  </si>
  <si>
    <t xml:space="preserve">11U XL</t>
  </si>
  <si>
    <t xml:space="preserve">34 XS</t>
  </si>
  <si>
    <t xml:space="preserve">388L 0</t>
  </si>
  <si>
    <t xml:space="preserve">422ED XXL</t>
  </si>
  <si>
    <t xml:space="preserve">67800020</t>
  </si>
  <si>
    <t xml:space="preserve">67813000</t>
  </si>
  <si>
    <t xml:space="preserve">74-S-M</t>
  </si>
  <si>
    <t xml:space="preserve">808KTP-B</t>
  </si>
  <si>
    <t xml:space="preserve">808KTP-BL</t>
  </si>
  <si>
    <t xml:space="preserve">87 XS</t>
  </si>
  <si>
    <t xml:space="preserve">LUPD340 0</t>
  </si>
  <si>
    <t xml:space="preserve">T33 L</t>
  </si>
  <si>
    <t xml:space="preserve">T33 M</t>
  </si>
  <si>
    <t xml:space="preserve">T33 XL</t>
  </si>
  <si>
    <t xml:space="preserve">T33 XXL</t>
  </si>
  <si>
    <t xml:space="preserve">T39 XL</t>
  </si>
  <si>
    <t xml:space="preserve">מאוחדת Raw — combined CEMI (PPLAY1) + SALES (NetSuite) item-level data, imported from 2026-09-24-meuhedet-comparison-v2.xlsx</t>
  </si>
  <si>
    <t xml:space="preserve">Source: kirill/outputs/2026-09-24-meuhedet-comparison-v2.xlsx, sheets "CEMI Raw" (customer "0קופות חולים") and "SALES Raw" (Sale Type "113 - Kupat Holim Meuhedet") - both already reconciled there against the TRANS crosswalk table, including the 4 user-approved manual overrides (397-35-38/43-46 -&gt; אנטי בקטרי variant of 397A; 363 L/R -&gt; בננה; T90 0, 2025-only). Product Key = CHEMIPAL CODE where a TRANS match (automatic or manual) exists; otherwise the raw item name itself, so every row from both sources is included ("כלל הנתונים שיש", per 25/09/2026 instruction) even when there is no cross-source match. For full match-rate detail, the TRANS table, and the Manual Matches justifications, see that file directly - it is the audit trail.</t>
  </si>
  <si>
    <t xml:space="preserve">Excluded from Product Key / the "מאוחדת" product table below on purpose (not physical products): "בונוסים ללקוחות" (SALES customer bonus/credit line) and "(NO ITEM CODE)" (SALES placeholder rows with no item assigned) - both are adjustment/credit lines, not real SKUs, so counting them as DROP/NEW would be misleading. Listed separately at the bottom of this sheet for transparency. This mirrors how "בונוסים ללקוחות" was already treated in meuhedet-comparison-v2.xlsx; "(NO ITEM CODE)" is treated the same way by direct analogy (small, negative-only adjustment, not a product) - flagged here in case this assumption needs correcting.</t>
  </si>
  <si>
    <t xml:space="preserve">Product Key (CHEMIPAL CODE or raw name)</t>
  </si>
  <si>
    <t xml:space="preserve">Match Type</t>
  </si>
  <si>
    <t xml:space="preserve">Matched</t>
  </si>
  <si>
    <t xml:space="preserve">Unmatched</t>
  </si>
  <si>
    <t xml:space="preserve">Matched (manual)</t>
  </si>
  <si>
    <t xml:space="preserve">ST422 0</t>
  </si>
  <si>
    <t xml:space="preserve">390B-35-38</t>
  </si>
  <si>
    <t xml:space="preserve">390B-39-42</t>
  </si>
  <si>
    <t xml:space="preserve">390G-35-38</t>
  </si>
  <si>
    <t xml:space="preserve">390W-35-38</t>
  </si>
  <si>
    <t xml:space="preserve">390W-39-42</t>
  </si>
  <si>
    <t xml:space="preserve">390W-43-46</t>
  </si>
  <si>
    <t xml:space="preserve">07AU S</t>
  </si>
  <si>
    <t xml:space="preserve">07AU L</t>
  </si>
  <si>
    <t xml:space="preserve">38 0</t>
  </si>
  <si>
    <t xml:space="preserve">11TO M</t>
  </si>
  <si>
    <t xml:space="preserve">11TO L</t>
  </si>
  <si>
    <t xml:space="preserve">11TO XL</t>
  </si>
  <si>
    <t xml:space="preserve">078 M</t>
  </si>
  <si>
    <t xml:space="preserve">078 S</t>
  </si>
  <si>
    <t xml:space="preserve">078G S</t>
  </si>
  <si>
    <t xml:space="preserve">078G M</t>
  </si>
  <si>
    <t xml:space="preserve">078G L</t>
  </si>
  <si>
    <t xml:space="preserve">078G XXL</t>
  </si>
  <si>
    <t xml:space="preserve">16 XXL</t>
  </si>
  <si>
    <t xml:space="preserve">ST25 0</t>
  </si>
  <si>
    <t xml:space="preserve">ST20 0</t>
  </si>
  <si>
    <t xml:space="preserve">ST37 0</t>
  </si>
  <si>
    <t xml:space="preserve">ST11 0</t>
  </si>
  <si>
    <t xml:space="preserve">34 XXL</t>
  </si>
  <si>
    <t xml:space="preserve">41 S</t>
  </si>
  <si>
    <t xml:space="preserve">49 S</t>
  </si>
  <si>
    <t xml:space="preserve">49 M</t>
  </si>
  <si>
    <t xml:space="preserve">49 XL</t>
  </si>
  <si>
    <t xml:space="preserve">49 XXL</t>
  </si>
  <si>
    <t xml:space="preserve">95 S</t>
  </si>
  <si>
    <t xml:space="preserve">95 XXL</t>
  </si>
  <si>
    <t xml:space="preserve">34+ S</t>
  </si>
  <si>
    <t xml:space="preserve">LF377 L</t>
  </si>
  <si>
    <t xml:space="preserve">LF377 S</t>
  </si>
  <si>
    <t xml:space="preserve">34+ XXL</t>
  </si>
  <si>
    <t xml:space="preserve">3666 0</t>
  </si>
  <si>
    <t xml:space="preserve">ST91 0</t>
  </si>
  <si>
    <t xml:space="preserve">ST433 0</t>
  </si>
  <si>
    <t xml:space="preserve">ST49 0</t>
  </si>
  <si>
    <t xml:space="preserve">333 0</t>
  </si>
  <si>
    <t xml:space="preserve">PD346 0</t>
  </si>
  <si>
    <t xml:space="preserve">ST28 0</t>
  </si>
  <si>
    <t xml:space="preserve">PD340 0</t>
  </si>
  <si>
    <t xml:space="preserve">239B-L-XL</t>
  </si>
  <si>
    <t xml:space="preserve">239TR-L-XL</t>
  </si>
  <si>
    <t xml:space="preserve">40 0</t>
  </si>
  <si>
    <t xml:space="preserve">T90 0</t>
  </si>
  <si>
    <t xml:space="preserve">LF370 0</t>
  </si>
  <si>
    <t xml:space="preserve">LF374 0</t>
  </si>
  <si>
    <t xml:space="preserve">Excluded (non-product adjustment lines, NOT counted in Product Key / DROP-NEW)</t>
  </si>
  <si>
    <t xml:space="preserve">(NO ITEM CODE)</t>
  </si>
  <si>
    <t xml:space="preserve">בונוסים ללקוחות</t>
  </si>
  <si>
    <t xml:space="preserve">Sales Comparison 2025 vs 2026 (Annualized) - Group: מכבי (by CHEMIPAL Code) — CEMI UPDATED 25/09/2026</t>
  </si>
  <si>
    <t xml:space="preserve">Source: uploaded PPLAY1 "חנה_1" export (internal snapshot 23/09/2026 17:01, uploaded 25/09/2026) - a re-export of the same underlying data already used for kirill/outputs/2026-09-24-grouped-2025-vs-2026-with-maccabi.xlsx (verified identical: 3 items, 666 ₪ total, all 2026-only - cross-checked against that file). Group "מכבי" (#20) = raw customer column "ק.חולים מכבי". CHEMIPAL Code = column A of the source (already a real code) - matched live against the Catalog sheet for consistency with every other group in this file; match rate: 100%. Annualization factor reused as 12/9.5 for consistency with the rest of this file (NOT the 12/8.75 factor used in the with-maccabi.xlsx workbook, which was built from an 8.75-month snapshot) - per 25/09/2026 instruction.</t>
  </si>
  <si>
    <t xml:space="preserve">מכבי Raw — item-level data with CHEMIPAL Code (matched via Catalog sheet)</t>
  </si>
  <si>
    <t xml:space="preserve">Item-level data for group "מכבי", from the uploaded "חנה_1" export, columns AM-AP (ק.חולים מכבי, 2025/2026). CHEMIPAL Code matched live against the Catalog sheet (same source file, so trivially 100%).</t>
  </si>
</sst>
</file>

<file path=xl/styles.xml><?xml version="1.0" encoding="utf-8"?>
<styleSheet xmlns="http://schemas.openxmlformats.org/spreadsheetml/2006/main">
  <numFmts count="5">
    <numFmt numFmtId="164" formatCode="General"/>
    <numFmt numFmtId="165" formatCode="#,##0"/>
    <numFmt numFmtId="166" formatCode="dd/mm/yy"/>
    <numFmt numFmtId="167" formatCode="0.0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9"/>
      <name val="Arial"/>
      <family val="0"/>
      <charset val="1"/>
    </font>
    <font>
      <b val="true"/>
      <sz val="11"/>
      <color rgb="FFFFFFFF"/>
      <name val="Arial"/>
      <family val="0"/>
      <charset val="1"/>
    </font>
    <font>
      <sz val="11"/>
      <name val="Arial"/>
      <family val="0"/>
      <charset val="1"/>
    </font>
    <font>
      <sz val="10"/>
      <name val="Arial"/>
      <family val="2"/>
    </font>
    <font>
      <sz val="10"/>
      <name val="FreeSans"/>
      <family val="2"/>
    </font>
    <font>
      <b val="true"/>
      <sz val="13"/>
      <name val="Arial"/>
      <family val="0"/>
      <charset val="1"/>
    </font>
    <font>
      <b val="true"/>
      <sz val="9"/>
      <name val="Arial"/>
      <family val="0"/>
      <charset val="1"/>
    </font>
  </fonts>
  <fills count="6">
    <fill>
      <patternFill patternType="none"/>
    </fill>
    <fill>
      <patternFill patternType="gray125"/>
    </fill>
    <fill>
      <patternFill patternType="solid">
        <fgColor rgb="FF4472C4"/>
        <bgColor rgb="FF666699"/>
      </patternFill>
    </fill>
    <fill>
      <patternFill patternType="solid">
        <fgColor rgb="FFFFFF00"/>
        <bgColor rgb="FFFFFF00"/>
      </patternFill>
    </fill>
    <fill>
      <patternFill patternType="solid">
        <fgColor rgb="FFD9D9D9"/>
        <bgColor rgb="FFC6E0B4"/>
      </patternFill>
    </fill>
    <fill>
      <patternFill patternType="solid">
        <fgColor rgb="FFC6E0B4"/>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5" fontId="6" fillId="0" borderId="0" xfId="0" applyFont="true" applyBorder="tru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true" applyAlignment="true" applyProtection="false">
      <alignment horizontal="general" vertical="top" textRotation="0" wrapText="tru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right" vertical="center" textRotation="0" wrapText="tru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5" fontId="12" fillId="0" borderId="0" xfId="0" applyFont="true" applyBorder="false" applyAlignment="true" applyProtection="false">
      <alignment horizontal="right" vertical="bottom" textRotation="0" wrapText="true" indent="0" shrinkToFit="false"/>
      <protection locked="true" hidden="false"/>
    </xf>
    <xf numFmtId="165" fontId="12" fillId="4" borderId="0" xfId="0" applyFont="true" applyBorder="false" applyAlignment="true" applyProtection="false">
      <alignment horizontal="center" vertical="bottom" textRotation="0" wrapText="false" indent="0" shrinkToFit="false"/>
      <protection locked="true" hidden="false"/>
    </xf>
    <xf numFmtId="165" fontId="12" fillId="3" borderId="0" xfId="0" applyFont="true" applyBorder="false" applyAlignment="true" applyProtection="false">
      <alignment horizontal="center" vertical="bottom" textRotation="0" wrapText="false" indent="0" shrinkToFit="false"/>
      <protection locked="true" hidden="false"/>
    </xf>
    <xf numFmtId="165" fontId="7" fillId="2" borderId="0" xfId="0" applyFont="true" applyBorder="fals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5" fontId="8" fillId="5" borderId="0" xfId="0" applyFont="true" applyBorder="false" applyAlignment="true" applyProtection="false">
      <alignment horizontal="general" vertical="bottom" textRotation="0" wrapText="false" indent="0" shrinkToFit="false"/>
      <protection locked="true" hidden="false"/>
    </xf>
    <xf numFmtId="167" fontId="8" fillId="5" borderId="0" xfId="0" applyFont="true" applyBorder="false" applyAlignment="true" applyProtection="false">
      <alignment horizontal="general" vertical="bottom" textRotation="0" wrapText="false" indent="0" shrinkToFit="false"/>
      <protection locked="true" hidden="false"/>
    </xf>
    <xf numFmtId="165" fontId="5" fillId="5" borderId="0" xfId="0" applyFont="true" applyBorder="false" applyAlignment="true" applyProtection="false">
      <alignment horizontal="general" vertical="bottom" textRotation="0" wrapText="false" indent="0" shrinkToFit="false"/>
      <protection locked="true" hidden="false"/>
    </xf>
    <xf numFmtId="168" fontId="5" fillId="5" borderId="0" xfId="0" applyFont="true" applyBorder="false" applyAlignment="tru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false" indent="0" shrinkToFit="false"/>
      <protection locked="true" hidden="false"/>
    </xf>
    <xf numFmtId="167" fontId="5" fillId="5"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1" width="16"/>
    <col collapsed="false" customWidth="true" hidden="false" outlineLevel="0" max="3" min="3" style="1" width="11"/>
    <col collapsed="false" customWidth="true" hidden="false" outlineLevel="0" max="4" min="4" style="1" width="9"/>
    <col collapsed="false" customWidth="true" hidden="false" outlineLevel="0" max="6" min="5" style="1" width="10"/>
    <col collapsed="false" customWidth="true" hidden="false" outlineLevel="0" max="8" min="7" style="1" width="9"/>
    <col collapsed="false" customWidth="true" hidden="false" outlineLevel="0" max="9" min="9" style="1" width="12"/>
    <col collapsed="false" customWidth="true" hidden="false" outlineLevel="0" max="11" min="10" style="1" width="13"/>
    <col collapsed="false" customWidth="true" hidden="false" outlineLevel="0" max="12" min="12" style="1" width="14"/>
    <col collapsed="false" customWidth="true" hidden="false" outlineLevel="0" max="13" min="13" style="1" width="16"/>
    <col collapsed="false" customWidth="true" hidden="false" outlineLevel="0" max="14" min="14" style="1" width="17"/>
    <col collapsed="false" customWidth="true" hidden="false" outlineLevel="0" max="15" min="15" style="1" width="12"/>
    <col collapsed="false" customWidth="true" hidden="false" outlineLevel="0" max="18" min="16" style="1" width="14"/>
    <col collapsed="false" customWidth="true" hidden="false" outlineLevel="0" max="19" min="19" style="1" width="13"/>
    <col collapsed="false" customWidth="true" hidden="false" outlineLevel="0" max="20" min="20" style="1" width="15"/>
    <col collapsed="false" customWidth="true" hidden="false" outlineLevel="0" max="21" min="21" style="1" width="16"/>
    <col collapsed="false" customWidth="true" hidden="false" outlineLevel="0" max="22" min="22" style="1" width="15"/>
  </cols>
  <sheetData>
    <row r="1" customFormat="false" ht="17.25" hidden="false" customHeight="true" outlineLevel="0" collapsed="false">
      <c r="A1" s="2" t="s">
        <v>0</v>
      </c>
    </row>
    <row r="2" customFormat="false" ht="15" hidden="false" customHeight="true" outlineLevel="0" collapsed="false">
      <c r="A2" s="3" t="s">
        <v>1</v>
      </c>
      <c r="B2" s="4" t="n">
        <v>46290</v>
      </c>
    </row>
    <row r="3" customFormat="false" ht="32.25" hidden="false" customHeight="true" outlineLevel="0" collapsed="false">
      <c r="A3" s="5" t="s">
        <v>2</v>
      </c>
      <c r="B3" s="5"/>
      <c r="C3" s="5"/>
      <c r="D3" s="5"/>
      <c r="E3" s="5"/>
      <c r="F3" s="5"/>
      <c r="G3" s="5"/>
      <c r="H3" s="5"/>
      <c r="I3" s="5"/>
      <c r="J3" s="5"/>
      <c r="K3" s="5"/>
      <c r="L3" s="5"/>
      <c r="M3" s="5"/>
      <c r="N3" s="5"/>
      <c r="O3" s="5"/>
      <c r="P3" s="5"/>
      <c r="Q3" s="5"/>
      <c r="R3" s="5"/>
      <c r="S3" s="5"/>
      <c r="T3" s="5"/>
      <c r="U3" s="5"/>
      <c r="V3" s="5"/>
    </row>
    <row r="5" customFormat="false" ht="26.25" hidden="false" customHeight="true" outlineLevel="0" collapsed="false">
      <c r="A5" s="6" t="s">
        <v>3</v>
      </c>
      <c r="B5" s="6" t="s">
        <v>4</v>
      </c>
      <c r="C5" s="6" t="s">
        <v>5</v>
      </c>
      <c r="D5" s="6" t="s">
        <v>6</v>
      </c>
      <c r="E5" s="6" t="s">
        <v>7</v>
      </c>
      <c r="F5" s="6" t="s">
        <v>8</v>
      </c>
      <c r="G5" s="6" t="s">
        <v>9</v>
      </c>
      <c r="H5" s="6" t="s">
        <v>10</v>
      </c>
      <c r="I5" s="6" t="s">
        <v>11</v>
      </c>
      <c r="J5" s="6" t="s">
        <v>12</v>
      </c>
      <c r="K5" s="6" t="s">
        <v>13</v>
      </c>
      <c r="L5" s="6" t="s">
        <v>14</v>
      </c>
      <c r="M5" s="6" t="s">
        <v>15</v>
      </c>
      <c r="N5" s="6" t="s">
        <v>16</v>
      </c>
      <c r="O5" s="6" t="s">
        <v>17</v>
      </c>
      <c r="P5" s="6" t="s">
        <v>18</v>
      </c>
      <c r="Q5" s="6" t="s">
        <v>19</v>
      </c>
      <c r="R5" s="6" t="s">
        <v>20</v>
      </c>
      <c r="S5" s="6" t="s">
        <v>21</v>
      </c>
      <c r="T5" s="6" t="s">
        <v>22</v>
      </c>
      <c r="U5" s="6" t="s">
        <v>23</v>
      </c>
      <c r="V5" s="6" t="s">
        <v>24</v>
      </c>
    </row>
    <row r="6" customFormat="false" ht="15" hidden="false" customHeight="true" outlineLevel="0" collapsed="false">
      <c r="A6" s="7" t="s">
        <v>25</v>
      </c>
      <c r="B6" s="7" t="s">
        <v>25</v>
      </c>
      <c r="C6" s="7" t="n">
        <v>2</v>
      </c>
      <c r="D6" s="7" t="n">
        <f aca="false">COUNTA('בתי מרקחת'!$A$9:$A$670)</f>
        <v>662</v>
      </c>
      <c r="E6" s="7" t="n">
        <f aca="false">SUMPRODUCT(--(('בתי מרקחת'!$C$9:$C$670&lt;&gt;0)+('בתי מרקחת'!$H$9:$H$670&lt;&gt;0)&gt;0))</f>
        <v>604</v>
      </c>
      <c r="F6" s="7" t="n">
        <f aca="false">SUMPRODUCT(--(('בתי מרקחת'!$D$9:$D$670&lt;&gt;0)+('בתי מרקחת'!$I$9:$I$670&lt;&gt;0)&gt;0))</f>
        <v>522</v>
      </c>
      <c r="G6" s="7" t="n">
        <f aca="false">'בתי מרקחת'!B5</f>
        <v>140</v>
      </c>
      <c r="H6" s="7" t="n">
        <f aca="false">'בתי מרקחת'!D5</f>
        <v>58</v>
      </c>
      <c r="I6" s="7" t="n">
        <f aca="false">'בתי מרקחת'!B6</f>
        <v>296</v>
      </c>
      <c r="J6" s="7" t="n">
        <f aca="false">'בתי מרקחת'!D6</f>
        <v>30990.1</v>
      </c>
      <c r="K6" s="7" t="n">
        <f aca="false">'בתי מרקחת'!F6</f>
        <v>391</v>
      </c>
      <c r="L6" s="7" t="n">
        <f aca="false">'בתי מרקחת'!H6</f>
        <v>25557.66</v>
      </c>
      <c r="M6" s="7" t="n">
        <f aca="false">'בתי מרקחת'!J6</f>
        <v>493.894736842105</v>
      </c>
      <c r="N6" s="7" t="n">
        <f aca="false">'בתי מרקחת'!L6</f>
        <v>32283.36</v>
      </c>
      <c r="O6" s="7" t="n">
        <f aca="false">'בתי מרקחת'!C672</f>
        <v>56675</v>
      </c>
      <c r="P6" s="7" t="n">
        <f aca="false">'בתי מרקחת'!D672</f>
        <v>35110</v>
      </c>
      <c r="Q6" s="7" t="n">
        <f aca="false">'בתי מרקחת'!E672</f>
        <v>44349.4736842105</v>
      </c>
      <c r="R6" s="8" t="n">
        <f aca="false">IF('בתי מרקחת'!C672=0,"N/A",('בתי מרקחת'!E672-'בתי מרקחת'!C672)/'בתי מרקחת'!C672)</f>
        <v>-0.217477305968936</v>
      </c>
      <c r="S6" s="7" t="n">
        <f aca="false">'בתי מרקחת'!H672</f>
        <v>2120059.06</v>
      </c>
      <c r="T6" s="7" t="n">
        <f aca="false">'בתי מרקחת'!I672</f>
        <v>1404694.87</v>
      </c>
      <c r="U6" s="7" t="n">
        <f aca="false">'בתי מרקחת'!J672</f>
        <v>1774351.41473684</v>
      </c>
      <c r="V6" s="8" t="n">
        <f aca="false">IF('בתי מרקחת'!H672=0,"N/A",('בתי מרקחת'!J672-'בתי מרקחת'!H672)/'בתי מרקחת'!H672)</f>
        <v>-0.163065101244471</v>
      </c>
    </row>
    <row r="7" customFormat="false" ht="15" hidden="false" customHeight="true" outlineLevel="0" collapsed="false">
      <c r="A7" s="7" t="s">
        <v>26</v>
      </c>
      <c r="B7" s="7" t="s">
        <v>26</v>
      </c>
      <c r="C7" s="7" t="n">
        <v>6</v>
      </c>
      <c r="D7" s="7" t="n">
        <f aca="false">COUNTA('BE'!$A$9:$A$354)</f>
        <v>346</v>
      </c>
      <c r="E7" s="7" t="n">
        <f aca="false">SUMPRODUCT(--(('BE'!$C$9:$C$354&lt;&gt;0)+('BE'!$H$9:$H$354&lt;&gt;0)&gt;0))</f>
        <v>328</v>
      </c>
      <c r="F7" s="7" t="n">
        <f aca="false">SUMPRODUCT(--(('BE'!$D$9:$D$354&lt;&gt;0)+('BE'!$I$9:$I$354&lt;&gt;0)&gt;0))</f>
        <v>282</v>
      </c>
      <c r="G7" s="7" t="n">
        <f aca="false">'BE'!B5</f>
        <v>64</v>
      </c>
      <c r="H7" s="7" t="n">
        <f aca="false">'BE'!D5</f>
        <v>18</v>
      </c>
      <c r="I7" s="7" t="n">
        <f aca="false">'BE'!B6</f>
        <v>55</v>
      </c>
      <c r="J7" s="7" t="n">
        <f aca="false">'BE'!D6</f>
        <v>4567.1</v>
      </c>
      <c r="K7" s="7" t="n">
        <f aca="false">'BE'!F6</f>
        <v>11</v>
      </c>
      <c r="L7" s="7" t="n">
        <f aca="false">'BE'!H6</f>
        <v>1501.2</v>
      </c>
      <c r="M7" s="7" t="n">
        <f aca="false">'BE'!J6</f>
        <v>13.8947368421053</v>
      </c>
      <c r="N7" s="7" t="n">
        <f aca="false">'BE'!L6</f>
        <v>1896.25263157895</v>
      </c>
      <c r="O7" s="7" t="n">
        <f aca="false">'BE'!C356</f>
        <v>27268</v>
      </c>
      <c r="P7" s="7" t="n">
        <f aca="false">'BE'!D356</f>
        <v>19109</v>
      </c>
      <c r="Q7" s="7" t="n">
        <f aca="false">'BE'!E356</f>
        <v>24137.6842105263</v>
      </c>
      <c r="R7" s="8" t="n">
        <f aca="false">IF('BE'!C356=0,"N/A",('BE'!E356-'BE'!C356)/'BE'!C356)</f>
        <v>-0.114798143958988</v>
      </c>
      <c r="S7" s="7" t="n">
        <f aca="false">'BE'!H356</f>
        <v>889501.1</v>
      </c>
      <c r="T7" s="7" t="n">
        <f aca="false">'BE'!I356</f>
        <v>676265.8</v>
      </c>
      <c r="U7" s="7" t="n">
        <f aca="false">'BE'!J356</f>
        <v>854230.484210526</v>
      </c>
      <c r="V7" s="8" t="n">
        <f aca="false">IF('BE'!H356=0,"N/A",('BE'!J356-'BE'!H356)/'BE'!H356)</f>
        <v>-0.0396521328523075</v>
      </c>
    </row>
    <row r="8" customFormat="false" ht="15" hidden="false" customHeight="true" outlineLevel="0" collapsed="false">
      <c r="A8" s="7" t="s">
        <v>27</v>
      </c>
      <c r="B8" s="7" t="s">
        <v>27</v>
      </c>
      <c r="C8" s="7" t="n">
        <v>1</v>
      </c>
      <c r="D8" s="7" t="n">
        <f aca="false">COUNTA('סופר פארם'!$A$9:$A$444)</f>
        <v>436</v>
      </c>
      <c r="E8" s="7" t="n">
        <f aca="false">SUMPRODUCT(--(('סופר פארם'!$C$9:$C$444&lt;&gt;0)+('סופר פארם'!$H$9:$H$444&lt;&gt;0)&gt;0))</f>
        <v>384</v>
      </c>
      <c r="F8" s="7" t="n">
        <f aca="false">SUMPRODUCT(--(('סופר פארם'!$D$9:$D$444&lt;&gt;0)+('סופר פארם'!$I$9:$I$444&lt;&gt;0)&gt;0))</f>
        <v>382</v>
      </c>
      <c r="G8" s="7" t="n">
        <f aca="false">'סופר פארם'!B5</f>
        <v>54</v>
      </c>
      <c r="H8" s="7" t="n">
        <f aca="false">'סופר פארם'!D5</f>
        <v>52</v>
      </c>
      <c r="I8" s="7" t="n">
        <f aca="false">'סופר פארם'!B6</f>
        <v>23</v>
      </c>
      <c r="J8" s="7" t="n">
        <f aca="false">'סופר פארם'!D6</f>
        <v>-2700.3</v>
      </c>
      <c r="K8" s="7" t="n">
        <f aca="false">'סופר פארם'!F6</f>
        <v>1939</v>
      </c>
      <c r="L8" s="7" t="n">
        <f aca="false">'סופר פארם'!H6</f>
        <v>146776.3</v>
      </c>
      <c r="M8" s="7" t="n">
        <f aca="false">'סופר פארם'!J6</f>
        <v>2449.26315789474</v>
      </c>
      <c r="N8" s="7" t="n">
        <f aca="false">'סופר פארם'!L6</f>
        <v>185401.642105263</v>
      </c>
      <c r="O8" s="7" t="n">
        <f aca="false">'סופר פארם'!C446</f>
        <v>176505</v>
      </c>
      <c r="P8" s="7" t="n">
        <f aca="false">'סופר פארם'!D446</f>
        <v>118307</v>
      </c>
      <c r="Q8" s="7" t="n">
        <f aca="false">'סופר פארם'!E446</f>
        <v>149440.421052632</v>
      </c>
      <c r="R8" s="8" t="n">
        <f aca="false">IF('סופר פארם'!C446=0,"N/A",('סופר פארם'!E446-'סופר פארם'!C446)/'סופר פארם'!C446)</f>
        <v>-0.153336046839287</v>
      </c>
      <c r="S8" s="7" t="n">
        <f aca="false">'סופר פארם'!H446</f>
        <v>6689220.5</v>
      </c>
      <c r="T8" s="7" t="n">
        <f aca="false">'סופר פארם'!I446</f>
        <v>4476515.3</v>
      </c>
      <c r="U8" s="7" t="n">
        <f aca="false">'סופר פארם'!J446</f>
        <v>5654545.64210526</v>
      </c>
      <c r="V8" s="8" t="n">
        <f aca="false">IF('סופר פארם'!H446=0,"N/A",('סופר פארם'!J446-'סופר פארם'!H446)/'סופר פארם'!H446)</f>
        <v>-0.154677941606909</v>
      </c>
    </row>
    <row r="9" customFormat="false" ht="15" hidden="false" customHeight="true" outlineLevel="0" collapsed="false">
      <c r="A9" s="7" t="s">
        <v>28</v>
      </c>
      <c r="B9" s="7" t="s">
        <v>28</v>
      </c>
      <c r="C9" s="7" t="n">
        <v>2</v>
      </c>
      <c r="D9" s="7" t="n">
        <f aca="false">COUNTA('מאוחדת'!$A$9:$A$268)</f>
        <v>260</v>
      </c>
      <c r="E9" s="7" t="n">
        <f aca="false">SUMPRODUCT(--(('מאוחדת'!$C$9:$C$268&lt;&gt;0)+('מאוחדת'!$H$9:$H$268&lt;&gt;0)&gt;0))</f>
        <v>222</v>
      </c>
      <c r="F9" s="7" t="n">
        <f aca="false">SUMPRODUCT(--(('מאוחדת'!$D$9:$D$268&lt;&gt;0)+('מאוחדת'!$I$9:$I$268&lt;&gt;0)&gt;0))</f>
        <v>242</v>
      </c>
      <c r="G9" s="7" t="n">
        <f aca="false">'מאוחדת'!B5</f>
        <v>18</v>
      </c>
      <c r="H9" s="7" t="n">
        <f aca="false">'מאוחדת'!D5</f>
        <v>38</v>
      </c>
      <c r="I9" s="7" t="n">
        <f aca="false">'מאוחדת'!B6</f>
        <v>175</v>
      </c>
      <c r="J9" s="7" t="n">
        <f aca="false">'מאוחדת'!D6</f>
        <v>4498.75</v>
      </c>
      <c r="K9" s="7" t="n">
        <f aca="false">'מאוחדת'!F6</f>
        <v>569</v>
      </c>
      <c r="L9" s="7" t="n">
        <f aca="false">'מאוחדת'!H6</f>
        <v>40471.1</v>
      </c>
      <c r="M9" s="7" t="n">
        <f aca="false">'מאוחדת'!J6</f>
        <v>718.736842105263</v>
      </c>
      <c r="N9" s="7" t="n">
        <f aca="false">'מאוחדת'!L6</f>
        <v>51121.3894736842</v>
      </c>
      <c r="O9" s="7" t="n">
        <f aca="false">'מאוחדת'!C270</f>
        <v>29602</v>
      </c>
      <c r="P9" s="7" t="n">
        <f aca="false">'מאוחדת'!D270</f>
        <v>17423</v>
      </c>
      <c r="Q9" s="7" t="n">
        <f aca="false">'מאוחדת'!E270</f>
        <v>22008</v>
      </c>
      <c r="R9" s="8" t="n">
        <f aca="false">IF('מאוחדת'!C270=0,"N/A",('מאוחדת'!E270-'מאוחדת'!C270)/'מאוחדת'!C270)</f>
        <v>-0.256536720491859</v>
      </c>
      <c r="S9" s="7" t="n">
        <f aca="false">'מאוחדת'!H270</f>
        <v>893547.75</v>
      </c>
      <c r="T9" s="7" t="n">
        <f aca="false">'מאוחדת'!I270</f>
        <v>529257.42</v>
      </c>
      <c r="U9" s="7" t="n">
        <f aca="false">'מאוחדת'!J270</f>
        <v>668535.688421053</v>
      </c>
      <c r="V9" s="8" t="n">
        <f aca="false">IF('מאוחדת'!H270=0,"N/A",('מאוחדת'!J270-'מאוחדת'!H270)/'מאוחדת'!H270)</f>
        <v>-0.251818732215427</v>
      </c>
    </row>
    <row r="10" customFormat="false" ht="15" hidden="false" customHeight="true" outlineLevel="0" collapsed="false">
      <c r="A10" s="7" t="s">
        <v>29</v>
      </c>
      <c r="B10" s="7" t="s">
        <v>29</v>
      </c>
      <c r="C10" s="7" t="n">
        <v>1</v>
      </c>
      <c r="D10" s="7" t="n">
        <f aca="false">COUNTA('מכבי'!$A$9:$A$11)</f>
        <v>3</v>
      </c>
      <c r="E10" s="7" t="n">
        <f aca="false">SUMPRODUCT(--(('מכבי'!$C$9:$C$11&lt;&gt;0)+('מכבי'!$H$9:$H$11&lt;&gt;0)&gt;0))</f>
        <v>0</v>
      </c>
      <c r="F10" s="7" t="n">
        <f aca="false">SUMPRODUCT(--(('מכבי'!$D$9:$D$11&lt;&gt;0)+('מכבי'!$I$9:$I$11&lt;&gt;0)&gt;0))</f>
        <v>3</v>
      </c>
      <c r="G10" s="7" t="n">
        <f aca="false">'מכבי'!B5</f>
        <v>0</v>
      </c>
      <c r="H10" s="7" t="n">
        <f aca="false">'מכבי'!D5</f>
        <v>3</v>
      </c>
      <c r="I10" s="7" t="n">
        <f aca="false">'מכבי'!B6</f>
        <v>0</v>
      </c>
      <c r="J10" s="7" t="n">
        <f aca="false">'מכבי'!D6</f>
        <v>0</v>
      </c>
      <c r="K10" s="7" t="n">
        <f aca="false">'מכבי'!F6</f>
        <v>3</v>
      </c>
      <c r="L10" s="7" t="n">
        <f aca="false">'מכבי'!H6</f>
        <v>666</v>
      </c>
      <c r="M10" s="7" t="n">
        <f aca="false">'מכבי'!J6</f>
        <v>3.78947368421053</v>
      </c>
      <c r="N10" s="7" t="n">
        <f aca="false">'מכבי'!L6</f>
        <v>841.263157894737</v>
      </c>
      <c r="O10" s="7" t="n">
        <f aca="false">'מכבי'!C13</f>
        <v>0</v>
      </c>
      <c r="P10" s="7" t="n">
        <f aca="false">'מכבי'!D13</f>
        <v>3</v>
      </c>
      <c r="Q10" s="7" t="n">
        <f aca="false">'מכבי'!E13</f>
        <v>3.78947368421053</v>
      </c>
      <c r="R10" s="8" t="str">
        <f aca="false">IF('מכבי'!C13=0,"N/A",('מכבי'!E13-'מכבי'!C13)/'מכבי'!C13)</f>
        <v>N/A</v>
      </c>
      <c r="S10" s="7" t="n">
        <f aca="false">'מכבי'!H13</f>
        <v>0</v>
      </c>
      <c r="T10" s="7" t="n">
        <f aca="false">'מכבי'!I13</f>
        <v>666</v>
      </c>
      <c r="U10" s="7" t="n">
        <f aca="false">'מכבי'!J13</f>
        <v>841.263157894737</v>
      </c>
      <c r="V10" s="8" t="str">
        <f aca="false">IF('מכבי'!H13=0,"N/A",('מכבי'!J13-'מכבי'!H13)/'מכבי'!H13)</f>
        <v>N/A</v>
      </c>
    </row>
  </sheetData>
  <mergeCells count="1">
    <mergeCell ref="A3:V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6"/>
    <col collapsed="false" customWidth="true" hidden="false" outlineLevel="0" max="2" min="2" style="1" width="10"/>
    <col collapsed="false" customWidth="true" hidden="false" outlineLevel="0" max="3" min="3" style="1" width="26"/>
    <col collapsed="false" customWidth="true" hidden="false" outlineLevel="0" max="4" min="4" style="1" width="55"/>
  </cols>
  <sheetData>
    <row r="1" customFormat="false" ht="17.25" hidden="false" customHeight="true" outlineLevel="0" collapsed="false">
      <c r="A1" s="2" t="s">
        <v>30</v>
      </c>
    </row>
    <row r="2" customFormat="false" ht="15" hidden="false" customHeight="true" outlineLevel="0" collapsed="false">
      <c r="A2" s="3" t="s">
        <v>1</v>
      </c>
      <c r="B2" s="4" t="n">
        <v>46290</v>
      </c>
    </row>
    <row r="4" customFormat="false" ht="15" hidden="false" customHeight="true" outlineLevel="0" collapsed="false">
      <c r="A4" s="9" t="s">
        <v>31</v>
      </c>
      <c r="B4" s="9" t="s">
        <v>32</v>
      </c>
      <c r="C4" s="9" t="s">
        <v>33</v>
      </c>
      <c r="D4" s="9" t="s">
        <v>34</v>
      </c>
    </row>
    <row r="5" customFormat="false" ht="15" hidden="false" customHeight="true" outlineLevel="0" collapsed="false">
      <c r="A5" s="7" t="s">
        <v>35</v>
      </c>
      <c r="B5" s="7" t="s">
        <v>36</v>
      </c>
      <c r="C5" s="7" t="s">
        <v>25</v>
      </c>
      <c r="D5" s="7" t="s">
        <v>37</v>
      </c>
    </row>
    <row r="6" customFormat="false" ht="15" hidden="false" customHeight="true" outlineLevel="0" collapsed="false">
      <c r="A6" s="7" t="s">
        <v>38</v>
      </c>
      <c r="B6" s="7" t="s">
        <v>36</v>
      </c>
      <c r="C6" s="7" t="s">
        <v>25</v>
      </c>
      <c r="D6" s="7" t="s">
        <v>37</v>
      </c>
    </row>
    <row r="7" customFormat="false" ht="15" hidden="false" customHeight="true" outlineLevel="0" collapsed="false">
      <c r="A7" s="7" t="s">
        <v>39</v>
      </c>
      <c r="B7" s="7" t="s">
        <v>36</v>
      </c>
      <c r="C7" s="7" t="s">
        <v>25</v>
      </c>
      <c r="D7" s="7" t="s">
        <v>40</v>
      </c>
    </row>
    <row r="8" customFormat="false" ht="15" hidden="false" customHeight="true" outlineLevel="0" collapsed="false">
      <c r="A8" s="7" t="s">
        <v>41</v>
      </c>
      <c r="B8" s="7" t="s">
        <v>36</v>
      </c>
      <c r="C8" s="7" t="s">
        <v>25</v>
      </c>
      <c r="D8" s="7" t="s">
        <v>37</v>
      </c>
    </row>
    <row r="9" customFormat="false" ht="15" hidden="false" customHeight="true" outlineLevel="0" collapsed="false">
      <c r="A9" s="7" t="s">
        <v>42</v>
      </c>
      <c r="B9" s="7" t="s">
        <v>36</v>
      </c>
      <c r="C9" s="7" t="s">
        <v>25</v>
      </c>
      <c r="D9" s="7" t="s">
        <v>40</v>
      </c>
    </row>
    <row r="10" customFormat="false" ht="15" hidden="false" customHeight="true" outlineLevel="0" collapsed="false">
      <c r="A10" s="7" t="s">
        <v>43</v>
      </c>
      <c r="B10" s="7" t="s">
        <v>36</v>
      </c>
      <c r="C10" s="7" t="s">
        <v>25</v>
      </c>
      <c r="D10" s="7" t="s">
        <v>40</v>
      </c>
    </row>
    <row r="11" customFormat="false" ht="15" hidden="false" customHeight="true" outlineLevel="0" collapsed="false">
      <c r="A11" s="7" t="s">
        <v>44</v>
      </c>
      <c r="B11" s="7" t="s">
        <v>36</v>
      </c>
      <c r="C11" s="7" t="s">
        <v>25</v>
      </c>
      <c r="D11" s="7" t="s">
        <v>40</v>
      </c>
    </row>
    <row r="12" customFormat="false" ht="15" hidden="false" customHeight="true" outlineLevel="0" collapsed="false">
      <c r="A12" s="7" t="s">
        <v>45</v>
      </c>
      <c r="B12" s="7" t="s">
        <v>36</v>
      </c>
      <c r="C12" s="7" t="s">
        <v>25</v>
      </c>
      <c r="D12" s="7" t="s">
        <v>40</v>
      </c>
    </row>
    <row r="13" customFormat="false" ht="15" hidden="false" customHeight="true" outlineLevel="0" collapsed="false">
      <c r="A13" s="7" t="s">
        <v>46</v>
      </c>
      <c r="B13" s="7" t="s">
        <v>36</v>
      </c>
      <c r="C13" s="7" t="s">
        <v>25</v>
      </c>
      <c r="D13" s="7" t="s">
        <v>40</v>
      </c>
    </row>
    <row r="14" customFormat="false" ht="15" hidden="false" customHeight="true" outlineLevel="0" collapsed="false">
      <c r="A14" s="7" t="s">
        <v>26</v>
      </c>
      <c r="B14" s="7" t="s">
        <v>47</v>
      </c>
      <c r="C14" s="7" t="s">
        <v>26</v>
      </c>
      <c r="D14" s="7" t="s">
        <v>37</v>
      </c>
    </row>
    <row r="15" customFormat="false" ht="15" hidden="false" customHeight="true" outlineLevel="0" collapsed="false">
      <c r="A15" s="7" t="s">
        <v>48</v>
      </c>
      <c r="B15" s="7" t="s">
        <v>47</v>
      </c>
      <c r="C15" s="7" t="s">
        <v>26</v>
      </c>
      <c r="D15" s="7" t="s">
        <v>40</v>
      </c>
    </row>
    <row r="16" customFormat="false" ht="15" hidden="false" customHeight="true" outlineLevel="0" collapsed="false">
      <c r="A16" s="7" t="s">
        <v>49</v>
      </c>
      <c r="B16" s="7" t="s">
        <v>47</v>
      </c>
      <c r="C16" s="7" t="s">
        <v>26</v>
      </c>
      <c r="D16" s="7" t="s">
        <v>37</v>
      </c>
    </row>
    <row r="17" customFormat="false" ht="15" hidden="false" customHeight="true" outlineLevel="0" collapsed="false">
      <c r="A17" s="7" t="s">
        <v>50</v>
      </c>
      <c r="B17" s="7" t="s">
        <v>47</v>
      </c>
      <c r="C17" s="7" t="s">
        <v>26</v>
      </c>
      <c r="D17" s="7" t="s">
        <v>40</v>
      </c>
    </row>
    <row r="18" customFormat="false" ht="15" hidden="false" customHeight="true" outlineLevel="0" collapsed="false">
      <c r="A18" s="7" t="s">
        <v>51</v>
      </c>
      <c r="B18" s="7" t="s">
        <v>47</v>
      </c>
      <c r="C18" s="7" t="s">
        <v>26</v>
      </c>
      <c r="D18" s="7" t="s">
        <v>40</v>
      </c>
    </row>
    <row r="19" customFormat="false" ht="15" hidden="false" customHeight="true" outlineLevel="0" collapsed="false">
      <c r="A19" s="7" t="s">
        <v>52</v>
      </c>
      <c r="B19" s="7" t="s">
        <v>47</v>
      </c>
      <c r="C19" s="7" t="s">
        <v>26</v>
      </c>
      <c r="D19" s="7" t="s">
        <v>40</v>
      </c>
    </row>
    <row r="20" customFormat="false" ht="15" hidden="false" customHeight="true" outlineLevel="0" collapsed="false">
      <c r="A20" s="7" t="s">
        <v>53</v>
      </c>
      <c r="B20" s="7" t="s">
        <v>54</v>
      </c>
      <c r="C20" s="7" t="s">
        <v>27</v>
      </c>
      <c r="D20" s="7" t="s">
        <v>40</v>
      </c>
    </row>
    <row r="21" customFormat="false" ht="15" hidden="false" customHeight="true" outlineLevel="0" collapsed="false">
      <c r="A21" s="7" t="s">
        <v>55</v>
      </c>
      <c r="B21" s="7" t="s">
        <v>56</v>
      </c>
      <c r="C21" s="7" t="s">
        <v>28</v>
      </c>
      <c r="D21" s="7" t="s">
        <v>57</v>
      </c>
    </row>
    <row r="22" customFormat="false" ht="15" hidden="false" customHeight="true" outlineLevel="0" collapsed="false">
      <c r="A22" s="7" t="s">
        <v>58</v>
      </c>
      <c r="B22" s="7" t="s">
        <v>56</v>
      </c>
      <c r="C22" s="7" t="s">
        <v>28</v>
      </c>
      <c r="D22" s="7" t="s">
        <v>59</v>
      </c>
    </row>
    <row r="23" customFormat="false" ht="15" hidden="false" customHeight="true" outlineLevel="0" collapsed="false">
      <c r="A23" s="7" t="s">
        <v>60</v>
      </c>
      <c r="B23" s="7" t="s">
        <v>61</v>
      </c>
      <c r="C23" s="7" t="s">
        <v>29</v>
      </c>
      <c r="D23" s="7" t="s">
        <v>62</v>
      </c>
    </row>
    <row r="24" customFormat="false" ht="15" hidden="false" customHeight="true" outlineLevel="0" collapsed="false">
      <c r="A24" s="7" t="s">
        <v>63</v>
      </c>
      <c r="B24" s="7" t="s">
        <v>64</v>
      </c>
      <c r="C24" s="7" t="s">
        <v>65</v>
      </c>
      <c r="D24" s="7" t="s">
        <v>66</v>
      </c>
    </row>
    <row r="26" customFormat="false" ht="39" hidden="false" customHeight="true" outlineLevel="0" collapsed="false">
      <c r="A26" s="10" t="s">
        <v>67</v>
      </c>
      <c r="B26" s="10"/>
      <c r="C26" s="10"/>
      <c r="D26" s="10"/>
    </row>
  </sheetData>
  <mergeCells count="1">
    <mergeCell ref="A26: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6"/>
    <col collapsed="false" customWidth="true" hidden="false" outlineLevel="0" max="3" min="2" style="1" width="42"/>
  </cols>
  <sheetData>
    <row r="1" customFormat="false" ht="15" hidden="false" customHeight="true" outlineLevel="0" collapsed="false">
      <c r="A1" s="11" t="s">
        <v>68</v>
      </c>
    </row>
    <row r="2" customFormat="false" ht="15" hidden="false" customHeight="true" outlineLevel="0" collapsed="false">
      <c r="A2" s="3" t="s">
        <v>1</v>
      </c>
      <c r="B2" s="4" t="n">
        <v>46290</v>
      </c>
    </row>
    <row r="3" customFormat="false" ht="32.25" hidden="false" customHeight="true" outlineLevel="0" collapsed="false">
      <c r="A3" s="5" t="s">
        <v>69</v>
      </c>
      <c r="B3" s="5"/>
      <c r="C3" s="5"/>
      <c r="D3" s="5"/>
    </row>
    <row r="5" customFormat="false" ht="15" hidden="false" customHeight="true" outlineLevel="0" collapsed="false">
      <c r="A5" s="9" t="s">
        <v>70</v>
      </c>
      <c r="B5" s="9" t="s">
        <v>71</v>
      </c>
      <c r="C5" s="9" t="s">
        <v>72</v>
      </c>
    </row>
    <row r="6" customFormat="false" ht="15" hidden="false" customHeight="true" outlineLevel="0" collapsed="false">
      <c r="A6" s="12" t="n">
        <v>4402014</v>
      </c>
      <c r="B6" s="12" t="s">
        <v>73</v>
      </c>
      <c r="C6" s="12" t="str">
        <f aca="false">TRIM(SUBSTITUTE($B6,CHAR(160)," "))</f>
        <v>BE CARE תחבושת אלסטית 10ס""מ</v>
      </c>
    </row>
    <row r="7" customFormat="false" ht="15" hidden="false" customHeight="true" outlineLevel="0" collapsed="false">
      <c r="A7" s="12" t="n">
        <v>4402012</v>
      </c>
      <c r="B7" s="12" t="s">
        <v>74</v>
      </c>
      <c r="C7" s="12" t="str">
        <f aca="false">TRIM(SUBSTITUTE($B7,CHAR(160)," "))</f>
        <v>BE CARE תחבושת אלסטית 5 ס""מ</v>
      </c>
    </row>
    <row r="8" customFormat="false" ht="15" hidden="false" customHeight="true" outlineLevel="0" collapsed="false">
      <c r="A8" s="12" t="n">
        <v>4402013</v>
      </c>
      <c r="B8" s="12" t="s">
        <v>75</v>
      </c>
      <c r="C8" s="12" t="str">
        <f aca="false">TRIM(SUBSTITUTE($B8,CHAR(160)," "))</f>
        <v>BE CARE תחבושת אלסטית 7.5סמ</v>
      </c>
    </row>
    <row r="9" customFormat="false" ht="15" hidden="false" customHeight="true" outlineLevel="0" collapsed="false">
      <c r="A9" s="12" t="n">
        <v>4402015</v>
      </c>
      <c r="B9" s="12" t="s">
        <v>76</v>
      </c>
      <c r="C9" s="12" t="str">
        <f aca="false">TRIM(SUBSTITUTE($B9,CHAR(160)," "))</f>
        <v>BE CARE CB BEIGE</v>
      </c>
    </row>
    <row r="10" customFormat="false" ht="15" hidden="false" customHeight="true" outlineLevel="0" collapsed="false">
      <c r="A10" s="12" t="n">
        <v>4402016</v>
      </c>
      <c r="B10" s="12" t="s">
        <v>77</v>
      </c>
      <c r="C10" s="12" t="str">
        <f aca="false">TRIM(SUBSTITUTE($B10,CHAR(160)," "))</f>
        <v>BE CARE CB BLACK</v>
      </c>
    </row>
    <row r="11" customFormat="false" ht="15" hidden="false" customHeight="true" outlineLevel="0" collapsed="false">
      <c r="A11" s="12" t="n">
        <v>4402017</v>
      </c>
      <c r="B11" s="12" t="s">
        <v>78</v>
      </c>
      <c r="C11" s="12" t="str">
        <f aca="false">TRIM(SUBSTITUTE($B11,CHAR(160)," "))</f>
        <v>BE CARE CB GREEN</v>
      </c>
    </row>
    <row r="12" customFormat="false" ht="15" hidden="false" customHeight="true" outlineLevel="0" collapsed="false">
      <c r="A12" s="12" t="n">
        <v>4402018</v>
      </c>
      <c r="B12" s="12" t="s">
        <v>79</v>
      </c>
      <c r="C12" s="12" t="str">
        <f aca="false">TRIM(SUBSTITUTE($B12,CHAR(160)," "))</f>
        <v>BE CARE CB PINK</v>
      </c>
    </row>
    <row r="13" customFormat="false" ht="15" hidden="false" customHeight="true" outlineLevel="0" collapsed="false">
      <c r="A13" s="12" t="n">
        <v>4402019</v>
      </c>
      <c r="B13" s="12" t="s">
        <v>80</v>
      </c>
      <c r="C13" s="12" t="str">
        <f aca="false">TRIM(SUBSTITUTE($B13,CHAR(160)," "))</f>
        <v>BE CARE KT BEIGE</v>
      </c>
    </row>
    <row r="14" customFormat="false" ht="15" hidden="false" customHeight="true" outlineLevel="0" collapsed="false">
      <c r="A14" s="12" t="n">
        <v>4402020</v>
      </c>
      <c r="B14" s="12" t="s">
        <v>81</v>
      </c>
      <c r="C14" s="12" t="str">
        <f aca="false">TRIM(SUBSTITUTE($B14,CHAR(160)," "))</f>
        <v>BE CARE KT BLACK</v>
      </c>
    </row>
    <row r="15" customFormat="false" ht="15" hidden="false" customHeight="true" outlineLevel="0" collapsed="false">
      <c r="A15" s="12" t="n">
        <v>4402021</v>
      </c>
      <c r="B15" s="12" t="s">
        <v>82</v>
      </c>
      <c r="C15" s="12" t="str">
        <f aca="false">TRIM(SUBSTITUTE($B15,CHAR(160)," "))</f>
        <v>BE CARE KT BLUE</v>
      </c>
    </row>
    <row r="16" customFormat="false" ht="15" hidden="false" customHeight="true" outlineLevel="0" collapsed="false">
      <c r="A16" s="12" t="n">
        <v>4402022</v>
      </c>
      <c r="B16" s="12" t="s">
        <v>83</v>
      </c>
      <c r="C16" s="12" t="str">
        <f aca="false">TRIM(SUBSTITUTE($B16,CHAR(160)," "))</f>
        <v>BE CARE KT PINK</v>
      </c>
    </row>
    <row r="17" customFormat="false" ht="15" hidden="false" customHeight="true" outlineLevel="0" collapsed="false">
      <c r="A17" s="12" t="n">
        <v>4420016</v>
      </c>
      <c r="B17" s="12" t="s">
        <v>84</v>
      </c>
      <c r="C17" s="12" t="str">
        <f aca="false">TRIM(SUBSTITUTE($B17,CHAR(160)," "))</f>
        <v>40-רצועת פיקה לברך</v>
      </c>
    </row>
    <row r="18" customFormat="false" ht="15" hidden="false" customHeight="true" outlineLevel="0" collapsed="false">
      <c r="A18" s="12" t="n">
        <v>4420017</v>
      </c>
      <c r="B18" s="12" t="s">
        <v>85</v>
      </c>
      <c r="C18" s="12" t="str">
        <f aca="false">TRIM(SUBSTITUTE($B18,CHAR(160)," "))</f>
        <v>4022 רצועת ""פיקה""+כרית</v>
      </c>
    </row>
    <row r="19" customFormat="false" ht="15" hidden="false" customHeight="true" outlineLevel="0" collapsed="false">
      <c r="A19" s="12" t="n">
        <v>4413074</v>
      </c>
      <c r="B19" s="12" t="s">
        <v>86</v>
      </c>
      <c r="C19" s="12" t="str">
        <f aca="false">TRIM(SUBSTITUTE($B19,CHAR(160)," "))</f>
        <v>41 XL.מ.ברך מוצלב+ספירלות בצד</v>
      </c>
    </row>
    <row r="20" customFormat="false" ht="15" hidden="false" customHeight="true" outlineLevel="0" collapsed="false">
      <c r="A20" s="12" t="n">
        <v>4413072</v>
      </c>
      <c r="B20" s="12" t="s">
        <v>87</v>
      </c>
      <c r="C20" s="12" t="str">
        <f aca="false">TRIM(SUBSTITUTE($B20,CHAR(160)," "))</f>
        <v>41 Lמ.ברך מוצלב+ספירלות בצדדים</v>
      </c>
    </row>
    <row r="21" customFormat="false" ht="15" hidden="false" customHeight="true" outlineLevel="0" collapsed="false">
      <c r="A21" s="12" t="n">
        <v>4413073</v>
      </c>
      <c r="B21" s="12" t="s">
        <v>88</v>
      </c>
      <c r="C21" s="12" t="str">
        <f aca="false">TRIM(SUBSTITUTE($B21,CHAR(160)," "))</f>
        <v>41 Mמ.ברך מוצלב+ספירלות בצדדים</v>
      </c>
    </row>
    <row r="22" customFormat="false" ht="15" hidden="false" customHeight="true" outlineLevel="0" collapsed="false">
      <c r="A22" s="12" t="n">
        <v>4413071</v>
      </c>
      <c r="B22" s="12" t="s">
        <v>89</v>
      </c>
      <c r="C22" s="12" t="str">
        <f aca="false">TRIM(SUBSTITUTE($B22,CHAR(160)," "))</f>
        <v>41 Sמ.ברך מוצלב+ספירלות בצדדים</v>
      </c>
    </row>
    <row r="23" customFormat="false" ht="15" hidden="false" customHeight="true" outlineLevel="0" collapsed="false">
      <c r="A23" s="12" t="n">
        <v>4413275</v>
      </c>
      <c r="B23" s="12" t="s">
        <v>90</v>
      </c>
      <c r="C23" s="12" t="str">
        <f aca="false">TRIM(SUBSTITUTE($B23,CHAR(160)," "))</f>
        <v>41 XS מ.ברך מוצלב+מוטות</v>
      </c>
    </row>
    <row r="24" customFormat="false" ht="15" hidden="false" customHeight="true" outlineLevel="0" collapsed="false">
      <c r="A24" s="12" t="n">
        <v>4413075</v>
      </c>
      <c r="B24" s="12" t="s">
        <v>91</v>
      </c>
      <c r="C24" s="12" t="str">
        <f aca="false">TRIM(SUBSTITUTE($B24,CHAR(160)," "))</f>
        <v>41 XXL.מ.ברך מוצלב+ספירלות בצד</v>
      </c>
    </row>
    <row r="25" customFormat="false" ht="15" hidden="false" customHeight="true" outlineLevel="0" collapsed="false">
      <c r="A25" s="12" t="n">
        <v>4413076</v>
      </c>
      <c r="B25" s="12" t="s">
        <v>92</v>
      </c>
      <c r="C25" s="12" t="str">
        <f aca="false">TRIM(SUBSTITUTE($B25,CHAR(160)," "))</f>
        <v>41X L מגן ברך מוצלב+מוט</v>
      </c>
    </row>
    <row r="26" customFormat="false" ht="15" hidden="false" customHeight="true" outlineLevel="0" collapsed="false">
      <c r="A26" s="12" t="n">
        <v>4413077</v>
      </c>
      <c r="B26" s="12" t="s">
        <v>93</v>
      </c>
      <c r="C26" s="12" t="str">
        <f aca="false">TRIM(SUBSTITUTE($B26,CHAR(160)," "))</f>
        <v>41X M מגן ברך מוצלב+מוט</v>
      </c>
    </row>
    <row r="27" customFormat="false" ht="15" hidden="false" customHeight="true" outlineLevel="0" collapsed="false">
      <c r="A27" s="12" t="n">
        <v>4413078</v>
      </c>
      <c r="B27" s="12" t="s">
        <v>94</v>
      </c>
      <c r="C27" s="12" t="str">
        <f aca="false">TRIM(SUBSTITUTE($B27,CHAR(160)," "))</f>
        <v>41X S מגן ברך מוצלב+מוט</v>
      </c>
    </row>
    <row r="28" customFormat="false" ht="15" hidden="false" customHeight="true" outlineLevel="0" collapsed="false">
      <c r="A28" s="12" t="n">
        <v>4413079</v>
      </c>
      <c r="B28" s="12" t="s">
        <v>95</v>
      </c>
      <c r="C28" s="12" t="str">
        <f aca="false">TRIM(SUBSTITUTE($B28,CHAR(160)," "))</f>
        <v>41X XL מגן ברך מוצלב+מוט</v>
      </c>
    </row>
    <row r="29" customFormat="false" ht="15" hidden="false" customHeight="true" outlineLevel="0" collapsed="false">
      <c r="A29" s="12" t="n">
        <v>4413080</v>
      </c>
      <c r="B29" s="12" t="s">
        <v>96</v>
      </c>
      <c r="C29" s="12" t="str">
        <f aca="false">TRIM(SUBSTITUTE($B29,CHAR(160)," "))</f>
        <v>41X XS מגן ברך מוצלב+מוט</v>
      </c>
    </row>
    <row r="30" customFormat="false" ht="15" hidden="false" customHeight="true" outlineLevel="0" collapsed="false">
      <c r="A30" s="12" t="n">
        <v>4413081</v>
      </c>
      <c r="B30" s="12" t="s">
        <v>97</v>
      </c>
      <c r="C30" s="12" t="str">
        <f aca="false">TRIM(SUBSTITUTE($B30,CHAR(160)," "))</f>
        <v>41X XXL מגן ברך מוצלב+מוט</v>
      </c>
    </row>
    <row r="31" customFormat="false" ht="15" hidden="false" customHeight="true" outlineLevel="0" collapsed="false">
      <c r="A31" s="12" t="n">
        <v>4413087</v>
      </c>
      <c r="B31" s="12" t="s">
        <v>98</v>
      </c>
      <c r="C31" s="12" t="str">
        <f aca="false">TRIM(SUBSTITUTE($B31,CHAR(160)," "))</f>
        <v>422 Lמ.ברך+כרית סיל.סביב לפיקה</v>
      </c>
    </row>
    <row r="32" customFormat="false" ht="15" hidden="false" customHeight="true" outlineLevel="0" collapsed="false">
      <c r="A32" s="12" t="n">
        <v>4413088</v>
      </c>
      <c r="B32" s="12" t="s">
        <v>99</v>
      </c>
      <c r="C32" s="12" t="str">
        <f aca="false">TRIM(SUBSTITUTE($B32,CHAR(160)," "))</f>
        <v>422 Mמ.ברך+כרית סיל.סביב לפיקה</v>
      </c>
    </row>
    <row r="33" customFormat="false" ht="15" hidden="false" customHeight="true" outlineLevel="0" collapsed="false">
      <c r="A33" s="12" t="n">
        <v>4413089</v>
      </c>
      <c r="B33" s="12" t="s">
        <v>100</v>
      </c>
      <c r="C33" s="12" t="str">
        <f aca="false">TRIM(SUBSTITUTE($B33,CHAR(160)," "))</f>
        <v>422 Sמ.ברך+כרית סיל.סביב לפיקה</v>
      </c>
    </row>
    <row r="34" customFormat="false" ht="15" hidden="false" customHeight="true" outlineLevel="0" collapsed="false">
      <c r="A34" s="12" t="n">
        <v>4413090</v>
      </c>
      <c r="B34" s="12" t="s">
        <v>101</v>
      </c>
      <c r="C34" s="12" t="str">
        <f aca="false">TRIM(SUBSTITUTE($B34,CHAR(160)," "))</f>
        <v>422 XLמ.ברך+כרית סיל.סביב לפיק</v>
      </c>
    </row>
    <row r="35" customFormat="false" ht="15" hidden="false" customHeight="true" outlineLevel="0" collapsed="false">
      <c r="A35" s="12" t="n">
        <v>4413091</v>
      </c>
      <c r="B35" s="12" t="s">
        <v>102</v>
      </c>
      <c r="C35" s="12" t="str">
        <f aca="false">TRIM(SUBSTITUTE($B35,CHAR(160)," "))</f>
        <v>422 XXLמ.ברך+כרית סיל.סב. פיקה</v>
      </c>
    </row>
    <row r="36" customFormat="false" ht="15" hidden="false" customHeight="true" outlineLevel="0" collapsed="false">
      <c r="A36" s="12" t="n">
        <v>4413083</v>
      </c>
      <c r="B36" s="12" t="s">
        <v>103</v>
      </c>
      <c r="C36" s="12" t="str">
        <f aca="false">TRIM(SUBSTITUTE($B36,CHAR(160)," "))</f>
        <v>422+ L מ.ברך סיליק.רצועות לבן</v>
      </c>
    </row>
    <row r="37" customFormat="false" ht="15" hidden="false" customHeight="true" outlineLevel="0" collapsed="false">
      <c r="A37" s="12" t="n">
        <v>4413084</v>
      </c>
      <c r="B37" s="12" t="s">
        <v>104</v>
      </c>
      <c r="C37" s="12" t="str">
        <f aca="false">TRIM(SUBSTITUTE($B37,CHAR(160)," "))</f>
        <v>422+ Mמ.ברך סיל.רצועות חזק לבן</v>
      </c>
    </row>
    <row r="38" customFormat="false" ht="15" hidden="false" customHeight="true" outlineLevel="0" collapsed="false">
      <c r="A38" s="12" t="n">
        <v>4413085</v>
      </c>
      <c r="B38" s="12" t="s">
        <v>105</v>
      </c>
      <c r="C38" s="12" t="str">
        <f aca="false">TRIM(SUBSTITUTE($B38,CHAR(160)," "))</f>
        <v>422+ XLמ.ברך סיליק.לבן</v>
      </c>
    </row>
    <row r="39" customFormat="false" ht="15" hidden="false" customHeight="true" outlineLevel="0" collapsed="false">
      <c r="A39" s="12" t="n">
        <v>4413086</v>
      </c>
      <c r="B39" s="12" t="s">
        <v>106</v>
      </c>
      <c r="C39" s="12" t="str">
        <f aca="false">TRIM(SUBSTITUTE($B39,CHAR(160)," "))</f>
        <v>422+ XXLמ.ברך סיל.רצוע.חזק לבן</v>
      </c>
    </row>
    <row r="40" customFormat="false" ht="15" hidden="false" customHeight="true" outlineLevel="0" collapsed="false">
      <c r="A40" s="12" t="n">
        <v>4413279</v>
      </c>
      <c r="B40" s="12" t="s">
        <v>107</v>
      </c>
      <c r="C40" s="12" t="str">
        <f aca="false">TRIM(SUBSTITUTE($B40,CHAR(160)," "))</f>
        <v>422E L מגן ברך ארוך עם כרית</v>
      </c>
    </row>
    <row r="41" customFormat="false" ht="15" hidden="false" customHeight="true" outlineLevel="0" collapsed="false">
      <c r="A41" s="12" t="n">
        <v>4413280</v>
      </c>
      <c r="B41" s="12" t="s">
        <v>108</v>
      </c>
      <c r="C41" s="12" t="str">
        <f aca="false">TRIM(SUBSTITUTE($B41,CHAR(160)," "))</f>
        <v>422E M מגן ברך ארוך עם כרית</v>
      </c>
    </row>
    <row r="42" customFormat="false" ht="15" hidden="false" customHeight="true" outlineLevel="0" collapsed="false">
      <c r="A42" s="12" t="n">
        <v>4413281</v>
      </c>
      <c r="B42" s="12" t="s">
        <v>109</v>
      </c>
      <c r="C42" s="12" t="str">
        <f aca="false">TRIM(SUBSTITUTE($B42,CHAR(160)," "))</f>
        <v>422E S מגן ברך ארוך עם כרית</v>
      </c>
    </row>
    <row r="43" customFormat="false" ht="15" hidden="false" customHeight="true" outlineLevel="0" collapsed="false">
      <c r="A43" s="12" t="n">
        <v>4413282</v>
      </c>
      <c r="B43" s="12" t="s">
        <v>110</v>
      </c>
      <c r="C43" s="12" t="str">
        <f aca="false">TRIM(SUBSTITUTE($B43,CHAR(160)," "))</f>
        <v>422E XL מגן ברך ארוך עם כרית</v>
      </c>
    </row>
    <row r="44" customFormat="false" ht="15" hidden="false" customHeight="true" outlineLevel="0" collapsed="false">
      <c r="A44" s="12" t="n">
        <v>4413283</v>
      </c>
      <c r="B44" s="12" t="s">
        <v>111</v>
      </c>
      <c r="C44" s="12" t="str">
        <f aca="false">TRIM(SUBSTITUTE($B44,CHAR(160)," "))</f>
        <v>422E XXL מגן ברך ארוך עם כרית</v>
      </c>
    </row>
    <row r="45" customFormat="false" ht="15" hidden="false" customHeight="true" outlineLevel="0" collapsed="false">
      <c r="A45" s="12" t="n">
        <v>4413284</v>
      </c>
      <c r="B45" s="12" t="s">
        <v>112</v>
      </c>
      <c r="C45" s="12" t="str">
        <f aca="false">TRIM(SUBSTITUTE($B45,CHAR(160)," "))</f>
        <v>422E XXXL מגן ברך ארוך עם כרית</v>
      </c>
    </row>
    <row r="46" customFormat="false" ht="15" hidden="false" customHeight="true" outlineLevel="0" collapsed="false">
      <c r="A46" s="12" t="n">
        <v>4413341</v>
      </c>
      <c r="B46" s="12" t="s">
        <v>113</v>
      </c>
      <c r="C46" s="12" t="str">
        <f aca="false">TRIM(SUBSTITUTE($B46,CHAR(160)," "))</f>
        <v>422N L מ.ברך אפור+כרית סיליקון</v>
      </c>
    </row>
    <row r="47" customFormat="false" ht="15" hidden="false" customHeight="true" outlineLevel="0" collapsed="false">
      <c r="A47" s="12" t="n">
        <v>4413342</v>
      </c>
      <c r="B47" s="12" t="s">
        <v>114</v>
      </c>
      <c r="C47" s="12" t="str">
        <f aca="false">TRIM(SUBSTITUTE($B47,CHAR(160)," "))</f>
        <v>422N M מ.ברך אפור+כרית סיליקון</v>
      </c>
    </row>
    <row r="48" customFormat="false" ht="15" hidden="false" customHeight="true" outlineLevel="0" collapsed="false">
      <c r="A48" s="12" t="n">
        <v>4413344</v>
      </c>
      <c r="B48" s="12" t="s">
        <v>115</v>
      </c>
      <c r="C48" s="12" t="str">
        <f aca="false">TRIM(SUBSTITUTE($B48,CHAR(160)," "))</f>
        <v>422N XLמ.ברך אפור+כרית סיליקון</v>
      </c>
    </row>
    <row r="49" customFormat="false" ht="15" hidden="false" customHeight="true" outlineLevel="0" collapsed="false">
      <c r="A49" s="12" t="n">
        <v>4413345</v>
      </c>
      <c r="B49" s="12" t="s">
        <v>116</v>
      </c>
      <c r="C49" s="12" t="str">
        <f aca="false">TRIM(SUBSTITUTE($B49,CHAR(160)," "))</f>
        <v>422N XXL.מ.ברך אפור+כרית סיליק</v>
      </c>
    </row>
    <row r="50" customFormat="false" ht="15" hidden="false" customHeight="true" outlineLevel="0" collapsed="false">
      <c r="A50" s="12" t="n">
        <v>4415104</v>
      </c>
      <c r="B50" s="12" t="s">
        <v>117</v>
      </c>
      <c r="C50" s="12" t="str">
        <f aca="false">TRIM(SUBSTITUTE($B50,CHAR(160)," "))</f>
        <v>44G XL-Lסד ברך לאחר ניתוח</v>
      </c>
    </row>
    <row r="51" customFormat="false" ht="15" hidden="false" customHeight="true" outlineLevel="0" collapsed="false">
      <c r="A51" s="12" t="n">
        <v>4413332</v>
      </c>
      <c r="B51" s="12" t="s">
        <v>118</v>
      </c>
      <c r="C51" s="12" t="str">
        <f aca="false">TRIM(SUBSTITUTE($B51,CHAR(160)," "))</f>
        <v>45 XS מגן ברך רגיל לבן</v>
      </c>
    </row>
    <row r="52" customFormat="false" ht="15" hidden="false" customHeight="true" outlineLevel="0" collapsed="false">
      <c r="A52" s="12" t="n">
        <v>4413092</v>
      </c>
      <c r="B52" s="12" t="s">
        <v>119</v>
      </c>
      <c r="C52" s="12" t="str">
        <f aca="false">TRIM(SUBSTITUTE($B52,CHAR(160)," "))</f>
        <v>45 L מגן ברך לבן</v>
      </c>
    </row>
    <row r="53" customFormat="false" ht="15" hidden="false" customHeight="true" outlineLevel="0" collapsed="false">
      <c r="A53" s="12" t="n">
        <v>4413093</v>
      </c>
      <c r="B53" s="12" t="s">
        <v>120</v>
      </c>
      <c r="C53" s="12" t="str">
        <f aca="false">TRIM(SUBSTITUTE($B53,CHAR(160)," "))</f>
        <v>45 M מגן ברך לבן</v>
      </c>
    </row>
    <row r="54" customFormat="false" ht="15" hidden="false" customHeight="true" outlineLevel="0" collapsed="false">
      <c r="A54" s="12" t="n">
        <v>4413094</v>
      </c>
      <c r="B54" s="12" t="s">
        <v>121</v>
      </c>
      <c r="C54" s="12" t="str">
        <f aca="false">TRIM(SUBSTITUTE($B54,CHAR(160)," "))</f>
        <v>45 S מגן ברך לבן</v>
      </c>
    </row>
    <row r="55" customFormat="false" ht="15" hidden="false" customHeight="true" outlineLevel="0" collapsed="false">
      <c r="A55" s="12" t="n">
        <v>4413095</v>
      </c>
      <c r="B55" s="12" t="s">
        <v>122</v>
      </c>
      <c r="C55" s="12" t="str">
        <f aca="false">TRIM(SUBSTITUTE($B55,CHAR(160)," "))</f>
        <v>45 XL מגן ברך לבן</v>
      </c>
    </row>
    <row r="56" customFormat="false" ht="15" hidden="false" customHeight="true" outlineLevel="0" collapsed="false">
      <c r="A56" s="12" t="n">
        <v>4413096</v>
      </c>
      <c r="B56" s="12" t="s">
        <v>123</v>
      </c>
      <c r="C56" s="12" t="str">
        <f aca="false">TRIM(SUBSTITUTE($B56,CHAR(160)," "))</f>
        <v>45 XXL מגן ברך לבן</v>
      </c>
    </row>
    <row r="57" customFormat="false" ht="15" hidden="false" customHeight="true" outlineLevel="0" collapsed="false">
      <c r="A57" s="12" t="n">
        <v>4413495</v>
      </c>
      <c r="B57" s="12" t="s">
        <v>124</v>
      </c>
      <c r="C57" s="12" t="str">
        <f aca="false">TRIM(SUBSTITUTE($B57,CHAR(160)," "))</f>
        <v>45B L מגן ברך שחור</v>
      </c>
    </row>
    <row r="58" customFormat="false" ht="15" hidden="false" customHeight="true" outlineLevel="0" collapsed="false">
      <c r="A58" s="12" t="n">
        <v>4413497</v>
      </c>
      <c r="B58" s="12" t="s">
        <v>125</v>
      </c>
      <c r="C58" s="12" t="str">
        <f aca="false">TRIM(SUBSTITUTE($B58,CHAR(160)," "))</f>
        <v>45B M מגן ברך שחור</v>
      </c>
    </row>
    <row r="59" customFormat="false" ht="15" hidden="false" customHeight="true" outlineLevel="0" collapsed="false">
      <c r="A59" s="12" t="n">
        <v>4413498</v>
      </c>
      <c r="B59" s="12" t="s">
        <v>126</v>
      </c>
      <c r="C59" s="12" t="str">
        <f aca="false">TRIM(SUBSTITUTE($B59,CHAR(160)," "))</f>
        <v>45B S מגן ברך שחור</v>
      </c>
    </row>
    <row r="60" customFormat="false" ht="15" hidden="false" customHeight="true" outlineLevel="0" collapsed="false">
      <c r="A60" s="12" t="n">
        <v>4413496</v>
      </c>
      <c r="B60" s="12" t="s">
        <v>127</v>
      </c>
      <c r="C60" s="12" t="str">
        <f aca="false">TRIM(SUBSTITUTE($B60,CHAR(160)," "))</f>
        <v>45B XL מגן ברך שחור</v>
      </c>
    </row>
    <row r="61" customFormat="false" ht="15" hidden="false" customHeight="true" outlineLevel="0" collapsed="false">
      <c r="A61" s="12" t="n">
        <v>4413499</v>
      </c>
      <c r="B61" s="12" t="s">
        <v>128</v>
      </c>
      <c r="C61" s="12" t="str">
        <f aca="false">TRIM(SUBSTITUTE($B61,CHAR(160)," "))</f>
        <v>45B XXLמגן ברך שחור</v>
      </c>
    </row>
    <row r="62" customFormat="false" ht="15" hidden="false" customHeight="true" outlineLevel="0" collapsed="false">
      <c r="A62" s="12" t="n">
        <v>4413098</v>
      </c>
      <c r="B62" s="12" t="s">
        <v>129</v>
      </c>
      <c r="C62" s="12" t="str">
        <f aca="false">TRIM(SUBSTITUTE($B62,CHAR(160)," "))</f>
        <v>45C L מגן ברך חום</v>
      </c>
    </row>
    <row r="63" customFormat="false" ht="15" hidden="false" customHeight="true" outlineLevel="0" collapsed="false">
      <c r="A63" s="12" t="n">
        <v>4413099</v>
      </c>
      <c r="B63" s="12" t="s">
        <v>130</v>
      </c>
      <c r="C63" s="12" t="str">
        <f aca="false">TRIM(SUBSTITUTE($B63,CHAR(160)," "))</f>
        <v>45C M מגן ברך חום</v>
      </c>
    </row>
    <row r="64" customFormat="false" ht="15" hidden="false" customHeight="true" outlineLevel="0" collapsed="false">
      <c r="A64" s="12" t="n">
        <v>4413097</v>
      </c>
      <c r="B64" s="12" t="s">
        <v>131</v>
      </c>
      <c r="C64" s="12" t="str">
        <f aca="false">TRIM(SUBSTITUTE($B64,CHAR(160)," "))</f>
        <v>45C S מגן ברך חום</v>
      </c>
    </row>
    <row r="65" customFormat="false" ht="15" hidden="false" customHeight="true" outlineLevel="0" collapsed="false">
      <c r="A65" s="12" t="n">
        <v>4413100</v>
      </c>
      <c r="B65" s="12" t="s">
        <v>132</v>
      </c>
      <c r="C65" s="12" t="str">
        <f aca="false">TRIM(SUBSTITUTE($B65,CHAR(160)," "))</f>
        <v>45C XL מגן ברך חום</v>
      </c>
    </row>
    <row r="66" customFormat="false" ht="15" hidden="false" customHeight="true" outlineLevel="0" collapsed="false">
      <c r="A66" s="12" t="n">
        <v>4413102</v>
      </c>
      <c r="B66" s="12" t="s">
        <v>133</v>
      </c>
      <c r="C66" s="12" t="str">
        <f aca="false">TRIM(SUBSTITUTE($B66,CHAR(160)," "))</f>
        <v>45E L מגן ברך ארוך לבן</v>
      </c>
    </row>
    <row r="67" customFormat="false" ht="15" hidden="false" customHeight="true" outlineLevel="0" collapsed="false">
      <c r="A67" s="12" t="n">
        <v>4413103</v>
      </c>
      <c r="B67" s="12" t="s">
        <v>134</v>
      </c>
      <c r="C67" s="12" t="str">
        <f aca="false">TRIM(SUBSTITUTE($B67,CHAR(160)," "))</f>
        <v>45E Mמגן ברך ארוך לבן</v>
      </c>
    </row>
    <row r="68" customFormat="false" ht="15" hidden="false" customHeight="true" outlineLevel="0" collapsed="false">
      <c r="A68" s="12" t="n">
        <v>4413101</v>
      </c>
      <c r="B68" s="12" t="s">
        <v>135</v>
      </c>
      <c r="C68" s="12" t="str">
        <f aca="false">TRIM(SUBSTITUTE($B68,CHAR(160)," "))</f>
        <v>45E Sמגן ברך ארוך לבן</v>
      </c>
    </row>
    <row r="69" customFormat="false" ht="15" hidden="false" customHeight="true" outlineLevel="0" collapsed="false">
      <c r="A69" s="12" t="n">
        <v>4413104</v>
      </c>
      <c r="B69" s="12" t="s">
        <v>136</v>
      </c>
      <c r="C69" s="12" t="str">
        <f aca="false">TRIM(SUBSTITUTE($B69,CHAR(160)," "))</f>
        <v>45E XLמגן ברך ארוך לבן</v>
      </c>
    </row>
    <row r="70" customFormat="false" ht="15" hidden="false" customHeight="true" outlineLevel="0" collapsed="false">
      <c r="A70" s="12" t="n">
        <v>4413105</v>
      </c>
      <c r="B70" s="12" t="s">
        <v>137</v>
      </c>
      <c r="C70" s="12" t="str">
        <f aca="false">TRIM(SUBSTITUTE($B70,CHAR(160)," "))</f>
        <v>45E XXLמגן ברך ארוך לבן</v>
      </c>
    </row>
    <row r="71" customFormat="false" ht="15" hidden="false" customHeight="true" outlineLevel="0" collapsed="false">
      <c r="A71" s="12" t="n">
        <v>4413396</v>
      </c>
      <c r="B71" s="12" t="s">
        <v>138</v>
      </c>
      <c r="C71" s="12" t="str">
        <f aca="false">TRIM(SUBSTITUTE($B71,CHAR(160)," "))</f>
        <v>45EC L 'מגן ברך ארוך בז</v>
      </c>
    </row>
    <row r="72" customFormat="false" ht="15" hidden="false" customHeight="true" outlineLevel="0" collapsed="false">
      <c r="A72" s="12" t="n">
        <v>4413395</v>
      </c>
      <c r="B72" s="12" t="s">
        <v>139</v>
      </c>
      <c r="C72" s="12" t="str">
        <f aca="false">TRIM(SUBSTITUTE($B72,CHAR(160)," "))</f>
        <v>45EC M 'מגן ברך ארוך בז</v>
      </c>
    </row>
    <row r="73" customFormat="false" ht="15" hidden="false" customHeight="true" outlineLevel="0" collapsed="false">
      <c r="A73" s="12" t="n">
        <v>4413394</v>
      </c>
      <c r="B73" s="12" t="s">
        <v>140</v>
      </c>
      <c r="C73" s="12" t="str">
        <f aca="false">TRIM(SUBSTITUTE($B73,CHAR(160)," "))</f>
        <v>45EC S 'מגן ברך ארוך בז</v>
      </c>
    </row>
    <row r="74" customFormat="false" ht="15" hidden="false" customHeight="true" outlineLevel="0" collapsed="false">
      <c r="A74" s="12" t="n">
        <v>4413397</v>
      </c>
      <c r="B74" s="12" t="s">
        <v>141</v>
      </c>
      <c r="C74" s="12" t="str">
        <f aca="false">TRIM(SUBSTITUTE($B74,CHAR(160)," "))</f>
        <v>45EC XL'מגן ברך ארוך בז</v>
      </c>
    </row>
    <row r="75" customFormat="false" ht="15" hidden="false" customHeight="true" outlineLevel="0" collapsed="false">
      <c r="A75" s="12" t="n">
        <v>4413398</v>
      </c>
      <c r="B75" s="12" t="s">
        <v>142</v>
      </c>
      <c r="C75" s="12" t="str">
        <f aca="false">TRIM(SUBSTITUTE($B75,CHAR(160)," "))</f>
        <v>45EC XXL'מגן ברך ארוך בז</v>
      </c>
    </row>
    <row r="76" customFormat="false" ht="15" hidden="false" customHeight="true" outlineLevel="0" collapsed="false">
      <c r="A76" s="12" t="n">
        <v>4413107</v>
      </c>
      <c r="B76" s="12" t="s">
        <v>143</v>
      </c>
      <c r="C76" s="12" t="str">
        <f aca="false">TRIM(SUBSTITUTE($B76,CHAR(160)," "))</f>
        <v>48 L מגן ברך מחמם</v>
      </c>
    </row>
    <row r="77" customFormat="false" ht="15" hidden="false" customHeight="true" outlineLevel="0" collapsed="false">
      <c r="A77" s="12" t="n">
        <v>4413108</v>
      </c>
      <c r="B77" s="12" t="s">
        <v>144</v>
      </c>
      <c r="C77" s="12" t="str">
        <f aca="false">TRIM(SUBSTITUTE($B77,CHAR(160)," "))</f>
        <v>48 M מגן ברך מחמם</v>
      </c>
    </row>
    <row r="78" customFormat="false" ht="15" hidden="false" customHeight="true" outlineLevel="0" collapsed="false">
      <c r="A78" s="12" t="n">
        <v>4413106</v>
      </c>
      <c r="B78" s="12" t="s">
        <v>145</v>
      </c>
      <c r="C78" s="12" t="str">
        <f aca="false">TRIM(SUBSTITUTE($B78,CHAR(160)," "))</f>
        <v>48 S מגן ברך מחמם</v>
      </c>
    </row>
    <row r="79" customFormat="false" ht="15" hidden="false" customHeight="true" outlineLevel="0" collapsed="false">
      <c r="A79" s="12" t="n">
        <v>4413109</v>
      </c>
      <c r="B79" s="12" t="s">
        <v>146</v>
      </c>
      <c r="C79" s="12" t="str">
        <f aca="false">TRIM(SUBSTITUTE($B79,CHAR(160)," "))</f>
        <v>48 XL מגן ברך מחמם</v>
      </c>
    </row>
    <row r="80" customFormat="false" ht="15" hidden="false" customHeight="true" outlineLevel="0" collapsed="false">
      <c r="A80" s="12" t="n">
        <v>4413110</v>
      </c>
      <c r="B80" s="12" t="s">
        <v>147</v>
      </c>
      <c r="C80" s="12" t="str">
        <f aca="false">TRIM(SUBSTITUTE($B80,CHAR(160)," "))</f>
        <v>48 XXL מגן ברך מחמם</v>
      </c>
    </row>
    <row r="81" customFormat="false" ht="15" hidden="false" customHeight="true" outlineLevel="0" collapsed="false">
      <c r="A81" s="12" t="n">
        <v>4420026</v>
      </c>
      <c r="B81" s="12" t="s">
        <v>148</v>
      </c>
      <c r="C81" s="12" t="str">
        <f aca="false">TRIM(SUBSTITUTE($B81,CHAR(160)," "))</f>
        <v>AC40 רצועה לפיקת הברך</v>
      </c>
    </row>
    <row r="82" customFormat="false" ht="15" hidden="false" customHeight="true" outlineLevel="0" collapsed="false">
      <c r="A82" s="12" t="n">
        <v>4413328</v>
      </c>
      <c r="B82" s="12" t="s">
        <v>149</v>
      </c>
      <c r="C82" s="12" t="str">
        <f aca="false">TRIM(SUBSTITUTE($B82,CHAR(160)," "))</f>
        <v>AC43D מגן ברך + צירים</v>
      </c>
    </row>
    <row r="83" customFormat="false" ht="15" hidden="false" customHeight="true" outlineLevel="0" collapsed="false">
      <c r="A83" s="12" t="n">
        <v>4413329</v>
      </c>
      <c r="B83" s="12" t="s">
        <v>150</v>
      </c>
      <c r="C83" s="12" t="str">
        <f aca="false">TRIM(SUBSTITUTE($B83,CHAR(160)," "))</f>
        <v>AC45X מגן ברך עם תמיכות</v>
      </c>
    </row>
    <row r="84" customFormat="false" ht="15" hidden="false" customHeight="true" outlineLevel="0" collapsed="false">
      <c r="A84" s="12" t="n">
        <v>4402011</v>
      </c>
      <c r="B84" s="12" t="s">
        <v>151</v>
      </c>
      <c r="C84" s="12" t="str">
        <f aca="false">TRIM(SUBSTITUTE($B84,CHAR(160)," "))</f>
        <v>S-XLST422 מגן ברך+כרית ג'ל</v>
      </c>
    </row>
    <row r="85" customFormat="false" ht="15" hidden="false" customHeight="true" outlineLevel="0" collapsed="false">
      <c r="A85" s="12" t="n">
        <v>4413438</v>
      </c>
      <c r="B85" s="12" t="s">
        <v>152</v>
      </c>
      <c r="C85" s="12" t="str">
        <f aca="false">TRIM(SUBSTITUTE($B85,CHAR(160)," "))</f>
        <v>SC422 S מגן ברך</v>
      </c>
    </row>
    <row r="86" customFormat="false" ht="15" hidden="false" customHeight="true" outlineLevel="0" collapsed="false">
      <c r="A86" s="12" t="n">
        <v>4413442</v>
      </c>
      <c r="B86" s="12" t="s">
        <v>153</v>
      </c>
      <c r="C86" s="12" t="str">
        <f aca="false">TRIM(SUBSTITUTE($B86,CHAR(160)," "))</f>
        <v>SC422 XXLמגן ברך</v>
      </c>
    </row>
    <row r="87" customFormat="false" ht="15" hidden="false" customHeight="true" outlineLevel="0" collapsed="false">
      <c r="A87" s="12" t="n">
        <v>4422037</v>
      </c>
      <c r="B87" s="12" t="s">
        <v>154</v>
      </c>
      <c r="C87" s="12" t="str">
        <f aca="false">TRIM(SUBSTITUTE($B87,CHAR(160)," "))</f>
        <v>SH422 1 תומך ברך גנושילד</v>
      </c>
    </row>
    <row r="88" customFormat="false" ht="15" hidden="false" customHeight="true" outlineLevel="0" collapsed="false">
      <c r="A88" s="12" t="n">
        <v>4422038</v>
      </c>
      <c r="B88" s="12" t="s">
        <v>155</v>
      </c>
      <c r="C88" s="12" t="str">
        <f aca="false">TRIM(SUBSTITUTE($B88,CHAR(160)," "))</f>
        <v>SH422 2 תומך ברך גנושילד</v>
      </c>
    </row>
    <row r="89" customFormat="false" ht="15" hidden="false" customHeight="true" outlineLevel="0" collapsed="false">
      <c r="A89" s="12" t="n">
        <v>4422039</v>
      </c>
      <c r="B89" s="12" t="s">
        <v>156</v>
      </c>
      <c r="C89" s="12" t="str">
        <f aca="false">TRIM(SUBSTITUTE($B89,CHAR(160)," "))</f>
        <v>SH422 3 תומך ברך גנושילד</v>
      </c>
    </row>
    <row r="90" customFormat="false" ht="15" hidden="false" customHeight="true" outlineLevel="0" collapsed="false">
      <c r="A90" s="12" t="n">
        <v>4422040</v>
      </c>
      <c r="B90" s="12" t="s">
        <v>157</v>
      </c>
      <c r="C90" s="12" t="str">
        <f aca="false">TRIM(SUBSTITUTE($B90,CHAR(160)," "))</f>
        <v>SH422 4 תומך ברך גנושילד</v>
      </c>
    </row>
    <row r="91" customFormat="false" ht="15" hidden="false" customHeight="true" outlineLevel="0" collapsed="false">
      <c r="A91" s="12" t="n">
        <v>4422041</v>
      </c>
      <c r="B91" s="12" t="s">
        <v>158</v>
      </c>
      <c r="C91" s="12" t="str">
        <f aca="false">TRIM(SUBSTITUTE($B91,CHAR(160)," "))</f>
        <v>SH422 5 תומך ברך גנושילד</v>
      </c>
    </row>
    <row r="92" customFormat="false" ht="15" hidden="false" customHeight="true" outlineLevel="0" collapsed="false">
      <c r="A92" s="12" t="n">
        <v>4422042</v>
      </c>
      <c r="B92" s="12" t="s">
        <v>159</v>
      </c>
      <c r="C92" s="12" t="str">
        <f aca="false">TRIM(SUBSTITUTE($B92,CHAR(160)," "))</f>
        <v>SH422 6 תומך ברך גנושילד</v>
      </c>
    </row>
    <row r="93" customFormat="false" ht="15" hidden="false" customHeight="true" outlineLevel="0" collapsed="false">
      <c r="A93" s="12" t="n">
        <v>4413532</v>
      </c>
      <c r="B93" s="12" t="s">
        <v>160</v>
      </c>
      <c r="C93" s="12" t="str">
        <f aca="false">TRIM(SUBSTITUTE($B93,CHAR(160)," "))</f>
        <v>ST433 H מגן ברך עם ציר</v>
      </c>
    </row>
    <row r="94" customFormat="false" ht="15" hidden="false" customHeight="true" outlineLevel="0" collapsed="false">
      <c r="A94" s="12" t="n">
        <v>4413184</v>
      </c>
      <c r="B94" s="12" t="s">
        <v>161</v>
      </c>
      <c r="C94" s="12" t="str">
        <f aca="false">TRIM(SUBSTITUTE($B94,CHAR(160)," "))</f>
        <v>T 45 L מגן ברך רגיל</v>
      </c>
    </row>
    <row r="95" customFormat="false" ht="15" hidden="false" customHeight="true" outlineLevel="0" collapsed="false">
      <c r="A95" s="12" t="n">
        <v>4413183</v>
      </c>
      <c r="B95" s="12" t="s">
        <v>162</v>
      </c>
      <c r="C95" s="12" t="str">
        <f aca="false">TRIM(SUBSTITUTE($B95,CHAR(160)," "))</f>
        <v>T 45 M מגן ברך רגיל</v>
      </c>
    </row>
    <row r="96" customFormat="false" ht="15" hidden="false" customHeight="true" outlineLevel="0" collapsed="false">
      <c r="A96" s="12" t="n">
        <v>4413185</v>
      </c>
      <c r="B96" s="12" t="s">
        <v>163</v>
      </c>
      <c r="C96" s="12" t="str">
        <f aca="false">TRIM(SUBSTITUTE($B96,CHAR(160)," "))</f>
        <v>T 45XL מגן ברך רגיל</v>
      </c>
    </row>
    <row r="97" customFormat="false" ht="15" hidden="false" customHeight="true" outlineLevel="0" collapsed="false">
      <c r="A97" s="12" t="n">
        <v>4420021</v>
      </c>
      <c r="B97" s="12" t="s">
        <v>164</v>
      </c>
      <c r="C97" s="12" t="str">
        <f aca="false">TRIM(SUBSTITUTE($B97,CHAR(160)," "))</f>
        <v>T40 רצועת פיקה לברך</v>
      </c>
    </row>
    <row r="98" customFormat="false" ht="15" hidden="false" customHeight="true" outlineLevel="0" collapsed="false">
      <c r="A98" s="12" t="n">
        <v>4413171</v>
      </c>
      <c r="B98" s="12" t="s">
        <v>165</v>
      </c>
      <c r="C98" s="12" t="str">
        <f aca="false">TRIM(SUBSTITUTE($B98,CHAR(160)," "))</f>
        <v>T402 L מיצב פיקה</v>
      </c>
    </row>
    <row r="99" customFormat="false" ht="15" hidden="false" customHeight="true" outlineLevel="0" collapsed="false">
      <c r="A99" s="12" t="n">
        <v>4413170</v>
      </c>
      <c r="B99" s="12" t="s">
        <v>166</v>
      </c>
      <c r="C99" s="12" t="str">
        <f aca="false">TRIM(SUBSTITUTE($B99,CHAR(160)," "))</f>
        <v>T402 M מיצב פיקה</v>
      </c>
    </row>
    <row r="100" customFormat="false" ht="15" hidden="false" customHeight="true" outlineLevel="0" collapsed="false">
      <c r="A100" s="12" t="n">
        <v>4413169</v>
      </c>
      <c r="B100" s="12" t="s">
        <v>167</v>
      </c>
      <c r="C100" s="12" t="str">
        <f aca="false">TRIM(SUBSTITUTE($B100,CHAR(160)," "))</f>
        <v>T402 S מיצב פיקה</v>
      </c>
    </row>
    <row r="101" customFormat="false" ht="15" hidden="false" customHeight="true" outlineLevel="0" collapsed="false">
      <c r="A101" s="12" t="n">
        <v>4413172</v>
      </c>
      <c r="B101" s="12" t="s">
        <v>168</v>
      </c>
      <c r="C101" s="12" t="str">
        <f aca="false">TRIM(SUBSTITUTE($B101,CHAR(160)," "))</f>
        <v>T402 XL מיצב פיקה</v>
      </c>
    </row>
    <row r="102" customFormat="false" ht="15" hidden="false" customHeight="true" outlineLevel="0" collapsed="false">
      <c r="A102" s="12" t="n">
        <v>4413173</v>
      </c>
      <c r="B102" s="12" t="s">
        <v>169</v>
      </c>
      <c r="C102" s="12" t="str">
        <f aca="false">TRIM(SUBSTITUTE($B102,CHAR(160)," "))</f>
        <v>T402 XXL מיצב פיקה</v>
      </c>
    </row>
    <row r="103" customFormat="false" ht="15" hidden="false" customHeight="true" outlineLevel="0" collapsed="false">
      <c r="A103" s="12" t="n">
        <v>4420039</v>
      </c>
      <c r="B103" s="12" t="s">
        <v>170</v>
      </c>
      <c r="C103" s="12" t="str">
        <f aca="false">TRIM(SUBSTITUTE($B103,CHAR(160)," "))</f>
        <v>T40B רצועה לפיקה</v>
      </c>
    </row>
    <row r="104" customFormat="false" ht="15" hidden="false" customHeight="true" outlineLevel="0" collapsed="false">
      <c r="A104" s="12" t="n">
        <v>4413287</v>
      </c>
      <c r="B104" s="12" t="s">
        <v>171</v>
      </c>
      <c r="C104" s="12" t="str">
        <f aca="false">TRIM(SUBSTITUTE($B104,CHAR(160)," "))</f>
        <v>T43 SKI XXL מגן ברך לסקי</v>
      </c>
    </row>
    <row r="105" customFormat="false" ht="15" hidden="false" customHeight="true" outlineLevel="0" collapsed="false">
      <c r="A105" s="12" t="n">
        <v>4413240</v>
      </c>
      <c r="B105" s="12" t="s">
        <v>172</v>
      </c>
      <c r="C105" s="12" t="str">
        <f aca="false">TRIM(SUBSTITUTE($B105,CHAR(160)," "))</f>
        <v>T433 XL מגן ברך משופר</v>
      </c>
    </row>
    <row r="106" customFormat="false" ht="15" hidden="false" customHeight="true" outlineLevel="0" collapsed="false">
      <c r="A106" s="12" t="n">
        <v>4413188</v>
      </c>
      <c r="B106" s="12" t="s">
        <v>173</v>
      </c>
      <c r="C106" s="12" t="str">
        <f aca="false">TRIM(SUBSTITUTE($B106,CHAR(160)," "))</f>
        <v>T43SKI L מגן ברך לסקי</v>
      </c>
    </row>
    <row r="107" customFormat="false" ht="15" hidden="false" customHeight="true" outlineLevel="0" collapsed="false">
      <c r="A107" s="12" t="n">
        <v>4413187</v>
      </c>
      <c r="B107" s="12" t="s">
        <v>174</v>
      </c>
      <c r="C107" s="12" t="str">
        <f aca="false">TRIM(SUBSTITUTE($B107,CHAR(160)," "))</f>
        <v>T43SKI M מגן ברך לסקי</v>
      </c>
    </row>
    <row r="108" customFormat="false" ht="15" hidden="false" customHeight="true" outlineLevel="0" collapsed="false">
      <c r="A108" s="12" t="n">
        <v>4413189</v>
      </c>
      <c r="B108" s="12" t="s">
        <v>175</v>
      </c>
      <c r="C108" s="12" t="str">
        <f aca="false">TRIM(SUBSTITUTE($B108,CHAR(160)," "))</f>
        <v>T43SKI XLמגן ברך לסקי</v>
      </c>
    </row>
    <row r="109" customFormat="false" ht="15" hidden="false" customHeight="true" outlineLevel="0" collapsed="false">
      <c r="A109" s="12" t="n">
        <v>4413182</v>
      </c>
      <c r="B109" s="12" t="s">
        <v>176</v>
      </c>
      <c r="C109" s="12" t="str">
        <f aca="false">TRIM(SUBSTITUTE($B109,CHAR(160)," "))</f>
        <v>T45 S מגן ברך רגיל</v>
      </c>
    </row>
    <row r="110" customFormat="false" ht="15" hidden="false" customHeight="true" outlineLevel="0" collapsed="false">
      <c r="A110" s="12" t="n">
        <v>4413286</v>
      </c>
      <c r="B110" s="12" t="s">
        <v>177</v>
      </c>
      <c r="C110" s="12" t="str">
        <f aca="false">TRIM(SUBSTITUTE($B110,CHAR(160)," "))</f>
        <v>T45 XXL מגן ברך רגיל</v>
      </c>
    </row>
    <row r="111" customFormat="false" ht="15" hidden="false" customHeight="true" outlineLevel="0" collapsed="false">
      <c r="A111" s="12" t="n">
        <v>4413260</v>
      </c>
      <c r="B111" s="12" t="s">
        <v>178</v>
      </c>
      <c r="C111" s="12" t="str">
        <f aca="false">TRIM(SUBSTITUTE($B111,CHAR(160)," "))</f>
        <v>T45X-XXLמגן ברך רגיל</v>
      </c>
    </row>
    <row r="112" customFormat="false" ht="15" hidden="false" customHeight="true" outlineLevel="0" collapsed="false">
      <c r="A112" s="12" t="n">
        <v>4413226</v>
      </c>
      <c r="B112" s="12" t="s">
        <v>179</v>
      </c>
      <c r="C112" s="12" t="str">
        <f aca="false">TRIM(SUBSTITUTE($B112,CHAR(160)," "))</f>
        <v>T45X L מגן ברך רגיל</v>
      </c>
    </row>
    <row r="113" customFormat="false" ht="15" hidden="false" customHeight="true" outlineLevel="0" collapsed="false">
      <c r="A113" s="12" t="n">
        <v>4413225</v>
      </c>
      <c r="B113" s="12" t="s">
        <v>180</v>
      </c>
      <c r="C113" s="12" t="str">
        <f aca="false">TRIM(SUBSTITUTE($B113,CHAR(160)," "))</f>
        <v>T45X M מגן ברך רגיל</v>
      </c>
    </row>
    <row r="114" customFormat="false" ht="15" hidden="false" customHeight="true" outlineLevel="0" collapsed="false">
      <c r="A114" s="12" t="n">
        <v>4413227</v>
      </c>
      <c r="B114" s="12" t="s">
        <v>181</v>
      </c>
      <c r="C114" s="12" t="str">
        <f aca="false">TRIM(SUBSTITUTE($B114,CHAR(160)," "))</f>
        <v>T45X S מגן ברך רגיל</v>
      </c>
    </row>
    <row r="115" customFormat="false" ht="15" hidden="false" customHeight="true" outlineLevel="0" collapsed="false">
      <c r="A115" s="12" t="n">
        <v>4413224</v>
      </c>
      <c r="B115" s="12" t="s">
        <v>182</v>
      </c>
      <c r="C115" s="12" t="str">
        <f aca="false">TRIM(SUBSTITUTE($B115,CHAR(160)," "))</f>
        <v>T45X XL מגן ברך רגיל</v>
      </c>
    </row>
    <row r="116" customFormat="false" ht="15" hidden="false" customHeight="true" outlineLevel="0" collapsed="false">
      <c r="A116" s="12" t="n">
        <v>4403011</v>
      </c>
      <c r="B116" s="12" t="s">
        <v>183</v>
      </c>
      <c r="C116" s="12" t="str">
        <f aca="false">TRIM(SUBSTITUTE($B116,CHAR(160)," "))</f>
        <v>3444 0 גרביים+סיליקון</v>
      </c>
    </row>
    <row r="117" customFormat="false" ht="15" hidden="false" customHeight="true" outlineLevel="0" collapsed="false">
      <c r="A117" s="12" t="n">
        <v>4403040</v>
      </c>
      <c r="B117" s="12" t="s">
        <v>184</v>
      </c>
      <c r="C117" s="12" t="str">
        <f aca="false">TRIM(SUBSTITUTE($B117,CHAR(160)," "))</f>
        <v>3444B גרבי ג'ל לריכוך עור העקב</v>
      </c>
    </row>
    <row r="118" customFormat="false" ht="15" hidden="false" customHeight="true" outlineLevel="0" collapsed="false">
      <c r="A118" s="12" t="n">
        <v>4403027</v>
      </c>
      <c r="B118" s="12" t="s">
        <v>185</v>
      </c>
      <c r="C118" s="12" t="str">
        <f aca="false">TRIM(SUBSTITUTE($B118,CHAR(160)," "))</f>
        <v>3445Wתתגרב לבן סיליקון טיפ יום</v>
      </c>
    </row>
    <row r="119" customFormat="false" ht="15" hidden="false" customHeight="true" outlineLevel="0" collapsed="false">
      <c r="A119" s="12" t="n">
        <v>4403001</v>
      </c>
      <c r="B119" s="12" t="s">
        <v>186</v>
      </c>
      <c r="C119" s="12" t="str">
        <f aca="false">TRIM(SUBSTITUTE($B119,CHAR(160)," "))</f>
        <v>390B 39-42.גרב.כסף לסכרתיים שח</v>
      </c>
    </row>
    <row r="120" customFormat="false" ht="15" hidden="false" customHeight="true" outlineLevel="0" collapsed="false">
      <c r="A120" s="12" t="n">
        <v>4403002</v>
      </c>
      <c r="B120" s="12" t="s">
        <v>187</v>
      </c>
      <c r="C120" s="12" t="str">
        <f aca="false">TRIM(SUBSTITUTE($B120,CHAR(160)," "))</f>
        <v>390B 43-46.גרב.כסף לסכרתיים שח</v>
      </c>
    </row>
    <row r="121" customFormat="false" ht="15" hidden="false" customHeight="true" outlineLevel="0" collapsed="false">
      <c r="A121" s="12" t="n">
        <v>4403000</v>
      </c>
      <c r="B121" s="12" t="s">
        <v>188</v>
      </c>
      <c r="C121" s="12" t="str">
        <f aca="false">TRIM(SUBSTITUTE($B121,CHAR(160)," "))</f>
        <v>390B גרב.כסף לסכרתים שחור35-38</v>
      </c>
    </row>
    <row r="122" customFormat="false" ht="15" hidden="false" customHeight="true" outlineLevel="0" collapsed="false">
      <c r="A122" s="12" t="n">
        <v>4403004</v>
      </c>
      <c r="B122" s="12" t="s">
        <v>189</v>
      </c>
      <c r="C122" s="12" t="str">
        <f aca="false">TRIM(SUBSTITUTE($B122,CHAR(160)," "))</f>
        <v>390G 39-42.גרב.כסף לסכרתיים אפ</v>
      </c>
    </row>
    <row r="123" customFormat="false" ht="15" hidden="false" customHeight="true" outlineLevel="0" collapsed="false">
      <c r="A123" s="12" t="n">
        <v>4403003</v>
      </c>
      <c r="B123" s="12" t="s">
        <v>190</v>
      </c>
      <c r="C123" s="12" t="str">
        <f aca="false">TRIM(SUBSTITUTE($B123,CHAR(160)," "))</f>
        <v>390G ג.כסף לסכרתיים אפור35-38</v>
      </c>
    </row>
    <row r="124" customFormat="false" ht="15" hidden="false" customHeight="true" outlineLevel="0" collapsed="false">
      <c r="A124" s="12" t="n">
        <v>4403006</v>
      </c>
      <c r="B124" s="12" t="s">
        <v>191</v>
      </c>
      <c r="C124" s="12" t="str">
        <f aca="false">TRIM(SUBSTITUTE($B124,CHAR(160)," "))</f>
        <v>390W גרב כסף לסכרתיים לבן35-38</v>
      </c>
    </row>
    <row r="125" customFormat="false" ht="15" hidden="false" customHeight="true" outlineLevel="0" collapsed="false">
      <c r="A125" s="12" t="n">
        <v>4403007</v>
      </c>
      <c r="B125" s="12" t="s">
        <v>192</v>
      </c>
      <c r="C125" s="12" t="str">
        <f aca="false">TRIM(SUBSTITUTE($B125,CHAR(160)," "))</f>
        <v>390W גרב.כסף לסכרתיים לבן39-42</v>
      </c>
    </row>
    <row r="126" customFormat="false" ht="15" hidden="false" customHeight="true" outlineLevel="0" collapsed="false">
      <c r="A126" s="12" t="n">
        <v>4403008</v>
      </c>
      <c r="B126" s="12" t="s">
        <v>193</v>
      </c>
      <c r="C126" s="12" t="str">
        <f aca="false">TRIM(SUBSTITUTE($B126,CHAR(160)," "))</f>
        <v>390W גרב.כסף לסכרתיים לבן43-46</v>
      </c>
    </row>
    <row r="127" customFormat="false" ht="15" hidden="false" customHeight="true" outlineLevel="0" collapsed="false">
      <c r="A127" s="12" t="n">
        <v>4403017</v>
      </c>
      <c r="B127" s="12" t="s">
        <v>194</v>
      </c>
      <c r="C127" s="12" t="str">
        <f aca="false">TRIM(SUBSTITUTE($B127,CHAR(160)," "))</f>
        <v>394B גרב.כסף לסכרתים שחור35-38</v>
      </c>
    </row>
    <row r="128" customFormat="false" ht="15" hidden="false" customHeight="true" outlineLevel="0" collapsed="false">
      <c r="A128" s="12" t="n">
        <v>4403018</v>
      </c>
      <c r="B128" s="12" t="s">
        <v>195</v>
      </c>
      <c r="C128" s="12" t="str">
        <f aca="false">TRIM(SUBSTITUTE($B128,CHAR(160)," "))</f>
        <v>394B גרב.כסף לסכרתים שחור39-42</v>
      </c>
    </row>
    <row r="129" customFormat="false" ht="15" hidden="false" customHeight="true" outlineLevel="0" collapsed="false">
      <c r="A129" s="12" t="n">
        <v>4403019</v>
      </c>
      <c r="B129" s="12" t="s">
        <v>196</v>
      </c>
      <c r="C129" s="12" t="str">
        <f aca="false">TRIM(SUBSTITUTE($B129,CHAR(160)," "))</f>
        <v>394B גרב.כסף לסכרתים שחור43-46</v>
      </c>
    </row>
    <row r="130" customFormat="false" ht="15" hidden="false" customHeight="true" outlineLevel="0" collapsed="false">
      <c r="A130" s="12" t="n">
        <v>4403020</v>
      </c>
      <c r="B130" s="12" t="s">
        <v>197</v>
      </c>
      <c r="C130" s="12" t="str">
        <f aca="false">TRIM(SUBSTITUTE($B130,CHAR(160)," "))</f>
        <v>394G גרב.כסף לסכרתים אפור35-38</v>
      </c>
    </row>
    <row r="131" customFormat="false" ht="15" hidden="false" customHeight="true" outlineLevel="0" collapsed="false">
      <c r="A131" s="12" t="n">
        <v>4403021</v>
      </c>
      <c r="B131" s="12" t="s">
        <v>198</v>
      </c>
      <c r="C131" s="12" t="str">
        <f aca="false">TRIM(SUBSTITUTE($B131,CHAR(160)," "))</f>
        <v>394G גרב.כסף לסכרתים אפור39-42</v>
      </c>
    </row>
    <row r="132" customFormat="false" ht="15" hidden="false" customHeight="true" outlineLevel="0" collapsed="false">
      <c r="A132" s="12" t="n">
        <v>4403022</v>
      </c>
      <c r="B132" s="12" t="s">
        <v>199</v>
      </c>
      <c r="C132" s="12" t="str">
        <f aca="false">TRIM(SUBSTITUTE($B132,CHAR(160)," "))</f>
        <v>394G גרב.כסף לסכרתים אפור43-46</v>
      </c>
    </row>
    <row r="133" customFormat="false" ht="15" hidden="false" customHeight="true" outlineLevel="0" collapsed="false">
      <c r="A133" s="12" t="n">
        <v>4403023</v>
      </c>
      <c r="B133" s="12" t="s">
        <v>200</v>
      </c>
      <c r="C133" s="12" t="str">
        <f aca="false">TRIM(SUBSTITUTE($B133,CHAR(160)," "))</f>
        <v>394W 35-38 גרב.כסף לסכרתים לבן</v>
      </c>
    </row>
    <row r="134" customFormat="false" ht="15" hidden="false" customHeight="true" outlineLevel="0" collapsed="false">
      <c r="A134" s="12" t="n">
        <v>4403024</v>
      </c>
      <c r="B134" s="12" t="s">
        <v>201</v>
      </c>
      <c r="C134" s="12" t="str">
        <f aca="false">TRIM(SUBSTITUTE($B134,CHAR(160)," "))</f>
        <v>394W 39-42 גרב.כסף לסכרתים לבן</v>
      </c>
    </row>
    <row r="135" customFormat="false" ht="15" hidden="false" customHeight="true" outlineLevel="0" collapsed="false">
      <c r="A135" s="12" t="n">
        <v>4403025</v>
      </c>
      <c r="B135" s="12" t="s">
        <v>202</v>
      </c>
      <c r="C135" s="12" t="str">
        <f aca="false">TRIM(SUBSTITUTE($B135,CHAR(160)," "))</f>
        <v>394W 43-46 גרב.כסף לסכרתים לבן</v>
      </c>
    </row>
    <row r="136" customFormat="false" ht="15" hidden="false" customHeight="true" outlineLevel="0" collapsed="false">
      <c r="A136" s="12" t="n">
        <v>4403044</v>
      </c>
      <c r="B136" s="12" t="s">
        <v>203</v>
      </c>
      <c r="C136" s="12" t="str">
        <f aca="false">TRIM(SUBSTITUTE($B136,CHAR(160)," "))</f>
        <v>395B גרבי קיץ אנטי בקטריא39-42</v>
      </c>
    </row>
    <row r="137" customFormat="false" ht="15" hidden="false" customHeight="true" outlineLevel="0" collapsed="false">
      <c r="A137" s="12" t="n">
        <v>4403045</v>
      </c>
      <c r="B137" s="12" t="s">
        <v>204</v>
      </c>
      <c r="C137" s="12" t="str">
        <f aca="false">TRIM(SUBSTITUTE($B137,CHAR(160)," "))</f>
        <v>395B גרבי קיץ אנטי בקטריא43-46</v>
      </c>
    </row>
    <row r="138" customFormat="false" ht="15" hidden="false" customHeight="true" outlineLevel="0" collapsed="false">
      <c r="A138" s="12" t="n">
        <v>4403031</v>
      </c>
      <c r="B138" s="12" t="s">
        <v>205</v>
      </c>
      <c r="C138" s="12" t="str">
        <f aca="false">TRIM(SUBSTITUTE($B138,CHAR(160)," "))</f>
        <v>396-35-38 גרביים טרמיות</v>
      </c>
    </row>
    <row r="139" customFormat="false" ht="15" hidden="false" customHeight="true" outlineLevel="0" collapsed="false">
      <c r="A139" s="12" t="n">
        <v>4403032</v>
      </c>
      <c r="B139" s="12" t="s">
        <v>206</v>
      </c>
      <c r="C139" s="12" t="str">
        <f aca="false">TRIM(SUBSTITUTE($B139,CHAR(160)," "))</f>
        <v>396-39-42 גרביים טרמיות</v>
      </c>
    </row>
    <row r="140" customFormat="false" ht="15" hidden="false" customHeight="true" outlineLevel="0" collapsed="false">
      <c r="A140" s="12" t="n">
        <v>4403028</v>
      </c>
      <c r="B140" s="12" t="s">
        <v>207</v>
      </c>
      <c r="C140" s="12" t="str">
        <f aca="false">TRIM(SUBSTITUTE($B140,CHAR(160)," "))</f>
        <v>397 35-38 גרבי טיסה מידה</v>
      </c>
    </row>
    <row r="141" customFormat="false" ht="15" hidden="false" customHeight="true" outlineLevel="0" collapsed="false">
      <c r="A141" s="12" t="n">
        <v>4403029</v>
      </c>
      <c r="B141" s="12" t="s">
        <v>208</v>
      </c>
      <c r="C141" s="12" t="str">
        <f aca="false">TRIM(SUBSTITUTE($B141,CHAR(160)," "))</f>
        <v>397 39-42 גרבי טיסה מידה</v>
      </c>
    </row>
    <row r="142" customFormat="false" ht="15" hidden="false" customHeight="true" outlineLevel="0" collapsed="false">
      <c r="A142" s="12" t="n">
        <v>4403030</v>
      </c>
      <c r="B142" s="12" t="s">
        <v>209</v>
      </c>
      <c r="C142" s="12" t="str">
        <f aca="false">TRIM(SUBSTITUTE($B142,CHAR(160)," "))</f>
        <v>397 43-46 גרבי טיסה מידה</v>
      </c>
    </row>
    <row r="143" customFormat="false" ht="15" hidden="false" customHeight="true" outlineLevel="0" collapsed="false">
      <c r="A143" s="12" t="n">
        <v>4403041</v>
      </c>
      <c r="B143" s="12" t="s">
        <v>210</v>
      </c>
      <c r="C143" s="12" t="str">
        <f aca="false">TRIM(SUBSTITUTE($B143,CHAR(160)," "))</f>
        <v>397A-גרבי טיסה אנטי בקטרי35-38</v>
      </c>
    </row>
    <row r="144" customFormat="false" ht="15" hidden="false" customHeight="true" outlineLevel="0" collapsed="false">
      <c r="A144" s="12" t="n">
        <v>4403042</v>
      </c>
      <c r="B144" s="12" t="s">
        <v>211</v>
      </c>
      <c r="C144" s="12" t="str">
        <f aca="false">TRIM(SUBSTITUTE($B144,CHAR(160)," "))</f>
        <v>397A-גרבי טיסה אנטי בקטרי39-42</v>
      </c>
    </row>
    <row r="145" customFormat="false" ht="15" hidden="false" customHeight="true" outlineLevel="0" collapsed="false">
      <c r="A145" s="12" t="n">
        <v>4403043</v>
      </c>
      <c r="B145" s="12" t="s">
        <v>212</v>
      </c>
      <c r="C145" s="12" t="str">
        <f aca="false">TRIM(SUBSTITUTE($B145,CHAR(160)," "))</f>
        <v>397A-גרבי טיסה אנטי בקטרי43-46</v>
      </c>
    </row>
    <row r="146" customFormat="false" ht="15" hidden="false" customHeight="true" outlineLevel="0" collapsed="false">
      <c r="A146" s="12" t="n">
        <v>4403005</v>
      </c>
      <c r="B146" s="12" t="s">
        <v>213</v>
      </c>
      <c r="C146" s="12" t="str">
        <f aca="false">TRIM(SUBSTITUTE($B146,CHAR(160)," "))</f>
        <v>G390.43-46 גרבי כסף לסכרת מידה</v>
      </c>
    </row>
    <row r="147" customFormat="false" ht="15" hidden="false" customHeight="true" outlineLevel="0" collapsed="false">
      <c r="A147" s="12" t="n">
        <v>4403034</v>
      </c>
      <c r="B147" s="12" t="s">
        <v>214</v>
      </c>
      <c r="C147" s="12" t="str">
        <f aca="false">TRIM(SUBSTITUTE($B147,CHAR(160)," "))</f>
        <v>ST3555 S-Mגרב לילה לטיפ.בדורבן</v>
      </c>
    </row>
    <row r="148" customFormat="false" ht="15" hidden="false" customHeight="true" outlineLevel="0" collapsed="false">
      <c r="A148" s="12" t="n">
        <v>4403035</v>
      </c>
      <c r="B148" s="12" t="s">
        <v>215</v>
      </c>
      <c r="C148" s="12" t="str">
        <f aca="false">TRIM(SUBSTITUTE($B148,CHAR(160)," "))</f>
        <v>ST3555L-XLגרב לילה לטיפ.בדורבן</v>
      </c>
    </row>
    <row r="149" customFormat="false" ht="15" hidden="false" customHeight="true" outlineLevel="0" collapsed="false">
      <c r="A149" s="12" t="n">
        <v>4408002</v>
      </c>
      <c r="B149" s="12" t="s">
        <v>216</v>
      </c>
      <c r="C149" s="12" t="str">
        <f aca="false">TRIM(SUBSTITUTE($B149,CHAR(160)," "))</f>
        <v>06 L ""ח.גב קלה ""מיקדו</v>
      </c>
    </row>
    <row r="150" customFormat="false" ht="15" hidden="false" customHeight="true" outlineLevel="0" collapsed="false">
      <c r="A150" s="12" t="n">
        <v>4408003</v>
      </c>
      <c r="B150" s="12" t="s">
        <v>217</v>
      </c>
      <c r="C150" s="12" t="str">
        <f aca="false">TRIM(SUBSTITUTE($B150,CHAR(160)," "))</f>
        <v>06 M ""ח.גב קלה ""מיקדו</v>
      </c>
    </row>
    <row r="151" customFormat="false" ht="15" hidden="false" customHeight="true" outlineLevel="0" collapsed="false">
      <c r="A151" s="12" t="n">
        <v>4408000</v>
      </c>
      <c r="B151" s="12" t="s">
        <v>218</v>
      </c>
      <c r="C151" s="12" t="str">
        <f aca="false">TRIM(SUBSTITUTE($B151,CHAR(160)," "))</f>
        <v>06 S ""ח.גב קלה ""מיקדו</v>
      </c>
    </row>
    <row r="152" customFormat="false" ht="15" hidden="false" customHeight="true" outlineLevel="0" collapsed="false">
      <c r="A152" s="12" t="n">
        <v>4408004</v>
      </c>
      <c r="B152" s="12" t="s">
        <v>219</v>
      </c>
      <c r="C152" s="12" t="str">
        <f aca="false">TRIM(SUBSTITUTE($B152,CHAR(160)," "))</f>
        <v>06 XL ""ח.גב קלה ""מיקדו</v>
      </c>
    </row>
    <row r="153" customFormat="false" ht="15" hidden="false" customHeight="true" outlineLevel="0" collapsed="false">
      <c r="A153" s="12" t="n">
        <v>4408005</v>
      </c>
      <c r="B153" s="12" t="s">
        <v>220</v>
      </c>
      <c r="C153" s="12" t="str">
        <f aca="false">TRIM(SUBSTITUTE($B153,CHAR(160)," "))</f>
        <v>06 XXL ""ח.גב קלה ""מיקדו</v>
      </c>
    </row>
    <row r="154" customFormat="false" ht="15" hidden="false" customHeight="true" outlineLevel="0" collapsed="false">
      <c r="A154" s="12" t="n">
        <v>4408121</v>
      </c>
      <c r="B154" s="12" t="s">
        <v>221</v>
      </c>
      <c r="C154" s="12" t="str">
        <f aca="false">TRIM(SUBSTITUTE($B154,CHAR(160)," "))</f>
        <v>06U XXL ח.בטן מותנית צר</v>
      </c>
    </row>
    <row r="155" customFormat="false" ht="15" hidden="false" customHeight="true" outlineLevel="0" collapsed="false">
      <c r="A155" s="12" t="n">
        <v>4408119</v>
      </c>
      <c r="B155" s="12" t="s">
        <v>222</v>
      </c>
      <c r="C155" s="12" t="str">
        <f aca="false">TRIM(SUBSTITUTE($B155,CHAR(160)," "))</f>
        <v>06U L ח.בטן מותנית צר</v>
      </c>
    </row>
    <row r="156" customFormat="false" ht="15" hidden="false" customHeight="true" outlineLevel="0" collapsed="false">
      <c r="A156" s="12" t="n">
        <v>4408118</v>
      </c>
      <c r="B156" s="12" t="s">
        <v>223</v>
      </c>
      <c r="C156" s="12" t="str">
        <f aca="false">TRIM(SUBSTITUTE($B156,CHAR(160)," "))</f>
        <v>06U M ח.בטן מותנית צר</v>
      </c>
    </row>
    <row r="157" customFormat="false" ht="15" hidden="false" customHeight="true" outlineLevel="0" collapsed="false">
      <c r="A157" s="12" t="n">
        <v>4408120</v>
      </c>
      <c r="B157" s="12" t="s">
        <v>224</v>
      </c>
      <c r="C157" s="12" t="str">
        <f aca="false">TRIM(SUBSTITUTE($B157,CHAR(160)," "))</f>
        <v>06U XL ח.בטן מותנית צר</v>
      </c>
    </row>
    <row r="158" customFormat="false" ht="15" hidden="false" customHeight="true" outlineLevel="0" collapsed="false">
      <c r="A158" s="12" t="n">
        <v>4408140</v>
      </c>
      <c r="B158" s="12" t="s">
        <v>225</v>
      </c>
      <c r="C158" s="12" t="str">
        <f aca="false">TRIM(SUBSTITUTE($B158,CHAR(160)," "))</f>
        <v>06W S חגורת גב לנשים</v>
      </c>
    </row>
    <row r="159" customFormat="false" ht="15" hidden="false" customHeight="true" outlineLevel="0" collapsed="false">
      <c r="A159" s="12" t="n">
        <v>4408245</v>
      </c>
      <c r="B159" s="12" t="s">
        <v>226</v>
      </c>
      <c r="C159" s="12" t="str">
        <f aca="false">TRIM(SUBSTITUTE($B159,CHAR(160)," "))</f>
        <v>077A XXL חגורת גב עם חיזוקים</v>
      </c>
    </row>
    <row r="160" customFormat="false" ht="15" hidden="false" customHeight="true" outlineLevel="0" collapsed="false">
      <c r="A160" s="12" t="n">
        <v>4408135</v>
      </c>
      <c r="B160" s="12" t="s">
        <v>227</v>
      </c>
      <c r="C160" s="12" t="str">
        <f aca="false">TRIM(SUBSTITUTE($B160,CHAR(160)," "))</f>
        <v>077A L-XLחגורת גב</v>
      </c>
    </row>
    <row r="161" customFormat="false" ht="15" hidden="false" customHeight="true" outlineLevel="0" collapsed="false">
      <c r="A161" s="12" t="n">
        <v>4408134</v>
      </c>
      <c r="B161" s="12" t="s">
        <v>228</v>
      </c>
      <c r="C161" s="12" t="str">
        <f aca="false">TRIM(SUBSTITUTE($B161,CHAR(160)," "))</f>
        <v>077A S-M חגורת גב</v>
      </c>
    </row>
    <row r="162" customFormat="false" ht="15" hidden="false" customHeight="true" outlineLevel="0" collapsed="false">
      <c r="A162" s="12" t="n">
        <v>4408192</v>
      </c>
      <c r="B162" s="12" t="s">
        <v>229</v>
      </c>
      <c r="C162" s="12" t="str">
        <f aca="false">TRIM(SUBSTITUTE($B162,CHAR(160)," "))</f>
        <v>078 L חגורת גב +סגירה</v>
      </c>
    </row>
    <row r="163" customFormat="false" ht="15" hidden="false" customHeight="true" outlineLevel="0" collapsed="false">
      <c r="A163" s="12" t="n">
        <v>4408233</v>
      </c>
      <c r="B163" s="12" t="s">
        <v>230</v>
      </c>
      <c r="C163" s="12" t="str">
        <f aca="false">TRIM(SUBSTITUTE($B163,CHAR(160)," "))</f>
        <v>078C L'חגורת גב+סגירה כפו בז</v>
      </c>
    </row>
    <row r="164" customFormat="false" ht="15" hidden="false" customHeight="true" outlineLevel="0" collapsed="false">
      <c r="A164" s="12" t="n">
        <v>4408234</v>
      </c>
      <c r="B164" s="12" t="s">
        <v>231</v>
      </c>
      <c r="C164" s="12" t="str">
        <f aca="false">TRIM(SUBSTITUTE($B164,CHAR(160)," "))</f>
        <v>078C M'חגורת גב+סגירה כפו בז</v>
      </c>
    </row>
    <row r="165" customFormat="false" ht="15" hidden="false" customHeight="true" outlineLevel="0" collapsed="false">
      <c r="A165" s="12" t="n">
        <v>4408235</v>
      </c>
      <c r="B165" s="12" t="s">
        <v>232</v>
      </c>
      <c r="C165" s="12" t="str">
        <f aca="false">TRIM(SUBSTITUTE($B165,CHAR(160)," "))</f>
        <v>078C S'חגורת גב+סגירה כפו בז</v>
      </c>
    </row>
    <row r="166" customFormat="false" ht="15" hidden="false" customHeight="true" outlineLevel="0" collapsed="false">
      <c r="A166" s="12" t="n">
        <v>4408236</v>
      </c>
      <c r="B166" s="12" t="s">
        <v>233</v>
      </c>
      <c r="C166" s="12" t="str">
        <f aca="false">TRIM(SUBSTITUTE($B166,CHAR(160)," "))</f>
        <v>078C XLתתחגורת גב+סגירה כפו בז</v>
      </c>
    </row>
    <row r="167" customFormat="false" ht="15" hidden="false" customHeight="true" outlineLevel="0" collapsed="false">
      <c r="A167" s="12" t="n">
        <v>4408237</v>
      </c>
      <c r="B167" s="12" t="s">
        <v>234</v>
      </c>
      <c r="C167" s="12" t="str">
        <f aca="false">TRIM(SUBSTITUTE($B167,CHAR(160)," "))</f>
        <v>078C XXL 'חג.גב+סגירה כפו בז</v>
      </c>
    </row>
    <row r="168" customFormat="false" ht="15" hidden="false" customHeight="true" outlineLevel="0" collapsed="false">
      <c r="A168" s="12" t="n">
        <v>4408221</v>
      </c>
      <c r="B168" s="12" t="s">
        <v>235</v>
      </c>
      <c r="C168" s="12" t="str">
        <f aca="false">TRIM(SUBSTITUTE($B168,CHAR(160)," "))</f>
        <v>078G-L חגורת גב אפורה</v>
      </c>
    </row>
    <row r="169" customFormat="false" ht="15" hidden="false" customHeight="true" outlineLevel="0" collapsed="false">
      <c r="A169" s="12" t="n">
        <v>4408220</v>
      </c>
      <c r="B169" s="12" t="s">
        <v>236</v>
      </c>
      <c r="C169" s="12" t="str">
        <f aca="false">TRIM(SUBSTITUTE($B169,CHAR(160)," "))</f>
        <v>078G-M חגורת גב אפורה</v>
      </c>
    </row>
    <row r="170" customFormat="false" ht="15" hidden="false" customHeight="true" outlineLevel="0" collapsed="false">
      <c r="A170" s="12" t="n">
        <v>4408219</v>
      </c>
      <c r="B170" s="12" t="s">
        <v>237</v>
      </c>
      <c r="C170" s="12" t="str">
        <f aca="false">TRIM(SUBSTITUTE($B170,CHAR(160)," "))</f>
        <v>078G-S חגורת גב אפורה</v>
      </c>
    </row>
    <row r="171" customFormat="false" ht="15" hidden="false" customHeight="true" outlineLevel="0" collapsed="false">
      <c r="A171" s="12" t="n">
        <v>4408222</v>
      </c>
      <c r="B171" s="12" t="s">
        <v>238</v>
      </c>
      <c r="C171" s="12" t="str">
        <f aca="false">TRIM(SUBSTITUTE($B171,CHAR(160)," "))</f>
        <v>078G-XLחגורת גב אפורה</v>
      </c>
    </row>
    <row r="172" customFormat="false" ht="15" hidden="false" customHeight="true" outlineLevel="0" collapsed="false">
      <c r="A172" s="12" t="n">
        <v>4408223</v>
      </c>
      <c r="B172" s="12" t="s">
        <v>239</v>
      </c>
      <c r="C172" s="12" t="str">
        <f aca="false">TRIM(SUBSTITUTE($B172,CHAR(160)," "))</f>
        <v>078G-XXLחגורת גב אפורה</v>
      </c>
    </row>
    <row r="173" customFormat="false" ht="15" hidden="false" customHeight="true" outlineLevel="0" collapsed="false">
      <c r="A173" s="12" t="n">
        <v>4408218</v>
      </c>
      <c r="B173" s="12" t="s">
        <v>240</v>
      </c>
      <c r="C173" s="12" t="str">
        <f aca="false">TRIM(SUBSTITUTE($B173,CHAR(160)," "))</f>
        <v>078XL חגורת גב +סגירה כפולה</v>
      </c>
    </row>
    <row r="174" customFormat="false" ht="15" hidden="false" customHeight="true" outlineLevel="0" collapsed="false">
      <c r="A174" s="12" t="n">
        <v>4408265</v>
      </c>
      <c r="B174" s="12" t="s">
        <v>241</v>
      </c>
      <c r="C174" s="12" t="str">
        <f aca="false">TRIM(SUBSTITUTE($B174,CHAR(160)," "))</f>
        <v>078XXL חגורת גב +סגירה כפולה</v>
      </c>
    </row>
    <row r="175" customFormat="false" ht="15" hidden="false" customHeight="true" outlineLevel="0" collapsed="false">
      <c r="A175" s="12" t="n">
        <v>4408011</v>
      </c>
      <c r="B175" s="12" t="s">
        <v>242</v>
      </c>
      <c r="C175" s="12" t="str">
        <f aca="false">TRIM(SUBSTITUTE($B175,CHAR(160)," "))</f>
        <v>079 M ח.גב סג.כפולה שחור+אדום</v>
      </c>
    </row>
    <row r="176" customFormat="false" ht="15" hidden="false" customHeight="true" outlineLevel="0" collapsed="false">
      <c r="A176" s="12" t="n">
        <v>4408010</v>
      </c>
      <c r="B176" s="12" t="s">
        <v>243</v>
      </c>
      <c r="C176" s="12" t="str">
        <f aca="false">TRIM(SUBSTITUTE($B176,CHAR(160)," "))</f>
        <v>079 L ח.גב סג.כפולה שחור+אדום</v>
      </c>
    </row>
    <row r="177" customFormat="false" ht="15" hidden="false" customHeight="true" outlineLevel="0" collapsed="false">
      <c r="A177" s="12" t="n">
        <v>4408009</v>
      </c>
      <c r="B177" s="12" t="s">
        <v>244</v>
      </c>
      <c r="C177" s="12" t="str">
        <f aca="false">TRIM(SUBSTITUTE($B177,CHAR(160)," "))</f>
        <v>079 S ח.גב סג. כפולה שחור+אדום</v>
      </c>
    </row>
    <row r="178" customFormat="false" ht="15" hidden="false" customHeight="true" outlineLevel="0" collapsed="false">
      <c r="A178" s="12" t="n">
        <v>4408012</v>
      </c>
      <c r="B178" s="12" t="s">
        <v>245</v>
      </c>
      <c r="C178" s="12" t="str">
        <f aca="false">TRIM(SUBSTITUTE($B178,CHAR(160)," "))</f>
        <v>079 XL ח.גב סג.כפולה שחור+אדום</v>
      </c>
    </row>
    <row r="179" customFormat="false" ht="15" hidden="false" customHeight="true" outlineLevel="0" collapsed="false">
      <c r="A179" s="12" t="n">
        <v>4408013</v>
      </c>
      <c r="B179" s="12" t="s">
        <v>246</v>
      </c>
      <c r="C179" s="12" t="str">
        <f aca="false">TRIM(SUBSTITUTE($B179,CHAR(160)," "))</f>
        <v>079 XXLח.גב סג.כפולה שחור+אדום</v>
      </c>
    </row>
    <row r="180" customFormat="false" ht="15" hidden="false" customHeight="true" outlineLevel="0" collapsed="false">
      <c r="A180" s="12" t="n">
        <v>4408015</v>
      </c>
      <c r="B180" s="12" t="s">
        <v>247</v>
      </c>
      <c r="C180" s="12" t="str">
        <f aca="false">TRIM(SUBSTITUTE($B180,CHAR(160)," "))</f>
        <v>07AU L ח.גב ""איטלקית"" אורירית</v>
      </c>
    </row>
    <row r="181" customFormat="false" ht="15" hidden="false" customHeight="true" outlineLevel="0" collapsed="false">
      <c r="A181" s="12" t="n">
        <v>4408016</v>
      </c>
      <c r="B181" s="12" t="s">
        <v>248</v>
      </c>
      <c r="C181" s="12" t="str">
        <f aca="false">TRIM(SUBSTITUTE($B181,CHAR(160)," "))</f>
        <v>07AU M ח.גב ""איטלקית"" אורירית</v>
      </c>
    </row>
    <row r="182" customFormat="false" ht="15" hidden="false" customHeight="true" outlineLevel="0" collapsed="false">
      <c r="A182" s="12" t="n">
        <v>4408014</v>
      </c>
      <c r="B182" s="12" t="s">
        <v>249</v>
      </c>
      <c r="C182" s="12" t="str">
        <f aca="false">TRIM(SUBSTITUTE($B182,CHAR(160)," "))</f>
        <v>07AU S ח.גב ""איטלקית"" אורירית</v>
      </c>
    </row>
    <row r="183" customFormat="false" ht="15" hidden="false" customHeight="true" outlineLevel="0" collapsed="false">
      <c r="A183" s="12" t="n">
        <v>4408017</v>
      </c>
      <c r="B183" s="12" t="s">
        <v>250</v>
      </c>
      <c r="C183" s="12" t="str">
        <f aca="false">TRIM(SUBSTITUTE($B183,CHAR(160)," "))</f>
        <v>07AU XL ח.גב ""איטלקית"" אורירית</v>
      </c>
    </row>
    <row r="184" customFormat="false" ht="15" hidden="false" customHeight="true" outlineLevel="0" collapsed="false">
      <c r="A184" s="12" t="n">
        <v>4408018</v>
      </c>
      <c r="B184" s="12" t="s">
        <v>251</v>
      </c>
      <c r="C184" s="12" t="str">
        <f aca="false">TRIM(SUBSTITUTE($B184,CHAR(160)," "))</f>
        <v>07AU XXL.ח.גב ""איטלקית"" אוריר</v>
      </c>
    </row>
    <row r="185" customFormat="false" ht="15" hidden="false" customHeight="true" outlineLevel="0" collapsed="false">
      <c r="A185" s="12" t="n">
        <v>4408024</v>
      </c>
      <c r="B185" s="12" t="s">
        <v>252</v>
      </c>
      <c r="C185" s="12" t="str">
        <f aca="false">TRIM(SUBSTITUTE($B185,CHAR(160)," "))</f>
        <v>07UC L-XLח.גב אמר+סגירה כפ.חום</v>
      </c>
    </row>
    <row r="186" customFormat="false" ht="15" hidden="false" customHeight="true" outlineLevel="0" collapsed="false">
      <c r="A186" s="12" t="n">
        <v>4408027</v>
      </c>
      <c r="B186" s="12" t="s">
        <v>253</v>
      </c>
      <c r="C186" s="12" t="str">
        <f aca="false">TRIM(SUBSTITUTE($B186,CHAR(160)," "))</f>
        <v>10 L ""חגורת גב ""לומבו</v>
      </c>
    </row>
    <row r="187" customFormat="false" ht="15" hidden="false" customHeight="true" outlineLevel="0" collapsed="false">
      <c r="A187" s="12" t="n">
        <v>4408028</v>
      </c>
      <c r="B187" s="12" t="s">
        <v>254</v>
      </c>
      <c r="C187" s="12" t="str">
        <f aca="false">TRIM(SUBSTITUTE($B187,CHAR(160)," "))</f>
        <v>10 M ""חגורת גב ""לומבו</v>
      </c>
    </row>
    <row r="188" customFormat="false" ht="15" hidden="false" customHeight="true" outlineLevel="0" collapsed="false">
      <c r="A188" s="12" t="n">
        <v>4408026</v>
      </c>
      <c r="B188" s="12" t="s">
        <v>255</v>
      </c>
      <c r="C188" s="12" t="str">
        <f aca="false">TRIM(SUBSTITUTE($B188,CHAR(160)," "))</f>
        <v>10 S ""חגורת גב ""לומבו</v>
      </c>
    </row>
    <row r="189" customFormat="false" ht="15" hidden="false" customHeight="true" outlineLevel="0" collapsed="false">
      <c r="A189" s="12" t="n">
        <v>4408029</v>
      </c>
      <c r="B189" s="12" t="s">
        <v>256</v>
      </c>
      <c r="C189" s="12" t="str">
        <f aca="false">TRIM(SUBSTITUTE($B189,CHAR(160)," "))</f>
        <v>10 XL ""חגורת גב ""לומבו</v>
      </c>
    </row>
    <row r="190" customFormat="false" ht="15" hidden="false" customHeight="true" outlineLevel="0" collapsed="false">
      <c r="A190" s="12" t="n">
        <v>4408030</v>
      </c>
      <c r="B190" s="12" t="s">
        <v>257</v>
      </c>
      <c r="C190" s="12" t="str">
        <f aca="false">TRIM(SUBSTITUTE($B190,CHAR(160)," "))</f>
        <v>10 XXL""חגורת גב ""לומבו</v>
      </c>
    </row>
    <row r="191" customFormat="false" ht="15" hidden="false" customHeight="true" outlineLevel="0" collapsed="false">
      <c r="A191" s="12" t="n">
        <v>4408032</v>
      </c>
      <c r="B191" s="12" t="s">
        <v>258</v>
      </c>
      <c r="C191" s="12" t="str">
        <f aca="false">TRIM(SUBSTITUTE($B191,CHAR(160)," "))</f>
        <v>11 L""חגורת בטן""אורירית</v>
      </c>
    </row>
    <row r="192" customFormat="false" ht="15" hidden="false" customHeight="true" outlineLevel="0" collapsed="false">
      <c r="A192" s="12" t="n">
        <v>4408033</v>
      </c>
      <c r="B192" s="12" t="s">
        <v>259</v>
      </c>
      <c r="C192" s="12" t="str">
        <f aca="false">TRIM(SUBSTITUTE($B192,CHAR(160)," "))</f>
        <v>11 M""חגורת בטן""אורירית</v>
      </c>
    </row>
    <row r="193" customFormat="false" ht="15" hidden="false" customHeight="true" outlineLevel="0" collapsed="false">
      <c r="A193" s="12" t="n">
        <v>4408031</v>
      </c>
      <c r="B193" s="12" t="s">
        <v>260</v>
      </c>
      <c r="C193" s="12" t="str">
        <f aca="false">TRIM(SUBSTITUTE($B193,CHAR(160)," "))</f>
        <v>11 S""חגורת בטן""אורירית</v>
      </c>
    </row>
    <row r="194" customFormat="false" ht="15" hidden="false" customHeight="true" outlineLevel="0" collapsed="false">
      <c r="A194" s="12" t="n">
        <v>4408034</v>
      </c>
      <c r="B194" s="12" t="s">
        <v>261</v>
      </c>
      <c r="C194" s="12" t="str">
        <f aca="false">TRIM(SUBSTITUTE($B194,CHAR(160)," "))</f>
        <v>11 XL""חגורת בטן""אורירית</v>
      </c>
    </row>
    <row r="195" customFormat="false" ht="15" hidden="false" customHeight="true" outlineLevel="0" collapsed="false">
      <c r="A195" s="12" t="n">
        <v>4408175</v>
      </c>
      <c r="B195" s="12" t="s">
        <v>262</v>
      </c>
      <c r="C195" s="12" t="str">
        <f aca="false">TRIM(SUBSTITUTE($B195,CHAR(160)," "))</f>
        <v>11 XS חגורת בטן</v>
      </c>
    </row>
    <row r="196" customFormat="false" ht="15" hidden="false" customHeight="true" outlineLevel="0" collapsed="false">
      <c r="A196" s="12" t="n">
        <v>4408035</v>
      </c>
      <c r="B196" s="12" t="s">
        <v>263</v>
      </c>
      <c r="C196" s="12" t="str">
        <f aca="false">TRIM(SUBSTITUTE($B196,CHAR(160)," "))</f>
        <v>11 XXL""חגורת בטן""אורירית</v>
      </c>
    </row>
    <row r="197" customFormat="false" ht="15" hidden="false" customHeight="true" outlineLevel="0" collapsed="false">
      <c r="A197" s="12" t="n">
        <v>4408115</v>
      </c>
      <c r="B197" s="12" t="s">
        <v>264</v>
      </c>
      <c r="C197" s="12" t="str">
        <f aca="false">TRIM(SUBSTITUTE($B197,CHAR(160)," "))</f>
        <v>11EU L ח.בטן לאחר ניתוח</v>
      </c>
    </row>
    <row r="198" customFormat="false" ht="15" hidden="false" customHeight="true" outlineLevel="0" collapsed="false">
      <c r="A198" s="12" t="n">
        <v>4408114</v>
      </c>
      <c r="B198" s="12" t="s">
        <v>265</v>
      </c>
      <c r="C198" s="12" t="str">
        <f aca="false">TRIM(SUBSTITUTE($B198,CHAR(160)," "))</f>
        <v>11EU M ח.בטן לאחר ניתוח</v>
      </c>
    </row>
    <row r="199" customFormat="false" ht="15" hidden="false" customHeight="true" outlineLevel="0" collapsed="false">
      <c r="A199" s="12" t="n">
        <v>4408113</v>
      </c>
      <c r="B199" s="12" t="s">
        <v>266</v>
      </c>
      <c r="C199" s="12" t="str">
        <f aca="false">TRIM(SUBSTITUTE($B199,CHAR(160)," "))</f>
        <v>11EU S ח.בטן לאחר ניתוח</v>
      </c>
    </row>
    <row r="200" customFormat="false" ht="15" hidden="false" customHeight="true" outlineLevel="0" collapsed="false">
      <c r="A200" s="12" t="n">
        <v>4408116</v>
      </c>
      <c r="B200" s="12" t="s">
        <v>267</v>
      </c>
      <c r="C200" s="12" t="str">
        <f aca="false">TRIM(SUBSTITUTE($B200,CHAR(160)," "))</f>
        <v>11EU XLח.בטן לאחר ניתוח</v>
      </c>
    </row>
    <row r="201" customFormat="false" ht="15" hidden="false" customHeight="true" outlineLevel="0" collapsed="false">
      <c r="A201" s="12" t="n">
        <v>4408132</v>
      </c>
      <c r="B201" s="12" t="s">
        <v>268</v>
      </c>
      <c r="C201" s="12" t="str">
        <f aca="false">TRIM(SUBSTITUTE($B201,CHAR(160)," "))</f>
        <v>11EU XXL חגורת בטןלאחר ניתוח</v>
      </c>
    </row>
    <row r="202" customFormat="false" ht="15" hidden="false" customHeight="true" outlineLevel="0" collapsed="false">
      <c r="A202" s="12" t="n">
        <v>4408147</v>
      </c>
      <c r="B202" s="12" t="s">
        <v>269</v>
      </c>
      <c r="C202" s="12" t="str">
        <f aca="false">TRIM(SUBSTITUTE($B202,CHAR(160)," "))</f>
        <v>11PS Lחגורה למנותחי בטן</v>
      </c>
    </row>
    <row r="203" customFormat="false" ht="15" hidden="false" customHeight="true" outlineLevel="0" collapsed="false">
      <c r="A203" s="12" t="n">
        <v>4408146</v>
      </c>
      <c r="B203" s="12" t="s">
        <v>270</v>
      </c>
      <c r="C203" s="12" t="str">
        <f aca="false">TRIM(SUBSTITUTE($B203,CHAR(160)," "))</f>
        <v>11PS Mחגורה למנותחי בטן</v>
      </c>
    </row>
    <row r="204" customFormat="false" ht="15" hidden="false" customHeight="true" outlineLevel="0" collapsed="false">
      <c r="A204" s="12" t="n">
        <v>4408145</v>
      </c>
      <c r="B204" s="12" t="s">
        <v>271</v>
      </c>
      <c r="C204" s="12" t="str">
        <f aca="false">TRIM(SUBSTITUTE($B204,CHAR(160)," "))</f>
        <v>11PS Sחגורה למנותחי בטן</v>
      </c>
    </row>
    <row r="205" customFormat="false" ht="15" hidden="false" customHeight="true" outlineLevel="0" collapsed="false">
      <c r="A205" s="12" t="n">
        <v>4408148</v>
      </c>
      <c r="B205" s="12" t="s">
        <v>272</v>
      </c>
      <c r="C205" s="12" t="str">
        <f aca="false">TRIM(SUBSTITUTE($B205,CHAR(160)," "))</f>
        <v>11PS XLחגורה למנותחי בטן</v>
      </c>
    </row>
    <row r="206" customFormat="false" ht="15" hidden="false" customHeight="true" outlineLevel="0" collapsed="false">
      <c r="A206" s="12" t="n">
        <v>4408149</v>
      </c>
      <c r="B206" s="12" t="s">
        <v>273</v>
      </c>
      <c r="C206" s="12" t="str">
        <f aca="false">TRIM(SUBSTITUTE($B206,CHAR(160)," "))</f>
        <v>11PS XXLחגורה למנותחי בטן</v>
      </c>
    </row>
    <row r="207" customFormat="false" ht="15" hidden="false" customHeight="true" outlineLevel="0" collapsed="false">
      <c r="A207" s="12" t="n">
        <v>4408261</v>
      </c>
      <c r="B207" s="12" t="s">
        <v>274</v>
      </c>
      <c r="C207" s="12" t="str">
        <f aca="false">TRIM(SUBSTITUTE($B207,CHAR(160)," "))</f>
        <v>11STO L חגורה אחרי ניתוח</v>
      </c>
    </row>
    <row r="208" customFormat="false" ht="15" hidden="false" customHeight="true" outlineLevel="0" collapsed="false">
      <c r="A208" s="12" t="n">
        <v>4408260</v>
      </c>
      <c r="B208" s="12" t="s">
        <v>275</v>
      </c>
      <c r="C208" s="12" t="str">
        <f aca="false">TRIM(SUBSTITUTE($B208,CHAR(160)," "))</f>
        <v>11STO M חגורה אחרי ניתוח</v>
      </c>
    </row>
    <row r="209" customFormat="false" ht="15" hidden="false" customHeight="true" outlineLevel="0" collapsed="false">
      <c r="A209" s="12" t="n">
        <v>4408259</v>
      </c>
      <c r="B209" s="12" t="s">
        <v>276</v>
      </c>
      <c r="C209" s="12" t="str">
        <f aca="false">TRIM(SUBSTITUTE($B209,CHAR(160)," "))</f>
        <v>11STO S חגורה אחרי ניתוח</v>
      </c>
    </row>
    <row r="210" customFormat="false" ht="15" hidden="false" customHeight="true" outlineLevel="0" collapsed="false">
      <c r="A210" s="12" t="n">
        <v>4408262</v>
      </c>
      <c r="B210" s="12" t="s">
        <v>277</v>
      </c>
      <c r="C210" s="12" t="str">
        <f aca="false">TRIM(SUBSTITUTE($B210,CHAR(160)," "))</f>
        <v>11STO XL חגורה אחרי ניתוח</v>
      </c>
    </row>
    <row r="211" customFormat="false" ht="15" hidden="false" customHeight="true" outlineLevel="0" collapsed="false">
      <c r="A211" s="12" t="n">
        <v>4408263</v>
      </c>
      <c r="B211" s="12" t="s">
        <v>278</v>
      </c>
      <c r="C211" s="12" t="str">
        <f aca="false">TRIM(SUBSTITUTE($B211,CHAR(160)," "))</f>
        <v>11STO XXL חגורה אחרי ניתוח</v>
      </c>
    </row>
    <row r="212" customFormat="false" ht="15" hidden="false" customHeight="true" outlineLevel="0" collapsed="false">
      <c r="A212" s="12" t="n">
        <v>4408152</v>
      </c>
      <c r="B212" s="12" t="s">
        <v>279</v>
      </c>
      <c r="C212" s="12" t="str">
        <f aca="false">TRIM(SUBSTITUTE($B212,CHAR(160)," "))</f>
        <v>11TO L חגורה למנותחי בית החזה</v>
      </c>
    </row>
    <row r="213" customFormat="false" ht="15" hidden="false" customHeight="true" outlineLevel="0" collapsed="false">
      <c r="A213" s="12" t="n">
        <v>4408151</v>
      </c>
      <c r="B213" s="12" t="s">
        <v>280</v>
      </c>
      <c r="C213" s="12" t="str">
        <f aca="false">TRIM(SUBSTITUTE($B213,CHAR(160)," "))</f>
        <v>11TO M חגורה למנותחי בית החזה</v>
      </c>
    </row>
    <row r="214" customFormat="false" ht="15" hidden="false" customHeight="true" outlineLevel="0" collapsed="false">
      <c r="A214" s="12" t="n">
        <v>4408150</v>
      </c>
      <c r="B214" s="12" t="s">
        <v>281</v>
      </c>
      <c r="C214" s="12" t="str">
        <f aca="false">TRIM(SUBSTITUTE($B214,CHAR(160)," "))</f>
        <v>11TO S חגורה למנותחי בית החזה</v>
      </c>
    </row>
    <row r="215" customFormat="false" ht="15" hidden="false" customHeight="true" outlineLevel="0" collapsed="false">
      <c r="A215" s="12" t="n">
        <v>4408153</v>
      </c>
      <c r="B215" s="12" t="s">
        <v>282</v>
      </c>
      <c r="C215" s="12" t="str">
        <f aca="false">TRIM(SUBSTITUTE($B215,CHAR(160)," "))</f>
        <v>11TO XLחגורה למנותחי בית החזה</v>
      </c>
    </row>
    <row r="216" customFormat="false" ht="15" hidden="false" customHeight="true" outlineLevel="0" collapsed="false">
      <c r="A216" s="12" t="n">
        <v>4408154</v>
      </c>
      <c r="B216" s="12" t="s">
        <v>283</v>
      </c>
      <c r="C216" s="12" t="str">
        <f aca="false">TRIM(SUBSTITUTE($B216,CHAR(160)," "))</f>
        <v>11TO XXLחגורה למנותחי בית החזה</v>
      </c>
    </row>
    <row r="217" customFormat="false" ht="15" hidden="false" customHeight="true" outlineLevel="0" collapsed="false">
      <c r="A217" s="12" t="n">
        <v>4408100</v>
      </c>
      <c r="B217" s="12" t="s">
        <v>284</v>
      </c>
      <c r="C217" s="12" t="str">
        <f aca="false">TRIM(SUBSTITUTE($B217,CHAR(160)," "))</f>
        <v>11U Lחגורת בטן וחזה אחרי ניתוח</v>
      </c>
    </row>
    <row r="218" customFormat="false" ht="15" hidden="false" customHeight="true" outlineLevel="0" collapsed="false">
      <c r="A218" s="12" t="n">
        <v>4408101</v>
      </c>
      <c r="B218" s="12" t="s">
        <v>285</v>
      </c>
      <c r="C218" s="12" t="str">
        <f aca="false">TRIM(SUBSTITUTE($B218,CHAR(160)," "))</f>
        <v>11U Mחגורת בטן וחזה אחרי ניתוח</v>
      </c>
    </row>
    <row r="219" customFormat="false" ht="15" hidden="false" customHeight="true" outlineLevel="0" collapsed="false">
      <c r="A219" s="12" t="n">
        <v>4408103</v>
      </c>
      <c r="B219" s="12" t="s">
        <v>286</v>
      </c>
      <c r="C219" s="12" t="str">
        <f aca="false">TRIM(SUBSTITUTE($B219,CHAR(160)," "))</f>
        <v>11U XL ח.בטן לאחר ניתוח קלה</v>
      </c>
    </row>
    <row r="220" customFormat="false" ht="15" hidden="false" customHeight="true" outlineLevel="0" collapsed="false">
      <c r="A220" s="12" t="n">
        <v>4408239</v>
      </c>
      <c r="B220" s="12" t="s">
        <v>287</v>
      </c>
      <c r="C220" s="12" t="str">
        <f aca="false">TRIM(SUBSTITUTE($B220,CHAR(160)," "))</f>
        <v>11UC'M'תתחגורת בטן עממית בז</v>
      </c>
    </row>
    <row r="221" customFormat="false" ht="15" hidden="false" customHeight="true" outlineLevel="0" collapsed="false">
      <c r="A221" s="12" t="n">
        <v>4408240</v>
      </c>
      <c r="B221" s="12" t="s">
        <v>288</v>
      </c>
      <c r="C221" s="12" t="str">
        <f aca="false">TRIM(SUBSTITUTE($B221,CHAR(160)," "))</f>
        <v>11UC S'תתחגורת בטן עממית בז</v>
      </c>
    </row>
    <row r="222" customFormat="false" ht="15" hidden="false" customHeight="true" outlineLevel="0" collapsed="false">
      <c r="A222" s="12" t="n">
        <v>4408241</v>
      </c>
      <c r="B222" s="12" t="s">
        <v>289</v>
      </c>
      <c r="C222" s="12" t="str">
        <f aca="false">TRIM(SUBSTITUTE($B222,CHAR(160)," "))</f>
        <v>11UC XL 'תתחגורת בטן עממ.בז</v>
      </c>
    </row>
    <row r="223" customFormat="false" ht="15" hidden="false" customHeight="true" outlineLevel="0" collapsed="false">
      <c r="A223" s="12" t="n">
        <v>4408037</v>
      </c>
      <c r="B223" s="12" t="s">
        <v>290</v>
      </c>
      <c r="C223" s="12" t="str">
        <f aca="false">TRIM(SUBSTITUTE($B223,CHAR(160)," "))</f>
        <v>12 L ח.גב מגנטית+מוטות תמיכה</v>
      </c>
    </row>
    <row r="224" customFormat="false" ht="15" hidden="false" customHeight="true" outlineLevel="0" collapsed="false">
      <c r="A224" s="12" t="n">
        <v>4408038</v>
      </c>
      <c r="B224" s="12" t="s">
        <v>291</v>
      </c>
      <c r="C224" s="12" t="str">
        <f aca="false">TRIM(SUBSTITUTE($B224,CHAR(160)," "))</f>
        <v>12 M ח.גב מגנטית+מוטות תמיכה</v>
      </c>
    </row>
    <row r="225" customFormat="false" ht="15" hidden="false" customHeight="true" outlineLevel="0" collapsed="false">
      <c r="A225" s="12" t="n">
        <v>4408036</v>
      </c>
      <c r="B225" s="12" t="s">
        <v>292</v>
      </c>
      <c r="C225" s="12" t="str">
        <f aca="false">TRIM(SUBSTITUTE($B225,CHAR(160)," "))</f>
        <v>12 S ח.גב מגנטית+מוטות תמיכה</v>
      </c>
    </row>
    <row r="226" customFormat="false" ht="15" hidden="false" customHeight="true" outlineLevel="0" collapsed="false">
      <c r="A226" s="12" t="n">
        <v>4408039</v>
      </c>
      <c r="B226" s="12" t="s">
        <v>293</v>
      </c>
      <c r="C226" s="12" t="str">
        <f aca="false">TRIM(SUBSTITUTE($B226,CHAR(160)," "))</f>
        <v>12 XL ח.גב מגנטית+מוטות תמיכה</v>
      </c>
    </row>
    <row r="227" customFormat="false" ht="15" hidden="false" customHeight="true" outlineLevel="0" collapsed="false">
      <c r="A227" s="12" t="n">
        <v>4408178</v>
      </c>
      <c r="B227" s="12" t="s">
        <v>294</v>
      </c>
      <c r="C227" s="12" t="str">
        <f aca="false">TRIM(SUBSTITUTE($B227,CHAR(160)," "))</f>
        <v>13 L חגורה לשבר טבור</v>
      </c>
    </row>
    <row r="228" customFormat="false" ht="15" hidden="false" customHeight="true" outlineLevel="0" collapsed="false">
      <c r="A228" s="12" t="n">
        <v>4408177</v>
      </c>
      <c r="B228" s="12" t="s">
        <v>295</v>
      </c>
      <c r="C228" s="12" t="str">
        <f aca="false">TRIM(SUBSTITUTE($B228,CHAR(160)," "))</f>
        <v>13 M חגורה לשבר טבור</v>
      </c>
    </row>
    <row r="229" customFormat="false" ht="15" hidden="false" customHeight="true" outlineLevel="0" collapsed="false">
      <c r="A229" s="12" t="n">
        <v>4408176</v>
      </c>
      <c r="B229" s="12" t="s">
        <v>296</v>
      </c>
      <c r="C229" s="12" t="str">
        <f aca="false">TRIM(SUBSTITUTE($B229,CHAR(160)," "))</f>
        <v>13 S חגורה לשבר טבור</v>
      </c>
    </row>
    <row r="230" customFormat="false" ht="15" hidden="false" customHeight="true" outlineLevel="0" collapsed="false">
      <c r="A230" s="12" t="n">
        <v>4408179</v>
      </c>
      <c r="B230" s="12" t="s">
        <v>297</v>
      </c>
      <c r="C230" s="12" t="str">
        <f aca="false">TRIM(SUBSTITUTE($B230,CHAR(160)," "))</f>
        <v>13 XL חגורה לשבר טבור</v>
      </c>
    </row>
    <row r="231" customFormat="false" ht="15" hidden="false" customHeight="true" outlineLevel="0" collapsed="false">
      <c r="A231" s="12" t="n">
        <v>4408180</v>
      </c>
      <c r="B231" s="12" t="s">
        <v>298</v>
      </c>
      <c r="C231" s="12" t="str">
        <f aca="false">TRIM(SUBSTITUTE($B231,CHAR(160)," "))</f>
        <v>13 XXL חגורה לשבר טבור</v>
      </c>
    </row>
    <row r="232" customFormat="false" ht="15" hidden="false" customHeight="true" outlineLevel="0" collapsed="false">
      <c r="A232" s="12" t="n">
        <v>4408203</v>
      </c>
      <c r="B232" s="12" t="s">
        <v>299</v>
      </c>
      <c r="C232" s="12" t="str">
        <f aca="false">TRIM(SUBSTITUTE($B232,CHAR(160)," "))</f>
        <v>14 0 חגורה למנותחי בית חזה</v>
      </c>
    </row>
    <row r="233" customFormat="false" ht="15" hidden="false" customHeight="true" outlineLevel="0" collapsed="false">
      <c r="A233" s="12" t="n">
        <v>4408122</v>
      </c>
      <c r="B233" s="12" t="s">
        <v>300</v>
      </c>
      <c r="C233" s="12" t="str">
        <f aca="false">TRIM(SUBSTITUTE($B233,CHAR(160)," "))</f>
        <v>15M L חגורת צלעות לגבר</v>
      </c>
    </row>
    <row r="234" customFormat="false" ht="15" hidden="false" customHeight="true" outlineLevel="0" collapsed="false">
      <c r="A234" s="12" t="n">
        <v>4408129</v>
      </c>
      <c r="B234" s="12" t="s">
        <v>301</v>
      </c>
      <c r="C234" s="12" t="str">
        <f aca="false">TRIM(SUBSTITUTE($B234,CHAR(160)," "))</f>
        <v>15M M חגורת צלעות לגבר</v>
      </c>
    </row>
    <row r="235" customFormat="false" ht="15" hidden="false" customHeight="true" outlineLevel="0" collapsed="false">
      <c r="A235" s="12" t="n">
        <v>4408123</v>
      </c>
      <c r="B235" s="12" t="s">
        <v>302</v>
      </c>
      <c r="C235" s="12" t="str">
        <f aca="false">TRIM(SUBSTITUTE($B235,CHAR(160)," "))</f>
        <v>15M XL חגורת צלעות לגבר</v>
      </c>
    </row>
    <row r="236" customFormat="false" ht="15" hidden="false" customHeight="true" outlineLevel="0" collapsed="false">
      <c r="A236" s="12" t="n">
        <v>4408131</v>
      </c>
      <c r="B236" s="12" t="s">
        <v>303</v>
      </c>
      <c r="C236" s="12" t="str">
        <f aca="false">TRIM(SUBSTITUTE($B236,CHAR(160)," "))</f>
        <v>15W L חגורת צלעות לאשה</v>
      </c>
    </row>
    <row r="237" customFormat="false" ht="15" hidden="false" customHeight="true" outlineLevel="0" collapsed="false">
      <c r="A237" s="12" t="n">
        <v>4408130</v>
      </c>
      <c r="B237" s="12" t="s">
        <v>304</v>
      </c>
      <c r="C237" s="12" t="str">
        <f aca="false">TRIM(SUBSTITUTE($B237,CHAR(160)," "))</f>
        <v>15W M חגורת צלעות לאשה</v>
      </c>
    </row>
    <row r="238" customFormat="false" ht="15" hidden="false" customHeight="true" outlineLevel="0" collapsed="false">
      <c r="A238" s="12" t="n">
        <v>4408126</v>
      </c>
      <c r="B238" s="12" t="s">
        <v>305</v>
      </c>
      <c r="C238" s="12" t="str">
        <f aca="false">TRIM(SUBSTITUTE($B238,CHAR(160)," "))</f>
        <v>15W XL חגורת צלעות לאשה</v>
      </c>
    </row>
    <row r="239" customFormat="false" ht="15" hidden="false" customHeight="true" outlineLevel="0" collapsed="false">
      <c r="A239" s="12" t="n">
        <v>4408127</v>
      </c>
      <c r="B239" s="12" t="s">
        <v>306</v>
      </c>
      <c r="C239" s="12" t="str">
        <f aca="false">TRIM(SUBSTITUTE($B239,CHAR(160)," "))</f>
        <v>15W XXL חגורת צלעות לאשה</v>
      </c>
    </row>
    <row r="240" customFormat="false" ht="15" hidden="false" customHeight="true" outlineLevel="0" collapsed="false">
      <c r="A240" s="12" t="n">
        <v>4408230</v>
      </c>
      <c r="B240" s="12" t="s">
        <v>307</v>
      </c>
      <c r="C240" s="12" t="str">
        <f aca="false">TRIM(SUBSTITUTE($B240,CHAR(160)," "))</f>
        <v>16 L-XL חגורת הריון</v>
      </c>
    </row>
    <row r="241" customFormat="false" ht="15" hidden="false" customHeight="true" outlineLevel="0" collapsed="false">
      <c r="A241" s="12" t="n">
        <v>4408231</v>
      </c>
      <c r="B241" s="12" t="s">
        <v>308</v>
      </c>
      <c r="C241" s="12" t="str">
        <f aca="false">TRIM(SUBSTITUTE($B241,CHAR(160)," "))</f>
        <v>16 S-M חגורת הריון</v>
      </c>
    </row>
    <row r="242" customFormat="false" ht="15" hidden="false" customHeight="true" outlineLevel="0" collapsed="false">
      <c r="A242" s="12" t="n">
        <v>4408232</v>
      </c>
      <c r="B242" s="12" t="s">
        <v>309</v>
      </c>
      <c r="C242" s="12" t="str">
        <f aca="false">TRIM(SUBSTITUTE($B242,CHAR(160)," "))</f>
        <v>16 XXL חגורת הריון</v>
      </c>
    </row>
    <row r="243" customFormat="false" ht="15" hidden="false" customHeight="true" outlineLevel="0" collapsed="false">
      <c r="A243" s="12" t="n">
        <v>4408044</v>
      </c>
      <c r="B243" s="12" t="s">
        <v>310</v>
      </c>
      <c r="C243" s="12" t="str">
        <f aca="false">TRIM(SUBSTITUTE($B243,CHAR(160)," "))</f>
        <v>18 XL.ח.הריון מכנס למניעת כאב</v>
      </c>
    </row>
    <row r="244" customFormat="false" ht="15" hidden="false" customHeight="true" outlineLevel="0" collapsed="false">
      <c r="A244" s="12" t="n">
        <v>4408042</v>
      </c>
      <c r="B244" s="12" t="s">
        <v>311</v>
      </c>
      <c r="C244" s="12" t="str">
        <f aca="false">TRIM(SUBSTITUTE($B244,CHAR(160)," "))</f>
        <v>18 L ח.הריון מכנס למניעת כאבים</v>
      </c>
    </row>
    <row r="245" customFormat="false" ht="15" hidden="false" customHeight="true" outlineLevel="0" collapsed="false">
      <c r="A245" s="12" t="n">
        <v>4408043</v>
      </c>
      <c r="B245" s="12" t="s">
        <v>312</v>
      </c>
      <c r="C245" s="12" t="str">
        <f aca="false">TRIM(SUBSTITUTE($B245,CHAR(160)," "))</f>
        <v>18 M ח.הריון מכנס למניעת כאבים</v>
      </c>
    </row>
    <row r="246" customFormat="false" ht="15" hidden="false" customHeight="true" outlineLevel="0" collapsed="false">
      <c r="A246" s="12" t="n">
        <v>4408041</v>
      </c>
      <c r="B246" s="12" t="s">
        <v>313</v>
      </c>
      <c r="C246" s="12" t="str">
        <f aca="false">TRIM(SUBSTITUTE($B246,CHAR(160)," "))</f>
        <v>18 S ח.הריון מכנס למניעת כאבים</v>
      </c>
    </row>
    <row r="247" customFormat="false" ht="15" hidden="false" customHeight="true" outlineLevel="0" collapsed="false">
      <c r="A247" s="12" t="n">
        <v>4408104</v>
      </c>
      <c r="B247" s="12" t="s">
        <v>314</v>
      </c>
      <c r="C247" s="12" t="str">
        <f aca="false">TRIM(SUBSTITUTE($B247,CHAR(160)," "))</f>
        <v>19 L-XLחגורת הריון בכאב.חזק</v>
      </c>
    </row>
    <row r="248" customFormat="false" ht="15" hidden="false" customHeight="true" outlineLevel="0" collapsed="false">
      <c r="A248" s="12" t="n">
        <v>4408105</v>
      </c>
      <c r="B248" s="12" t="s">
        <v>315</v>
      </c>
      <c r="C248" s="12" t="str">
        <f aca="false">TRIM(SUBSTITUTE($B248,CHAR(160)," "))</f>
        <v>19 S-M חגורת הריון בכאב חזק</v>
      </c>
    </row>
    <row r="249" customFormat="false" ht="15" hidden="false" customHeight="true" outlineLevel="0" collapsed="false">
      <c r="A249" s="12" t="n">
        <v>4408109</v>
      </c>
      <c r="B249" s="12" t="s">
        <v>316</v>
      </c>
      <c r="C249" s="12" t="str">
        <f aca="false">TRIM(SUBSTITUTE($B249,CHAR(160)," "))</f>
        <v>70 L חגורת פיסוק פאב</v>
      </c>
    </row>
    <row r="250" customFormat="false" ht="15" hidden="false" customHeight="true" outlineLevel="0" collapsed="false">
      <c r="A250" s="12" t="n">
        <v>4408108</v>
      </c>
      <c r="B250" s="12" t="s">
        <v>317</v>
      </c>
      <c r="C250" s="12" t="str">
        <f aca="false">TRIM(SUBSTITUTE($B250,CHAR(160)," "))</f>
        <v>70 M חגורת פיסוק פאב</v>
      </c>
    </row>
    <row r="251" customFormat="false" ht="15" hidden="false" customHeight="true" outlineLevel="0" collapsed="false">
      <c r="A251" s="12" t="n">
        <v>4408107</v>
      </c>
      <c r="B251" s="12" t="s">
        <v>318</v>
      </c>
      <c r="C251" s="12" t="str">
        <f aca="false">TRIM(SUBSTITUTE($B251,CHAR(160)," "))</f>
        <v>70 S חגורת פיסוק פאב</v>
      </c>
    </row>
    <row r="252" customFormat="false" ht="15" hidden="false" customHeight="true" outlineLevel="0" collapsed="false">
      <c r="A252" s="12" t="n">
        <v>4408274</v>
      </c>
      <c r="B252" s="12" t="s">
        <v>319</v>
      </c>
      <c r="C252" s="12" t="str">
        <f aca="false">TRIM(SUBSTITUTE($B252,CHAR(160)," "))</f>
        <v>70N L חגורת פאבליק</v>
      </c>
    </row>
    <row r="253" customFormat="false" ht="15" hidden="false" customHeight="true" outlineLevel="0" collapsed="false">
      <c r="A253" s="12" t="n">
        <v>4408273</v>
      </c>
      <c r="B253" s="12" t="s">
        <v>320</v>
      </c>
      <c r="C253" s="12" t="str">
        <f aca="false">TRIM(SUBSTITUTE($B253,CHAR(160)," "))</f>
        <v>70N M חגורת פאבליק</v>
      </c>
    </row>
    <row r="254" customFormat="false" ht="15" hidden="false" customHeight="true" outlineLevel="0" collapsed="false">
      <c r="A254" s="12" t="n">
        <v>4408272</v>
      </c>
      <c r="B254" s="12" t="s">
        <v>321</v>
      </c>
      <c r="C254" s="12" t="str">
        <f aca="false">TRIM(SUBSTITUTE($B254,CHAR(160)," "))</f>
        <v>70N S חגורת פאבליק</v>
      </c>
    </row>
    <row r="255" customFormat="false" ht="15" hidden="false" customHeight="true" outlineLevel="0" collapsed="false">
      <c r="A255" s="12" t="n">
        <v>4408271</v>
      </c>
      <c r="B255" s="12" t="s">
        <v>322</v>
      </c>
      <c r="C255" s="12" t="str">
        <f aca="false">TRIM(SUBSTITUTE($B255,CHAR(160)," "))</f>
        <v>70N XS חגורת פאבליק</v>
      </c>
    </row>
    <row r="256" customFormat="false" ht="15" hidden="false" customHeight="true" outlineLevel="0" collapsed="false">
      <c r="A256" s="12" t="n">
        <v>4408143</v>
      </c>
      <c r="B256" s="12" t="s">
        <v>323</v>
      </c>
      <c r="C256" s="12" t="str">
        <f aca="false">TRIM(SUBSTITUTE($B256,CHAR(160)," "))</f>
        <v>776 L ח.גב גבוהה</v>
      </c>
    </row>
    <row r="257" customFormat="false" ht="15" hidden="false" customHeight="true" outlineLevel="0" collapsed="false">
      <c r="A257" s="12" t="n">
        <v>4408142</v>
      </c>
      <c r="B257" s="12" t="s">
        <v>324</v>
      </c>
      <c r="C257" s="12" t="str">
        <f aca="false">TRIM(SUBSTITUTE($B257,CHAR(160)," "))</f>
        <v>776 M ח.גב גבוהה</v>
      </c>
    </row>
    <row r="258" customFormat="false" ht="15" hidden="false" customHeight="true" outlineLevel="0" collapsed="false">
      <c r="A258" s="12" t="n">
        <v>4408144</v>
      </c>
      <c r="B258" s="12" t="s">
        <v>325</v>
      </c>
      <c r="C258" s="12" t="str">
        <f aca="false">TRIM(SUBSTITUTE($B258,CHAR(160)," "))</f>
        <v>776 XL ח.גב גבוהה</v>
      </c>
    </row>
    <row r="259" customFormat="false" ht="15" hidden="false" customHeight="true" outlineLevel="0" collapsed="false">
      <c r="A259" s="12" t="n">
        <v>4408205</v>
      </c>
      <c r="B259" s="12" t="s">
        <v>326</v>
      </c>
      <c r="C259" s="12" t="str">
        <f aca="false">TRIM(SUBSTITUTE($B259,CHAR(160)," "))</f>
        <v>AC-07 חגורת גב עם תמיכות</v>
      </c>
    </row>
    <row r="260" customFormat="false" ht="15" hidden="false" customHeight="true" outlineLevel="0" collapsed="false">
      <c r="A260" s="12" t="n">
        <v>4408206</v>
      </c>
      <c r="B260" s="12" t="s">
        <v>327</v>
      </c>
      <c r="C260" s="12" t="str">
        <f aca="false">TRIM(SUBSTITUTE($B260,CHAR(160)," "))</f>
        <v>AC-11 חגורת בטן קלה</v>
      </c>
    </row>
    <row r="261" customFormat="false" ht="15" hidden="false" customHeight="true" outlineLevel="0" collapsed="false">
      <c r="A261" s="12" t="n">
        <v>4408252</v>
      </c>
      <c r="B261" s="12" t="s">
        <v>328</v>
      </c>
      <c r="C261" s="12" t="str">
        <f aca="false">TRIM(SUBSTITUTE($B261,CHAR(160)," "))</f>
        <v>L-XL 099 חגורת גב שרוכים</v>
      </c>
    </row>
    <row r="262" customFormat="false" ht="15" hidden="false" customHeight="true" outlineLevel="0" collapsed="false">
      <c r="A262" s="12" t="n">
        <v>4408226</v>
      </c>
      <c r="B262" s="12" t="s">
        <v>329</v>
      </c>
      <c r="C262" s="12" t="str">
        <f aca="false">TRIM(SUBSTITUTE($B262,CHAR(160)," "))</f>
        <v>L 11 אפורUG חגורת בטן</v>
      </c>
    </row>
    <row r="263" customFormat="false" ht="15" hidden="false" customHeight="true" outlineLevel="0" collapsed="false">
      <c r="A263" s="12" t="n">
        <v>4408225</v>
      </c>
      <c r="B263" s="12" t="s">
        <v>330</v>
      </c>
      <c r="C263" s="12" t="str">
        <f aca="false">TRIM(SUBSTITUTE($B263,CHAR(160)," "))</f>
        <v>M 11 אפורUG חגורת בטן</v>
      </c>
    </row>
    <row r="264" customFormat="false" ht="15" hidden="false" customHeight="true" outlineLevel="0" collapsed="false">
      <c r="A264" s="12" t="n">
        <v>4408190</v>
      </c>
      <c r="B264" s="12" t="s">
        <v>331</v>
      </c>
      <c r="C264" s="12" t="str">
        <f aca="false">TRIM(SUBSTITUTE($B264,CHAR(160)," "))</f>
        <v>M078 חגורת גב +סגירה כפולה</v>
      </c>
    </row>
    <row r="265" customFormat="false" ht="15" hidden="false" customHeight="true" outlineLevel="0" collapsed="false">
      <c r="A265" s="12" t="n">
        <v>4408251</v>
      </c>
      <c r="B265" s="12" t="s">
        <v>332</v>
      </c>
      <c r="C265" s="12" t="str">
        <f aca="false">TRIM(SUBSTITUTE($B265,CHAR(160)," "))</f>
        <v>S-M 099 חגורת גב שרוכים</v>
      </c>
    </row>
    <row r="266" customFormat="false" ht="15" hidden="false" customHeight="true" outlineLevel="0" collapsed="false">
      <c r="A266" s="12" t="n">
        <v>4408224</v>
      </c>
      <c r="B266" s="12" t="s">
        <v>333</v>
      </c>
      <c r="C266" s="12" t="str">
        <f aca="false">TRIM(SUBSTITUTE($B266,CHAR(160)," "))</f>
        <v>S 11 אפורUGחגורת בטן</v>
      </c>
    </row>
    <row r="267" customFormat="false" ht="15" hidden="false" customHeight="true" outlineLevel="0" collapsed="false">
      <c r="A267" s="12" t="n">
        <v>4408217</v>
      </c>
      <c r="B267" s="12" t="s">
        <v>334</v>
      </c>
      <c r="C267" s="12" t="str">
        <f aca="false">TRIM(SUBSTITUTE($B267,CHAR(160)," "))</f>
        <v>S078 חגורת גב +סגירה כפולה</v>
      </c>
    </row>
    <row r="268" customFormat="false" ht="15" hidden="false" customHeight="true" outlineLevel="0" collapsed="false">
      <c r="A268" s="12" t="n">
        <v>4408270</v>
      </c>
      <c r="B268" s="12" t="s">
        <v>335</v>
      </c>
      <c r="C268" s="12" t="str">
        <f aca="false">TRIM(SUBSTITUTE($B268,CHAR(160)," "))</f>
        <v>ST11 חגורת בטן</v>
      </c>
    </row>
    <row r="269" customFormat="false" ht="15" hidden="false" customHeight="true" outlineLevel="0" collapsed="false">
      <c r="A269" s="12" t="n">
        <v>4408090</v>
      </c>
      <c r="B269" s="12" t="s">
        <v>336</v>
      </c>
      <c r="C269" s="12" t="str">
        <f aca="false">TRIM(SUBSTITUTE($B269,CHAR(160)," "))</f>
        <v>T11C L חגורת גב פוג'יאמה</v>
      </c>
    </row>
    <row r="270" customFormat="false" ht="15" hidden="false" customHeight="true" outlineLevel="0" collapsed="false">
      <c r="A270" s="12" t="n">
        <v>4408091</v>
      </c>
      <c r="B270" s="12" t="s">
        <v>337</v>
      </c>
      <c r="C270" s="12" t="str">
        <f aca="false">TRIM(SUBSTITUTE($B270,CHAR(160)," "))</f>
        <v>T11C M חגורת גב פוג'יאמה</v>
      </c>
    </row>
    <row r="271" customFormat="false" ht="15" hidden="false" customHeight="true" outlineLevel="0" collapsed="false">
      <c r="A271" s="12" t="n">
        <v>4408089</v>
      </c>
      <c r="B271" s="12" t="s">
        <v>338</v>
      </c>
      <c r="C271" s="12" t="str">
        <f aca="false">TRIM(SUBSTITUTE($B271,CHAR(160)," "))</f>
        <v>T11C S חגורת גב פוג'יאמה</v>
      </c>
    </row>
    <row r="272" customFormat="false" ht="15" hidden="false" customHeight="true" outlineLevel="0" collapsed="false">
      <c r="A272" s="12" t="n">
        <v>4408092</v>
      </c>
      <c r="B272" s="12" t="s">
        <v>339</v>
      </c>
      <c r="C272" s="12" t="str">
        <f aca="false">TRIM(SUBSTITUTE($B272,CHAR(160)," "))</f>
        <v>T11C XL חגורת גב פוג'יאמה</v>
      </c>
    </row>
    <row r="273" customFormat="false" ht="15" hidden="false" customHeight="true" outlineLevel="0" collapsed="false">
      <c r="A273" s="12" t="n">
        <v>4408093</v>
      </c>
      <c r="B273" s="12" t="s">
        <v>340</v>
      </c>
      <c r="C273" s="12" t="str">
        <f aca="false">TRIM(SUBSTITUTE($B273,CHAR(160)," "))</f>
        <v>T11C XXL חגורת גב פוג'יאמה</v>
      </c>
    </row>
    <row r="274" customFormat="false" ht="15" hidden="false" customHeight="true" outlineLevel="0" collapsed="false">
      <c r="A274" s="12" t="n">
        <v>4408227</v>
      </c>
      <c r="B274" s="12" t="s">
        <v>341</v>
      </c>
      <c r="C274" s="12" t="str">
        <f aca="false">TRIM(SUBSTITUTE($B274,CHAR(160)," "))</f>
        <v>XL 11 אפורUG חגורת בטן</v>
      </c>
    </row>
    <row r="275" customFormat="false" ht="15" hidden="false" customHeight="true" outlineLevel="0" collapsed="false">
      <c r="A275" s="12" t="n">
        <v>4408229</v>
      </c>
      <c r="B275" s="12" t="s">
        <v>342</v>
      </c>
      <c r="C275" s="12" t="str">
        <f aca="false">TRIM(SUBSTITUTE($B275,CHAR(160)," "))</f>
        <v>XXL 11אפורUGחגורת בטן</v>
      </c>
    </row>
    <row r="276" customFormat="false" ht="15" hidden="false" customHeight="true" outlineLevel="0" collapsed="false">
      <c r="A276" s="12" t="n">
        <v>4409011</v>
      </c>
      <c r="B276" s="12" t="s">
        <v>343</v>
      </c>
      <c r="C276" s="12" t="str">
        <f aca="false">TRIM(SUBSTITUTE($B276,CHAR(160)," "))</f>
        <v>804AT-B טייפ חבישה לספורט</v>
      </c>
    </row>
    <row r="277" customFormat="false" ht="15" hidden="false" customHeight="true" outlineLevel="0" collapsed="false">
      <c r="A277" s="12" t="n">
        <v>4409013</v>
      </c>
      <c r="B277" s="12" t="s">
        <v>344</v>
      </c>
      <c r="C277" s="12" t="str">
        <f aca="false">TRIM(SUBSTITUTE($B277,CHAR(160)," "))</f>
        <v>804AT-BL טייפ חבישה לספורט</v>
      </c>
    </row>
    <row r="278" customFormat="false" ht="15" hidden="false" customHeight="true" outlineLevel="0" collapsed="false">
      <c r="A278" s="12" t="n">
        <v>4409012</v>
      </c>
      <c r="B278" s="12" t="s">
        <v>345</v>
      </c>
      <c r="C278" s="12" t="str">
        <f aca="false">TRIM(SUBSTITUTE($B278,CHAR(160)," "))</f>
        <v>804AT-C טייפ חבישה לספורט</v>
      </c>
    </row>
    <row r="279" customFormat="false" ht="15" hidden="false" customHeight="true" outlineLevel="0" collapsed="false">
      <c r="A279" s="12" t="n">
        <v>4409010</v>
      </c>
      <c r="B279" s="12" t="s">
        <v>346</v>
      </c>
      <c r="C279" s="12" t="str">
        <f aca="false">TRIM(SUBSTITUTE($B279,CHAR(160)," "))</f>
        <v>804AT-W טייפ חבישה לספורט</v>
      </c>
    </row>
    <row r="280" customFormat="false" ht="15" hidden="false" customHeight="true" outlineLevel="0" collapsed="false">
      <c r="A280" s="12" t="n">
        <v>4401012</v>
      </c>
      <c r="B280" s="12" t="s">
        <v>347</v>
      </c>
      <c r="C280" s="12" t="str">
        <f aca="false">TRIM(SUBSTITUTE($B280,CHAR(160)," "))</f>
        <v>805AT-B אתלטיק טייפ שחור 20מ""מ</v>
      </c>
    </row>
    <row r="281" customFormat="false" ht="15" hidden="false" customHeight="true" outlineLevel="0" collapsed="false">
      <c r="A281" s="12" t="n">
        <v>4401013</v>
      </c>
      <c r="B281" s="12" t="s">
        <v>348</v>
      </c>
      <c r="C281" s="12" t="str">
        <f aca="false">TRIM(SUBSTITUTE($B281,CHAR(160)," "))</f>
        <v>805AT-BLאתלטיק טייפ כחול 20מ""מ</v>
      </c>
    </row>
    <row r="282" customFormat="false" ht="15" hidden="false" customHeight="true" outlineLevel="0" collapsed="false">
      <c r="A282" s="12" t="n">
        <v>4401011</v>
      </c>
      <c r="B282" s="12" t="s">
        <v>349</v>
      </c>
      <c r="C282" s="12" t="str">
        <f aca="false">TRIM(SUBSTITUTE($B282,CHAR(160)," "))</f>
        <v>805AT-Cאתלטיק טייפ בז' 20מ""מ20</v>
      </c>
    </row>
    <row r="283" customFormat="false" ht="15" hidden="false" customHeight="true" outlineLevel="0" collapsed="false">
      <c r="A283" s="12" t="n">
        <v>4401014</v>
      </c>
      <c r="B283" s="12" t="s">
        <v>350</v>
      </c>
      <c r="C283" s="12" t="str">
        <f aca="false">TRIM(SUBSTITUTE($B283,CHAR(160)," "))</f>
        <v>805AT-W אתלטיק טייפ לבן 20מ""מ</v>
      </c>
    </row>
    <row r="284" customFormat="false" ht="15" hidden="false" customHeight="true" outlineLevel="0" collapsed="false">
      <c r="A284" s="12" t="n">
        <v>4409017</v>
      </c>
      <c r="B284" s="12" t="s">
        <v>351</v>
      </c>
      <c r="C284" s="12" t="str">
        <f aca="false">TRIM(SUBSTITUTE($B284,CHAR(160)," "))</f>
        <v>808KT-B טייפ קינזיולוגי</v>
      </c>
    </row>
    <row r="285" customFormat="false" ht="15" hidden="false" customHeight="true" outlineLevel="0" collapsed="false">
      <c r="A285" s="12" t="n">
        <v>4409015</v>
      </c>
      <c r="B285" s="12" t="s">
        <v>352</v>
      </c>
      <c r="C285" s="12" t="str">
        <f aca="false">TRIM(SUBSTITUTE($B285,CHAR(160)," "))</f>
        <v>808KT-BL טייפ קינזיולוגי</v>
      </c>
    </row>
    <row r="286" customFormat="false" ht="15" hidden="false" customHeight="true" outlineLevel="0" collapsed="false">
      <c r="A286" s="12" t="n">
        <v>4409016</v>
      </c>
      <c r="B286" s="12" t="s">
        <v>353</v>
      </c>
      <c r="C286" s="12" t="str">
        <f aca="false">TRIM(SUBSTITUTE($B286,CHAR(160)," "))</f>
        <v>808KT-C טייפ קינזיולוגי</v>
      </c>
    </row>
    <row r="287" customFormat="false" ht="15" hidden="false" customHeight="true" outlineLevel="0" collapsed="false">
      <c r="A287" s="12" t="n">
        <v>4409014</v>
      </c>
      <c r="B287" s="12" t="s">
        <v>354</v>
      </c>
      <c r="C287" s="12" t="str">
        <f aca="false">TRIM(SUBSTITUTE($B287,CHAR(160)," "))</f>
        <v>808KT-P טייפ קינזיולוגי</v>
      </c>
    </row>
    <row r="288" customFormat="false" ht="15" hidden="false" customHeight="true" outlineLevel="0" collapsed="false">
      <c r="A288" s="12" t="n">
        <v>4419013</v>
      </c>
      <c r="B288" s="12" t="s">
        <v>355</v>
      </c>
      <c r="C288" s="12" t="str">
        <f aca="false">TRIM(SUBSTITUTE($B288,CHAR(160)," "))</f>
        <v>239B L-XL STRAP4U</v>
      </c>
    </row>
    <row r="289" customFormat="false" ht="15" hidden="false" customHeight="true" outlineLevel="0" collapsed="false">
      <c r="A289" s="12" t="n">
        <v>4419011</v>
      </c>
      <c r="B289" s="12" t="s">
        <v>356</v>
      </c>
      <c r="C289" s="12" t="str">
        <f aca="false">TRIM(SUBSTITUTE($B289,CHAR(160)," "))</f>
        <v>239B S-M STRAP4U</v>
      </c>
    </row>
    <row r="290" customFormat="false" ht="15" hidden="false" customHeight="true" outlineLevel="0" collapsed="false">
      <c r="A290" s="12" t="n">
        <v>4419012</v>
      </c>
      <c r="B290" s="12" t="s">
        <v>357</v>
      </c>
      <c r="C290" s="12" t="str">
        <f aca="false">TRIM(SUBSTITUTE($B290,CHAR(160)," "))</f>
        <v>239P S-M STRAP4U</v>
      </c>
    </row>
    <row r="291" customFormat="false" ht="15" hidden="false" customHeight="true" outlineLevel="0" collapsed="false">
      <c r="A291" s="12" t="n">
        <v>4419014</v>
      </c>
      <c r="B291" s="12" t="s">
        <v>358</v>
      </c>
      <c r="C291" s="12" t="str">
        <f aca="false">TRIM(SUBSTITUTE($B291,CHAR(160)," "))</f>
        <v>239TR L-XL STRAP4U</v>
      </c>
    </row>
    <row r="292" customFormat="false" ht="15" hidden="false" customHeight="true" outlineLevel="0" collapsed="false">
      <c r="A292" s="12" t="n">
        <v>4411002</v>
      </c>
      <c r="B292" s="12" t="s">
        <v>359</v>
      </c>
      <c r="C292" s="12" t="str">
        <f aca="false">TRIM(SUBSTITUTE($B292,CHAR(160)," "))</f>
        <v>67 כרית שינה חלומי</v>
      </c>
    </row>
    <row r="293" customFormat="false" ht="15" hidden="false" customHeight="true" outlineLevel="0" collapsed="false">
      <c r="A293" s="12" t="n">
        <v>4414000</v>
      </c>
      <c r="B293" s="12" t="s">
        <v>360</v>
      </c>
      <c r="C293" s="12" t="str">
        <f aca="false">TRIM(SUBSTITUTE($B293,CHAR(160)," "))</f>
        <v>FC342-נוזל לציפורן חודרנית</v>
      </c>
    </row>
    <row r="294" customFormat="false" ht="15" hidden="false" customHeight="true" outlineLevel="0" collapsed="false">
      <c r="A294" s="12" t="n">
        <v>4415024</v>
      </c>
      <c r="B294" s="12" t="s">
        <v>361</v>
      </c>
      <c r="C294" s="12" t="str">
        <f aca="false">TRIM(SUBSTITUTE($B294,CHAR(160)," "))</f>
        <v>FCתתסבון אנטי ספטי לכף הרגל350</v>
      </c>
    </row>
    <row r="295" customFormat="false" ht="15" hidden="false" customHeight="true" outlineLevel="0" collapsed="false">
      <c r="A295" s="12" t="n">
        <v>4419015</v>
      </c>
      <c r="B295" s="12" t="s">
        <v>362</v>
      </c>
      <c r="C295" s="12" t="str">
        <f aca="false">TRIM(SUBSTITUTE($B295,CHAR(160)," "))</f>
        <v>STRAP4U DISPLAY 239D</v>
      </c>
    </row>
    <row r="296" customFormat="false" ht="15" hidden="false" customHeight="true" outlineLevel="0" collapsed="false">
      <c r="A296" s="12" t="n">
        <v>4421008</v>
      </c>
      <c r="B296" s="12" t="s">
        <v>363</v>
      </c>
      <c r="C296" s="12" t="str">
        <f aca="false">TRIM(SUBSTITUTE($B296,CHAR(160)," "))</f>
        <v>שרוול לגבס ארוך רגל</v>
      </c>
    </row>
    <row r="297" customFormat="false" ht="15" hidden="false" customHeight="true" outlineLevel="0" collapsed="false">
      <c r="A297" s="12" t="n">
        <v>4421007</v>
      </c>
      <c r="B297" s="12" t="s">
        <v>364</v>
      </c>
      <c r="C297" s="12" t="str">
        <f aca="false">TRIM(SUBSTITUTE($B297,CHAR(160)," "))</f>
        <v>שרוול לגבס קצר רגל</v>
      </c>
    </row>
    <row r="298" customFormat="false" ht="15" hidden="false" customHeight="true" outlineLevel="0" collapsed="false">
      <c r="A298" s="12" t="n">
        <v>4413149</v>
      </c>
      <c r="B298" s="12" t="s">
        <v>365</v>
      </c>
      <c r="C298" s="12" t="str">
        <f aca="false">TRIM(SUBSTITUTE($B298,CHAR(160)," "))</f>
        <v>FC321-מלח אמבט לכף הרגל</v>
      </c>
    </row>
    <row r="299" customFormat="false" ht="15" hidden="false" customHeight="true" outlineLevel="0" collapsed="false">
      <c r="A299" s="12" t="n">
        <v>4422036</v>
      </c>
      <c r="B299" s="12" t="s">
        <v>366</v>
      </c>
      <c r="C299" s="12" t="str">
        <f aca="false">TRIM(SUBSTITUTE($B299,CHAR(160)," "))</f>
        <v>FC334 תרסיס דאודורנט לכף הרגל</v>
      </c>
    </row>
    <row r="300" customFormat="false" ht="15" hidden="false" customHeight="true" outlineLevel="0" collapsed="false">
      <c r="A300" s="12" t="n">
        <v>4409004</v>
      </c>
      <c r="B300" s="12" t="s">
        <v>367</v>
      </c>
      <c r="C300" s="12" t="str">
        <f aca="false">TRIM(SUBSTITUTE($B300,CHAR(160)," "))</f>
        <v>FC335 טלק מעושר באלוורה</v>
      </c>
    </row>
    <row r="301" customFormat="false" ht="15" hidden="false" customHeight="true" outlineLevel="0" collapsed="false">
      <c r="A301" s="12" t="n">
        <v>4422035</v>
      </c>
      <c r="B301" s="12" t="s">
        <v>368</v>
      </c>
      <c r="C301" s="12" t="str">
        <f aca="false">TRIM(SUBSTITUTE($B301,CHAR(160)," "))</f>
        <v>FCתרסיס דאודורנט אנטיבק.נעל333</v>
      </c>
    </row>
    <row r="302" customFormat="false" ht="15" hidden="false" customHeight="true" outlineLevel="0" collapsed="false">
      <c r="A302" s="12" t="n">
        <v>4421006</v>
      </c>
      <c r="B302" s="12" t="s">
        <v>369</v>
      </c>
      <c r="C302" s="12" t="str">
        <f aca="false">TRIM(SUBSTITUTE($B302,CHAR(160)," "))</f>
        <v>שרוול לגבס ארוך יד</v>
      </c>
    </row>
    <row r="303" customFormat="false" ht="15" hidden="false" customHeight="true" outlineLevel="0" collapsed="false">
      <c r="A303" s="12" t="n">
        <v>4421005</v>
      </c>
      <c r="B303" s="12" t="s">
        <v>370</v>
      </c>
      <c r="C303" s="12" t="str">
        <f aca="false">TRIM(SUBSTITUTE($B303,CHAR(160)," "))</f>
        <v>שרוול לגבס קצר יד</v>
      </c>
    </row>
    <row r="304" customFormat="false" ht="15" hidden="false" customHeight="true" outlineLevel="0" collapsed="false">
      <c r="A304" s="12" t="n">
        <v>4413164</v>
      </c>
      <c r="B304" s="12" t="s">
        <v>371</v>
      </c>
      <c r="C304" s="12" t="str">
        <f aca="false">TRIM(SUBSTITUTE($B304,CHAR(160)," "))</f>
        <v>74 SM מיצב כתפיים</v>
      </c>
    </row>
    <row r="305" customFormat="false" ht="15" hidden="false" customHeight="true" outlineLevel="0" collapsed="false">
      <c r="A305" s="12" t="n">
        <v>4413165</v>
      </c>
      <c r="B305" s="12" t="s">
        <v>372</v>
      </c>
      <c r="C305" s="12" t="str">
        <f aca="false">TRIM(SUBSTITUTE($B305,CHAR(160)," "))</f>
        <v>74 L-XL מיצב כתפיים</v>
      </c>
    </row>
    <row r="306" customFormat="false" ht="15" hidden="false" customHeight="true" outlineLevel="0" collapsed="false">
      <c r="A306" s="12" t="n">
        <v>4413130</v>
      </c>
      <c r="B306" s="12" t="s">
        <v>373</v>
      </c>
      <c r="C306" s="12" t="str">
        <f aca="false">TRIM(SUBSTITUTE($B306,CHAR(160)," "))</f>
        <v>75 XXL מיישר כתף יציב ישור צר</v>
      </c>
    </row>
    <row r="307" customFormat="false" ht="15" hidden="false" customHeight="true" outlineLevel="0" collapsed="false">
      <c r="A307" s="12" t="n">
        <v>4413127</v>
      </c>
      <c r="B307" s="12" t="s">
        <v>374</v>
      </c>
      <c r="C307" s="12" t="str">
        <f aca="false">TRIM(SUBSTITUTE($B307,CHAR(160)," "))</f>
        <v>75 Lמיישר כתף יציב יישור גב צר</v>
      </c>
    </row>
    <row r="308" customFormat="false" ht="15" hidden="false" customHeight="true" outlineLevel="0" collapsed="false">
      <c r="A308" s="12" t="n">
        <v>4413128</v>
      </c>
      <c r="B308" s="12" t="s">
        <v>375</v>
      </c>
      <c r="C308" s="12" t="str">
        <f aca="false">TRIM(SUBSTITUTE($B308,CHAR(160)," "))</f>
        <v>75 Mמיישר כתף יציב יישור גב צר</v>
      </c>
    </row>
    <row r="309" customFormat="false" ht="15" hidden="false" customHeight="true" outlineLevel="0" collapsed="false">
      <c r="A309" s="12" t="n">
        <v>4413126</v>
      </c>
      <c r="B309" s="12" t="s">
        <v>376</v>
      </c>
      <c r="C309" s="12" t="str">
        <f aca="false">TRIM(SUBSTITUTE($B309,CHAR(160)," "))</f>
        <v>75 Sמיישר כתף יציב יישור גב צר</v>
      </c>
    </row>
    <row r="310" customFormat="false" ht="15" hidden="false" customHeight="true" outlineLevel="0" collapsed="false">
      <c r="A310" s="12" t="n">
        <v>4413129</v>
      </c>
      <c r="B310" s="12" t="s">
        <v>377</v>
      </c>
      <c r="C310" s="12" t="str">
        <f aca="false">TRIM(SUBSTITUTE($B310,CHAR(160)," "))</f>
        <v>75 XLמיישר כתף יציב יישור ג.צר</v>
      </c>
    </row>
    <row r="311" customFormat="false" ht="15" hidden="false" customHeight="true" outlineLevel="0" collapsed="false">
      <c r="A311" s="12" t="n">
        <v>4413132</v>
      </c>
      <c r="B311" s="12" t="s">
        <v>378</v>
      </c>
      <c r="C311" s="12" t="str">
        <f aca="false">TRIM(SUBSTITUTE($B311,CHAR(160)," "))</f>
        <v>76 Lמיישר כתף יציב יישור רחב</v>
      </c>
    </row>
    <row r="312" customFormat="false" ht="15" hidden="false" customHeight="true" outlineLevel="0" collapsed="false">
      <c r="A312" s="12" t="n">
        <v>4413133</v>
      </c>
      <c r="B312" s="12" t="s">
        <v>379</v>
      </c>
      <c r="C312" s="12" t="str">
        <f aca="false">TRIM(SUBSTITUTE($B312,CHAR(160)," "))</f>
        <v>76 Mמיישר כתף יציב,יישור רחב</v>
      </c>
    </row>
    <row r="313" customFormat="false" ht="15" hidden="false" customHeight="true" outlineLevel="0" collapsed="false">
      <c r="A313" s="12" t="n">
        <v>4413131</v>
      </c>
      <c r="B313" s="12" t="s">
        <v>380</v>
      </c>
      <c r="C313" s="12" t="str">
        <f aca="false">TRIM(SUBSTITUTE($B313,CHAR(160)," "))</f>
        <v>76 Sמיישר כתף יציב יישור ג.רחב</v>
      </c>
    </row>
    <row r="314" customFormat="false" ht="15" hidden="false" customHeight="true" outlineLevel="0" collapsed="false">
      <c r="A314" s="12" t="n">
        <v>4413134</v>
      </c>
      <c r="B314" s="12" t="s">
        <v>381</v>
      </c>
      <c r="C314" s="12" t="str">
        <f aca="false">TRIM(SUBSTITUTE($B314,CHAR(160)," "))</f>
        <v>76 XLמיישר כתף יציב יישור רחב</v>
      </c>
    </row>
    <row r="315" customFormat="false" ht="15" hidden="false" customHeight="true" outlineLevel="0" collapsed="false">
      <c r="A315" s="12" t="n">
        <v>4413262</v>
      </c>
      <c r="B315" s="12" t="s">
        <v>382</v>
      </c>
      <c r="C315" s="12" t="str">
        <f aca="false">TRIM(SUBSTITUTE($B315,CHAR(160)," "))</f>
        <v>76 XXL מישר כתפיים רחב</v>
      </c>
    </row>
    <row r="316" customFormat="false" ht="15" hidden="false" customHeight="true" outlineLevel="0" collapsed="false">
      <c r="A316" s="12" t="n">
        <v>4408141</v>
      </c>
      <c r="B316" s="12" t="s">
        <v>383</v>
      </c>
      <c r="C316" s="12" t="str">
        <f aca="false">TRIM(SUBSTITUTE($B316,CHAR(160)," "))</f>
        <v>776 S ח.גב גבוהה</v>
      </c>
    </row>
    <row r="317" customFormat="false" ht="15" hidden="false" customHeight="true" outlineLevel="0" collapsed="false">
      <c r="A317" s="12" t="n">
        <v>4413191</v>
      </c>
      <c r="B317" s="12" t="s">
        <v>384</v>
      </c>
      <c r="C317" s="12" t="str">
        <f aca="false">TRIM(SUBSTITUTE($B317,CHAR(160)," "))</f>
        <v>78 M מגן למרפק כתף</v>
      </c>
    </row>
    <row r="318" customFormat="false" ht="15" hidden="false" customHeight="true" outlineLevel="0" collapsed="false">
      <c r="A318" s="12" t="n">
        <v>4413194</v>
      </c>
      <c r="B318" s="12" t="s">
        <v>385</v>
      </c>
      <c r="C318" s="12" t="str">
        <f aca="false">TRIM(SUBSTITUTE($B318,CHAR(160)," "))</f>
        <v>78 XXLמגן למרפק כתף</v>
      </c>
    </row>
    <row r="319" customFormat="false" ht="15" hidden="false" customHeight="true" outlineLevel="0" collapsed="false">
      <c r="A319" s="12" t="n">
        <v>4413485</v>
      </c>
      <c r="B319" s="12" t="s">
        <v>386</v>
      </c>
      <c r="C319" s="12" t="str">
        <f aca="false">TRIM(SUBSTITUTE($B319,CHAR(160)," "))</f>
        <v>78A M מגן למפרק כתף</v>
      </c>
    </row>
    <row r="320" customFormat="false" ht="15" hidden="false" customHeight="true" outlineLevel="0" collapsed="false">
      <c r="A320" s="12" t="n">
        <v>4413403</v>
      </c>
      <c r="B320" s="12" t="s">
        <v>387</v>
      </c>
      <c r="C320" s="12" t="str">
        <f aca="false">TRIM(SUBSTITUTE($B320,CHAR(160)," "))</f>
        <v>78A L מגן למפרק כתף</v>
      </c>
    </row>
    <row r="321" customFormat="false" ht="15" hidden="false" customHeight="true" outlineLevel="0" collapsed="false">
      <c r="A321" s="12" t="n">
        <v>4413486</v>
      </c>
      <c r="B321" s="12" t="s">
        <v>388</v>
      </c>
      <c r="C321" s="12" t="str">
        <f aca="false">TRIM(SUBSTITUTE($B321,CHAR(160)," "))</f>
        <v>78A S מגן למפרק כתף</v>
      </c>
    </row>
    <row r="322" customFormat="false" ht="15" hidden="false" customHeight="true" outlineLevel="0" collapsed="false">
      <c r="A322" s="12" t="n">
        <v>4413404</v>
      </c>
      <c r="B322" s="12" t="s">
        <v>389</v>
      </c>
      <c r="C322" s="12" t="str">
        <f aca="false">TRIM(SUBSTITUTE($B322,CHAR(160)," "))</f>
        <v>78A XL מגן למפרק כתף</v>
      </c>
    </row>
    <row r="323" customFormat="false" ht="15" hidden="false" customHeight="true" outlineLevel="0" collapsed="false">
      <c r="A323" s="12" t="n">
        <v>4413443</v>
      </c>
      <c r="B323" s="12" t="s">
        <v>390</v>
      </c>
      <c r="C323" s="12" t="str">
        <f aca="false">TRIM(SUBSTITUTE($B323,CHAR(160)," "))</f>
        <v>78A XXL מגן למפרק כתף</v>
      </c>
    </row>
    <row r="324" customFormat="false" ht="15" hidden="false" customHeight="true" outlineLevel="0" collapsed="false">
      <c r="A324" s="12" t="n">
        <v>4413197</v>
      </c>
      <c r="B324" s="12" t="s">
        <v>391</v>
      </c>
      <c r="C324" s="12" t="str">
        <f aca="false">TRIM(SUBSTITUTE($B324,CHAR(160)," "))</f>
        <v>87 L מקבע כתף ויד</v>
      </c>
    </row>
    <row r="325" customFormat="false" ht="15" hidden="false" customHeight="true" outlineLevel="0" collapsed="false">
      <c r="A325" s="12" t="n">
        <v>4413196</v>
      </c>
      <c r="B325" s="12" t="s">
        <v>392</v>
      </c>
      <c r="C325" s="12" t="str">
        <f aca="false">TRIM(SUBSTITUTE($B325,CHAR(160)," "))</f>
        <v>87 M מקבע כתף ויד</v>
      </c>
    </row>
    <row r="326" customFormat="false" ht="15" hidden="false" customHeight="true" outlineLevel="0" collapsed="false">
      <c r="A326" s="12" t="n">
        <v>4413195</v>
      </c>
      <c r="B326" s="12" t="s">
        <v>393</v>
      </c>
      <c r="C326" s="12" t="str">
        <f aca="false">TRIM(SUBSTITUTE($B326,CHAR(160)," "))</f>
        <v>87 S מקבע כתף ויד</v>
      </c>
    </row>
    <row r="327" customFormat="false" ht="15" hidden="false" customHeight="true" outlineLevel="0" collapsed="false">
      <c r="A327" s="12" t="n">
        <v>4413198</v>
      </c>
      <c r="B327" s="12" t="s">
        <v>394</v>
      </c>
      <c r="C327" s="12" t="str">
        <f aca="false">TRIM(SUBSTITUTE($B327,CHAR(160)," "))</f>
        <v>87 XL מקבע כתף ויד</v>
      </c>
    </row>
    <row r="328" customFormat="false" ht="15" hidden="false" customHeight="true" outlineLevel="0" collapsed="false">
      <c r="A328" s="12" t="n">
        <v>4413204</v>
      </c>
      <c r="B328" s="12" t="s">
        <v>395</v>
      </c>
      <c r="C328" s="12" t="str">
        <f aca="false">TRIM(SUBSTITUTE($B328,CHAR(160)," "))</f>
        <v>87 XXL מקבע כתף ויד</v>
      </c>
    </row>
    <row r="329" customFormat="false" ht="15" hidden="false" customHeight="true" outlineLevel="0" collapsed="false">
      <c r="A329" s="12" t="n">
        <v>4413456</v>
      </c>
      <c r="B329" s="12" t="s">
        <v>396</v>
      </c>
      <c r="C329" s="12" t="str">
        <f aca="false">TRIM(SUBSTITUTE($B329,CHAR(160)," "))</f>
        <v>AC75 XXL מיישר כתפיים אקטיב</v>
      </c>
    </row>
    <row r="330" customFormat="false" ht="15" hidden="false" customHeight="true" outlineLevel="0" collapsed="false">
      <c r="A330" s="12" t="n">
        <v>4413453</v>
      </c>
      <c r="B330" s="12" t="s">
        <v>397</v>
      </c>
      <c r="C330" s="12" t="str">
        <f aca="false">TRIM(SUBSTITUTE($B330,CHAR(160)," "))</f>
        <v>AC75 מישר כתפיים אקטיב</v>
      </c>
    </row>
    <row r="331" customFormat="false" ht="15" hidden="false" customHeight="true" outlineLevel="0" collapsed="false">
      <c r="A331" s="12" t="n">
        <v>4422006</v>
      </c>
      <c r="B331" s="12" t="s">
        <v>398</v>
      </c>
      <c r="C331" s="12" t="str">
        <f aca="false">TRIM(SUBSTITUTE($B331,CHAR(160)," "))</f>
        <v>T78 L תומך זרוע וכתף</v>
      </c>
    </row>
    <row r="332" customFormat="false" ht="15" hidden="false" customHeight="true" outlineLevel="0" collapsed="false">
      <c r="A332" s="12" t="n">
        <v>4422005</v>
      </c>
      <c r="B332" s="12" t="s">
        <v>399</v>
      </c>
      <c r="C332" s="12" t="str">
        <f aca="false">TRIM(SUBSTITUTE($B332,CHAR(160)," "))</f>
        <v>T78 M תומך זרוע וכתף</v>
      </c>
    </row>
    <row r="333" customFormat="false" ht="15" hidden="false" customHeight="true" outlineLevel="0" collapsed="false">
      <c r="A333" s="12" t="n">
        <v>4422004</v>
      </c>
      <c r="B333" s="12" t="s">
        <v>400</v>
      </c>
      <c r="C333" s="12" t="str">
        <f aca="false">TRIM(SUBSTITUTE($B333,CHAR(160)," "))</f>
        <v>T78 S תומך זרוע וכתף</v>
      </c>
    </row>
    <row r="334" customFormat="false" ht="15" hidden="false" customHeight="true" outlineLevel="0" collapsed="false">
      <c r="A334" s="12" t="n">
        <v>4422007</v>
      </c>
      <c r="B334" s="12" t="s">
        <v>401</v>
      </c>
      <c r="C334" s="12" t="str">
        <f aca="false">TRIM(SUBSTITUTE($B334,CHAR(160)," "))</f>
        <v>T78 XLתומך זרוע וכתף</v>
      </c>
    </row>
    <row r="335" customFormat="false" ht="15" hidden="false" customHeight="true" outlineLevel="0" collapsed="false">
      <c r="A335" s="12" t="n">
        <v>4422009</v>
      </c>
      <c r="B335" s="12" t="s">
        <v>402</v>
      </c>
      <c r="C335" s="12" t="str">
        <f aca="false">TRIM(SUBSTITUTE($B335,CHAR(160)," "))</f>
        <v>T78 XXL תומך זרוע וכתף</v>
      </c>
    </row>
    <row r="336" customFormat="false" ht="15" hidden="false" customHeight="true" outlineLevel="0" collapsed="false">
      <c r="A336" s="12" t="n">
        <v>4413056</v>
      </c>
      <c r="B336" s="12" t="s">
        <v>403</v>
      </c>
      <c r="C336" s="12" t="str">
        <f aca="false">TRIM(SUBSTITUTE($B336,CHAR(160)," "))</f>
        <v>LF360 מדרס מטטרזלי לנעלי עקב</v>
      </c>
    </row>
    <row r="337" customFormat="false" ht="15" hidden="false" customHeight="true" outlineLevel="0" collapsed="false">
      <c r="A337" s="12" t="n">
        <v>4420022</v>
      </c>
      <c r="B337" s="12" t="s">
        <v>404</v>
      </c>
      <c r="C337" s="12" t="str">
        <f aca="false">TRIM(SUBSTITUTE($B337,CHAR(160)," "))</f>
        <v>LF370 ריפוד סיליקון לעקב אחורי</v>
      </c>
    </row>
    <row r="338" customFormat="false" ht="15" hidden="false" customHeight="true" outlineLevel="0" collapsed="false">
      <c r="A338" s="12" t="n">
        <v>4420023</v>
      </c>
      <c r="B338" s="12" t="s">
        <v>405</v>
      </c>
      <c r="C338" s="12" t="str">
        <f aca="false">TRIM(SUBSTITUTE($B338,CHAR(160)," "))</f>
        <v>LF371 ריפוד סיליקון לנעלי אצבע</v>
      </c>
    </row>
    <row r="339" customFormat="false" ht="15" hidden="false" customHeight="true" outlineLevel="0" collapsed="false">
      <c r="A339" s="12" t="n">
        <v>4420025</v>
      </c>
      <c r="B339" s="12" t="s">
        <v>406</v>
      </c>
      <c r="C339" s="12" t="str">
        <f aca="false">TRIM(SUBSTITUTE($B339,CHAR(160)," "))</f>
        <v>LF374 ריפוד סיליק.לעקב תחתון</v>
      </c>
    </row>
    <row r="340" customFormat="false" ht="15" hidden="false" customHeight="true" outlineLevel="0" collapsed="false">
      <c r="A340" s="12" t="n">
        <v>4413276</v>
      </c>
      <c r="B340" s="12" t="s">
        <v>407</v>
      </c>
      <c r="C340" s="12" t="str">
        <f aca="false">TRIM(SUBSTITUTE($B340,CHAR(160)," "))</f>
        <v>LF377 L-מדרס סיליקון לנעלי עקב</v>
      </c>
    </row>
    <row r="341" customFormat="false" ht="15" hidden="false" customHeight="true" outlineLevel="0" collapsed="false">
      <c r="A341" s="12" t="n">
        <v>4413277</v>
      </c>
      <c r="B341" s="12" t="s">
        <v>408</v>
      </c>
      <c r="C341" s="12" t="str">
        <f aca="false">TRIM(SUBSTITUTE($B341,CHAR(160)," "))</f>
        <v>LF377 M-מדרס סיליקון לנעלי עקב</v>
      </c>
    </row>
    <row r="342" customFormat="false" ht="15" hidden="false" customHeight="true" outlineLevel="0" collapsed="false">
      <c r="A342" s="12" t="n">
        <v>4413278</v>
      </c>
      <c r="B342" s="12" t="s">
        <v>409</v>
      </c>
      <c r="C342" s="12" t="str">
        <f aca="false">TRIM(SUBSTITUTE($B342,CHAR(160)," "))</f>
        <v>LF377 S-מדרס סיליקון לנעלי עקב</v>
      </c>
    </row>
    <row r="343" customFormat="false" ht="15" hidden="false" customHeight="true" outlineLevel="0" collapsed="false">
      <c r="A343" s="12" t="n">
        <v>4413451</v>
      </c>
      <c r="B343" s="12" t="s">
        <v>410</v>
      </c>
      <c r="C343" s="12" t="str">
        <f aca="false">TRIM(SUBSTITUTE($B343,CHAR(160)," "))</f>
        <v>LF378 L מדרס ג'ל לנעלי עקב</v>
      </c>
    </row>
    <row r="344" customFormat="false" ht="15" hidden="false" customHeight="true" outlineLevel="0" collapsed="false">
      <c r="A344" s="12" t="n">
        <v>4420024</v>
      </c>
      <c r="B344" s="12" t="s">
        <v>411</v>
      </c>
      <c r="C344" s="12" t="str">
        <f aca="false">TRIM(SUBSTITUTE($B344,CHAR(160)," "))</f>
        <v>LFריפוד סיליק.לכרית כף הרגל373</v>
      </c>
    </row>
    <row r="345" customFormat="false" ht="15" hidden="false" customHeight="true" outlineLevel="0" collapsed="false">
      <c r="A345" s="12" t="n">
        <v>4413008</v>
      </c>
      <c r="B345" s="12" t="s">
        <v>412</v>
      </c>
      <c r="C345" s="12" t="str">
        <f aca="false">TRIM(SUBSTITUTE($B345,CHAR(160)," "))</f>
        <v>300M תתמדרס.ציפוי עור גבר זו43</v>
      </c>
    </row>
    <row r="346" customFormat="false" ht="15" hidden="false" customHeight="true" outlineLevel="0" collapsed="false">
      <c r="A346" s="12" t="n">
        <v>4413009</v>
      </c>
      <c r="B346" s="12" t="s">
        <v>413</v>
      </c>
      <c r="C346" s="12" t="str">
        <f aca="false">TRIM(SUBSTITUTE($B346,CHAR(160)," "))</f>
        <v>300M תתמדרס/ציפוי עור גבר זו44</v>
      </c>
    </row>
    <row r="347" customFormat="false" ht="15" hidden="false" customHeight="true" outlineLevel="0" collapsed="false">
      <c r="A347" s="12" t="n">
        <v>4413372</v>
      </c>
      <c r="B347" s="12" t="s">
        <v>414</v>
      </c>
      <c r="C347" s="12" t="str">
        <f aca="false">TRIM(SUBSTITUTE($B347,CHAR(160)," "))</f>
        <v>302 W מדרס לאישה</v>
      </c>
    </row>
    <row r="348" customFormat="false" ht="15" hidden="false" customHeight="true" outlineLevel="0" collapsed="false">
      <c r="A348" s="12" t="n">
        <v>4413348</v>
      </c>
      <c r="B348" s="12" t="s">
        <v>415</v>
      </c>
      <c r="C348" s="12" t="str">
        <f aca="false">TRIM(SUBSTITUTE($B348,CHAR(160)," "))</f>
        <v>302 מדרס ג'ל לגבר</v>
      </c>
    </row>
    <row r="349" customFormat="false" ht="15" hidden="false" customHeight="true" outlineLevel="0" collapsed="false">
      <c r="A349" s="12" t="n">
        <v>4413444</v>
      </c>
      <c r="B349" s="12" t="s">
        <v>416</v>
      </c>
      <c r="C349" s="12" t="str">
        <f aca="false">TRIM(SUBSTITUTE($B349,CHAR(160)," "))</f>
        <v>302SP M מדרס ג'ל ספורט לגבר</v>
      </c>
    </row>
    <row r="350" customFormat="false" ht="15" hidden="false" customHeight="true" outlineLevel="0" collapsed="false">
      <c r="A350" s="12" t="n">
        <v>4413445</v>
      </c>
      <c r="B350" s="12" t="s">
        <v>417</v>
      </c>
      <c r="C350" s="12" t="str">
        <f aca="false">TRIM(SUBSTITUTE($B350,CHAR(160)," "))</f>
        <v>302SP Wמדרס ג'ל ספורט לאישה</v>
      </c>
    </row>
    <row r="351" customFormat="false" ht="15" hidden="false" customHeight="true" outlineLevel="0" collapsed="false">
      <c r="A351" s="12" t="n">
        <v>4413018</v>
      </c>
      <c r="B351" s="12" t="s">
        <v>418</v>
      </c>
      <c r="C351" s="12" t="str">
        <f aca="false">TRIM(SUBSTITUTE($B351,CHAR(160)," "))</f>
        <v>303 37-38 מדרסי סיליק.לח.סכרת</v>
      </c>
    </row>
    <row r="352" customFormat="false" ht="15" hidden="false" customHeight="true" outlineLevel="0" collapsed="false">
      <c r="A352" s="12" t="n">
        <v>4413019</v>
      </c>
      <c r="B352" s="12" t="s">
        <v>419</v>
      </c>
      <c r="C352" s="12" t="str">
        <f aca="false">TRIM(SUBSTITUTE($B352,CHAR(160)," "))</f>
        <v>303 39-40 מדרסי סיליק.לח.סכרת</v>
      </c>
    </row>
    <row r="353" customFormat="false" ht="15" hidden="false" customHeight="true" outlineLevel="0" collapsed="false">
      <c r="A353" s="12" t="n">
        <v>4413020</v>
      </c>
      <c r="B353" s="12" t="s">
        <v>420</v>
      </c>
      <c r="C353" s="12" t="str">
        <f aca="false">TRIM(SUBSTITUTE($B353,CHAR(160)," "))</f>
        <v>303 41-42 מדרסי סיליק.לח.סכרת</v>
      </c>
    </row>
    <row r="354" customFormat="false" ht="15" hidden="false" customHeight="true" outlineLevel="0" collapsed="false">
      <c r="A354" s="12" t="n">
        <v>4413021</v>
      </c>
      <c r="B354" s="12" t="s">
        <v>421</v>
      </c>
      <c r="C354" s="12" t="str">
        <f aca="false">TRIM(SUBSTITUTE($B354,CHAR(160)," "))</f>
        <v>303 43-44 מדרסי סיליק.לח.סכרת</v>
      </c>
    </row>
    <row r="355" customFormat="false" ht="15" hidden="false" customHeight="true" outlineLevel="0" collapsed="false">
      <c r="A355" s="12" t="n">
        <v>4413022</v>
      </c>
      <c r="B355" s="12" t="s">
        <v>422</v>
      </c>
      <c r="C355" s="12" t="str">
        <f aca="false">TRIM(SUBSTITUTE($B355,CHAR(160)," "))</f>
        <v>303 45-46 מדרסי סיליק.לח.סכרת</v>
      </c>
    </row>
    <row r="356" customFormat="false" ht="15" hidden="false" customHeight="true" outlineLevel="0" collapsed="false">
      <c r="A356" s="12" t="n">
        <v>4413153</v>
      </c>
      <c r="B356" s="12" t="s">
        <v>423</v>
      </c>
      <c r="C356" s="12" t="str">
        <f aca="false">TRIM(SUBSTITUTE($B356,CHAR(160)," "))</f>
        <v>305GA מדרס אורטופ.מתכוון35-36</v>
      </c>
    </row>
    <row r="357" customFormat="false" ht="15" hidden="false" customHeight="true" outlineLevel="0" collapsed="false">
      <c r="A357" s="12" t="n">
        <v>4413154</v>
      </c>
      <c r="B357" s="12" t="s">
        <v>424</v>
      </c>
      <c r="C357" s="12" t="str">
        <f aca="false">TRIM(SUBSTITUTE($B357,CHAR(160)," "))</f>
        <v>305GA מדרס אורטופ.מתכוון37-38</v>
      </c>
    </row>
    <row r="358" customFormat="false" ht="15" hidden="false" customHeight="true" outlineLevel="0" collapsed="false">
      <c r="A358" s="12" t="n">
        <v>4413155</v>
      </c>
      <c r="B358" s="12" t="s">
        <v>425</v>
      </c>
      <c r="C358" s="12" t="str">
        <f aca="false">TRIM(SUBSTITUTE($B358,CHAR(160)," "))</f>
        <v>305GA מדרס אורטופ.מתכוון39-40</v>
      </c>
    </row>
    <row r="359" customFormat="false" ht="15" hidden="false" customHeight="true" outlineLevel="0" collapsed="false">
      <c r="A359" s="12" t="n">
        <v>4413156</v>
      </c>
      <c r="B359" s="12" t="s">
        <v>426</v>
      </c>
      <c r="C359" s="12" t="str">
        <f aca="false">TRIM(SUBSTITUTE($B359,CHAR(160)," "))</f>
        <v>305GA מדרס אורטופ.מתכוון41-42</v>
      </c>
    </row>
    <row r="360" customFormat="false" ht="15" hidden="false" customHeight="true" outlineLevel="0" collapsed="false">
      <c r="A360" s="12" t="n">
        <v>4413157</v>
      </c>
      <c r="B360" s="12" t="s">
        <v>427</v>
      </c>
      <c r="C360" s="12" t="str">
        <f aca="false">TRIM(SUBSTITUTE($B360,CHAR(160)," "))</f>
        <v>305GA מדרס אורטופ.מתכוון43-44</v>
      </c>
    </row>
    <row r="361" customFormat="false" ht="15" hidden="false" customHeight="true" outlineLevel="0" collapsed="false">
      <c r="A361" s="12" t="n">
        <v>4413158</v>
      </c>
      <c r="B361" s="12" t="s">
        <v>428</v>
      </c>
      <c r="C361" s="12" t="str">
        <f aca="false">TRIM(SUBSTITUTE($B361,CHAR(160)," "))</f>
        <v>305GA מדרס אורטופ.מתכוון45-46</v>
      </c>
    </row>
    <row r="362" customFormat="false" ht="15" hidden="false" customHeight="true" outlineLevel="0" collapsed="false">
      <c r="A362" s="12" t="n">
        <v>4413285</v>
      </c>
      <c r="B362" s="12" t="s">
        <v>429</v>
      </c>
      <c r="C362" s="12" t="str">
        <f aca="false">TRIM(SUBSTITUTE($B362,CHAR(160)," "))</f>
        <v>305GA מדרס מתכוונן47-48</v>
      </c>
    </row>
    <row r="363" customFormat="false" ht="15" hidden="false" customHeight="true" outlineLevel="0" collapsed="false">
      <c r="A363" s="12" t="n">
        <v>4413482</v>
      </c>
      <c r="B363" s="12" t="s">
        <v>430</v>
      </c>
      <c r="C363" s="12" t="str">
        <f aca="false">TRIM(SUBSTITUTE($B363,CHAR(160)," "))</f>
        <v>310Lמדרס 3/4לכאבי דורבן וספורט</v>
      </c>
    </row>
    <row r="364" customFormat="false" ht="15" hidden="false" customHeight="true" outlineLevel="0" collapsed="false">
      <c r="A364" s="12" t="n">
        <v>4413483</v>
      </c>
      <c r="B364" s="12" t="s">
        <v>431</v>
      </c>
      <c r="C364" s="12" t="str">
        <f aca="false">TRIM(SUBSTITUTE($B364,CHAR(160)," "))</f>
        <v>310Mמדרס 3/4לכאבי דורבן וספורט</v>
      </c>
    </row>
    <row r="365" customFormat="false" ht="15" hidden="false" customHeight="true" outlineLevel="0" collapsed="false">
      <c r="A365" s="12" t="n">
        <v>4413484</v>
      </c>
      <c r="B365" s="12" t="s">
        <v>432</v>
      </c>
      <c r="C365" s="12" t="str">
        <f aca="false">TRIM(SUBSTITUTE($B365,CHAR(160)," "))</f>
        <v>310Sמדרס 3/4לכאבי דורבן וספורט</v>
      </c>
    </row>
    <row r="366" customFormat="false" ht="15" hidden="false" customHeight="true" outlineLevel="0" collapsed="false">
      <c r="A366" s="12" t="n">
        <v>4413523</v>
      </c>
      <c r="B366" s="12" t="s">
        <v>433</v>
      </c>
      <c r="C366" s="12" t="str">
        <f aca="false">TRIM(SUBSTITUTE($B366,CHAR(160)," "))</f>
        <v>35-38 מדרסי אפיק ג'ל נוחות</v>
      </c>
    </row>
    <row r="367" customFormat="false" ht="15" hidden="false" customHeight="true" outlineLevel="0" collapsed="false">
      <c r="A367" s="12" t="n">
        <v>4413527</v>
      </c>
      <c r="B367" s="12" t="s">
        <v>434</v>
      </c>
      <c r="C367" s="12" t="str">
        <f aca="false">TRIM(SUBSTITUTE($B367,CHAR(160)," "))</f>
        <v>35-38 מדרסי אפיק ג'ל עבודה</v>
      </c>
    </row>
    <row r="368" customFormat="false" ht="15" hidden="false" customHeight="true" outlineLevel="0" collapsed="false">
      <c r="A368" s="12" t="n">
        <v>4413524</v>
      </c>
      <c r="B368" s="12" t="s">
        <v>435</v>
      </c>
      <c r="C368" s="12" t="str">
        <f aca="false">TRIM(SUBSTITUTE($B368,CHAR(160)," "))</f>
        <v>39-42 מדרסי אפיק ג'ל נוחות</v>
      </c>
    </row>
    <row r="369" customFormat="false" ht="15" hidden="false" customHeight="true" outlineLevel="0" collapsed="false">
      <c r="A369" s="12" t="n">
        <v>4413528</v>
      </c>
      <c r="B369" s="12" t="s">
        <v>436</v>
      </c>
      <c r="C369" s="12" t="str">
        <f aca="false">TRIM(SUBSTITUTE($B369,CHAR(160)," "))</f>
        <v>39-42 מדרסי אפיק ג'ל עבודה</v>
      </c>
    </row>
    <row r="370" customFormat="false" ht="15" hidden="false" customHeight="true" outlineLevel="0" collapsed="false">
      <c r="A370" s="12" t="n">
        <v>4413525</v>
      </c>
      <c r="B370" s="12" t="s">
        <v>437</v>
      </c>
      <c r="C370" s="12" t="str">
        <f aca="false">TRIM(SUBSTITUTE($B370,CHAR(160)," "))</f>
        <v>43-47 מדרסי אפיק ג'ל נוחות</v>
      </c>
    </row>
    <row r="371" customFormat="false" ht="15" hidden="false" customHeight="true" outlineLevel="0" collapsed="false">
      <c r="A371" s="12" t="n">
        <v>4413529</v>
      </c>
      <c r="B371" s="12" t="s">
        <v>438</v>
      </c>
      <c r="C371" s="12" t="str">
        <f aca="false">TRIM(SUBSTITUTE($B371,CHAR(160)," "))</f>
        <v>43-47 מדרסי אפיק ג'ל עבודה</v>
      </c>
    </row>
    <row r="372" customFormat="false" ht="15" hidden="false" customHeight="true" outlineLevel="0" collapsed="false">
      <c r="A372" s="12" t="n">
        <v>4413450</v>
      </c>
      <c r="B372" s="12" t="s">
        <v>439</v>
      </c>
      <c r="C372" s="12" t="str">
        <f aca="false">TRIM(SUBSTITUTE($B372,CHAR(160)," "))</f>
        <v>LF378 M מדרס ג'ל לנעלי עקב</v>
      </c>
    </row>
    <row r="373" customFormat="false" ht="15" hidden="false" customHeight="true" outlineLevel="0" collapsed="false">
      <c r="A373" s="12" t="n">
        <v>4413449</v>
      </c>
      <c r="B373" s="12" t="s">
        <v>440</v>
      </c>
      <c r="C373" s="12" t="str">
        <f aca="false">TRIM(SUBSTITUTE($B373,CHAR(160)," "))</f>
        <v>LF378 S מדרס ג'ל לנעלי עקב</v>
      </c>
    </row>
    <row r="374" customFormat="false" ht="15" hidden="false" customHeight="true" outlineLevel="0" collapsed="false">
      <c r="A374" s="12" t="n">
        <v>4413520</v>
      </c>
      <c r="B374" s="12" t="s">
        <v>441</v>
      </c>
      <c r="C374" s="12" t="str">
        <f aca="false">TRIM(SUBSTITUTE($B374,CHAR(160)," "))</f>
        <v>מדרסי אפיק ג'ל מולט.ספורט35-38</v>
      </c>
    </row>
    <row r="375" customFormat="false" ht="15" hidden="false" customHeight="true" outlineLevel="0" collapsed="false">
      <c r="A375" s="12" t="n">
        <v>4413522</v>
      </c>
      <c r="B375" s="12" t="s">
        <v>442</v>
      </c>
      <c r="C375" s="12" t="str">
        <f aca="false">TRIM(SUBSTITUTE($B375,CHAR(160)," "))</f>
        <v>מדרסי אפיק ג'ל מולט.ספורט43-47</v>
      </c>
    </row>
    <row r="376" customFormat="false" ht="15" hidden="false" customHeight="true" outlineLevel="0" collapsed="false">
      <c r="A376" s="12" t="n">
        <v>4413521</v>
      </c>
      <c r="B376" s="12" t="s">
        <v>443</v>
      </c>
      <c r="C376" s="12" t="str">
        <f aca="false">TRIM(SUBSTITUTE($B376,CHAR(160)," "))</f>
        <v>מדרסי אפיק ג'ל מולטי ספור39-42</v>
      </c>
    </row>
    <row r="377" customFormat="false" ht="15" hidden="false" customHeight="true" outlineLevel="0" collapsed="false">
      <c r="A377" s="12" t="n">
        <v>4413117</v>
      </c>
      <c r="B377" s="12" t="s">
        <v>444</v>
      </c>
      <c r="C377" s="12" t="str">
        <f aca="false">TRIM(SUBSTITUTE($B377,CHAR(160)," "))</f>
        <v>50 L מתלה אשכים לאחר ניתוח</v>
      </c>
    </row>
    <row r="378" customFormat="false" ht="15" hidden="false" customHeight="true" outlineLevel="0" collapsed="false">
      <c r="A378" s="12" t="n">
        <v>4413118</v>
      </c>
      <c r="B378" s="12" t="s">
        <v>445</v>
      </c>
      <c r="C378" s="12" t="str">
        <f aca="false">TRIM(SUBSTITUTE($B378,CHAR(160)," "))</f>
        <v>50 M מתלה אשכים לאחר ניתוח</v>
      </c>
    </row>
    <row r="379" customFormat="false" ht="15" hidden="false" customHeight="true" outlineLevel="0" collapsed="false">
      <c r="A379" s="12" t="n">
        <v>4413116</v>
      </c>
      <c r="B379" s="12" t="s">
        <v>446</v>
      </c>
      <c r="C379" s="12" t="str">
        <f aca="false">TRIM(SUBSTITUTE($B379,CHAR(160)," "))</f>
        <v>50 S מתלה אשכים לאחר ניתוח</v>
      </c>
    </row>
    <row r="380" customFormat="false" ht="15" hidden="false" customHeight="true" outlineLevel="0" collapsed="false">
      <c r="A380" s="12" t="n">
        <v>4413119</v>
      </c>
      <c r="B380" s="12" t="s">
        <v>447</v>
      </c>
      <c r="C380" s="12" t="str">
        <f aca="false">TRIM(SUBSTITUTE($B380,CHAR(160)," "))</f>
        <v>50 XL מתלה אשכים לאחר ניתוח</v>
      </c>
    </row>
    <row r="381" customFormat="false" ht="15" hidden="false" customHeight="true" outlineLevel="0" collapsed="false">
      <c r="A381" s="12" t="n">
        <v>4413120</v>
      </c>
      <c r="B381" s="12" t="s">
        <v>448</v>
      </c>
      <c r="C381" s="12" t="str">
        <f aca="false">TRIM(SUBSTITUTE($B381,CHAR(160)," "))</f>
        <v>50 XXL מתלה אשכים לאחר ניתוח</v>
      </c>
    </row>
    <row r="382" customFormat="false" ht="15" hidden="false" customHeight="true" outlineLevel="0" collapsed="false">
      <c r="A382" s="12" t="n">
        <v>4413122</v>
      </c>
      <c r="B382" s="12" t="s">
        <v>449</v>
      </c>
      <c r="C382" s="12" t="str">
        <f aca="false">TRIM(SUBSTITUTE($B382,CHAR(160)," "))</f>
        <v>55 L מתלה אשכים לספורטאים</v>
      </c>
    </row>
    <row r="383" customFormat="false" ht="15" hidden="false" customHeight="true" outlineLevel="0" collapsed="false">
      <c r="A383" s="12" t="n">
        <v>4413123</v>
      </c>
      <c r="B383" s="12" t="s">
        <v>450</v>
      </c>
      <c r="C383" s="12" t="str">
        <f aca="false">TRIM(SUBSTITUTE($B383,CHAR(160)," "))</f>
        <v>55 M מתלה אשכים לספורטאים</v>
      </c>
    </row>
    <row r="384" customFormat="false" ht="15" hidden="false" customHeight="true" outlineLevel="0" collapsed="false">
      <c r="A384" s="12" t="n">
        <v>4413121</v>
      </c>
      <c r="B384" s="12" t="s">
        <v>451</v>
      </c>
      <c r="C384" s="12" t="str">
        <f aca="false">TRIM(SUBSTITUTE($B384,CHAR(160)," "))</f>
        <v>55 S מתלה אשכים לספורטאים</v>
      </c>
    </row>
    <row r="385" customFormat="false" ht="15" hidden="false" customHeight="true" outlineLevel="0" collapsed="false">
      <c r="A385" s="12" t="n">
        <v>4413124</v>
      </c>
      <c r="B385" s="12" t="s">
        <v>452</v>
      </c>
      <c r="C385" s="12" t="str">
        <f aca="false">TRIM(SUBSTITUTE($B385,CHAR(160)," "))</f>
        <v>55 XL מתלה אשכים לספורטאים</v>
      </c>
    </row>
    <row r="386" customFormat="false" ht="15" hidden="false" customHeight="true" outlineLevel="0" collapsed="false">
      <c r="A386" s="12" t="n">
        <v>4413125</v>
      </c>
      <c r="B386" s="12" t="s">
        <v>453</v>
      </c>
      <c r="C386" s="12" t="str">
        <f aca="false">TRIM(SUBSTITUTE($B386,CHAR(160)," "))</f>
        <v>55 XXL מתלה אשכים לספורטאים</v>
      </c>
    </row>
    <row r="387" customFormat="false" ht="15" hidden="false" customHeight="true" outlineLevel="0" collapsed="false">
      <c r="A387" s="12" t="n">
        <v>4408071</v>
      </c>
      <c r="B387" s="12" t="s">
        <v>454</v>
      </c>
      <c r="C387" s="12" t="str">
        <f aca="false">TRIM(SUBSTITUTE($B387,CHAR(160)," "))</f>
        <v>59D L חגורת שבר דו צדדי</v>
      </c>
    </row>
    <row r="388" customFormat="false" ht="15" hidden="false" customHeight="true" outlineLevel="0" collapsed="false">
      <c r="A388" s="12" t="n">
        <v>4408072</v>
      </c>
      <c r="B388" s="12" t="s">
        <v>455</v>
      </c>
      <c r="C388" s="12" t="str">
        <f aca="false">TRIM(SUBSTITUTE($B388,CHAR(160)," "))</f>
        <v>59D M חגורת שבר דו צדדי</v>
      </c>
    </row>
    <row r="389" customFormat="false" ht="15" hidden="false" customHeight="true" outlineLevel="0" collapsed="false">
      <c r="A389" s="12" t="n">
        <v>4408070</v>
      </c>
      <c r="B389" s="12" t="s">
        <v>456</v>
      </c>
      <c r="C389" s="12" t="str">
        <f aca="false">TRIM(SUBSTITUTE($B389,CHAR(160)," "))</f>
        <v>59D S חגורת שבר דו צדדי</v>
      </c>
    </row>
    <row r="390" customFormat="false" ht="15" hidden="false" customHeight="true" outlineLevel="0" collapsed="false">
      <c r="A390" s="12" t="n">
        <v>4408073</v>
      </c>
      <c r="B390" s="12" t="s">
        <v>457</v>
      </c>
      <c r="C390" s="12" t="str">
        <f aca="false">TRIM(SUBSTITUTE($B390,CHAR(160)," "))</f>
        <v>59D XL חגורת שבר דו צדדי</v>
      </c>
    </row>
    <row r="391" customFormat="false" ht="15" hidden="false" customHeight="true" outlineLevel="0" collapsed="false">
      <c r="A391" s="12" t="n">
        <v>4408074</v>
      </c>
      <c r="B391" s="12" t="s">
        <v>458</v>
      </c>
      <c r="C391" s="12" t="str">
        <f aca="false">TRIM(SUBSTITUTE($B391,CHAR(160)," "))</f>
        <v>59D XXLחגורת שבר דו צדדי</v>
      </c>
    </row>
    <row r="392" customFormat="false" ht="15" hidden="false" customHeight="true" outlineLevel="0" collapsed="false">
      <c r="A392" s="12" t="n">
        <v>4408076</v>
      </c>
      <c r="B392" s="12" t="s">
        <v>459</v>
      </c>
      <c r="C392" s="12" t="str">
        <f aca="false">TRIM(SUBSTITUTE($B392,CHAR(160)," "))</f>
        <v>59L L חגורת שבר לצד שמאל</v>
      </c>
    </row>
    <row r="393" customFormat="false" ht="15" hidden="false" customHeight="true" outlineLevel="0" collapsed="false">
      <c r="A393" s="12" t="n">
        <v>4408077</v>
      </c>
      <c r="B393" s="12" t="s">
        <v>460</v>
      </c>
      <c r="C393" s="12" t="str">
        <f aca="false">TRIM(SUBSTITUTE($B393,CHAR(160)," "))</f>
        <v>59L M חגורת שבר לצד שמאל</v>
      </c>
    </row>
    <row r="394" customFormat="false" ht="15" hidden="false" customHeight="true" outlineLevel="0" collapsed="false">
      <c r="A394" s="12" t="n">
        <v>4408075</v>
      </c>
      <c r="B394" s="12" t="s">
        <v>461</v>
      </c>
      <c r="C394" s="12" t="str">
        <f aca="false">TRIM(SUBSTITUTE($B394,CHAR(160)," "))</f>
        <v>59L S חגורת שבר לצד שמאל</v>
      </c>
    </row>
    <row r="395" customFormat="false" ht="15" hidden="false" customHeight="true" outlineLevel="0" collapsed="false">
      <c r="A395" s="12" t="n">
        <v>4408078</v>
      </c>
      <c r="B395" s="12" t="s">
        <v>462</v>
      </c>
      <c r="C395" s="12" t="str">
        <f aca="false">TRIM(SUBSTITUTE($B395,CHAR(160)," "))</f>
        <v>59L XLחגורת שבר לצד שמאל</v>
      </c>
    </row>
    <row r="396" customFormat="false" ht="15" hidden="false" customHeight="true" outlineLevel="0" collapsed="false">
      <c r="A396" s="12" t="n">
        <v>4408080</v>
      </c>
      <c r="B396" s="12" t="s">
        <v>463</v>
      </c>
      <c r="C396" s="12" t="str">
        <f aca="false">TRIM(SUBSTITUTE($B396,CHAR(160)," "))</f>
        <v>59R L חגורת שבר לצד ימין</v>
      </c>
    </row>
    <row r="397" customFormat="false" ht="15" hidden="false" customHeight="true" outlineLevel="0" collapsed="false">
      <c r="A397" s="12" t="n">
        <v>4408081</v>
      </c>
      <c r="B397" s="12" t="s">
        <v>464</v>
      </c>
      <c r="C397" s="12" t="str">
        <f aca="false">TRIM(SUBSTITUTE($B397,CHAR(160)," "))</f>
        <v>59R M חגורת שבר לצד ימין</v>
      </c>
    </row>
    <row r="398" customFormat="false" ht="15" hidden="false" customHeight="true" outlineLevel="0" collapsed="false">
      <c r="A398" s="12" t="n">
        <v>4408079</v>
      </c>
      <c r="B398" s="12" t="s">
        <v>465</v>
      </c>
      <c r="C398" s="12" t="str">
        <f aca="false">TRIM(SUBSTITUTE($B398,CHAR(160)," "))</f>
        <v>59R S חגורת שבר לצד ימין</v>
      </c>
    </row>
    <row r="399" customFormat="false" ht="15" hidden="false" customHeight="true" outlineLevel="0" collapsed="false">
      <c r="A399" s="12" t="n">
        <v>4408082</v>
      </c>
      <c r="B399" s="12" t="s">
        <v>466</v>
      </c>
      <c r="C399" s="12" t="str">
        <f aca="false">TRIM(SUBSTITUTE($B399,CHAR(160)," "))</f>
        <v>59R XL חגורת שבר לצד ימין</v>
      </c>
    </row>
    <row r="400" customFormat="false" ht="15" hidden="false" customHeight="true" outlineLevel="0" collapsed="false">
      <c r="A400" s="12" t="n">
        <v>4413466</v>
      </c>
      <c r="B400" s="12" t="s">
        <v>467</v>
      </c>
      <c r="C400" s="12" t="str">
        <f aca="false">TRIM(SUBSTITUTE($B400,CHAR(160)," "))</f>
        <v>604L מסכה ארקי</v>
      </c>
    </row>
    <row r="401" customFormat="false" ht="15" hidden="false" customHeight="true" outlineLevel="0" collapsed="false">
      <c r="A401" s="12" t="n">
        <v>4413467</v>
      </c>
      <c r="B401" s="12" t="s">
        <v>468</v>
      </c>
      <c r="C401" s="12" t="str">
        <f aca="false">TRIM(SUBSTITUTE($B401,CHAR(160)," "))</f>
        <v>604XL מסכה ארקי</v>
      </c>
    </row>
    <row r="402" customFormat="false" ht="15" hidden="false" customHeight="true" outlineLevel="0" collapsed="false">
      <c r="A402" s="12" t="n">
        <v>4413464</v>
      </c>
      <c r="B402" s="12" t="s">
        <v>469</v>
      </c>
      <c r="C402" s="12" t="str">
        <f aca="false">TRIM(SUBSTITUTE($B402,CHAR(160)," "))</f>
        <v>605XL מסכה אלה</v>
      </c>
    </row>
    <row r="403" customFormat="false" ht="15" hidden="false" customHeight="true" outlineLevel="0" collapsed="false">
      <c r="A403" s="12" t="n">
        <v>4413473</v>
      </c>
      <c r="B403" s="12" t="s">
        <v>470</v>
      </c>
      <c r="C403" s="12" t="str">
        <f aca="false">TRIM(SUBSTITUTE($B403,CHAR(160)," "))</f>
        <v>655L ""מסכה ""גדי</v>
      </c>
    </row>
    <row r="404" customFormat="false" ht="15" hidden="false" customHeight="true" outlineLevel="0" collapsed="false">
      <c r="A404" s="12" t="n">
        <v>4408088</v>
      </c>
      <c r="B404" s="12" t="s">
        <v>471</v>
      </c>
      <c r="C404" s="12" t="str">
        <f aca="false">TRIM(SUBSTITUTE($B404,CHAR(160)," "))</f>
        <v>91 חבק ""טניס אלבו רצועה</v>
      </c>
    </row>
    <row r="405" customFormat="false" ht="15" hidden="false" customHeight="true" outlineLevel="0" collapsed="false">
      <c r="A405" s="12" t="n">
        <v>4408083</v>
      </c>
      <c r="B405" s="12" t="s">
        <v>472</v>
      </c>
      <c r="C405" s="12" t="str">
        <f aca="false">TRIM(SUBSTITUTE($B405,CHAR(160)," "))</f>
        <v>911 חבק לטניס אלבו</v>
      </c>
    </row>
    <row r="406" customFormat="false" ht="15" hidden="false" customHeight="true" outlineLevel="0" collapsed="false">
      <c r="A406" s="12" t="n">
        <v>4408266</v>
      </c>
      <c r="B406" s="12" t="s">
        <v>473</v>
      </c>
      <c r="C406" s="12" t="str">
        <f aca="false">TRIM(SUBSTITUTE($B406,CHAR(160)," "))</f>
        <v>91B חבק טניס אלבו</v>
      </c>
    </row>
    <row r="407" customFormat="false" ht="15" hidden="false" customHeight="true" outlineLevel="0" collapsed="false">
      <c r="A407" s="12" t="n">
        <v>4408084</v>
      </c>
      <c r="B407" s="12" t="s">
        <v>474</v>
      </c>
      <c r="C407" s="12" t="str">
        <f aca="false">TRIM(SUBSTITUTE($B407,CHAR(160)," "))</f>
        <v>922L.חבק יד לטניס כרית סיליק</v>
      </c>
    </row>
    <row r="408" customFormat="false" ht="15" hidden="false" customHeight="true" outlineLevel="0" collapsed="false">
      <c r="A408" s="12" t="n">
        <v>4408085</v>
      </c>
      <c r="B408" s="12" t="s">
        <v>475</v>
      </c>
      <c r="C408" s="12" t="str">
        <f aca="false">TRIM(SUBSTITUTE($B408,CHAR(160)," "))</f>
        <v>922M.מחבק יד לטניס כרית סילי</v>
      </c>
    </row>
    <row r="409" customFormat="false" ht="15" hidden="false" customHeight="true" outlineLevel="0" collapsed="false">
      <c r="A409" s="12" t="n">
        <v>4408086</v>
      </c>
      <c r="B409" s="12" t="s">
        <v>476</v>
      </c>
      <c r="C409" s="12" t="str">
        <f aca="false">TRIM(SUBSTITUTE($B409,CHAR(160)," "))</f>
        <v>922S.חבק יד לטניס כרית סיליק</v>
      </c>
    </row>
    <row r="410" customFormat="false" ht="15" hidden="false" customHeight="true" outlineLevel="0" collapsed="false">
      <c r="A410" s="12" t="n">
        <v>4408087</v>
      </c>
      <c r="B410" s="12" t="s">
        <v>477</v>
      </c>
      <c r="C410" s="12" t="str">
        <f aca="false">TRIM(SUBSTITUTE($B410,CHAR(160)," "))</f>
        <v>922XLחבק יד לטניס כרית סיליק</v>
      </c>
    </row>
    <row r="411" customFormat="false" ht="15" hidden="false" customHeight="true" outlineLevel="0" collapsed="false">
      <c r="A411" s="12" t="n">
        <v>4413339</v>
      </c>
      <c r="B411" s="12" t="s">
        <v>478</v>
      </c>
      <c r="C411" s="12" t="str">
        <f aca="false">TRIM(SUBSTITUTE($B411,CHAR(160)," "))</f>
        <v>922XXLמגן מרפק+כרית סילקון</v>
      </c>
    </row>
    <row r="412" customFormat="false" ht="15" hidden="false" customHeight="true" outlineLevel="0" collapsed="false">
      <c r="A412" s="12" t="n">
        <v>4413139</v>
      </c>
      <c r="B412" s="12" t="s">
        <v>479</v>
      </c>
      <c r="C412" s="12" t="str">
        <f aca="false">TRIM(SUBSTITUTE($B412,CHAR(160)," "))</f>
        <v>95 L מגן מרפק רגיל לבן</v>
      </c>
    </row>
    <row r="413" customFormat="false" ht="15" hidden="false" customHeight="true" outlineLevel="0" collapsed="false">
      <c r="A413" s="12" t="n">
        <v>4413140</v>
      </c>
      <c r="B413" s="12" t="s">
        <v>480</v>
      </c>
      <c r="C413" s="12" t="str">
        <f aca="false">TRIM(SUBSTITUTE($B413,CHAR(160)," "))</f>
        <v>95 M מגן מרפק רגיל לבן</v>
      </c>
    </row>
    <row r="414" customFormat="false" ht="15" hidden="false" customHeight="true" outlineLevel="0" collapsed="false">
      <c r="A414" s="12" t="n">
        <v>4413141</v>
      </c>
      <c r="B414" s="12" t="s">
        <v>481</v>
      </c>
      <c r="C414" s="12" t="str">
        <f aca="false">TRIM(SUBSTITUTE($B414,CHAR(160)," "))</f>
        <v>95 S מגן מרפק רגיל לבן</v>
      </c>
    </row>
    <row r="415" customFormat="false" ht="15" hidden="false" customHeight="true" outlineLevel="0" collapsed="false">
      <c r="A415" s="12" t="n">
        <v>4413142</v>
      </c>
      <c r="B415" s="12" t="s">
        <v>482</v>
      </c>
      <c r="C415" s="12" t="str">
        <f aca="false">TRIM(SUBSTITUTE($B415,CHAR(160)," "))</f>
        <v>95 XL מגן מרפק רגיל לבן</v>
      </c>
    </row>
    <row r="416" customFormat="false" ht="15" hidden="false" customHeight="true" outlineLevel="0" collapsed="false">
      <c r="A416" s="12" t="n">
        <v>4413143</v>
      </c>
      <c r="B416" s="12" t="s">
        <v>483</v>
      </c>
      <c r="C416" s="12" t="str">
        <f aca="false">TRIM(SUBSTITUTE($B416,CHAR(160)," "))</f>
        <v>95 XS מגן מרפק רגיל לבן</v>
      </c>
    </row>
    <row r="417" customFormat="false" ht="15" hidden="false" customHeight="true" outlineLevel="0" collapsed="false">
      <c r="A417" s="12" t="n">
        <v>4413144</v>
      </c>
      <c r="B417" s="12" t="s">
        <v>484</v>
      </c>
      <c r="C417" s="12" t="str">
        <f aca="false">TRIM(SUBSTITUTE($B417,CHAR(160)," "))</f>
        <v>95 XXL מגן מרפק רגיל לבן</v>
      </c>
    </row>
    <row r="418" customFormat="false" ht="15" hidden="false" customHeight="true" outlineLevel="0" collapsed="false">
      <c r="A418" s="12" t="n">
        <v>4413146</v>
      </c>
      <c r="B418" s="12" t="s">
        <v>485</v>
      </c>
      <c r="C418" s="12" t="str">
        <f aca="false">TRIM(SUBSTITUTE($B418,CHAR(160)," "))</f>
        <v>95+ L מגן מרפק+רצועה לטניס</v>
      </c>
    </row>
    <row r="419" customFormat="false" ht="15" hidden="false" customHeight="true" outlineLevel="0" collapsed="false">
      <c r="A419" s="12" t="n">
        <v>4413147</v>
      </c>
      <c r="B419" s="12" t="s">
        <v>486</v>
      </c>
      <c r="C419" s="12" t="str">
        <f aca="false">TRIM(SUBSTITUTE($B419,CHAR(160)," "))</f>
        <v>95+ M מגן מרפק+רצועה לטניס</v>
      </c>
    </row>
    <row r="420" customFormat="false" ht="15" hidden="false" customHeight="true" outlineLevel="0" collapsed="false">
      <c r="A420" s="12" t="n">
        <v>4413148</v>
      </c>
      <c r="B420" s="12" t="s">
        <v>487</v>
      </c>
      <c r="C420" s="12" t="str">
        <f aca="false">TRIM(SUBSTITUTE($B420,CHAR(160)," "))</f>
        <v>95+ XL מגן מרפק+רצועה לטניס</v>
      </c>
    </row>
    <row r="421" customFormat="false" ht="15" hidden="false" customHeight="true" outlineLevel="0" collapsed="false">
      <c r="A421" s="12" t="n">
        <v>4413500</v>
      </c>
      <c r="B421" s="12" t="s">
        <v>488</v>
      </c>
      <c r="C421" s="12" t="str">
        <f aca="false">TRIM(SUBSTITUTE($B421,CHAR(160)," "))</f>
        <v>95B L מגן מרפק שחור</v>
      </c>
    </row>
    <row r="422" customFormat="false" ht="15" hidden="false" customHeight="true" outlineLevel="0" collapsed="false">
      <c r="A422" s="12" t="n">
        <v>4413501</v>
      </c>
      <c r="B422" s="12" t="s">
        <v>489</v>
      </c>
      <c r="C422" s="12" t="str">
        <f aca="false">TRIM(SUBSTITUTE($B422,CHAR(160)," "))</f>
        <v>95B M מגן מרפק שחור</v>
      </c>
    </row>
    <row r="423" customFormat="false" ht="15" hidden="false" customHeight="true" outlineLevel="0" collapsed="false">
      <c r="A423" s="12" t="n">
        <v>4413502</v>
      </c>
      <c r="B423" s="12" t="s">
        <v>490</v>
      </c>
      <c r="C423" s="12" t="str">
        <f aca="false">TRIM(SUBSTITUTE($B423,CHAR(160)," "))</f>
        <v>95B S מגן מרפק שחור</v>
      </c>
    </row>
    <row r="424" customFormat="false" ht="15" hidden="false" customHeight="true" outlineLevel="0" collapsed="false">
      <c r="A424" s="12" t="n">
        <v>4413503</v>
      </c>
      <c r="B424" s="12" t="s">
        <v>491</v>
      </c>
      <c r="C424" s="12" t="str">
        <f aca="false">TRIM(SUBSTITUTE($B424,CHAR(160)," "))</f>
        <v>95B XL מגן מרפק שחור</v>
      </c>
    </row>
    <row r="425" customFormat="false" ht="15" hidden="false" customHeight="true" outlineLevel="0" collapsed="false">
      <c r="A425" s="12" t="n">
        <v>4413504</v>
      </c>
      <c r="B425" s="12" t="s">
        <v>492</v>
      </c>
      <c r="C425" s="12" t="str">
        <f aca="false">TRIM(SUBSTITUTE($B425,CHAR(160)," "))</f>
        <v>95B XXLמגן מרפק שחור</v>
      </c>
    </row>
    <row r="426" customFormat="false" ht="15" hidden="false" customHeight="true" outlineLevel="0" collapsed="false">
      <c r="A426" s="12" t="n">
        <v>4413365</v>
      </c>
      <c r="B426" s="12" t="s">
        <v>493</v>
      </c>
      <c r="C426" s="12" t="str">
        <f aca="false">TRIM(SUBSTITUTE($B426,CHAR(160)," "))</f>
        <v>95C L 'מגן מרפק בז</v>
      </c>
    </row>
    <row r="427" customFormat="false" ht="15" hidden="false" customHeight="true" outlineLevel="0" collapsed="false">
      <c r="A427" s="12" t="n">
        <v>4413364</v>
      </c>
      <c r="B427" s="12" t="s">
        <v>494</v>
      </c>
      <c r="C427" s="12" t="str">
        <f aca="false">TRIM(SUBSTITUTE($B427,CHAR(160)," "))</f>
        <v>95C M 'מגן מרפק בז</v>
      </c>
    </row>
    <row r="428" customFormat="false" ht="15" hidden="false" customHeight="true" outlineLevel="0" collapsed="false">
      <c r="A428" s="12" t="n">
        <v>4413366</v>
      </c>
      <c r="B428" s="12" t="s">
        <v>495</v>
      </c>
      <c r="C428" s="12" t="str">
        <f aca="false">TRIM(SUBSTITUTE($B428,CHAR(160)," "))</f>
        <v>95C S 'מגן מרפק בז</v>
      </c>
    </row>
    <row r="429" customFormat="false" ht="15" hidden="false" customHeight="true" outlineLevel="0" collapsed="false">
      <c r="A429" s="12" t="n">
        <v>4413367</v>
      </c>
      <c r="B429" s="12" t="s">
        <v>496</v>
      </c>
      <c r="C429" s="12" t="str">
        <f aca="false">TRIM(SUBSTITUTE($B429,CHAR(160)," "))</f>
        <v>95C XL'מגן מרפק בז</v>
      </c>
    </row>
    <row r="430" customFormat="false" ht="15" hidden="false" customHeight="true" outlineLevel="0" collapsed="false">
      <c r="A430" s="12" t="n">
        <v>4413368</v>
      </c>
      <c r="B430" s="12" t="s">
        <v>497</v>
      </c>
      <c r="C430" s="12" t="str">
        <f aca="false">TRIM(SUBSTITUTE($B430,CHAR(160)," "))</f>
        <v>95C XS'מגן מרפק בז</v>
      </c>
    </row>
    <row r="431" customFormat="false" ht="15" hidden="false" customHeight="true" outlineLevel="0" collapsed="false">
      <c r="A431" s="12" t="n">
        <v>4413369</v>
      </c>
      <c r="B431" s="12" t="s">
        <v>498</v>
      </c>
      <c r="C431" s="12" t="str">
        <f aca="false">TRIM(SUBSTITUTE($B431,CHAR(160)," "))</f>
        <v>95C XXL'מגן מרפק בז</v>
      </c>
    </row>
    <row r="432" customFormat="false" ht="15" hidden="false" customHeight="true" outlineLevel="0" collapsed="false">
      <c r="A432" s="12" t="n">
        <v>4413363</v>
      </c>
      <c r="B432" s="12" t="s">
        <v>499</v>
      </c>
      <c r="C432" s="12" t="str">
        <f aca="false">TRIM(SUBSTITUTE($B432,CHAR(160)," "))</f>
        <v>95G XXLמגן מרפק אפור</v>
      </c>
    </row>
    <row r="433" customFormat="false" ht="15" hidden="false" customHeight="true" outlineLevel="0" collapsed="false">
      <c r="A433" s="12" t="n">
        <v>4408208</v>
      </c>
      <c r="B433" s="12" t="s">
        <v>500</v>
      </c>
      <c r="C433" s="12" t="str">
        <f aca="false">TRIM(SUBSTITUTE($B433,CHAR(160)," "))</f>
        <v>AC91 חבק טניס</v>
      </c>
    </row>
    <row r="434" customFormat="false" ht="15" hidden="false" customHeight="true" outlineLevel="0" collapsed="false">
      <c r="A434" s="12" t="n">
        <v>4413331</v>
      </c>
      <c r="B434" s="12" t="s">
        <v>501</v>
      </c>
      <c r="C434" s="12" t="str">
        <f aca="false">TRIM(SUBSTITUTE($B434,CHAR(160)," "))</f>
        <v>AC95 מגן מרפק</v>
      </c>
    </row>
    <row r="435" customFormat="false" ht="15" hidden="false" customHeight="true" outlineLevel="0" collapsed="false">
      <c r="A435" s="12" t="n">
        <v>4413405</v>
      </c>
      <c r="B435" s="12" t="s">
        <v>502</v>
      </c>
      <c r="C435" s="12" t="str">
        <f aca="false">TRIM(SUBSTITUTE($B435,CHAR(160)," "))</f>
        <v>SC95 S מגן מרפק</v>
      </c>
    </row>
    <row r="436" customFormat="false" ht="15" hidden="false" customHeight="true" outlineLevel="0" collapsed="false">
      <c r="A436" s="12" t="n">
        <v>4413409</v>
      </c>
      <c r="B436" s="12" t="s">
        <v>503</v>
      </c>
      <c r="C436" s="12" t="str">
        <f aca="false">TRIM(SUBSTITUTE($B436,CHAR(160)," "))</f>
        <v>SC95 XXL מגן מרפק</v>
      </c>
    </row>
    <row r="437" customFormat="false" ht="15" hidden="false" customHeight="true" outlineLevel="0" collapsed="false">
      <c r="A437" s="12" t="n">
        <v>4413531</v>
      </c>
      <c r="B437" s="12" t="s">
        <v>504</v>
      </c>
      <c r="C437" s="12" t="str">
        <f aca="false">TRIM(SUBSTITUTE($B437,CHAR(160)," "))</f>
        <v>ST91 מגן מרפק לטניס</v>
      </c>
    </row>
    <row r="438" customFormat="false" ht="15" hidden="false" customHeight="true" outlineLevel="0" collapsed="false">
      <c r="A438" s="12" t="n">
        <v>4420018</v>
      </c>
      <c r="B438" s="12" t="s">
        <v>505</v>
      </c>
      <c r="C438" s="12" t="str">
        <f aca="false">TRIM(SUBSTITUTE($B438,CHAR(160)," "))</f>
        <v>T90 רצועת טניס אלבו עם פלסטיק</v>
      </c>
    </row>
    <row r="439" customFormat="false" ht="15" hidden="false" customHeight="true" outlineLevel="0" collapsed="false">
      <c r="A439" s="12" t="n">
        <v>4420019</v>
      </c>
      <c r="B439" s="12" t="s">
        <v>506</v>
      </c>
      <c r="C439" s="12" t="str">
        <f aca="false">TRIM(SUBSTITUTE($B439,CHAR(160)," "))</f>
        <v>T91 L-XL רצועת טניס אלבו</v>
      </c>
    </row>
    <row r="440" customFormat="false" ht="15" hidden="false" customHeight="true" outlineLevel="0" collapsed="false">
      <c r="A440" s="12" t="n">
        <v>4420020</v>
      </c>
      <c r="B440" s="12" t="s">
        <v>507</v>
      </c>
      <c r="C440" s="12" t="str">
        <f aca="false">TRIM(SUBSTITUTE($B440,CHAR(160)," "))</f>
        <v>T91 S-M רצועת טניס אלבו</v>
      </c>
    </row>
    <row r="441" customFormat="false" ht="15" hidden="false" customHeight="true" outlineLevel="0" collapsed="false">
      <c r="A441" s="12" t="n">
        <v>4413212</v>
      </c>
      <c r="B441" s="12" t="s">
        <v>508</v>
      </c>
      <c r="C441" s="12" t="str">
        <f aca="false">TRIM(SUBSTITUTE($B441,CHAR(160)," "))</f>
        <v>T95 L מגן מרפק רגיל</v>
      </c>
    </row>
    <row r="442" customFormat="false" ht="15" hidden="false" customHeight="true" outlineLevel="0" collapsed="false">
      <c r="A442" s="12" t="n">
        <v>4413211</v>
      </c>
      <c r="B442" s="12" t="s">
        <v>509</v>
      </c>
      <c r="C442" s="12" t="str">
        <f aca="false">TRIM(SUBSTITUTE($B442,CHAR(160)," "))</f>
        <v>T95 M מגן מרפק רגיל</v>
      </c>
    </row>
    <row r="443" customFormat="false" ht="15" hidden="false" customHeight="true" outlineLevel="0" collapsed="false">
      <c r="A443" s="12" t="n">
        <v>4413210</v>
      </c>
      <c r="B443" s="12" t="s">
        <v>510</v>
      </c>
      <c r="C443" s="12" t="str">
        <f aca="false">TRIM(SUBSTITUTE($B443,CHAR(160)," "))</f>
        <v>T95 S מגן מרפק רגיל</v>
      </c>
    </row>
    <row r="444" customFormat="false" ht="15" hidden="false" customHeight="true" outlineLevel="0" collapsed="false">
      <c r="A444" s="12" t="n">
        <v>4413213</v>
      </c>
      <c r="B444" s="12" t="s">
        <v>511</v>
      </c>
      <c r="C444" s="12" t="str">
        <f aca="false">TRIM(SUBSTITUTE($B444,CHAR(160)," "))</f>
        <v>T95 XLמגן מרפק רגיל</v>
      </c>
    </row>
    <row r="445" customFormat="false" ht="15" hidden="false" customHeight="true" outlineLevel="0" collapsed="false">
      <c r="A445" s="12" t="n">
        <v>4413207</v>
      </c>
      <c r="B445" s="12" t="s">
        <v>512</v>
      </c>
      <c r="C445" s="12" t="str">
        <f aca="false">TRIM(SUBSTITUTE($B445,CHAR(160)," "))</f>
        <v>T95+ L מגן מרפק +רצועה</v>
      </c>
    </row>
    <row r="446" customFormat="false" ht="15" hidden="false" customHeight="true" outlineLevel="0" collapsed="false">
      <c r="A446" s="12" t="n">
        <v>4413208</v>
      </c>
      <c r="B446" s="12" t="s">
        <v>513</v>
      </c>
      <c r="C446" s="12" t="str">
        <f aca="false">TRIM(SUBSTITUTE($B446,CHAR(160)," "))</f>
        <v>T95+ XLמגן מרפק +רצועה</v>
      </c>
    </row>
    <row r="447" customFormat="false" ht="15" hidden="false" customHeight="true" outlineLevel="0" collapsed="false">
      <c r="A447" s="12" t="n">
        <v>4413168</v>
      </c>
      <c r="B447" s="12" t="s">
        <v>514</v>
      </c>
      <c r="C447" s="12" t="str">
        <f aca="false">TRIM(SUBSTITUTE($B447,CHAR(160)," "))</f>
        <v>80 L תתמתלה ליד רצועה</v>
      </c>
    </row>
    <row r="448" customFormat="false" ht="15" hidden="false" customHeight="true" outlineLevel="0" collapsed="false">
      <c r="A448" s="12" t="n">
        <v>4413167</v>
      </c>
      <c r="B448" s="12" t="s">
        <v>515</v>
      </c>
      <c r="C448" s="12" t="str">
        <f aca="false">TRIM(SUBSTITUTE($B448,CHAR(160)," "))</f>
        <v>80 M תתמתלה ליד רצועה</v>
      </c>
    </row>
    <row r="449" customFormat="false" ht="15" hidden="false" customHeight="true" outlineLevel="0" collapsed="false">
      <c r="A449" s="12" t="n">
        <v>4413166</v>
      </c>
      <c r="B449" s="12" t="s">
        <v>516</v>
      </c>
      <c r="C449" s="12" t="str">
        <f aca="false">TRIM(SUBSTITUTE($B449,CHAR(160)," "))</f>
        <v>80 S תתמתלה ליד רצועה</v>
      </c>
    </row>
    <row r="450" customFormat="false" ht="15" hidden="false" customHeight="true" outlineLevel="0" collapsed="false">
      <c r="A450" s="12" t="n">
        <v>4413163</v>
      </c>
      <c r="B450" s="12" t="s">
        <v>517</v>
      </c>
      <c r="C450" s="12" t="str">
        <f aca="false">TRIM(SUBSTITUTE($B450,CHAR(160)," "))</f>
        <v>80 XL תתמתלה ליד</v>
      </c>
    </row>
    <row r="451" customFormat="false" ht="15" hidden="false" customHeight="true" outlineLevel="0" collapsed="false">
      <c r="A451" s="12" t="n">
        <v>4413308</v>
      </c>
      <c r="B451" s="12" t="s">
        <v>518</v>
      </c>
      <c r="C451" s="12" t="str">
        <f aca="false">TRIM(SUBSTITUTE($B451,CHAR(160)," "))</f>
        <v>82 0 מתלה יד מספוג</v>
      </c>
    </row>
    <row r="452" customFormat="false" ht="15" hidden="false" customHeight="true" outlineLevel="0" collapsed="false">
      <c r="A452" s="12" t="n">
        <v>4413135</v>
      </c>
      <c r="B452" s="12" t="s">
        <v>519</v>
      </c>
      <c r="C452" s="12" t="str">
        <f aca="false">TRIM(SUBSTITUTE($B452,CHAR(160)," "))</f>
        <v>85 L (מתלה ליד )כיס</v>
      </c>
    </row>
    <row r="453" customFormat="false" ht="15" hidden="false" customHeight="true" outlineLevel="0" collapsed="false">
      <c r="A453" s="12" t="n">
        <v>4413136</v>
      </c>
      <c r="B453" s="12" t="s">
        <v>520</v>
      </c>
      <c r="C453" s="12" t="str">
        <f aca="false">TRIM(SUBSTITUTE($B453,CHAR(160)," "))</f>
        <v>85 M (מתלה ליד )כיס</v>
      </c>
    </row>
    <row r="454" customFormat="false" ht="15" hidden="false" customHeight="true" outlineLevel="0" collapsed="false">
      <c r="A454" s="12" t="n">
        <v>4413137</v>
      </c>
      <c r="B454" s="12" t="s">
        <v>521</v>
      </c>
      <c r="C454" s="12" t="str">
        <f aca="false">TRIM(SUBSTITUTE($B454,CHAR(160)," "))</f>
        <v>85 S (מתלה ליד )כיס</v>
      </c>
    </row>
    <row r="455" customFormat="false" ht="15" hidden="false" customHeight="true" outlineLevel="0" collapsed="false">
      <c r="A455" s="12" t="n">
        <v>4413138</v>
      </c>
      <c r="B455" s="12" t="s">
        <v>522</v>
      </c>
      <c r="C455" s="12" t="str">
        <f aca="false">TRIM(SUBSTITUTE($B455,CHAR(160)," "))</f>
        <v>85 XL (מתלה ליד )כיס</v>
      </c>
    </row>
    <row r="456" customFormat="false" ht="15" hidden="false" customHeight="true" outlineLevel="0" collapsed="false">
      <c r="A456" s="12" t="n">
        <v>4413176</v>
      </c>
      <c r="B456" s="12" t="s">
        <v>523</v>
      </c>
      <c r="C456" s="12" t="str">
        <f aca="false">TRIM(SUBSTITUTE($B456,CHAR(160)," "))</f>
        <v>85+ Lמתלה ליד)כיס(+רצועת חיזוק</v>
      </c>
    </row>
    <row r="457" customFormat="false" ht="15" hidden="false" customHeight="true" outlineLevel="0" collapsed="false">
      <c r="A457" s="12" t="n">
        <v>4413175</v>
      </c>
      <c r="B457" s="12" t="s">
        <v>524</v>
      </c>
      <c r="C457" s="12" t="str">
        <f aca="false">TRIM(SUBSTITUTE($B457,CHAR(160)," "))</f>
        <v>85+ Mמתלה ליד)כיס(+רצועת חיזוק</v>
      </c>
    </row>
    <row r="458" customFormat="false" ht="15" hidden="false" customHeight="true" outlineLevel="0" collapsed="false">
      <c r="A458" s="12" t="n">
        <v>4413174</v>
      </c>
      <c r="B458" s="12" t="s">
        <v>525</v>
      </c>
      <c r="C458" s="12" t="str">
        <f aca="false">TRIM(SUBSTITUTE($B458,CHAR(160)," "))</f>
        <v>85+ Sמתלה ליד)כיס(+רצועת חיזוק</v>
      </c>
    </row>
    <row r="459" customFormat="false" ht="15" hidden="false" customHeight="true" outlineLevel="0" collapsed="false">
      <c r="A459" s="12" t="n">
        <v>4413177</v>
      </c>
      <c r="B459" s="12" t="s">
        <v>526</v>
      </c>
      <c r="C459" s="12" t="str">
        <f aca="false">TRIM(SUBSTITUTE($B459,CHAR(160)," "))</f>
        <v>85+ XLמתלה ליד)כיס(רצועת חיזוק</v>
      </c>
    </row>
    <row r="460" customFormat="false" ht="15" hidden="false" customHeight="true" outlineLevel="0" collapsed="false">
      <c r="A460" s="12" t="n">
        <v>4413516</v>
      </c>
      <c r="B460" s="12" t="s">
        <v>527</v>
      </c>
      <c r="C460" s="12" t="str">
        <f aca="false">TRIM(SUBSTITUTE($B460,CHAR(160)," "))</f>
        <v>85B L מתלה רשת לזרוע שחור</v>
      </c>
    </row>
    <row r="461" customFormat="false" ht="15" hidden="false" customHeight="true" outlineLevel="0" collapsed="false">
      <c r="A461" s="12" t="n">
        <v>4413517</v>
      </c>
      <c r="B461" s="12" t="s">
        <v>528</v>
      </c>
      <c r="C461" s="12" t="str">
        <f aca="false">TRIM(SUBSTITUTE($B461,CHAR(160)," "))</f>
        <v>85B M מתלה רשת לזרוע שחור</v>
      </c>
    </row>
    <row r="462" customFormat="false" ht="15" hidden="false" customHeight="true" outlineLevel="0" collapsed="false">
      <c r="A462" s="12" t="n">
        <v>4413519</v>
      </c>
      <c r="B462" s="12" t="s">
        <v>529</v>
      </c>
      <c r="C462" s="12" t="str">
        <f aca="false">TRIM(SUBSTITUTE($B462,CHAR(160)," "))</f>
        <v>85B S מתלה רשת לזרוע שחור</v>
      </c>
    </row>
    <row r="463" customFormat="false" ht="15" hidden="false" customHeight="true" outlineLevel="0" collapsed="false">
      <c r="A463" s="12" t="n">
        <v>4413518</v>
      </c>
      <c r="B463" s="12" t="s">
        <v>530</v>
      </c>
      <c r="C463" s="12" t="str">
        <f aca="false">TRIM(SUBSTITUTE($B463,CHAR(160)," "))</f>
        <v>85B XL מתלה רשת לזרוע שחור</v>
      </c>
    </row>
    <row r="464" customFormat="false" ht="15" hidden="false" customHeight="true" outlineLevel="0" collapsed="false">
      <c r="A464" s="12" t="n">
        <v>4413455</v>
      </c>
      <c r="B464" s="12" t="s">
        <v>531</v>
      </c>
      <c r="C464" s="12" t="str">
        <f aca="false">TRIM(SUBSTITUTE($B464,CHAR(160)," "))</f>
        <v>85K מתלה ליד לילדים</v>
      </c>
    </row>
    <row r="465" customFormat="false" ht="15" hidden="false" customHeight="true" outlineLevel="0" collapsed="false">
      <c r="A465" s="12" t="n">
        <v>4407000</v>
      </c>
      <c r="B465" s="12" t="s">
        <v>532</v>
      </c>
      <c r="C465" s="12" t="str">
        <f aca="false">TRIM(SUBSTITUTE($B465,CHAR(160)," "))</f>
        <v>306 L זוג עקבים סיליקון</v>
      </c>
    </row>
    <row r="466" customFormat="false" ht="15" hidden="false" customHeight="true" outlineLevel="0" collapsed="false">
      <c r="A466" s="12" t="n">
        <v>4416000</v>
      </c>
      <c r="B466" s="12" t="s">
        <v>533</v>
      </c>
      <c r="C466" s="12" t="str">
        <f aca="false">TRIM(SUBSTITUTE($B466,CHAR(160)," "))</f>
        <v>307 L עקבים לדורבן-זוג כריות</v>
      </c>
    </row>
    <row r="467" customFormat="false" ht="15" hidden="false" customHeight="true" outlineLevel="0" collapsed="false">
      <c r="A467" s="12" t="n">
        <v>4416001</v>
      </c>
      <c r="B467" s="12" t="s">
        <v>534</v>
      </c>
      <c r="C467" s="12" t="str">
        <f aca="false">TRIM(SUBSTITUTE($B467,CHAR(160)," "))</f>
        <v>307 M עקבים לדורבן-זוג כריות</v>
      </c>
    </row>
    <row r="468" customFormat="false" ht="15" hidden="false" customHeight="true" outlineLevel="0" collapsed="false">
      <c r="A468" s="12" t="n">
        <v>4416002</v>
      </c>
      <c r="B468" s="12" t="s">
        <v>535</v>
      </c>
      <c r="C468" s="12" t="str">
        <f aca="false">TRIM(SUBSTITUTE($B468,CHAR(160)," "))</f>
        <v>307 S עקבים לדורבן-זוג כריות</v>
      </c>
    </row>
    <row r="469" customFormat="false" ht="15" hidden="false" customHeight="true" outlineLevel="0" collapsed="false">
      <c r="A469" s="12" t="n">
        <v>4411016</v>
      </c>
      <c r="B469" s="12" t="s">
        <v>536</v>
      </c>
      <c r="C469" s="12" t="str">
        <f aca="false">TRIM(SUBSTITUTE($B469,CHAR(160)," "))</f>
        <v>307 XL כרית סיליקון לעקב</v>
      </c>
    </row>
    <row r="470" customFormat="false" ht="15" hidden="false" customHeight="true" outlineLevel="0" collapsed="false">
      <c r="A470" s="12" t="n">
        <v>4416003</v>
      </c>
      <c r="B470" s="12" t="s">
        <v>537</v>
      </c>
      <c r="C470" s="12" t="str">
        <f aca="false">TRIM(SUBSTITUTE($B470,CHAR(160)," "))</f>
        <v>308 Lעקבים סיליקון כחול לדורבן</v>
      </c>
    </row>
    <row r="471" customFormat="false" ht="15" hidden="false" customHeight="true" outlineLevel="0" collapsed="false">
      <c r="A471" s="12" t="n">
        <v>4416005</v>
      </c>
      <c r="B471" s="12" t="s">
        <v>538</v>
      </c>
      <c r="C471" s="12" t="str">
        <f aca="false">TRIM(SUBSTITUTE($B471,CHAR(160)," "))</f>
        <v>308 Mעקבים סיליק.כחול לדורבן</v>
      </c>
    </row>
    <row r="472" customFormat="false" ht="15" hidden="false" customHeight="true" outlineLevel="0" collapsed="false">
      <c r="A472" s="12" t="n">
        <v>4416006</v>
      </c>
      <c r="B472" s="12" t="s">
        <v>539</v>
      </c>
      <c r="C472" s="12" t="str">
        <f aca="false">TRIM(SUBSTITUTE($B472,CHAR(160)," "))</f>
        <v>308 Sעקבים סיליק.כחול לדורבן</v>
      </c>
    </row>
    <row r="473" customFormat="false" ht="15" hidden="false" customHeight="true" outlineLevel="0" collapsed="false">
      <c r="A473" s="12" t="n">
        <v>4416011</v>
      </c>
      <c r="B473" s="12" t="s">
        <v>540</v>
      </c>
      <c r="C473" s="12" t="str">
        <f aca="false">TRIM(SUBSTITUTE($B473,CHAR(160)," "))</f>
        <v>309 L תתמוקפאעקב סיליקון+ קשת</v>
      </c>
    </row>
    <row r="474" customFormat="false" ht="15" hidden="false" customHeight="true" outlineLevel="0" collapsed="false">
      <c r="A474" s="12" t="n">
        <v>4416010</v>
      </c>
      <c r="B474" s="12" t="s">
        <v>541</v>
      </c>
      <c r="C474" s="12" t="str">
        <f aca="false">TRIM(SUBSTITUTE($B474,CHAR(160)," "))</f>
        <v>309 M תתעקב סיליקון+ קשת</v>
      </c>
    </row>
    <row r="475" customFormat="false" ht="15" hidden="false" customHeight="true" outlineLevel="0" collapsed="false">
      <c r="A475" s="12" t="n">
        <v>4416009</v>
      </c>
      <c r="B475" s="12" t="s">
        <v>542</v>
      </c>
      <c r="C475" s="12" t="str">
        <f aca="false">TRIM(SUBSTITUTE($B475,CHAR(160)," "))</f>
        <v>309 S תתמוקפאעקב סיליקון+ קשת</v>
      </c>
    </row>
    <row r="476" customFormat="false" ht="15" hidden="false" customHeight="true" outlineLevel="0" collapsed="false">
      <c r="A476" s="12" t="n">
        <v>4413033</v>
      </c>
      <c r="B476" s="12" t="s">
        <v>543</v>
      </c>
      <c r="C476" s="12" t="str">
        <f aca="false">TRIM(SUBSTITUTE($B476,CHAR(160)," "))</f>
        <v>311'מדב.ג'ל למניעת שפשוף 5 יח</v>
      </c>
    </row>
    <row r="477" customFormat="false" ht="15" hidden="false" customHeight="true" outlineLevel="0" collapsed="false">
      <c r="A477" s="12" t="n">
        <v>4413034</v>
      </c>
      <c r="B477" s="12" t="s">
        <v>544</v>
      </c>
      <c r="C477" s="12" t="str">
        <f aca="false">TRIM(SUBSTITUTE($B477,CHAR(160)," "))</f>
        <v>312 9 מ""ס להתאמהX5 מדבקה גדולה</v>
      </c>
    </row>
    <row r="478" customFormat="false" ht="15" hidden="false" customHeight="true" outlineLevel="0" collapsed="false">
      <c r="A478" s="12" t="n">
        <v>4415297</v>
      </c>
      <c r="B478" s="12" t="s">
        <v>545</v>
      </c>
      <c r="C478" s="12" t="str">
        <f aca="false">TRIM(SUBSTITUTE($B478,CHAR(160)," "))</f>
        <v>313 סט פלסטרים נגד שפשופים</v>
      </c>
    </row>
    <row r="479" customFormat="false" ht="15" hidden="false" customHeight="true" outlineLevel="0" collapsed="false">
      <c r="A479" s="12" t="n">
        <v>4402007</v>
      </c>
      <c r="B479" s="12" t="s">
        <v>546</v>
      </c>
      <c r="C479" s="12" t="str">
        <f aca="false">TRIM(SUBSTITUTE($B479,CHAR(160)," "))</f>
        <v>320 בליסטר פלסטר</v>
      </c>
    </row>
    <row r="480" customFormat="false" ht="15" hidden="false" customHeight="true" outlineLevel="0" collapsed="false">
      <c r="A480" s="12" t="n">
        <v>4421001</v>
      </c>
      <c r="B480" s="12" t="s">
        <v>547</v>
      </c>
      <c r="C480" s="12" t="str">
        <f aca="false">TRIM(SUBSTITUTE($B480,CHAR(160)," "))</f>
        <v>3611 שרוול מטטרזלי מסיליקון</v>
      </c>
    </row>
    <row r="481" customFormat="false" ht="15" hidden="false" customHeight="true" outlineLevel="0" collapsed="false">
      <c r="A481" s="12" t="n">
        <v>4413058</v>
      </c>
      <c r="B481" s="12" t="s">
        <v>548</v>
      </c>
      <c r="C481" s="12" t="str">
        <f aca="false">TRIM(SUBSTITUTE($B481,CHAR(160)," "))</f>
        <v>3622S מדבקה לשחרור לחץ 2 יח</v>
      </c>
    </row>
    <row r="482" customFormat="false" ht="15" hidden="false" customHeight="true" outlineLevel="0" collapsed="false">
      <c r="A482" s="12" t="n">
        <v>4411001</v>
      </c>
      <c r="B482" s="12" t="s">
        <v>549</v>
      </c>
      <c r="C482" s="12" t="str">
        <f aca="false">TRIM(SUBSTITUTE($B482,CHAR(160)," "))</f>
        <v>3623 כרית ליישור אצבע פטיש</v>
      </c>
    </row>
    <row r="483" customFormat="false" ht="15" hidden="false" customHeight="true" outlineLevel="0" collapsed="false">
      <c r="A483" s="12" t="n">
        <v>4402000</v>
      </c>
      <c r="B483" s="12" t="s">
        <v>550</v>
      </c>
      <c r="C483" s="12" t="str">
        <f aca="false">TRIM(SUBSTITUTE($B483,CHAR(160)," "))</f>
        <v>363 בננה לתמיכת אצבעות ז.כרית</v>
      </c>
    </row>
    <row r="484" customFormat="false" ht="15" hidden="false" customHeight="true" outlineLevel="0" collapsed="false">
      <c r="A484" s="12" t="n">
        <v>4413060</v>
      </c>
      <c r="B484" s="12" t="s">
        <v>551</v>
      </c>
      <c r="C484" s="12" t="str">
        <f aca="false">TRIM(SUBSTITUTE($B484,CHAR(160)," "))</f>
        <v>364 XLמפריד אצבע סיליקון ליבלת</v>
      </c>
    </row>
    <row r="485" customFormat="false" ht="15" hidden="false" customHeight="true" outlineLevel="0" collapsed="false">
      <c r="A485" s="12" t="n">
        <v>4413061</v>
      </c>
      <c r="B485" s="12" t="s">
        <v>552</v>
      </c>
      <c r="C485" s="12" t="str">
        <f aca="false">TRIM(SUBSTITUTE($B485,CHAR(160)," "))</f>
        <v>3641-מיישר בוהן סיליקון קשיח</v>
      </c>
    </row>
    <row r="486" customFormat="false" ht="15" hidden="false" customHeight="true" outlineLevel="0" collapsed="false">
      <c r="A486" s="12" t="n">
        <v>4413059</v>
      </c>
      <c r="B486" s="12" t="s">
        <v>553</v>
      </c>
      <c r="C486" s="12" t="str">
        <f aca="false">TRIM(SUBSTITUTE($B486,CHAR(160)," "))</f>
        <v>364S Lמפר.אצבע סיליק. ליבל.זוג</v>
      </c>
    </row>
    <row r="487" customFormat="false" ht="15" hidden="false" customHeight="true" outlineLevel="0" collapsed="false">
      <c r="A487" s="12" t="n">
        <v>4409001</v>
      </c>
      <c r="B487" s="12" t="s">
        <v>554</v>
      </c>
      <c r="C487" s="12" t="str">
        <f aca="false">TRIM(SUBSTITUTE($B487,CHAR(160)," "))</f>
        <v>365 X-Lטבעת אלסטית מסיליקון</v>
      </c>
    </row>
    <row r="488" customFormat="false" ht="15" hidden="false" customHeight="true" outlineLevel="0" collapsed="false">
      <c r="A488" s="12" t="n">
        <v>4409000</v>
      </c>
      <c r="B488" s="12" t="s">
        <v>555</v>
      </c>
      <c r="C488" s="12" t="str">
        <f aca="false">TRIM(SUBSTITUTE($B488,CHAR(160)," "))</f>
        <v>365 S-Lטבעת אלסטית מסיליקון</v>
      </c>
    </row>
    <row r="489" customFormat="false" ht="15" hidden="false" customHeight="true" outlineLevel="0" collapsed="false">
      <c r="A489" s="12" t="n">
        <v>4421000</v>
      </c>
      <c r="B489" s="12" t="s">
        <v>556</v>
      </c>
      <c r="C489" s="12" t="str">
        <f aca="false">TRIM(SUBSTITUTE($B489,CHAR(160)," "))</f>
        <v>3655 שרוול מסיליקון לאצבע</v>
      </c>
    </row>
    <row r="490" customFormat="false" ht="15" hidden="false" customHeight="true" outlineLevel="0" collapsed="false">
      <c r="A490" s="12" t="n">
        <v>4413340</v>
      </c>
      <c r="B490" s="12" t="s">
        <v>557</v>
      </c>
      <c r="C490" s="12" t="str">
        <f aca="false">TRIM(SUBSTITUTE($B490,CHAR(160)," "))</f>
        <v>3666 מפריד הלוקס</v>
      </c>
    </row>
    <row r="491" customFormat="false" ht="15" hidden="false" customHeight="true" outlineLevel="0" collapsed="false">
      <c r="A491" s="12" t="n">
        <v>4413063</v>
      </c>
      <c r="B491" s="12" t="s">
        <v>558</v>
      </c>
      <c r="C491" s="12" t="str">
        <f aca="false">TRIM(SUBSTITUTE($B491,CHAR(160)," "))</f>
        <v>366S-'מדבק.לשחרור לחץ מיבלת2יח</v>
      </c>
    </row>
    <row r="492" customFormat="false" ht="15" hidden="false" customHeight="true" outlineLevel="0" collapsed="false">
      <c r="A492" s="12" t="n">
        <v>4421003</v>
      </c>
      <c r="B492" s="12" t="s">
        <v>559</v>
      </c>
      <c r="C492" s="12" t="str">
        <f aca="false">TRIM(SUBSTITUTE($B492,CHAR(160)," "))</f>
        <v>3672 שרוול מגן לבוניון</v>
      </c>
    </row>
    <row r="493" customFormat="false" ht="15" hidden="false" customHeight="true" outlineLevel="0" collapsed="false">
      <c r="A493" s="12" t="n">
        <v>4413370</v>
      </c>
      <c r="B493" s="12" t="s">
        <v>560</v>
      </c>
      <c r="C493" s="12" t="str">
        <f aca="false">TRIM(SUBSTITUTE($B493,CHAR(160)," "))</f>
        <v>3674 0 מ.בוניון+מפריד אצבע</v>
      </c>
    </row>
    <row r="494" customFormat="false" ht="15" hidden="false" customHeight="true" outlineLevel="0" collapsed="false">
      <c r="A494" s="12" t="n">
        <v>4413371</v>
      </c>
      <c r="B494" s="12" t="s">
        <v>561</v>
      </c>
      <c r="C494" s="12" t="str">
        <f aca="false">TRIM(SUBSTITUTE($B494,CHAR(160)," "))</f>
        <v>3675 מגן זרת מסיליקון</v>
      </c>
    </row>
    <row r="495" customFormat="false" ht="15" hidden="false" customHeight="true" outlineLevel="0" collapsed="false">
      <c r="A495" s="12" t="n">
        <v>4413066</v>
      </c>
      <c r="B495" s="12" t="s">
        <v>562</v>
      </c>
      <c r="C495" s="12" t="str">
        <f aca="false">TRIM(SUBSTITUTE($B495,CHAR(160)," "))</f>
        <v>3677S-מד.לשחרור לחץ א.הבוניון</v>
      </c>
    </row>
    <row r="496" customFormat="false" ht="15" hidden="false" customHeight="true" outlineLevel="0" collapsed="false">
      <c r="A496" s="12" t="n">
        <v>4401001</v>
      </c>
      <c r="B496" s="12" t="s">
        <v>563</v>
      </c>
      <c r="C496" s="12" t="str">
        <f aca="false">TRIM(SUBSTITUTE($B496,CHAR(160)," "))</f>
        <v>369 XL אצבעון מסיליקון יחידה</v>
      </c>
    </row>
    <row r="497" customFormat="false" ht="15" hidden="false" customHeight="true" outlineLevel="0" collapsed="false">
      <c r="A497" s="12" t="n">
        <v>4401000</v>
      </c>
      <c r="B497" s="12" t="s">
        <v>564</v>
      </c>
      <c r="C497" s="12" t="str">
        <f aca="false">TRIM(SUBSTITUTE($B497,CHAR(160)," "))</f>
        <v>369 S-L אצבעון מסיליקון יחידה</v>
      </c>
    </row>
    <row r="498" customFormat="false" ht="15" hidden="false" customHeight="true" outlineLevel="0" collapsed="false">
      <c r="A498" s="12" t="n">
        <v>4408069</v>
      </c>
      <c r="B498" s="12" t="s">
        <v>565</v>
      </c>
      <c r="C498" s="12" t="str">
        <f aca="false">TRIM(SUBSTITUTE($B498,CHAR(160)," "))</f>
        <v>38 .חבישת""הלוקס ולגוס""לאחר נית</v>
      </c>
    </row>
    <row r="499" customFormat="false" ht="15" hidden="false" customHeight="true" outlineLevel="0" collapsed="false">
      <c r="A499" s="12" t="n">
        <v>4413452</v>
      </c>
      <c r="B499" s="12" t="s">
        <v>566</v>
      </c>
      <c r="C499" s="12" t="str">
        <f aca="false">TRIM(SUBSTITUTE($B499,CHAR(160)," "))</f>
        <v>386 מיישר בוניון-האלוקס ולגוס</v>
      </c>
    </row>
    <row r="500" customFormat="false" ht="15" hidden="false" customHeight="true" outlineLevel="0" collapsed="false">
      <c r="A500" s="12" t="n">
        <v>4413069</v>
      </c>
      <c r="B500" s="12" t="s">
        <v>567</v>
      </c>
      <c r="C500" s="12" t="str">
        <f aca="false">TRIM(SUBSTITUTE($B500,CHAR(160)," "))</f>
        <v>388L סד לילה לבוהן</v>
      </c>
    </row>
    <row r="501" customFormat="false" ht="15" hidden="false" customHeight="true" outlineLevel="0" collapsed="false">
      <c r="A501" s="12" t="n">
        <v>4413070</v>
      </c>
      <c r="B501" s="12" t="s">
        <v>568</v>
      </c>
      <c r="C501" s="12" t="str">
        <f aca="false">TRIM(SUBSTITUTE($B501,CHAR(160)," "))</f>
        <v>388R סד לילה לבוהן</v>
      </c>
    </row>
    <row r="502" customFormat="false" ht="15" hidden="false" customHeight="true" outlineLevel="0" collapsed="false">
      <c r="A502" s="12" t="n">
        <v>4411015</v>
      </c>
      <c r="B502" s="12" t="s">
        <v>569</v>
      </c>
      <c r="C502" s="12" t="str">
        <f aca="false">TRIM(SUBSTITUTE($B502,CHAR(160)," "))</f>
        <v>820 0 כרית חום וקור</v>
      </c>
    </row>
    <row r="503" customFormat="false" ht="15" hidden="false" customHeight="true" outlineLevel="0" collapsed="false">
      <c r="A503" s="12" t="n">
        <v>4413307</v>
      </c>
      <c r="B503" s="12" t="s">
        <v>570</v>
      </c>
      <c r="C503" s="12" t="str">
        <f aca="false">TRIM(SUBSTITUTE($B503,CHAR(160)," "))</f>
        <v>URI 3667 מגן בוניון</v>
      </c>
    </row>
    <row r="504" customFormat="false" ht="15" hidden="false" customHeight="true" outlineLevel="0" collapsed="false">
      <c r="A504" s="12" t="n">
        <v>4411000</v>
      </c>
      <c r="B504" s="12" t="s">
        <v>571</v>
      </c>
      <c r="C504" s="12" t="str">
        <f aca="false">TRIM(SUBSTITUTE($B504,CHAR(160)," "))</f>
        <v>כרית מטטרזלי סיליקון362</v>
      </c>
    </row>
    <row r="505" customFormat="false" ht="15" hidden="false" customHeight="true" outlineLevel="0" collapsed="false">
      <c r="A505" s="12" t="n">
        <v>4401002</v>
      </c>
      <c r="B505" s="12" t="s">
        <v>572</v>
      </c>
      <c r="C505" s="12" t="str">
        <f aca="false">TRIM(SUBSTITUTE($B505,CHAR(160)," "))</f>
        <v>PD 344-אבן טבעית להסרת עור קשה</v>
      </c>
    </row>
    <row r="506" customFormat="false" ht="15" hidden="false" customHeight="true" outlineLevel="0" collapsed="false">
      <c r="A506" s="12" t="n">
        <v>4419006</v>
      </c>
      <c r="B506" s="12" t="s">
        <v>573</v>
      </c>
      <c r="C506" s="12" t="str">
        <f aca="false">TRIM(SUBSTITUTE($B506,CHAR(160)," "))</f>
        <v>PD340-קוצץ ציפורניים</v>
      </c>
    </row>
    <row r="507" customFormat="false" ht="15" hidden="false" customHeight="true" outlineLevel="0" collapsed="false">
      <c r="A507" s="12" t="n">
        <v>4413150</v>
      </c>
      <c r="B507" s="12" t="s">
        <v>574</v>
      </c>
      <c r="C507" s="12" t="str">
        <f aca="false">TRIM(SUBSTITUTE($B507,CHAR(160)," "))</f>
        <v>PD341-מקצוע להסרת עור קשה</v>
      </c>
    </row>
    <row r="508" customFormat="false" ht="15" hidden="false" customHeight="true" outlineLevel="0" collapsed="false">
      <c r="A508" s="12" t="n">
        <v>4417000</v>
      </c>
      <c r="B508" s="12" t="s">
        <v>575</v>
      </c>
      <c r="C508" s="12" t="str">
        <f aca="false">TRIM(SUBSTITUTE($B508,CHAR(160)," "))</f>
        <v>PD342-פומפיה להסרת עור קשה</v>
      </c>
    </row>
    <row r="509" customFormat="false" ht="15" hidden="false" customHeight="true" outlineLevel="0" collapsed="false">
      <c r="A509" s="12" t="n">
        <v>4417001</v>
      </c>
      <c r="B509" s="12" t="s">
        <v>576</v>
      </c>
      <c r="C509" s="12" t="str">
        <f aca="false">TRIM(SUBSTITUTE($B509,CHAR(160)," "))</f>
        <v>PD343-פומפיה מאבן להסר.עור</v>
      </c>
    </row>
    <row r="510" customFormat="false" ht="15" hidden="false" customHeight="true" outlineLevel="0" collapsed="false">
      <c r="A510" s="12" t="n">
        <v>4415080</v>
      </c>
      <c r="B510" s="12" t="s">
        <v>577</v>
      </c>
      <c r="C510" s="12" t="str">
        <f aca="false">TRIM(SUBSTITUTE($B510,CHAR(160)," "))</f>
        <v>PD346-10 סכינים למקצוע</v>
      </c>
    </row>
    <row r="511" customFormat="false" ht="15" hidden="false" customHeight="true" outlineLevel="0" collapsed="false">
      <c r="A511" s="12" t="n">
        <v>4413152</v>
      </c>
      <c r="B511" s="12" t="s">
        <v>578</v>
      </c>
      <c r="C511" s="12" t="str">
        <f aca="false">TRIM(SUBSTITUTE($B511,CHAR(160)," "))</f>
        <v>PD350-תתמשופית ניקל קדמיום</v>
      </c>
    </row>
    <row r="512" customFormat="false" ht="15" hidden="false" customHeight="true" outlineLevel="0" collapsed="false">
      <c r="A512" s="12" t="n">
        <v>4411029</v>
      </c>
      <c r="B512" s="12" t="s">
        <v>579</v>
      </c>
      <c r="C512" s="12" t="str">
        <f aca="false">TRIM(SUBSTITUTE($B512,CHAR(160)," "))</f>
        <v>213CTSR L ימין CTS כפפות</v>
      </c>
    </row>
    <row r="513" customFormat="false" ht="15" hidden="false" customHeight="true" outlineLevel="0" collapsed="false">
      <c r="A513" s="12" t="n">
        <v>4408046</v>
      </c>
      <c r="B513" s="12" t="s">
        <v>580</v>
      </c>
      <c r="C513" s="12" t="str">
        <f aca="false">TRIM(SUBSTITUTE($B513,CHAR(160)," "))</f>
        <v>20 L חבק יד מתכוון עם צמדן</v>
      </c>
    </row>
    <row r="514" customFormat="false" ht="15" hidden="false" customHeight="true" outlineLevel="0" collapsed="false">
      <c r="A514" s="12" t="n">
        <v>4408047</v>
      </c>
      <c r="B514" s="12" t="s">
        <v>581</v>
      </c>
      <c r="C514" s="12" t="str">
        <f aca="false">TRIM(SUBSTITUTE($B514,CHAR(160)," "))</f>
        <v>20 M חבק יד מתכוון עם צמדן</v>
      </c>
    </row>
    <row r="515" customFormat="false" ht="15" hidden="false" customHeight="true" outlineLevel="0" collapsed="false">
      <c r="A515" s="12" t="n">
        <v>4408048</v>
      </c>
      <c r="B515" s="12" t="s">
        <v>582</v>
      </c>
      <c r="C515" s="12" t="str">
        <f aca="false">TRIM(SUBSTITUTE($B515,CHAR(160)," "))</f>
        <v>20 S חבק יד מתכוון עם צמדן</v>
      </c>
    </row>
    <row r="516" customFormat="false" ht="15" hidden="false" customHeight="true" outlineLevel="0" collapsed="false">
      <c r="A516" s="12" t="n">
        <v>4408049</v>
      </c>
      <c r="B516" s="12" t="s">
        <v>583</v>
      </c>
      <c r="C516" s="12" t="str">
        <f aca="false">TRIM(SUBSTITUTE($B516,CHAR(160)," "))</f>
        <v>20 XL חבק יד מתכוון עם צמדן</v>
      </c>
    </row>
    <row r="517" customFormat="false" ht="15" hidden="false" customHeight="true" outlineLevel="0" collapsed="false">
      <c r="A517" s="12" t="n">
        <v>4408050</v>
      </c>
      <c r="B517" s="12" t="s">
        <v>584</v>
      </c>
      <c r="C517" s="12" t="str">
        <f aca="false">TRIM(SUBSTITUTE($B517,CHAR(160)," "))</f>
        <v>20 XXL חבק יד מתכוון עם צמדן</v>
      </c>
    </row>
    <row r="518" customFormat="false" ht="15" hidden="false" customHeight="true" outlineLevel="0" collapsed="false">
      <c r="A518" s="12" t="n">
        <v>4408275</v>
      </c>
      <c r="B518" s="12" t="s">
        <v>585</v>
      </c>
      <c r="C518" s="12" t="str">
        <f aca="false">TRIM(SUBSTITUTE($B518,CHAR(160)," "))</f>
        <v>202 ONE SIZE חבק יד</v>
      </c>
    </row>
    <row r="519" customFormat="false" ht="15" hidden="false" customHeight="true" outlineLevel="0" collapsed="false">
      <c r="A519" s="12" t="n">
        <v>4408052</v>
      </c>
      <c r="B519" s="12" t="s">
        <v>586</v>
      </c>
      <c r="C519" s="12" t="str">
        <f aca="false">TRIM(SUBSTITUTE($B519,CHAR(160)," "))</f>
        <v>21 L חבק יד ארוך</v>
      </c>
    </row>
    <row r="520" customFormat="false" ht="15" hidden="false" customHeight="true" outlineLevel="0" collapsed="false">
      <c r="A520" s="12" t="n">
        <v>4408053</v>
      </c>
      <c r="B520" s="12" t="s">
        <v>587</v>
      </c>
      <c r="C520" s="12" t="str">
        <f aca="false">TRIM(SUBSTITUTE($B520,CHAR(160)," "))</f>
        <v>21 M חבק יד ארוך</v>
      </c>
    </row>
    <row r="521" customFormat="false" ht="15" hidden="false" customHeight="true" outlineLevel="0" collapsed="false">
      <c r="A521" s="12" t="n">
        <v>4408051</v>
      </c>
      <c r="B521" s="12" t="s">
        <v>588</v>
      </c>
      <c r="C521" s="12" t="str">
        <f aca="false">TRIM(SUBSTITUTE($B521,CHAR(160)," "))</f>
        <v>21 S חבק יד ארוך</v>
      </c>
    </row>
    <row r="522" customFormat="false" ht="15" hidden="false" customHeight="true" outlineLevel="0" collapsed="false">
      <c r="A522" s="12" t="n">
        <v>4408054</v>
      </c>
      <c r="B522" s="12" t="s">
        <v>589</v>
      </c>
      <c r="C522" s="12" t="str">
        <f aca="false">TRIM(SUBSTITUTE($B522,CHAR(160)," "))</f>
        <v>21 XL חבק יד ארוך</v>
      </c>
    </row>
    <row r="523" customFormat="false" ht="15" hidden="false" customHeight="true" outlineLevel="0" collapsed="false">
      <c r="A523" s="12" t="n">
        <v>4413399</v>
      </c>
      <c r="B523" s="12" t="s">
        <v>590</v>
      </c>
      <c r="C523" s="12" t="str">
        <f aca="false">TRIM(SUBSTITUTE($B523,CHAR(160)," "))</f>
        <v>21 XS מגן יד</v>
      </c>
    </row>
    <row r="524" customFormat="false" ht="15" hidden="false" customHeight="true" outlineLevel="0" collapsed="false">
      <c r="A524" s="12" t="n">
        <v>4413400</v>
      </c>
      <c r="B524" s="12" t="s">
        <v>591</v>
      </c>
      <c r="C524" s="12" t="str">
        <f aca="false">TRIM(SUBSTITUTE($B524,CHAR(160)," "))</f>
        <v>21 XXL מגן יד</v>
      </c>
    </row>
    <row r="525" customFormat="false" ht="15" hidden="false" customHeight="true" outlineLevel="0" collapsed="false">
      <c r="A525" s="12" t="n">
        <v>4411017</v>
      </c>
      <c r="B525" s="12" t="s">
        <v>592</v>
      </c>
      <c r="C525" s="12" t="str">
        <f aca="false">TRIM(SUBSTITUTE($B525,CHAR(160)," "))</f>
        <v>211L כפפות לחץ</v>
      </c>
    </row>
    <row r="526" customFormat="false" ht="15" hidden="false" customHeight="true" outlineLevel="0" collapsed="false">
      <c r="A526" s="12" t="n">
        <v>4411018</v>
      </c>
      <c r="B526" s="12" t="s">
        <v>593</v>
      </c>
      <c r="C526" s="12" t="str">
        <f aca="false">TRIM(SUBSTITUTE($B526,CHAR(160)," "))</f>
        <v>211M כפפות לחץ</v>
      </c>
    </row>
    <row r="527" customFormat="false" ht="15" hidden="false" customHeight="true" outlineLevel="0" collapsed="false">
      <c r="A527" s="12" t="n">
        <v>4411019</v>
      </c>
      <c r="B527" s="12" t="s">
        <v>594</v>
      </c>
      <c r="C527" s="12" t="str">
        <f aca="false">TRIM(SUBSTITUTE($B527,CHAR(160)," "))</f>
        <v>211S כפפות לחץ</v>
      </c>
    </row>
    <row r="528" customFormat="false" ht="15" hidden="false" customHeight="true" outlineLevel="0" collapsed="false">
      <c r="A528" s="12" t="n">
        <v>4411020</v>
      </c>
      <c r="B528" s="12" t="s">
        <v>595</v>
      </c>
      <c r="C528" s="12" t="str">
        <f aca="false">TRIM(SUBSTITUTE($B528,CHAR(160)," "))</f>
        <v>211XL כפפות לחץ</v>
      </c>
    </row>
    <row r="529" customFormat="false" ht="15" hidden="false" customHeight="true" outlineLevel="0" collapsed="false">
      <c r="A529" s="12" t="n">
        <v>4411021</v>
      </c>
      <c r="B529" s="12" t="s">
        <v>596</v>
      </c>
      <c r="C529" s="12" t="str">
        <f aca="false">TRIM(SUBSTITUTE($B529,CHAR(160)," "))</f>
        <v>212L כפפות אגודל לחץ</v>
      </c>
    </row>
    <row r="530" customFormat="false" ht="15" hidden="false" customHeight="true" outlineLevel="0" collapsed="false">
      <c r="A530" s="12" t="n">
        <v>4411022</v>
      </c>
      <c r="B530" s="12" t="s">
        <v>597</v>
      </c>
      <c r="C530" s="12" t="str">
        <f aca="false">TRIM(SUBSTITUTE($B530,CHAR(160)," "))</f>
        <v>212M כפפות אגודל לחץ</v>
      </c>
    </row>
    <row r="531" customFormat="false" ht="15" hidden="false" customHeight="true" outlineLevel="0" collapsed="false">
      <c r="A531" s="12" t="n">
        <v>4411023</v>
      </c>
      <c r="B531" s="12" t="s">
        <v>598</v>
      </c>
      <c r="C531" s="12" t="str">
        <f aca="false">TRIM(SUBSTITUTE($B531,CHAR(160)," "))</f>
        <v>212S כפפות אגודל לחץ</v>
      </c>
    </row>
    <row r="532" customFormat="false" ht="15" hidden="false" customHeight="true" outlineLevel="0" collapsed="false">
      <c r="A532" s="12" t="n">
        <v>4411024</v>
      </c>
      <c r="B532" s="12" t="s">
        <v>599</v>
      </c>
      <c r="C532" s="12" t="str">
        <f aca="false">TRIM(SUBSTITUTE($B532,CHAR(160)," "))</f>
        <v>212XL כפפות אגודל לחץ</v>
      </c>
    </row>
    <row r="533" customFormat="false" ht="15" hidden="false" customHeight="true" outlineLevel="0" collapsed="false">
      <c r="A533" s="12" t="n">
        <v>4411031</v>
      </c>
      <c r="B533" s="12" t="s">
        <v>600</v>
      </c>
      <c r="C533" s="12" t="str">
        <f aca="false">TRIM(SUBSTITUTE($B533,CHAR(160)," "))</f>
        <v>213CTS S ימין CTS כפפות</v>
      </c>
    </row>
    <row r="534" customFormat="false" ht="15" hidden="false" customHeight="true" outlineLevel="0" collapsed="false">
      <c r="A534" s="12" t="n">
        <v>4411026</v>
      </c>
      <c r="B534" s="12" t="s">
        <v>601</v>
      </c>
      <c r="C534" s="12" t="str">
        <f aca="false">TRIM(SUBSTITUTE($B534,CHAR(160)," "))</f>
        <v>213CTSL L שמאל CTS כפפות</v>
      </c>
    </row>
    <row r="535" customFormat="false" ht="15" hidden="false" customHeight="true" outlineLevel="0" collapsed="false">
      <c r="A535" s="12" t="n">
        <v>4411027</v>
      </c>
      <c r="B535" s="12" t="s">
        <v>602</v>
      </c>
      <c r="C535" s="12" t="str">
        <f aca="false">TRIM(SUBSTITUTE($B535,CHAR(160)," "))</f>
        <v>213CTSL M שמאל CTS כפפות</v>
      </c>
    </row>
    <row r="536" customFormat="false" ht="15" hidden="false" customHeight="true" outlineLevel="0" collapsed="false">
      <c r="A536" s="12" t="n">
        <v>4411028</v>
      </c>
      <c r="B536" s="12" t="s">
        <v>603</v>
      </c>
      <c r="C536" s="12" t="str">
        <f aca="false">TRIM(SUBSTITUTE($B536,CHAR(160)," "))</f>
        <v>213CTSL S שמאל CTS כפפות</v>
      </c>
    </row>
    <row r="537" customFormat="false" ht="15" hidden="false" customHeight="true" outlineLevel="0" collapsed="false">
      <c r="A537" s="12" t="n">
        <v>4411030</v>
      </c>
      <c r="B537" s="12" t="s">
        <v>604</v>
      </c>
      <c r="C537" s="12" t="str">
        <f aca="false">TRIM(SUBSTITUTE($B537,CHAR(160)," "))</f>
        <v>213CTSR M ימין CTS כפפות</v>
      </c>
    </row>
    <row r="538" customFormat="false" ht="15" hidden="false" customHeight="true" outlineLevel="0" collapsed="false">
      <c r="A538" s="12" t="n">
        <v>4415162</v>
      </c>
      <c r="B538" s="12" t="s">
        <v>605</v>
      </c>
      <c r="C538" s="12" t="str">
        <f aca="false">TRIM(SUBSTITUTE($B538,CHAR(160)," "))</f>
        <v>238L סד ליישור אצבע</v>
      </c>
    </row>
    <row r="539" customFormat="false" ht="15" hidden="false" customHeight="true" outlineLevel="0" collapsed="false">
      <c r="A539" s="12" t="n">
        <v>4415161</v>
      </c>
      <c r="B539" s="12" t="s">
        <v>606</v>
      </c>
      <c r="C539" s="12" t="str">
        <f aca="false">TRIM(SUBSTITUTE($B539,CHAR(160)," "))</f>
        <v>238M סד ליישור אצבע</v>
      </c>
    </row>
    <row r="540" customFormat="false" ht="15" hidden="false" customHeight="true" outlineLevel="0" collapsed="false">
      <c r="A540" s="12" t="n">
        <v>4415160</v>
      </c>
      <c r="B540" s="12" t="s">
        <v>607</v>
      </c>
      <c r="C540" s="12" t="str">
        <f aca="false">TRIM(SUBSTITUTE($B540,CHAR(160)," "))</f>
        <v>238S סד ליישור אצבע</v>
      </c>
    </row>
    <row r="541" customFormat="false" ht="15" hidden="false" customHeight="true" outlineLevel="0" collapsed="false">
      <c r="A541" s="12" t="n">
        <v>4415163</v>
      </c>
      <c r="B541" s="12" t="s">
        <v>608</v>
      </c>
      <c r="C541" s="12" t="str">
        <f aca="false">TRIM(SUBSTITUTE($B541,CHAR(160)," "))</f>
        <v>238XL סד ליישור אצבע</v>
      </c>
    </row>
    <row r="542" customFormat="false" ht="15" hidden="false" customHeight="true" outlineLevel="0" collapsed="false">
      <c r="A542" s="12" t="n">
        <v>4408057</v>
      </c>
      <c r="B542" s="12" t="s">
        <v>609</v>
      </c>
      <c r="C542" s="12" t="str">
        <f aca="false">TRIM(SUBSTITUTE($B542,CHAR(160)," "))</f>
        <v>24 M(תתחבקון ליד )ללא צמדן</v>
      </c>
    </row>
    <row r="543" customFormat="false" ht="15" hidden="false" customHeight="true" outlineLevel="0" collapsed="false">
      <c r="A543" s="12" t="n">
        <v>4408059</v>
      </c>
      <c r="B543" s="12" t="s">
        <v>610</v>
      </c>
      <c r="C543" s="12" t="str">
        <f aca="false">TRIM(SUBSTITUTE($B543,CHAR(160)," "))</f>
        <v>25 L חבק יד אגודלי</v>
      </c>
    </row>
    <row r="544" customFormat="false" ht="15" hidden="false" customHeight="true" outlineLevel="0" collapsed="false">
      <c r="A544" s="12" t="n">
        <v>4408060</v>
      </c>
      <c r="B544" s="12" t="s">
        <v>611</v>
      </c>
      <c r="C544" s="12" t="str">
        <f aca="false">TRIM(SUBSTITUTE($B544,CHAR(160)," "))</f>
        <v>25 M חבק יד אגודלי</v>
      </c>
    </row>
    <row r="545" customFormat="false" ht="15" hidden="false" customHeight="true" outlineLevel="0" collapsed="false">
      <c r="A545" s="12" t="n">
        <v>4408061</v>
      </c>
      <c r="B545" s="12" t="s">
        <v>612</v>
      </c>
      <c r="C545" s="12" t="str">
        <f aca="false">TRIM(SUBSTITUTE($B545,CHAR(160)," "))</f>
        <v>25 S חבק יד אגודלי</v>
      </c>
    </row>
    <row r="546" customFormat="false" ht="15" hidden="false" customHeight="true" outlineLevel="0" collapsed="false">
      <c r="A546" s="12" t="n">
        <v>4408062</v>
      </c>
      <c r="B546" s="12" t="s">
        <v>613</v>
      </c>
      <c r="C546" s="12" t="str">
        <f aca="false">TRIM(SUBSTITUTE($B546,CHAR(160)," "))</f>
        <v>25 XL חבק יד אגודלי</v>
      </c>
    </row>
    <row r="547" customFormat="false" ht="15" hidden="false" customHeight="true" outlineLevel="0" collapsed="false">
      <c r="A547" s="12" t="n">
        <v>4415000</v>
      </c>
      <c r="B547" s="12" t="s">
        <v>614</v>
      </c>
      <c r="C547" s="12" t="str">
        <f aca="false">TRIM(SUBSTITUTE($B547,CHAR(160)," "))</f>
        <v>26 L סד ליד דו צדדי לאחר שבר</v>
      </c>
    </row>
    <row r="548" customFormat="false" ht="15" hidden="false" customHeight="true" outlineLevel="0" collapsed="false">
      <c r="A548" s="12" t="n">
        <v>4415001</v>
      </c>
      <c r="B548" s="12" t="s">
        <v>615</v>
      </c>
      <c r="C548" s="12" t="str">
        <f aca="false">TRIM(SUBSTITUTE($B548,CHAR(160)," "))</f>
        <v>26 M סד ליד דו צדדי לאחר שבר</v>
      </c>
    </row>
    <row r="549" customFormat="false" ht="15" hidden="false" customHeight="true" outlineLevel="0" collapsed="false">
      <c r="A549" s="12" t="n">
        <v>4415002</v>
      </c>
      <c r="B549" s="12" t="s">
        <v>616</v>
      </c>
      <c r="C549" s="12" t="str">
        <f aca="false">TRIM(SUBSTITUTE($B549,CHAR(160)," "))</f>
        <v>26 S סד ליד דו צדדי לאחר שבר</v>
      </c>
    </row>
    <row r="550" customFormat="false" ht="15" hidden="false" customHeight="true" outlineLevel="0" collapsed="false">
      <c r="A550" s="12" t="n">
        <v>4415003</v>
      </c>
      <c r="B550" s="12" t="s">
        <v>617</v>
      </c>
      <c r="C550" s="12" t="str">
        <f aca="false">TRIM(SUBSTITUTE($B550,CHAR(160)," "))</f>
        <v>26 XL סד ליד דו צדדי לאחר שבר</v>
      </c>
    </row>
    <row r="551" customFormat="false" ht="15" hidden="false" customHeight="true" outlineLevel="0" collapsed="false">
      <c r="A551" s="12" t="n">
        <v>4415142</v>
      </c>
      <c r="B551" s="12" t="s">
        <v>618</v>
      </c>
      <c r="C551" s="12" t="str">
        <f aca="false">TRIM(SUBSTITUTE($B551,CHAR(160)," "))</f>
        <v>26 XS סד ליד דו צדדי לאחר שבר</v>
      </c>
    </row>
    <row r="552" customFormat="false" ht="15" hidden="false" customHeight="true" outlineLevel="0" collapsed="false">
      <c r="A552" s="12" t="n">
        <v>4415004</v>
      </c>
      <c r="B552" s="12" t="s">
        <v>619</v>
      </c>
      <c r="C552" s="12" t="str">
        <f aca="false">TRIM(SUBSTITUTE($B552,CHAR(160)," "))</f>
        <v>26 XXL סד ליד דו צדדי לאחר שבר</v>
      </c>
    </row>
    <row r="553" customFormat="false" ht="15" hidden="false" customHeight="true" outlineLevel="0" collapsed="false">
      <c r="A553" s="12" t="n">
        <v>4415158</v>
      </c>
      <c r="B553" s="12" t="s">
        <v>620</v>
      </c>
      <c r="C553" s="12" t="str">
        <f aca="false">TRIM(SUBSTITUTE($B553,CHAR(160)," "))</f>
        <v>266 סד ליד דו צדדי</v>
      </c>
    </row>
    <row r="554" customFormat="false" ht="15" hidden="false" customHeight="true" outlineLevel="0" collapsed="false">
      <c r="A554" s="12" t="n">
        <v>4415170</v>
      </c>
      <c r="B554" s="12" t="s">
        <v>621</v>
      </c>
      <c r="C554" s="12" t="str">
        <f aca="false">TRIM(SUBSTITUTE($B554,CHAR(160)," "))</f>
        <v>267LB L-XLסד יד שמאל שחור</v>
      </c>
    </row>
    <row r="555" customFormat="false" ht="15" hidden="false" customHeight="true" outlineLevel="0" collapsed="false">
      <c r="A555" s="12" t="n">
        <v>4415171</v>
      </c>
      <c r="B555" s="12" t="s">
        <v>622</v>
      </c>
      <c r="C555" s="12" t="str">
        <f aca="false">TRIM(SUBSTITUTE($B555,CHAR(160)," "))</f>
        <v>267LB S-M סד יד שמאל שחור</v>
      </c>
    </row>
    <row r="556" customFormat="false" ht="15" hidden="false" customHeight="true" outlineLevel="0" collapsed="false">
      <c r="A556" s="12" t="n">
        <v>4415165</v>
      </c>
      <c r="B556" s="12" t="s">
        <v>623</v>
      </c>
      <c r="C556" s="12" t="str">
        <f aca="false">TRIM(SUBSTITUTE($B556,CHAR(160)," "))</f>
        <v>267LC S-M'סד יד שמאל בז</v>
      </c>
    </row>
    <row r="557" customFormat="false" ht="15" hidden="false" customHeight="true" outlineLevel="0" collapsed="false">
      <c r="A557" s="12" t="n">
        <v>4415164</v>
      </c>
      <c r="B557" s="12" t="s">
        <v>624</v>
      </c>
      <c r="C557" s="12" t="str">
        <f aca="false">TRIM(SUBSTITUTE($B557,CHAR(160)," "))</f>
        <v>267LC L-XL 'סד יד שמאל בז</v>
      </c>
    </row>
    <row r="558" customFormat="false" ht="15" hidden="false" customHeight="true" outlineLevel="0" collapsed="false">
      <c r="A558" s="12" t="n">
        <v>4415166</v>
      </c>
      <c r="B558" s="12" t="s">
        <v>625</v>
      </c>
      <c r="C558" s="12" t="str">
        <f aca="false">TRIM(SUBSTITUTE($B558,CHAR(160)," "))</f>
        <v>267LC XXL'סד יד שמאל בז</v>
      </c>
    </row>
    <row r="559" customFormat="false" ht="15" hidden="false" customHeight="true" outlineLevel="0" collapsed="false">
      <c r="A559" s="12" t="n">
        <v>4415173</v>
      </c>
      <c r="B559" s="12" t="s">
        <v>626</v>
      </c>
      <c r="C559" s="12" t="str">
        <f aca="false">TRIM(SUBSTITUTE($B559,CHAR(160)," "))</f>
        <v>267RB L-XLסד יד ימין שחור</v>
      </c>
    </row>
    <row r="560" customFormat="false" ht="15" hidden="false" customHeight="true" outlineLevel="0" collapsed="false">
      <c r="A560" s="12" t="n">
        <v>4415174</v>
      </c>
      <c r="B560" s="12" t="s">
        <v>627</v>
      </c>
      <c r="C560" s="12" t="str">
        <f aca="false">TRIM(SUBSTITUTE($B560,CHAR(160)," "))</f>
        <v>267RB S-M סד יד ימין שחור</v>
      </c>
    </row>
    <row r="561" customFormat="false" ht="15" hidden="false" customHeight="true" outlineLevel="0" collapsed="false">
      <c r="A561" s="12" t="n">
        <v>4415167</v>
      </c>
      <c r="B561" s="12" t="s">
        <v>628</v>
      </c>
      <c r="C561" s="12" t="str">
        <f aca="false">TRIM(SUBSTITUTE($B561,CHAR(160)," "))</f>
        <v>267RC L-XL 'סד יד ימין בז</v>
      </c>
    </row>
    <row r="562" customFormat="false" ht="15" hidden="false" customHeight="true" outlineLevel="0" collapsed="false">
      <c r="A562" s="12" t="n">
        <v>4415168</v>
      </c>
      <c r="B562" s="12" t="s">
        <v>629</v>
      </c>
      <c r="C562" s="12" t="str">
        <f aca="false">TRIM(SUBSTITUTE($B562,CHAR(160)," "))</f>
        <v>267RC S-M 'סד יד ימין בז</v>
      </c>
    </row>
    <row r="563" customFormat="false" ht="15" hidden="false" customHeight="true" outlineLevel="0" collapsed="false">
      <c r="A563" s="12" t="n">
        <v>4415169</v>
      </c>
      <c r="B563" s="12" t="s">
        <v>630</v>
      </c>
      <c r="C563" s="12" t="str">
        <f aca="false">TRIM(SUBSTITUTE($B563,CHAR(160)," "))</f>
        <v>267RC XXL 'סד יד ימין בז</v>
      </c>
    </row>
    <row r="564" customFormat="false" ht="15" hidden="false" customHeight="true" outlineLevel="0" collapsed="false">
      <c r="A564" s="12" t="n">
        <v>4415159</v>
      </c>
      <c r="B564" s="12" t="s">
        <v>631</v>
      </c>
      <c r="C564" s="12" t="str">
        <f aca="false">TRIM(SUBSTITUTE($B564,CHAR(160)," "))</f>
        <v>268 סד לאגודל</v>
      </c>
    </row>
    <row r="565" customFormat="false" ht="15" hidden="false" customHeight="true" outlineLevel="0" collapsed="false">
      <c r="A565" s="12" t="n">
        <v>4415093</v>
      </c>
      <c r="B565" s="12" t="s">
        <v>632</v>
      </c>
      <c r="C565" s="12" t="str">
        <f aca="false">TRIM(SUBSTITUTE($B565,CHAR(160)," "))</f>
        <v>27 R-M סד ליד ימין</v>
      </c>
    </row>
    <row r="566" customFormat="false" ht="15" hidden="false" customHeight="true" outlineLevel="0" collapsed="false">
      <c r="A566" s="12" t="n">
        <v>4415124</v>
      </c>
      <c r="B566" s="12" t="s">
        <v>633</v>
      </c>
      <c r="C566" s="12" t="str">
        <f aca="false">TRIM(SUBSTITUTE($B566,CHAR(160)," "))</f>
        <v>278 L-XL סד יד ואגודל</v>
      </c>
    </row>
    <row r="567" customFormat="false" ht="15" hidden="false" customHeight="true" outlineLevel="0" collapsed="false">
      <c r="A567" s="12" t="n">
        <v>4415125</v>
      </c>
      <c r="B567" s="12" t="s">
        <v>634</v>
      </c>
      <c r="C567" s="12" t="str">
        <f aca="false">TRIM(SUBSTITUTE($B567,CHAR(160)," "))</f>
        <v>278 S-M סד יד ואגודל</v>
      </c>
    </row>
    <row r="568" customFormat="false" ht="15" hidden="false" customHeight="true" outlineLevel="0" collapsed="false">
      <c r="A568" s="12" t="n">
        <v>4415090</v>
      </c>
      <c r="B568" s="12" t="s">
        <v>635</v>
      </c>
      <c r="C568" s="12" t="str">
        <f aca="false">TRIM(SUBSTITUTE($B568,CHAR(160)," "))</f>
        <v>27L L סד ליד שמאל</v>
      </c>
    </row>
    <row r="569" customFormat="false" ht="15" hidden="false" customHeight="true" outlineLevel="0" collapsed="false">
      <c r="A569" s="12" t="n">
        <v>4415089</v>
      </c>
      <c r="B569" s="12" t="s">
        <v>636</v>
      </c>
      <c r="C569" s="12" t="str">
        <f aca="false">TRIM(SUBSTITUTE($B569,CHAR(160)," "))</f>
        <v>27L M סד ליד שמאל</v>
      </c>
    </row>
    <row r="570" customFormat="false" ht="15" hidden="false" customHeight="true" outlineLevel="0" collapsed="false">
      <c r="A570" s="12" t="n">
        <v>4415096</v>
      </c>
      <c r="B570" s="12" t="s">
        <v>637</v>
      </c>
      <c r="C570" s="12" t="str">
        <f aca="false">TRIM(SUBSTITUTE($B570,CHAR(160)," "))</f>
        <v>27L S סד ליד שמאל</v>
      </c>
    </row>
    <row r="571" customFormat="false" ht="15" hidden="false" customHeight="true" outlineLevel="0" collapsed="false">
      <c r="A571" s="12" t="n">
        <v>4415091</v>
      </c>
      <c r="B571" s="12" t="s">
        <v>638</v>
      </c>
      <c r="C571" s="12" t="str">
        <f aca="false">TRIM(SUBSTITUTE($B571,CHAR(160)," "))</f>
        <v>27L XLסד ליד שמאל</v>
      </c>
    </row>
    <row r="572" customFormat="false" ht="15" hidden="false" customHeight="true" outlineLevel="0" collapsed="false">
      <c r="A572" s="12" t="n">
        <v>4415094</v>
      </c>
      <c r="B572" s="12" t="s">
        <v>639</v>
      </c>
      <c r="C572" s="12" t="str">
        <f aca="false">TRIM(SUBSTITUTE($B572,CHAR(160)," "))</f>
        <v>27R L סד ליד ימין</v>
      </c>
    </row>
    <row r="573" customFormat="false" ht="15" hidden="false" customHeight="true" outlineLevel="0" collapsed="false">
      <c r="A573" s="12" t="n">
        <v>4415095</v>
      </c>
      <c r="B573" s="12" t="s">
        <v>640</v>
      </c>
      <c r="C573" s="12" t="str">
        <f aca="false">TRIM(SUBSTITUTE($B573,CHAR(160)," "))</f>
        <v>27R XLסד ליד ימין</v>
      </c>
    </row>
    <row r="574" customFormat="false" ht="15" hidden="false" customHeight="true" outlineLevel="0" collapsed="false">
      <c r="A574" s="12" t="n">
        <v>4415025</v>
      </c>
      <c r="B574" s="12" t="s">
        <v>641</v>
      </c>
      <c r="C574" s="12" t="str">
        <f aca="false">TRIM(SUBSTITUTE($B574,CHAR(160)," "))</f>
        <v>28-XS סד לאגודל לאחר שבר</v>
      </c>
    </row>
    <row r="575" customFormat="false" ht="15" hidden="false" customHeight="true" outlineLevel="0" collapsed="false">
      <c r="A575" s="12" t="n">
        <v>4415005</v>
      </c>
      <c r="B575" s="12" t="s">
        <v>642</v>
      </c>
      <c r="C575" s="12" t="str">
        <f aca="false">TRIM(SUBSTITUTE($B575,CHAR(160)," "))</f>
        <v>28 L סד לאגודל לאחר שבר</v>
      </c>
    </row>
    <row r="576" customFormat="false" ht="15" hidden="false" customHeight="true" outlineLevel="0" collapsed="false">
      <c r="A576" s="12" t="n">
        <v>4415006</v>
      </c>
      <c r="B576" s="12" t="s">
        <v>643</v>
      </c>
      <c r="C576" s="12" t="str">
        <f aca="false">TRIM(SUBSTITUTE($B576,CHAR(160)," "))</f>
        <v>28 M סד לאגודל לאחר שבר</v>
      </c>
    </row>
    <row r="577" customFormat="false" ht="15" hidden="false" customHeight="true" outlineLevel="0" collapsed="false">
      <c r="A577" s="12" t="n">
        <v>4415007</v>
      </c>
      <c r="B577" s="12" t="s">
        <v>644</v>
      </c>
      <c r="C577" s="12" t="str">
        <f aca="false">TRIM(SUBSTITUTE($B577,CHAR(160)," "))</f>
        <v>28 S סד לאגודל לאחר שבר</v>
      </c>
    </row>
    <row r="578" customFormat="false" ht="15" hidden="false" customHeight="true" outlineLevel="0" collapsed="false">
      <c r="A578" s="12" t="n">
        <v>4415008</v>
      </c>
      <c r="B578" s="12" t="s">
        <v>645</v>
      </c>
      <c r="C578" s="12" t="str">
        <f aca="false">TRIM(SUBSTITUTE($B578,CHAR(160)," "))</f>
        <v>28 XL סד לאגודל לאחר שבר</v>
      </c>
    </row>
    <row r="579" customFormat="false" ht="15" hidden="false" customHeight="true" outlineLevel="0" collapsed="false">
      <c r="A579" s="12" t="n">
        <v>4415009</v>
      </c>
      <c r="B579" s="12" t="s">
        <v>646</v>
      </c>
      <c r="C579" s="12" t="str">
        <f aca="false">TRIM(SUBSTITUTE($B579,CHAR(160)," "))</f>
        <v>28 XXL סד לאגודל לאחר שבר</v>
      </c>
    </row>
    <row r="580" customFormat="false" ht="15" hidden="false" customHeight="true" outlineLevel="0" collapsed="false">
      <c r="A580" s="12" t="n">
        <v>4415021</v>
      </c>
      <c r="B580" s="12" t="s">
        <v>647</v>
      </c>
      <c r="C580" s="12" t="str">
        <f aca="false">TRIM(SUBSTITUTE($B580,CHAR(160)," "))</f>
        <v>28A S-M סד לאגודל</v>
      </c>
    </row>
    <row r="581" customFormat="false" ht="15" hidden="false" customHeight="true" outlineLevel="0" collapsed="false">
      <c r="A581" s="12" t="n">
        <v>4415028</v>
      </c>
      <c r="B581" s="12" t="s">
        <v>648</v>
      </c>
      <c r="C581" s="12" t="str">
        <f aca="false">TRIM(SUBSTITUTE($B581,CHAR(160)," "))</f>
        <v>AC-28 סד לאגודל</v>
      </c>
    </row>
    <row r="582" customFormat="false" ht="15" hidden="false" customHeight="true" outlineLevel="0" collapsed="false">
      <c r="A582" s="12" t="n">
        <v>4408268</v>
      </c>
      <c r="B582" s="12" t="s">
        <v>649</v>
      </c>
      <c r="C582" s="12" t="str">
        <f aca="false">TRIM(SUBSTITUTE($B582,CHAR(160)," "))</f>
        <v>ST20 חבק יד</v>
      </c>
    </row>
    <row r="583" customFormat="false" ht="15" hidden="false" customHeight="true" outlineLevel="0" collapsed="false">
      <c r="A583" s="12" t="n">
        <v>4408267</v>
      </c>
      <c r="B583" s="12" t="s">
        <v>650</v>
      </c>
      <c r="C583" s="12" t="str">
        <f aca="false">TRIM(SUBSTITUTE($B583,CHAR(160)," "))</f>
        <v>ST25 חבק שורש לכף היד</v>
      </c>
    </row>
    <row r="584" customFormat="false" ht="15" hidden="false" customHeight="true" outlineLevel="0" collapsed="false">
      <c r="A584" s="12" t="n">
        <v>4415177</v>
      </c>
      <c r="B584" s="12" t="s">
        <v>651</v>
      </c>
      <c r="C584" s="12" t="str">
        <f aca="false">TRIM(SUBSTITUTE($B584,CHAR(160)," "))</f>
        <v>ST28 סד אגודלי עם מוט תמיכה</v>
      </c>
    </row>
    <row r="585" customFormat="false" ht="15" hidden="false" customHeight="true" outlineLevel="0" collapsed="false">
      <c r="A585" s="12" t="n">
        <v>4408095</v>
      </c>
      <c r="B585" s="12" t="s">
        <v>652</v>
      </c>
      <c r="C585" s="12" t="str">
        <f aca="false">TRIM(SUBSTITUTE($B585,CHAR(160)," "))</f>
        <v>T20 L-XL חבק יד עם צמדן</v>
      </c>
    </row>
    <row r="586" customFormat="false" ht="15" hidden="false" customHeight="true" outlineLevel="0" collapsed="false">
      <c r="A586" s="12" t="n">
        <v>4408094</v>
      </c>
      <c r="B586" s="12" t="s">
        <v>653</v>
      </c>
      <c r="C586" s="12" t="str">
        <f aca="false">TRIM(SUBSTITUTE($B586,CHAR(160)," "))</f>
        <v>T20 S-M חבק יד עם צמדן</v>
      </c>
    </row>
    <row r="587" customFormat="false" ht="15" hidden="false" customHeight="true" outlineLevel="0" collapsed="false">
      <c r="A587" s="12" t="n">
        <v>4408097</v>
      </c>
      <c r="B587" s="12" t="s">
        <v>654</v>
      </c>
      <c r="C587" s="12" t="str">
        <f aca="false">TRIM(SUBSTITUTE($B587,CHAR(160)," "))</f>
        <v>T20C L-XL חבק יד עם צמדן חום</v>
      </c>
    </row>
    <row r="588" customFormat="false" ht="15" hidden="false" customHeight="true" outlineLevel="0" collapsed="false">
      <c r="A588" s="12" t="n">
        <v>4408096</v>
      </c>
      <c r="B588" s="12" t="s">
        <v>655</v>
      </c>
      <c r="C588" s="12" t="str">
        <f aca="false">TRIM(SUBSTITUTE($B588,CHAR(160)," "))</f>
        <v>T20C S-M חבק יד עם צמדןחום</v>
      </c>
    </row>
    <row r="589" customFormat="false" ht="15" hidden="false" customHeight="true" outlineLevel="0" collapsed="false">
      <c r="A589" s="12" t="n">
        <v>4408098</v>
      </c>
      <c r="B589" s="12" t="s">
        <v>656</v>
      </c>
      <c r="C589" s="12" t="str">
        <f aca="false">TRIM(SUBSTITUTE($B589,CHAR(160)," "))</f>
        <v>T25-חבק יד אגודלי</v>
      </c>
    </row>
    <row r="590" customFormat="false" ht="15" hidden="false" customHeight="true" outlineLevel="0" collapsed="false">
      <c r="A590" s="12" t="n">
        <v>4408264</v>
      </c>
      <c r="B590" s="12" t="s">
        <v>657</v>
      </c>
      <c r="C590" s="12" t="str">
        <f aca="false">TRIM(SUBSTITUTE($B590,CHAR(160)," "))</f>
        <v>T25B חבק יד אגודלי</v>
      </c>
    </row>
    <row r="591" customFormat="false" ht="15" hidden="false" customHeight="true" outlineLevel="0" collapsed="false">
      <c r="A591" s="12" t="n">
        <v>4408099</v>
      </c>
      <c r="B591" s="12" t="s">
        <v>658</v>
      </c>
      <c r="C591" s="12" t="str">
        <f aca="false">TRIM(SUBSTITUTE($B591,CHAR(160)," "))</f>
        <v>T25C-חבק יד אגודלי</v>
      </c>
    </row>
    <row r="592" customFormat="false" ht="15" hidden="false" customHeight="true" outlineLevel="0" collapsed="false">
      <c r="A592" s="12" t="n">
        <v>4415111</v>
      </c>
      <c r="B592" s="12" t="s">
        <v>659</v>
      </c>
      <c r="C592" s="12" t="str">
        <f aca="false">TRIM(SUBSTITUTE($B592,CHAR(160)," "))</f>
        <v>T26 L סד לאגודל דו צדדי</v>
      </c>
    </row>
    <row r="593" customFormat="false" ht="15" hidden="false" customHeight="true" outlineLevel="0" collapsed="false">
      <c r="A593" s="12" t="n">
        <v>4415110</v>
      </c>
      <c r="B593" s="12" t="s">
        <v>660</v>
      </c>
      <c r="C593" s="12" t="str">
        <f aca="false">TRIM(SUBSTITUTE($B593,CHAR(160)," "))</f>
        <v>T26 M סד לאגודל דו צדדי</v>
      </c>
    </row>
    <row r="594" customFormat="false" ht="15" hidden="false" customHeight="true" outlineLevel="0" collapsed="false">
      <c r="A594" s="12" t="n">
        <v>4415109</v>
      </c>
      <c r="B594" s="12" t="s">
        <v>661</v>
      </c>
      <c r="C594" s="12" t="str">
        <f aca="false">TRIM(SUBSTITUTE($B594,CHAR(160)," "))</f>
        <v>T26 S סד לאגודל דו צדדי</v>
      </c>
    </row>
    <row r="595" customFormat="false" ht="15" hidden="false" customHeight="true" outlineLevel="0" collapsed="false">
      <c r="A595" s="12" t="n">
        <v>4415112</v>
      </c>
      <c r="B595" s="12" t="s">
        <v>662</v>
      </c>
      <c r="C595" s="12" t="str">
        <f aca="false">TRIM(SUBSTITUTE($B595,CHAR(160)," "))</f>
        <v>T26 XLסד לאגודל דו צדדי</v>
      </c>
    </row>
    <row r="596" customFormat="false" ht="15" hidden="false" customHeight="true" outlineLevel="0" collapsed="false">
      <c r="A596" s="12" t="n">
        <v>4415130</v>
      </c>
      <c r="B596" s="12" t="s">
        <v>663</v>
      </c>
      <c r="C596" s="12" t="str">
        <f aca="false">TRIM(SUBSTITUTE($B596,CHAR(160)," "))</f>
        <v>T27L L סד ליד שמאל</v>
      </c>
    </row>
    <row r="597" customFormat="false" ht="15" hidden="false" customHeight="true" outlineLevel="0" collapsed="false">
      <c r="A597" s="12" t="n">
        <v>4415131</v>
      </c>
      <c r="B597" s="12" t="s">
        <v>664</v>
      </c>
      <c r="C597" s="12" t="str">
        <f aca="false">TRIM(SUBSTITUTE($B597,CHAR(160)," "))</f>
        <v>T27L M סד ליד שמאל</v>
      </c>
    </row>
    <row r="598" customFormat="false" ht="15" hidden="false" customHeight="true" outlineLevel="0" collapsed="false">
      <c r="A598" s="12" t="n">
        <v>4415132</v>
      </c>
      <c r="B598" s="12" t="s">
        <v>665</v>
      </c>
      <c r="C598" s="12" t="str">
        <f aca="false">TRIM(SUBSTITUTE($B598,CHAR(160)," "))</f>
        <v>T27L S סד ליד שמאל</v>
      </c>
    </row>
    <row r="599" customFormat="false" ht="15" hidden="false" customHeight="true" outlineLevel="0" collapsed="false">
      <c r="A599" s="12" t="n">
        <v>4415133</v>
      </c>
      <c r="B599" s="12" t="s">
        <v>666</v>
      </c>
      <c r="C599" s="12" t="str">
        <f aca="false">TRIM(SUBSTITUTE($B599,CHAR(160)," "))</f>
        <v>T27L XL סד ליד שמאל</v>
      </c>
    </row>
    <row r="600" customFormat="false" ht="15" hidden="false" customHeight="true" outlineLevel="0" collapsed="false">
      <c r="A600" s="12" t="n">
        <v>4415137</v>
      </c>
      <c r="B600" s="12" t="s">
        <v>667</v>
      </c>
      <c r="C600" s="12" t="str">
        <f aca="false">TRIM(SUBSTITUTE($B600,CHAR(160)," "))</f>
        <v>T27R Mסד ליד ימין</v>
      </c>
    </row>
    <row r="601" customFormat="false" ht="15" hidden="false" customHeight="true" outlineLevel="0" collapsed="false">
      <c r="A601" s="12" t="n">
        <v>4415138</v>
      </c>
      <c r="B601" s="12" t="s">
        <v>668</v>
      </c>
      <c r="C601" s="12" t="str">
        <f aca="false">TRIM(SUBSTITUTE($B601,CHAR(160)," "))</f>
        <v>T27R Sסד ליד ימין</v>
      </c>
    </row>
    <row r="602" customFormat="false" ht="15" hidden="false" customHeight="true" outlineLevel="0" collapsed="false">
      <c r="A602" s="12" t="n">
        <v>4415139</v>
      </c>
      <c r="B602" s="12" t="s">
        <v>669</v>
      </c>
      <c r="C602" s="12" t="str">
        <f aca="false">TRIM(SUBSTITUTE($B602,CHAR(160)," "))</f>
        <v>T27R XLסד ליד ימין</v>
      </c>
    </row>
    <row r="603" customFormat="false" ht="15" hidden="false" customHeight="true" outlineLevel="0" collapsed="false">
      <c r="A603" s="12" t="n">
        <v>4415065</v>
      </c>
      <c r="B603" s="12" t="s">
        <v>670</v>
      </c>
      <c r="C603" s="12" t="str">
        <f aca="false">TRIM(SUBSTITUTE($B603,CHAR(160)," "))</f>
        <v>T28 L סד לאגודל כפפה</v>
      </c>
    </row>
    <row r="604" customFormat="false" ht="15" hidden="false" customHeight="true" outlineLevel="0" collapsed="false">
      <c r="A604" s="12" t="n">
        <v>4415066</v>
      </c>
      <c r="B604" s="12" t="s">
        <v>671</v>
      </c>
      <c r="C604" s="12" t="str">
        <f aca="false">TRIM(SUBSTITUTE($B604,CHAR(160)," "))</f>
        <v>T28 M סד לאגודל כפפה</v>
      </c>
    </row>
    <row r="605" customFormat="false" ht="15" hidden="false" customHeight="true" outlineLevel="0" collapsed="false">
      <c r="A605" s="12" t="n">
        <v>4415064</v>
      </c>
      <c r="B605" s="12" t="s">
        <v>672</v>
      </c>
      <c r="C605" s="12" t="str">
        <f aca="false">TRIM(SUBSTITUTE($B605,CHAR(160)," "))</f>
        <v>T28 S סד לאגודל כפפה</v>
      </c>
    </row>
    <row r="606" customFormat="false" ht="15" hidden="false" customHeight="true" outlineLevel="0" collapsed="false">
      <c r="A606" s="12" t="n">
        <v>4415067</v>
      </c>
      <c r="B606" s="12" t="s">
        <v>673</v>
      </c>
      <c r="C606" s="12" t="str">
        <f aca="false">TRIM(SUBSTITUTE($B606,CHAR(160)," "))</f>
        <v>T28 XL סד לאגודל כפפה</v>
      </c>
    </row>
    <row r="607" customFormat="false" ht="15" hidden="false" customHeight="true" outlineLevel="0" collapsed="false">
      <c r="A607" s="12" t="n">
        <v>4415118</v>
      </c>
      <c r="B607" s="12" t="s">
        <v>674</v>
      </c>
      <c r="C607" s="12" t="str">
        <f aca="false">TRIM(SUBSTITUTE($B607,CHAR(160)," "))</f>
        <v>T28 XXLסד לאגודל צד ימין</v>
      </c>
    </row>
    <row r="608" customFormat="false" ht="15" hidden="false" customHeight="true" outlineLevel="0" collapsed="false">
      <c r="A608" s="12" t="n">
        <v>4415073</v>
      </c>
      <c r="B608" s="12" t="s">
        <v>675</v>
      </c>
      <c r="C608" s="12" t="str">
        <f aca="false">TRIM(SUBSTITUTE($B608,CHAR(160)," "))</f>
        <v>T28A L-XL סד לאגודל</v>
      </c>
    </row>
    <row r="609" customFormat="false" ht="15" hidden="false" customHeight="true" outlineLevel="0" collapsed="false">
      <c r="A609" s="12" t="n">
        <v>4415072</v>
      </c>
      <c r="B609" s="12" t="s">
        <v>676</v>
      </c>
      <c r="C609" s="12" t="str">
        <f aca="false">TRIM(SUBSTITUTE($B609,CHAR(160)," "))</f>
        <v>T28A S-M סד לאגודל</v>
      </c>
    </row>
    <row r="610" customFormat="false" ht="15" hidden="false" customHeight="true" outlineLevel="0" collapsed="false">
      <c r="A610" s="12" t="n">
        <v>4415176</v>
      </c>
      <c r="B610" s="12" t="s">
        <v>677</v>
      </c>
      <c r="C610" s="12" t="str">
        <f aca="false">TRIM(SUBSTITUTE($B610,CHAR(160)," "))</f>
        <v>T28A XS סד לאגודל</v>
      </c>
    </row>
    <row r="611" customFormat="false" ht="15" hidden="false" customHeight="true" outlineLevel="0" collapsed="false">
      <c r="A611" s="12" t="n">
        <v>4415075</v>
      </c>
      <c r="B611" s="12" t="s">
        <v>678</v>
      </c>
      <c r="C611" s="12" t="str">
        <f aca="false">TRIM(SUBSTITUTE($B611,CHAR(160)," "))</f>
        <v>T28AC L-XL סד לאגודל</v>
      </c>
    </row>
    <row r="612" customFormat="false" ht="15" hidden="false" customHeight="true" outlineLevel="0" collapsed="false">
      <c r="A612" s="12" t="n">
        <v>4415074</v>
      </c>
      <c r="B612" s="12" t="s">
        <v>679</v>
      </c>
      <c r="C612" s="12" t="str">
        <f aca="false">TRIM(SUBSTITUTE($B612,CHAR(160)," "))</f>
        <v>T28AC S-M סד לאגודל</v>
      </c>
    </row>
    <row r="613" customFormat="false" ht="15" hidden="false" customHeight="true" outlineLevel="0" collapsed="false">
      <c r="A613" s="12" t="n">
        <v>4415071</v>
      </c>
      <c r="B613" s="12" t="s">
        <v>680</v>
      </c>
      <c r="C613" s="12" t="str">
        <f aca="false">TRIM(SUBSTITUTE($B613,CHAR(160)," "))</f>
        <v>T28C XL סד לאגודל כפפה</v>
      </c>
    </row>
    <row r="614" customFormat="false" ht="15" hidden="false" customHeight="true" outlineLevel="0" collapsed="false">
      <c r="A614" s="12" t="n">
        <v>4415069</v>
      </c>
      <c r="B614" s="12" t="s">
        <v>681</v>
      </c>
      <c r="C614" s="12" t="str">
        <f aca="false">TRIM(SUBSTITUTE($B614,CHAR(160)," "))</f>
        <v>T28C L סד לאגודל כפפה</v>
      </c>
    </row>
    <row r="615" customFormat="false" ht="15" hidden="false" customHeight="true" outlineLevel="0" collapsed="false">
      <c r="A615" s="12" t="n">
        <v>4415070</v>
      </c>
      <c r="B615" s="12" t="s">
        <v>682</v>
      </c>
      <c r="C615" s="12" t="str">
        <f aca="false">TRIM(SUBSTITUTE($B615,CHAR(160)," "))</f>
        <v>T28C M סד לאגודל כפפה</v>
      </c>
    </row>
    <row r="616" customFormat="false" ht="15" hidden="false" customHeight="true" outlineLevel="0" collapsed="false">
      <c r="A616" s="12" t="n">
        <v>4415068</v>
      </c>
      <c r="B616" s="12" t="s">
        <v>683</v>
      </c>
      <c r="C616" s="12" t="str">
        <f aca="false">TRIM(SUBSTITUTE($B616,CHAR(160)," "))</f>
        <v>T28C S סד לאגודל כפפה</v>
      </c>
    </row>
    <row r="617" customFormat="false" ht="15" hidden="false" customHeight="true" outlineLevel="0" collapsed="false">
      <c r="A617" s="12" t="n">
        <v>4415029</v>
      </c>
      <c r="B617" s="12" t="s">
        <v>684</v>
      </c>
      <c r="C617" s="12" t="str">
        <f aca="false">TRIM(SUBSTITUTE($B617,CHAR(160)," "))</f>
        <v>סד קיבוע לאצבע הדק</v>
      </c>
    </row>
    <row r="618" customFormat="false" ht="15" hidden="false" customHeight="true" outlineLevel="0" collapsed="false">
      <c r="A618" s="12" t="n">
        <v>4418014</v>
      </c>
      <c r="B618" s="12" t="s">
        <v>685</v>
      </c>
      <c r="C618" s="12" t="str">
        <f aca="false">TRIM(SUBSTITUTE($B618,CHAR(160)," "))</f>
        <v>1314- 62 L צוארון ספוגי</v>
      </c>
    </row>
    <row r="619" customFormat="false" ht="15" hidden="false" customHeight="true" outlineLevel="0" collapsed="false">
      <c r="A619" s="12" t="n">
        <v>4418000</v>
      </c>
      <c r="B619" s="12" t="s">
        <v>686</v>
      </c>
      <c r="C619" s="12" t="str">
        <f aca="false">TRIM(SUBSTITUTE($B619,CHAR(160)," "))</f>
        <v>60 L צוארון ספוגי</v>
      </c>
    </row>
    <row r="620" customFormat="false" ht="15" hidden="false" customHeight="true" outlineLevel="0" collapsed="false">
      <c r="A620" s="12" t="n">
        <v>4418001</v>
      </c>
      <c r="B620" s="12" t="s">
        <v>687</v>
      </c>
      <c r="C620" s="12" t="str">
        <f aca="false">TRIM(SUBSTITUTE($B620,CHAR(160)," "))</f>
        <v>60 M צוארון ספוגי</v>
      </c>
    </row>
    <row r="621" customFormat="false" ht="15" hidden="false" customHeight="true" outlineLevel="0" collapsed="false">
      <c r="A621" s="12" t="n">
        <v>4418002</v>
      </c>
      <c r="B621" s="12" t="s">
        <v>688</v>
      </c>
      <c r="C621" s="12" t="str">
        <f aca="false">TRIM(SUBSTITUTE($B621,CHAR(160)," "))</f>
        <v>60 S צוארון ספוגי</v>
      </c>
    </row>
    <row r="622" customFormat="false" ht="15" hidden="false" customHeight="true" outlineLevel="0" collapsed="false">
      <c r="A622" s="12" t="n">
        <v>4418003</v>
      </c>
      <c r="B622" s="12" t="s">
        <v>689</v>
      </c>
      <c r="C622" s="12" t="str">
        <f aca="false">TRIM(SUBSTITUTE($B622,CHAR(160)," "))</f>
        <v>60 XL צוארון ספוגי</v>
      </c>
    </row>
    <row r="623" customFormat="false" ht="15" hidden="false" customHeight="true" outlineLevel="0" collapsed="false">
      <c r="A623" s="12" t="n">
        <v>4418004</v>
      </c>
      <c r="B623" s="12" t="s">
        <v>690</v>
      </c>
      <c r="C623" s="12" t="str">
        <f aca="false">TRIM(SUBSTITUTE($B623,CHAR(160)," "))</f>
        <v>60 XXL צוארון ספוגי</v>
      </c>
    </row>
    <row r="624" customFormat="false" ht="15" hidden="false" customHeight="true" outlineLevel="0" collapsed="false">
      <c r="A624" s="12" t="n">
        <v>4418016</v>
      </c>
      <c r="B624" s="12" t="s">
        <v>691</v>
      </c>
      <c r="C624" s="12" t="str">
        <f aca="false">TRIM(SUBSTITUTE($B624,CHAR(160)," "))</f>
        <v>60XS צוארון ספוגי</v>
      </c>
    </row>
    <row r="625" customFormat="false" ht="15" hidden="false" customHeight="true" outlineLevel="0" collapsed="false">
      <c r="A625" s="12" t="n">
        <v>4418013</v>
      </c>
      <c r="B625" s="12" t="s">
        <v>692</v>
      </c>
      <c r="C625" s="12" t="str">
        <f aca="false">TRIM(SUBSTITUTE($B625,CHAR(160)," "))</f>
        <v>62 M צוארון ספוגי</v>
      </c>
    </row>
    <row r="626" customFormat="false" ht="15" hidden="false" customHeight="true" outlineLevel="0" collapsed="false">
      <c r="A626" s="12" t="n">
        <v>4418012</v>
      </c>
      <c r="B626" s="12" t="s">
        <v>693</v>
      </c>
      <c r="C626" s="12" t="str">
        <f aca="false">TRIM(SUBSTITUTE($B626,CHAR(160)," "))</f>
        <v>62 S צוארון ספוגי</v>
      </c>
    </row>
    <row r="627" customFormat="false" ht="15" hidden="false" customHeight="true" outlineLevel="0" collapsed="false">
      <c r="A627" s="12" t="n">
        <v>4418015</v>
      </c>
      <c r="B627" s="12" t="s">
        <v>694</v>
      </c>
      <c r="C627" s="12" t="str">
        <f aca="false">TRIM(SUBSTITUTE($B627,CHAR(160)," "))</f>
        <v>62 XL צוארון ספוגי</v>
      </c>
    </row>
    <row r="628" customFormat="false" ht="15" hidden="false" customHeight="true" outlineLevel="0" collapsed="false">
      <c r="A628" s="12" t="n">
        <v>4418007</v>
      </c>
      <c r="B628" s="12" t="s">
        <v>695</v>
      </c>
      <c r="C628" s="12" t="str">
        <f aca="false">TRIM(SUBSTITUTE($B628,CHAR(160)," "))</f>
        <v>63 L צוארון פלסטי מתכוון</v>
      </c>
    </row>
    <row r="629" customFormat="false" ht="15" hidden="false" customHeight="true" outlineLevel="0" collapsed="false">
      <c r="A629" s="12" t="n">
        <v>4418006</v>
      </c>
      <c r="B629" s="12" t="s">
        <v>696</v>
      </c>
      <c r="C629" s="12" t="str">
        <f aca="false">TRIM(SUBSTITUTE($B629,CHAR(160)," "))</f>
        <v>63 M צוארון פלסטי מתכוון</v>
      </c>
    </row>
    <row r="630" customFormat="false" ht="15" hidden="false" customHeight="true" outlineLevel="0" collapsed="false">
      <c r="A630" s="12" t="n">
        <v>4418005</v>
      </c>
      <c r="B630" s="12" t="s">
        <v>697</v>
      </c>
      <c r="C630" s="12" t="str">
        <f aca="false">TRIM(SUBSTITUTE($B630,CHAR(160)," "))</f>
        <v>63 S צוארון פלסטי מתכוון</v>
      </c>
    </row>
    <row r="631" customFormat="false" ht="15" hidden="false" customHeight="true" outlineLevel="0" collapsed="false">
      <c r="A631" s="12" t="n">
        <v>4419003</v>
      </c>
      <c r="B631" s="12" t="s">
        <v>698</v>
      </c>
      <c r="C631" s="12" t="str">
        <f aca="false">TRIM(SUBSTITUTE($B631,CHAR(160)," "))</f>
        <v>FC310-תתקרם הגנה לכף הרגל</v>
      </c>
    </row>
    <row r="632" customFormat="false" ht="15" hidden="false" customHeight="true" outlineLevel="0" collapsed="false">
      <c r="A632" s="12" t="n">
        <v>4419002</v>
      </c>
      <c r="B632" s="12" t="s">
        <v>699</v>
      </c>
      <c r="C632" s="12" t="str">
        <f aca="false">TRIM(SUBSTITUTE($B632,CHAR(160)," "))</f>
        <v>FC311-תתקרם דאודורנט לכף הרגל</v>
      </c>
    </row>
    <row r="633" customFormat="false" ht="15" hidden="false" customHeight="true" outlineLevel="0" collapsed="false">
      <c r="A633" s="12" t="n">
        <v>4419004</v>
      </c>
      <c r="B633" s="12" t="s">
        <v>700</v>
      </c>
      <c r="C633" s="12" t="str">
        <f aca="false">TRIM(SUBSTITUTE($B633,CHAR(160)," "))</f>
        <v>FC312-תתקרם מירוק גרגרי פילינג</v>
      </c>
    </row>
    <row r="634" customFormat="false" ht="15" hidden="false" customHeight="true" outlineLevel="0" collapsed="false">
      <c r="A634" s="12" t="n">
        <v>4419005</v>
      </c>
      <c r="B634" s="12" t="s">
        <v>701</v>
      </c>
      <c r="C634" s="12" t="str">
        <f aca="false">TRIM(SUBSTITUTE($B634,CHAR(160)," "))</f>
        <v>FC313- תתקרם ריכוך</v>
      </c>
    </row>
    <row r="635" customFormat="false" ht="15" hidden="false" customHeight="true" outlineLevel="0" collapsed="false">
      <c r="A635" s="12" t="n">
        <v>4409003</v>
      </c>
      <c r="B635" s="12" t="s">
        <v>702</v>
      </c>
      <c r="C635" s="12" t="str">
        <f aca="false">TRIM(SUBSTITUTE($B635,CHAR(160)," "))</f>
        <v>FC314-תתטלק נוזלי</v>
      </c>
    </row>
    <row r="636" customFormat="false" ht="15" hidden="false" customHeight="true" outlineLevel="0" collapsed="false">
      <c r="A636" s="12" t="n">
        <v>4403009</v>
      </c>
      <c r="B636" s="12" t="s">
        <v>703</v>
      </c>
      <c r="C636" s="12" t="str">
        <f aca="false">TRIM(SUBSTITUTE($B636,CHAR(160)," "))</f>
        <v>FC315-תתג'ל צינון</v>
      </c>
    </row>
    <row r="637" customFormat="false" ht="15" hidden="false" customHeight="true" outlineLevel="0" collapsed="false">
      <c r="A637" s="12" t="n">
        <v>4419010</v>
      </c>
      <c r="B637" s="12" t="s">
        <v>704</v>
      </c>
      <c r="C637" s="12" t="str">
        <f aca="false">TRIM(SUBSTITUTE($B637,CHAR(160)," "))</f>
        <v>FC316 קרם רגליים שיקומי</v>
      </c>
    </row>
    <row r="638" customFormat="false" ht="15" hidden="false" customHeight="true" outlineLevel="0" collapsed="false">
      <c r="A638" s="12" t="n">
        <v>4404000</v>
      </c>
      <c r="B638" s="12" t="s">
        <v>705</v>
      </c>
      <c r="C638" s="12" t="str">
        <f aca="false">TRIM(SUBSTITUTE($B638,CHAR(160)," "))</f>
        <v>FC330Z-תתדאו'אנטי בקט.לנעל120</v>
      </c>
    </row>
    <row r="639" customFormat="false" ht="15" hidden="false" customHeight="true" outlineLevel="0" collapsed="false">
      <c r="A639" s="12" t="n">
        <v>4422003</v>
      </c>
      <c r="B639" s="12" t="s">
        <v>706</v>
      </c>
      <c r="C639" s="12" t="str">
        <f aca="false">TRIM(SUBSTITUTE($B639,CHAR(160)," "))</f>
        <v>FC331Z- 120 תתתרסיס מרענן לרגל</v>
      </c>
    </row>
    <row r="640" customFormat="false" ht="15" hidden="false" customHeight="true" outlineLevel="0" collapsed="false">
      <c r="A640" s="12" t="n">
        <v>4409002</v>
      </c>
      <c r="B640" s="12" t="s">
        <v>707</v>
      </c>
      <c r="C640" s="12" t="str">
        <f aca="false">TRIM(SUBSTITUTE($B640,CHAR(160)," "))</f>
        <v>FC341-טיפות נגד פטרת הציפורן</v>
      </c>
    </row>
    <row r="641" customFormat="false" ht="15" hidden="false" customHeight="true" outlineLevel="0" collapsed="false">
      <c r="A641" s="12" t="n">
        <v>4413002</v>
      </c>
      <c r="B641" s="12" t="s">
        <v>708</v>
      </c>
      <c r="C641" s="12" t="str">
        <f aca="false">TRIM(SUBSTITUTE($B641,CHAR(160)," "))</f>
        <v>30 L מגן קרסול מתכוון עם סקוטש</v>
      </c>
    </row>
    <row r="642" customFormat="false" ht="15" hidden="false" customHeight="true" outlineLevel="0" collapsed="false">
      <c r="A642" s="12" t="n">
        <v>4413003</v>
      </c>
      <c r="B642" s="12" t="s">
        <v>709</v>
      </c>
      <c r="C642" s="12" t="str">
        <f aca="false">TRIM(SUBSTITUTE($B642,CHAR(160)," "))</f>
        <v>30 M מגן קרסול מתכוון עם סקוטש</v>
      </c>
    </row>
    <row r="643" customFormat="false" ht="15" hidden="false" customHeight="true" outlineLevel="0" collapsed="false">
      <c r="A643" s="12" t="n">
        <v>4413000</v>
      </c>
      <c r="B643" s="12" t="s">
        <v>710</v>
      </c>
      <c r="C643" s="12" t="str">
        <f aca="false">TRIM(SUBSTITUTE($B643,CHAR(160)," "))</f>
        <v>30 S מגן קרסול מתכוון עם סקוטש</v>
      </c>
    </row>
    <row r="644" customFormat="false" ht="15" hidden="false" customHeight="true" outlineLevel="0" collapsed="false">
      <c r="A644" s="12" t="n">
        <v>4413004</v>
      </c>
      <c r="B644" s="12" t="s">
        <v>711</v>
      </c>
      <c r="C644" s="12" t="str">
        <f aca="false">TRIM(SUBSTITUTE($B644,CHAR(160)," "))</f>
        <v>30 XL מגן קרסול מתכוון סקוטש</v>
      </c>
    </row>
    <row r="645" customFormat="false" ht="15" hidden="false" customHeight="true" outlineLevel="0" collapsed="false">
      <c r="A645" s="12" t="n">
        <v>4413005</v>
      </c>
      <c r="B645" s="12" t="s">
        <v>712</v>
      </c>
      <c r="C645" s="12" t="str">
        <f aca="false">TRIM(SUBSTITUTE($B645,CHAR(160)," "))</f>
        <v>30 XXL מגן קרסול מתכוון+סקוטש</v>
      </c>
    </row>
    <row r="646" customFormat="false" ht="15" hidden="false" customHeight="true" outlineLevel="0" collapsed="false">
      <c r="A646" s="12" t="n">
        <v>4415011</v>
      </c>
      <c r="B646" s="12" t="s">
        <v>713</v>
      </c>
      <c r="C646" s="12" t="str">
        <f aca="false">TRIM(SUBSTITUTE($B646,CHAR(160)," "))</f>
        <v>32 L סד קרסול+מוטות אלומיניום</v>
      </c>
    </row>
    <row r="647" customFormat="false" ht="15" hidden="false" customHeight="true" outlineLevel="0" collapsed="false">
      <c r="A647" s="12" t="n">
        <v>4415012</v>
      </c>
      <c r="B647" s="12" t="s">
        <v>714</v>
      </c>
      <c r="C647" s="12" t="str">
        <f aca="false">TRIM(SUBSTITUTE($B647,CHAR(160)," "))</f>
        <v>32 M סד קרסול+מוטות אלומיניום</v>
      </c>
    </row>
    <row r="648" customFormat="false" ht="15" hidden="false" customHeight="true" outlineLevel="0" collapsed="false">
      <c r="A648" s="12" t="n">
        <v>4415013</v>
      </c>
      <c r="B648" s="12" t="s">
        <v>715</v>
      </c>
      <c r="C648" s="12" t="str">
        <f aca="false">TRIM(SUBSTITUTE($B648,CHAR(160)," "))</f>
        <v>32 XL סד קרסול+מוטות אלומיניום</v>
      </c>
    </row>
    <row r="649" customFormat="false" ht="15" hidden="false" customHeight="true" outlineLevel="0" collapsed="false">
      <c r="A649" s="12" t="n">
        <v>4413347</v>
      </c>
      <c r="B649" s="12" t="s">
        <v>716</v>
      </c>
      <c r="C649" s="12" t="str">
        <f aca="false">TRIM(SUBSTITUTE($B649,CHAR(160)," "))</f>
        <v>322-L מגן קרסול+כרית סילקון</v>
      </c>
    </row>
    <row r="650" customFormat="false" ht="15" hidden="false" customHeight="true" outlineLevel="0" collapsed="false">
      <c r="A650" s="12" t="n">
        <v>4413336</v>
      </c>
      <c r="B650" s="12" t="s">
        <v>717</v>
      </c>
      <c r="C650" s="12" t="str">
        <f aca="false">TRIM(SUBSTITUTE($B650,CHAR(160)," "))</f>
        <v>322-M מגן קרסול+כרית סילקון</v>
      </c>
    </row>
    <row r="651" customFormat="false" ht="15" hidden="false" customHeight="true" outlineLevel="0" collapsed="false">
      <c r="A651" s="12" t="n">
        <v>4413335</v>
      </c>
      <c r="B651" s="12" t="s">
        <v>718</v>
      </c>
      <c r="C651" s="12" t="str">
        <f aca="false">TRIM(SUBSTITUTE($B651,CHAR(160)," "))</f>
        <v>322-S מגן קרסול+כרית סילקון</v>
      </c>
    </row>
    <row r="652" customFormat="false" ht="15" hidden="false" customHeight="true" outlineLevel="0" collapsed="false">
      <c r="A652" s="12" t="n">
        <v>4413337</v>
      </c>
      <c r="B652" s="12" t="s">
        <v>719</v>
      </c>
      <c r="C652" s="12" t="str">
        <f aca="false">TRIM(SUBSTITUTE($B652,CHAR(160)," "))</f>
        <v>322XL מגן קרסול+כרית סילקון</v>
      </c>
    </row>
    <row r="653" customFormat="false" ht="15" hidden="false" customHeight="true" outlineLevel="0" collapsed="false">
      <c r="A653" s="12" t="n">
        <v>4413338</v>
      </c>
      <c r="B653" s="12" t="s">
        <v>720</v>
      </c>
      <c r="C653" s="12" t="str">
        <f aca="false">TRIM(SUBSTITUTE($B653,CHAR(160)," "))</f>
        <v>322XXLמגן קרסול+כרית סילקון</v>
      </c>
    </row>
    <row r="654" customFormat="false" ht="15" hidden="false" customHeight="true" outlineLevel="0" collapsed="false">
      <c r="A654" s="12" t="n">
        <v>4415015</v>
      </c>
      <c r="B654" s="12" t="s">
        <v>721</v>
      </c>
      <c r="C654" s="12" t="str">
        <f aca="false">TRIM(SUBSTITUTE($B654,CHAR(160)," "))</f>
        <v>33 Lסד קל לקרסול עם סדי פלסטיק</v>
      </c>
    </row>
    <row r="655" customFormat="false" ht="15" hidden="false" customHeight="true" outlineLevel="0" collapsed="false">
      <c r="A655" s="12" t="n">
        <v>4415016</v>
      </c>
      <c r="B655" s="12" t="s">
        <v>722</v>
      </c>
      <c r="C655" s="12" t="str">
        <f aca="false">TRIM(SUBSTITUTE($B655,CHAR(160)," "))</f>
        <v>33 Mסד קל לקרסול עם סדי פלסטיק</v>
      </c>
    </row>
    <row r="656" customFormat="false" ht="15" hidden="false" customHeight="true" outlineLevel="0" collapsed="false">
      <c r="A656" s="12" t="n">
        <v>4415017</v>
      </c>
      <c r="B656" s="12" t="s">
        <v>723</v>
      </c>
      <c r="C656" s="12" t="str">
        <f aca="false">TRIM(SUBSTITUTE($B656,CHAR(160)," "))</f>
        <v>33 Sסד קל לקרסול עם סדי פלסטיק</v>
      </c>
    </row>
    <row r="657" customFormat="false" ht="15" hidden="false" customHeight="true" outlineLevel="0" collapsed="false">
      <c r="A657" s="12" t="n">
        <v>4415018</v>
      </c>
      <c r="B657" s="12" t="s">
        <v>724</v>
      </c>
      <c r="C657" s="12" t="str">
        <f aca="false">TRIM(SUBSTITUTE($B657,CHAR(160)," "))</f>
        <v>33 XL.סד קל לקרסול עם סדי פלסט</v>
      </c>
    </row>
    <row r="658" customFormat="false" ht="15" hidden="false" customHeight="true" outlineLevel="0" collapsed="false">
      <c r="A658" s="12" t="n">
        <v>4413428</v>
      </c>
      <c r="B658" s="12" t="s">
        <v>725</v>
      </c>
      <c r="C658" s="12" t="str">
        <f aca="false">TRIM(SUBSTITUTE($B658,CHAR(160)," "))</f>
        <v>332CL'מייצב קרסול עם שרוכים בז</v>
      </c>
    </row>
    <row r="659" customFormat="false" ht="15" hidden="false" customHeight="true" outlineLevel="0" collapsed="false">
      <c r="A659" s="12" t="n">
        <v>4413429</v>
      </c>
      <c r="B659" s="12" t="s">
        <v>726</v>
      </c>
      <c r="C659" s="12" t="str">
        <f aca="false">TRIM(SUBSTITUTE($B659,CHAR(160)," "))</f>
        <v>332CM'מייצב קרסול עם שרוכים בז</v>
      </c>
    </row>
    <row r="660" customFormat="false" ht="15" hidden="false" customHeight="true" outlineLevel="0" collapsed="false">
      <c r="A660" s="12" t="n">
        <v>4413430</v>
      </c>
      <c r="B660" s="12" t="s">
        <v>727</v>
      </c>
      <c r="C660" s="12" t="str">
        <f aca="false">TRIM(SUBSTITUTE($B660,CHAR(160)," "))</f>
        <v>332CS'מייצב קרסול עם שרוכים בז</v>
      </c>
    </row>
    <row r="661" customFormat="false" ht="15" hidden="false" customHeight="true" outlineLevel="0" collapsed="false">
      <c r="A661" s="12" t="n">
        <v>4413431</v>
      </c>
      <c r="B661" s="12" t="s">
        <v>728</v>
      </c>
      <c r="C661" s="12" t="str">
        <f aca="false">TRIM(SUBSTITUTE($B661,CHAR(160)," "))</f>
        <v>332CXLמייצב קרסול עם שרוכים בז</v>
      </c>
    </row>
    <row r="662" customFormat="false" ht="15" hidden="false" customHeight="true" outlineLevel="0" collapsed="false">
      <c r="A662" s="12" t="n">
        <v>4413432</v>
      </c>
      <c r="B662" s="12" t="s">
        <v>729</v>
      </c>
      <c r="C662" s="12" t="str">
        <f aca="false">TRIM(SUBSTITUTE($B662,CHAR(160)," "))</f>
        <v>332CXXLמיצב קרסול עם שרוכים בז</v>
      </c>
    </row>
    <row r="663" customFormat="false" ht="15" hidden="false" customHeight="true" outlineLevel="0" collapsed="false">
      <c r="A663" s="12" t="n">
        <v>4415019</v>
      </c>
      <c r="B663" s="12" t="s">
        <v>730</v>
      </c>
      <c r="C663" s="12" t="str">
        <f aca="false">TRIM(SUBSTITUTE($B663,CHAR(160)," "))</f>
        <v>333 סד לקרסול עם כריות אויר</v>
      </c>
    </row>
    <row r="664" customFormat="false" ht="15" hidden="false" customHeight="true" outlineLevel="0" collapsed="false">
      <c r="A664" s="12" t="n">
        <v>4413043</v>
      </c>
      <c r="B664" s="12" t="s">
        <v>731</v>
      </c>
      <c r="C664" s="12" t="str">
        <f aca="false">TRIM(SUBSTITUTE($B664,CHAR(160)," "))</f>
        <v>34 L מגן קרסול עקב סגור</v>
      </c>
    </row>
    <row r="665" customFormat="false" ht="15" hidden="false" customHeight="true" outlineLevel="0" collapsed="false">
      <c r="A665" s="12" t="n">
        <v>4413041</v>
      </c>
      <c r="B665" s="12" t="s">
        <v>732</v>
      </c>
      <c r="C665" s="12" t="str">
        <f aca="false">TRIM(SUBSTITUTE($B665,CHAR(160)," "))</f>
        <v>34 M מגן קרסול עקב סגור</v>
      </c>
    </row>
    <row r="666" customFormat="false" ht="15" hidden="false" customHeight="true" outlineLevel="0" collapsed="false">
      <c r="A666" s="12" t="n">
        <v>4413042</v>
      </c>
      <c r="B666" s="12" t="s">
        <v>733</v>
      </c>
      <c r="C666" s="12" t="str">
        <f aca="false">TRIM(SUBSTITUTE($B666,CHAR(160)," "))</f>
        <v>34 S מגן קרסול עקב סגור</v>
      </c>
    </row>
    <row r="667" customFormat="false" ht="15" hidden="false" customHeight="true" outlineLevel="0" collapsed="false">
      <c r="A667" s="12" t="n">
        <v>4413044</v>
      </c>
      <c r="B667" s="12" t="s">
        <v>734</v>
      </c>
      <c r="C667" s="12" t="str">
        <f aca="false">TRIM(SUBSTITUTE($B667,CHAR(160)," "))</f>
        <v>34 XL מגן קרסול עקב סגור</v>
      </c>
    </row>
    <row r="668" customFormat="false" ht="15" hidden="false" customHeight="true" outlineLevel="0" collapsed="false">
      <c r="A668" s="12" t="n">
        <v>4413045</v>
      </c>
      <c r="B668" s="12" t="s">
        <v>735</v>
      </c>
      <c r="C668" s="12" t="str">
        <f aca="false">TRIM(SUBSTITUTE($B668,CHAR(160)," "))</f>
        <v>34 XS מגן קרסול עקב סגור</v>
      </c>
    </row>
    <row r="669" customFormat="false" ht="15" hidden="false" customHeight="true" outlineLevel="0" collapsed="false">
      <c r="A669" s="12" t="n">
        <v>4413046</v>
      </c>
      <c r="B669" s="12" t="s">
        <v>736</v>
      </c>
      <c r="C669" s="12" t="str">
        <f aca="false">TRIM(SUBSTITUTE($B669,CHAR(160)," "))</f>
        <v>34 XXL מגן קרסול עקב סגור</v>
      </c>
    </row>
    <row r="670" customFormat="false" ht="15" hidden="false" customHeight="true" outlineLevel="0" collapsed="false">
      <c r="A670" s="12" t="n">
        <v>4413161</v>
      </c>
      <c r="B670" s="12" t="s">
        <v>737</v>
      </c>
      <c r="C670" s="12" t="str">
        <f aca="false">TRIM(SUBSTITUTE($B670,CHAR(160)," "))</f>
        <v>34+ L מגן קרסול עקב סגור+רצוע</v>
      </c>
    </row>
    <row r="671" customFormat="false" ht="15" hidden="false" customHeight="true" outlineLevel="0" collapsed="false">
      <c r="A671" s="12" t="n">
        <v>4413160</v>
      </c>
      <c r="B671" s="12" t="s">
        <v>738</v>
      </c>
      <c r="C671" s="12" t="str">
        <f aca="false">TRIM(SUBSTITUTE($B671,CHAR(160)," "))</f>
        <v>34+ M מגן קרסול עקב סגור+רצוע</v>
      </c>
    </row>
    <row r="672" customFormat="false" ht="15" hidden="false" customHeight="true" outlineLevel="0" collapsed="false">
      <c r="A672" s="12" t="n">
        <v>4413159</v>
      </c>
      <c r="B672" s="12" t="s">
        <v>739</v>
      </c>
      <c r="C672" s="12" t="str">
        <f aca="false">TRIM(SUBSTITUTE($B672,CHAR(160)," "))</f>
        <v>34+ S מגן קרסול עקב סגור+רצוע</v>
      </c>
    </row>
    <row r="673" customFormat="false" ht="15" hidden="false" customHeight="true" outlineLevel="0" collapsed="false">
      <c r="A673" s="12" t="n">
        <v>4413162</v>
      </c>
      <c r="B673" s="12" t="s">
        <v>740</v>
      </c>
      <c r="C673" s="12" t="str">
        <f aca="false">TRIM(SUBSTITUTE($B673,CHAR(160)," "))</f>
        <v>34+XL מגן קרסול עקב סגור+רצוע</v>
      </c>
    </row>
    <row r="674" customFormat="false" ht="15" hidden="false" customHeight="true" outlineLevel="0" collapsed="false">
      <c r="A674" s="12" t="n">
        <v>4413303</v>
      </c>
      <c r="B674" s="12" t="s">
        <v>741</v>
      </c>
      <c r="C674" s="12" t="str">
        <f aca="false">TRIM(SUBSTITUTE($B674,CHAR(160)," "))</f>
        <v>34+XXL מ.קרסול+עכב סגור+רצועות</v>
      </c>
    </row>
    <row r="675" customFormat="false" ht="15" hidden="false" customHeight="true" outlineLevel="0" collapsed="false">
      <c r="A675" s="12" t="n">
        <v>4413048</v>
      </c>
      <c r="B675" s="12" t="s">
        <v>742</v>
      </c>
      <c r="C675" s="12" t="str">
        <f aca="false">TRIM(SUBSTITUTE($B675,CHAR(160)," "))</f>
        <v>35 L מגן קרסול לבן</v>
      </c>
    </row>
    <row r="676" customFormat="false" ht="15" hidden="false" customHeight="true" outlineLevel="0" collapsed="false">
      <c r="A676" s="12" t="n">
        <v>4413049</v>
      </c>
      <c r="B676" s="12" t="s">
        <v>743</v>
      </c>
      <c r="C676" s="12" t="str">
        <f aca="false">TRIM(SUBSTITUTE($B676,CHAR(160)," "))</f>
        <v>35 M מגן קרסול לבן</v>
      </c>
    </row>
    <row r="677" customFormat="false" ht="15" hidden="false" customHeight="true" outlineLevel="0" collapsed="false">
      <c r="A677" s="12" t="n">
        <v>4413047</v>
      </c>
      <c r="B677" s="12" t="s">
        <v>744</v>
      </c>
      <c r="C677" s="12" t="str">
        <f aca="false">TRIM(SUBSTITUTE($B677,CHAR(160)," "))</f>
        <v>35 S מגן קרסול לבן</v>
      </c>
    </row>
    <row r="678" customFormat="false" ht="15" hidden="false" customHeight="true" outlineLevel="0" collapsed="false">
      <c r="A678" s="12" t="n">
        <v>4413050</v>
      </c>
      <c r="B678" s="12" t="s">
        <v>745</v>
      </c>
      <c r="C678" s="12" t="str">
        <f aca="false">TRIM(SUBSTITUTE($B678,CHAR(160)," "))</f>
        <v>35 XL מגן קרסול לבן</v>
      </c>
    </row>
    <row r="679" customFormat="false" ht="15" hidden="false" customHeight="true" outlineLevel="0" collapsed="false">
      <c r="A679" s="12" t="n">
        <v>4413324</v>
      </c>
      <c r="B679" s="12" t="s">
        <v>746</v>
      </c>
      <c r="C679" s="12" t="str">
        <f aca="false">TRIM(SUBSTITUTE($B679,CHAR(160)," "))</f>
        <v>35 XS מגן קרסול לבן</v>
      </c>
    </row>
    <row r="680" customFormat="false" ht="15" hidden="false" customHeight="true" outlineLevel="0" collapsed="false">
      <c r="A680" s="12" t="n">
        <v>4413051</v>
      </c>
      <c r="B680" s="12" t="s">
        <v>747</v>
      </c>
      <c r="C680" s="12" t="str">
        <f aca="false">TRIM(SUBSTITUTE($B680,CHAR(160)," "))</f>
        <v>35 XXL מגן קרסול לבן</v>
      </c>
    </row>
    <row r="681" customFormat="false" ht="15" hidden="false" customHeight="true" outlineLevel="0" collapsed="false">
      <c r="A681" s="12" t="n">
        <v>4413490</v>
      </c>
      <c r="B681" s="12" t="s">
        <v>748</v>
      </c>
      <c r="C681" s="12" t="str">
        <f aca="false">TRIM(SUBSTITUTE($B681,CHAR(160)," "))</f>
        <v>35B L מגן קרסול שחור</v>
      </c>
    </row>
    <row r="682" customFormat="false" ht="15" hidden="false" customHeight="true" outlineLevel="0" collapsed="false">
      <c r="A682" s="12" t="n">
        <v>4413492</v>
      </c>
      <c r="B682" s="12" t="s">
        <v>749</v>
      </c>
      <c r="C682" s="12" t="str">
        <f aca="false">TRIM(SUBSTITUTE($B682,CHAR(160)," "))</f>
        <v>35B M מגן קרסול שחור</v>
      </c>
    </row>
    <row r="683" customFormat="false" ht="15" hidden="false" customHeight="true" outlineLevel="0" collapsed="false">
      <c r="A683" s="12" t="n">
        <v>4413493</v>
      </c>
      <c r="B683" s="12" t="s">
        <v>750</v>
      </c>
      <c r="C683" s="12" t="str">
        <f aca="false">TRIM(SUBSTITUTE($B683,CHAR(160)," "))</f>
        <v>35B S מגן קרסול שחור</v>
      </c>
    </row>
    <row r="684" customFormat="false" ht="15" hidden="false" customHeight="true" outlineLevel="0" collapsed="false">
      <c r="A684" s="12" t="n">
        <v>4413491</v>
      </c>
      <c r="B684" s="12" t="s">
        <v>751</v>
      </c>
      <c r="C684" s="12" t="str">
        <f aca="false">TRIM(SUBSTITUTE($B684,CHAR(160)," "))</f>
        <v>35B XL מגן קרסול שחור</v>
      </c>
    </row>
    <row r="685" customFormat="false" ht="15" hidden="false" customHeight="true" outlineLevel="0" collapsed="false">
      <c r="A685" s="12" t="n">
        <v>4413494</v>
      </c>
      <c r="B685" s="12" t="s">
        <v>752</v>
      </c>
      <c r="C685" s="12" t="str">
        <f aca="false">TRIM(SUBSTITUTE($B685,CHAR(160)," "))</f>
        <v>35B XXL מגן קרסול שחור</v>
      </c>
    </row>
    <row r="686" customFormat="false" ht="15" hidden="false" customHeight="true" outlineLevel="0" collapsed="false">
      <c r="A686" s="12" t="n">
        <v>4413053</v>
      </c>
      <c r="B686" s="12" t="s">
        <v>753</v>
      </c>
      <c r="C686" s="12" t="str">
        <f aca="false">TRIM(SUBSTITUTE($B686,CHAR(160)," "))</f>
        <v>35C L מגן קרסול חום</v>
      </c>
    </row>
    <row r="687" customFormat="false" ht="15" hidden="false" customHeight="true" outlineLevel="0" collapsed="false">
      <c r="A687" s="12" t="n">
        <v>4413054</v>
      </c>
      <c r="B687" s="12" t="s">
        <v>754</v>
      </c>
      <c r="C687" s="12" t="str">
        <f aca="false">TRIM(SUBSTITUTE($B687,CHAR(160)," "))</f>
        <v>35C M מגן קרסול חום</v>
      </c>
    </row>
    <row r="688" customFormat="false" ht="15" hidden="false" customHeight="true" outlineLevel="0" collapsed="false">
      <c r="A688" s="12" t="n">
        <v>4413052</v>
      </c>
      <c r="B688" s="12" t="s">
        <v>755</v>
      </c>
      <c r="C688" s="12" t="str">
        <f aca="false">TRIM(SUBSTITUTE($B688,CHAR(160)," "))</f>
        <v>35C S מגן קרסול חום</v>
      </c>
    </row>
    <row r="689" customFormat="false" ht="15" hidden="false" customHeight="true" outlineLevel="0" collapsed="false">
      <c r="A689" s="12" t="n">
        <v>4413055</v>
      </c>
      <c r="B689" s="12" t="s">
        <v>756</v>
      </c>
      <c r="C689" s="12" t="str">
        <f aca="false">TRIM(SUBSTITUTE($B689,CHAR(160)," "))</f>
        <v>35C XL מגן קרסול חום</v>
      </c>
    </row>
    <row r="690" customFormat="false" ht="15" hidden="false" customHeight="true" outlineLevel="0" collapsed="false">
      <c r="A690" s="12" t="n">
        <v>4413530</v>
      </c>
      <c r="B690" s="12" t="s">
        <v>757</v>
      </c>
      <c r="C690" s="12" t="str">
        <f aca="false">TRIM(SUBSTITUTE($B690,CHAR(160)," "))</f>
        <v>35C XXL מגן קרסול חום</v>
      </c>
    </row>
    <row r="691" customFormat="false" ht="15" hidden="false" customHeight="true" outlineLevel="0" collapsed="false">
      <c r="A691" s="12" t="n">
        <v>4413326</v>
      </c>
      <c r="B691" s="12" t="s">
        <v>758</v>
      </c>
      <c r="C691" s="12" t="str">
        <f aca="false">TRIM(SUBSTITUTE($B691,CHAR(160)," "))</f>
        <v>AC37 מגן קרסול נושם</v>
      </c>
    </row>
    <row r="692" customFormat="false" ht="15" hidden="false" customHeight="true" outlineLevel="0" collapsed="false">
      <c r="A692" s="12" t="n">
        <v>4413534</v>
      </c>
      <c r="B692" s="12" t="s">
        <v>759</v>
      </c>
      <c r="C692" s="12" t="str">
        <f aca="false">TRIM(SUBSTITUTE($B692,CHAR(160)," "))</f>
        <v>SH333 מקבע קרסול</v>
      </c>
    </row>
    <row r="693" customFormat="false" ht="15" hidden="false" customHeight="true" outlineLevel="0" collapsed="false">
      <c r="A693" s="12" t="n">
        <v>4408269</v>
      </c>
      <c r="B693" s="12" t="s">
        <v>760</v>
      </c>
      <c r="C693" s="12" t="str">
        <f aca="false">TRIM(SUBSTITUTE($B693,CHAR(160)," "))</f>
        <v>ST37 חבק לקרסול</v>
      </c>
    </row>
    <row r="694" customFormat="false" ht="15" hidden="false" customHeight="true" outlineLevel="0" collapsed="false">
      <c r="A694" s="12" t="n">
        <v>4415105</v>
      </c>
      <c r="B694" s="12" t="s">
        <v>761</v>
      </c>
      <c r="C694" s="12" t="str">
        <f aca="false">TRIM(SUBSTITUTE($B694,CHAR(160)," "))</f>
        <v>T32 S סד קרסול+מוטות אלומיניום</v>
      </c>
    </row>
    <row r="695" customFormat="false" ht="15" hidden="false" customHeight="true" outlineLevel="0" collapsed="false">
      <c r="A695" s="12" t="n">
        <v>4415084</v>
      </c>
      <c r="B695" s="12" t="s">
        <v>762</v>
      </c>
      <c r="C695" s="12" t="str">
        <f aca="false">TRIM(SUBSTITUTE($B695,CHAR(160)," "))</f>
        <v>T33 L סד לקרסול</v>
      </c>
    </row>
    <row r="696" customFormat="false" ht="15" hidden="false" customHeight="true" outlineLevel="0" collapsed="false">
      <c r="A696" s="12" t="n">
        <v>4415083</v>
      </c>
      <c r="B696" s="12" t="s">
        <v>763</v>
      </c>
      <c r="C696" s="12" t="str">
        <f aca="false">TRIM(SUBSTITUTE($B696,CHAR(160)," "))</f>
        <v>T33 M סד לקרסול</v>
      </c>
    </row>
    <row r="697" customFormat="false" ht="15" hidden="false" customHeight="true" outlineLevel="0" collapsed="false">
      <c r="A697" s="12" t="n">
        <v>4415120</v>
      </c>
      <c r="B697" s="12" t="s">
        <v>764</v>
      </c>
      <c r="C697" s="12" t="str">
        <f aca="false">TRIM(SUBSTITUTE($B697,CHAR(160)," "))</f>
        <v>T33 XXL סד לקרסול</v>
      </c>
    </row>
    <row r="698" customFormat="false" ht="15" hidden="false" customHeight="true" outlineLevel="0" collapsed="false">
      <c r="A698" s="12" t="n">
        <v>4413217</v>
      </c>
      <c r="B698" s="12" t="s">
        <v>765</v>
      </c>
      <c r="C698" s="12" t="str">
        <f aca="false">TRIM(SUBSTITUTE($B698,CHAR(160)," "))</f>
        <v>T35 Lמגן קרסול+ צמדן</v>
      </c>
    </row>
    <row r="699" customFormat="false" ht="15" hidden="false" customHeight="true" outlineLevel="0" collapsed="false">
      <c r="A699" s="12" t="n">
        <v>4413216</v>
      </c>
      <c r="B699" s="12" t="s">
        <v>766</v>
      </c>
      <c r="C699" s="12" t="str">
        <f aca="false">TRIM(SUBSTITUTE($B699,CHAR(160)," "))</f>
        <v>T35 Mמגן קרסול+ צמדן</v>
      </c>
    </row>
    <row r="700" customFormat="false" ht="15" hidden="false" customHeight="true" outlineLevel="0" collapsed="false">
      <c r="A700" s="12" t="n">
        <v>4413215</v>
      </c>
      <c r="B700" s="12" t="s">
        <v>767</v>
      </c>
      <c r="C700" s="12" t="str">
        <f aca="false">TRIM(SUBSTITUTE($B700,CHAR(160)," "))</f>
        <v>T35 Sמגן קרסול+ צמדן</v>
      </c>
    </row>
    <row r="701" customFormat="false" ht="15" hidden="false" customHeight="true" outlineLevel="0" collapsed="false">
      <c r="A701" s="12" t="n">
        <v>4413218</v>
      </c>
      <c r="B701" s="12" t="s">
        <v>768</v>
      </c>
      <c r="C701" s="12" t="str">
        <f aca="false">TRIM(SUBSTITUTE($B701,CHAR(160)," "))</f>
        <v>T35 XLמגן קרסול+ צמדן</v>
      </c>
    </row>
    <row r="702" customFormat="false" ht="15" hidden="false" customHeight="true" outlineLevel="0" collapsed="false">
      <c r="A702" s="12" t="n">
        <v>4420036</v>
      </c>
      <c r="B702" s="12" t="s">
        <v>769</v>
      </c>
      <c r="C702" s="12" t="str">
        <f aca="false">TRIM(SUBSTITUTE($B702,CHAR(160)," "))</f>
        <v>301CM 41-45 'רפידת ג'ל בז</v>
      </c>
    </row>
    <row r="703" customFormat="false" ht="15" hidden="false" customHeight="true" outlineLevel="0" collapsed="false">
      <c r="A703" s="12" t="n">
        <v>4420035</v>
      </c>
      <c r="B703" s="12" t="s">
        <v>770</v>
      </c>
      <c r="C703" s="12" t="str">
        <f aca="false">TRIM(SUBSTITUTE($B703,CHAR(160)," "))</f>
        <v>301CW 36-40 'רפידת ג'ל בז</v>
      </c>
    </row>
    <row r="704" customFormat="false" ht="15" hidden="false" customHeight="true" outlineLevel="0" collapsed="false">
      <c r="A704" s="12" t="n">
        <v>4420038</v>
      </c>
      <c r="B704" s="12" t="s">
        <v>771</v>
      </c>
      <c r="C704" s="12" t="str">
        <f aca="false">TRIM(SUBSTITUTE($B704,CHAR(160)," "))</f>
        <v>301JM רפידת ג'ל כחול40-45</v>
      </c>
    </row>
    <row r="705" customFormat="false" ht="15" hidden="false" customHeight="true" outlineLevel="0" collapsed="false">
      <c r="A705" s="12" t="n">
        <v>4420037</v>
      </c>
      <c r="B705" s="12" t="s">
        <v>772</v>
      </c>
      <c r="C705" s="12" t="str">
        <f aca="false">TRIM(SUBSTITUTE($B705,CHAR(160)," "))</f>
        <v>301JW רפידת ג'ל כחול36-40</v>
      </c>
    </row>
    <row r="706" customFormat="false" ht="15" hidden="false" customHeight="true" outlineLevel="0" collapsed="false">
      <c r="A706" s="12" t="n">
        <v>4420028</v>
      </c>
      <c r="B706" s="12" t="s">
        <v>773</v>
      </c>
      <c r="C706" s="12" t="str">
        <f aca="false">TRIM(SUBSTITUTE($B706,CHAR(160)," "))</f>
        <v>35-37 רפידת ספורט 376 מידה</v>
      </c>
    </row>
    <row r="707" customFormat="false" ht="15" hidden="false" customHeight="true" outlineLevel="0" collapsed="false">
      <c r="A707" s="12" t="n">
        <v>4420000</v>
      </c>
      <c r="B707" s="12" t="s">
        <v>774</v>
      </c>
      <c r="C707" s="12" t="str">
        <f aca="false">TRIM(SUBSTITUTE($B707,CHAR(160)," "))</f>
        <v>370 רפידת נוחות-זוג</v>
      </c>
    </row>
    <row r="708" customFormat="false" ht="15" hidden="false" customHeight="true" outlineLevel="0" collapsed="false">
      <c r="A708" s="12" t="n">
        <v>4420027</v>
      </c>
      <c r="B708" s="12" t="s">
        <v>775</v>
      </c>
      <c r="C708" s="12" t="str">
        <f aca="false">TRIM(SUBSTITUTE($B708,CHAR(160)," "))</f>
        <v>370K 0 רפידת לילדים אנטי ריח</v>
      </c>
    </row>
    <row r="709" customFormat="false" ht="15" hidden="false" customHeight="true" outlineLevel="0" collapsed="false">
      <c r="A709" s="12" t="n">
        <v>4420001</v>
      </c>
      <c r="B709" s="12" t="s">
        <v>776</v>
      </c>
      <c r="C709" s="12" t="str">
        <f aca="false">TRIM(SUBSTITUTE($B709,CHAR(160)," "))</f>
        <v>371 רפידת מגבת כותנה-זוג</v>
      </c>
    </row>
    <row r="710" customFormat="false" ht="15" hidden="false" customHeight="true" outlineLevel="0" collapsed="false">
      <c r="A710" s="12" t="n">
        <v>4420002</v>
      </c>
      <c r="B710" s="12" t="s">
        <v>777</v>
      </c>
      <c r="C710" s="12" t="str">
        <f aca="false">TRIM(SUBSTITUTE($B710,CHAR(160)," "))</f>
        <v>372 רפידת אנטי ריח -זוג</v>
      </c>
    </row>
    <row r="711" customFormat="false" ht="15" hidden="false" customHeight="true" outlineLevel="0" collapsed="false">
      <c r="A711" s="12" t="n">
        <v>4420003</v>
      </c>
      <c r="B711" s="12" t="s">
        <v>778</v>
      </c>
      <c r="C711" s="12" t="str">
        <f aca="false">TRIM(SUBSTITUTE($B711,CHAR(160)," "))</f>
        <v>374 רפידת בולמת זעזועים -זוג</v>
      </c>
    </row>
    <row r="712" customFormat="false" ht="15" hidden="false" customHeight="true" outlineLevel="0" collapsed="false">
      <c r="A712" s="12" t="n">
        <v>4420007</v>
      </c>
      <c r="B712" s="12" t="s">
        <v>779</v>
      </c>
      <c r="C712" s="12" t="str">
        <f aca="false">TRIM(SUBSTITUTE($B712,CHAR(160)," "))</f>
        <v>377 רפ.ורטופדית ספורט זוג38</v>
      </c>
    </row>
    <row r="713" customFormat="false" ht="15" hidden="false" customHeight="true" outlineLevel="0" collapsed="false">
      <c r="A713" s="12" t="n">
        <v>4420012</v>
      </c>
      <c r="B713" s="12" t="s">
        <v>780</v>
      </c>
      <c r="C713" s="12" t="str">
        <f aca="false">TRIM(SUBSTITUTE($B713,CHAR(160)," "))</f>
        <v>377 רפידה אורט.ספורט זוג43</v>
      </c>
    </row>
    <row r="714" customFormat="false" ht="15" hidden="false" customHeight="true" outlineLevel="0" collapsed="false">
      <c r="A714" s="12" t="n">
        <v>4420004</v>
      </c>
      <c r="B714" s="12" t="s">
        <v>781</v>
      </c>
      <c r="C714" s="12" t="str">
        <f aca="false">TRIM(SUBSTITUTE($B714,CHAR(160)," "))</f>
        <v>377 רפ.אורטופדית ספורט זוג35</v>
      </c>
    </row>
    <row r="715" customFormat="false" ht="15" hidden="false" customHeight="true" outlineLevel="0" collapsed="false">
      <c r="A715" s="12" t="n">
        <v>4420006</v>
      </c>
      <c r="B715" s="12" t="s">
        <v>782</v>
      </c>
      <c r="C715" s="12" t="str">
        <f aca="false">TRIM(SUBSTITUTE($B715,CHAR(160)," "))</f>
        <v>377 רפ.אורטופדית ספורט זוג37</v>
      </c>
    </row>
    <row r="716" customFormat="false" ht="15" hidden="false" customHeight="true" outlineLevel="0" collapsed="false">
      <c r="A716" s="12" t="n">
        <v>4420008</v>
      </c>
      <c r="B716" s="12" t="s">
        <v>783</v>
      </c>
      <c r="C716" s="12" t="str">
        <f aca="false">TRIM(SUBSTITUTE($B716,CHAR(160)," "))</f>
        <v>377 רפ.אורטופדית ספורט זוג39</v>
      </c>
    </row>
    <row r="717" customFormat="false" ht="15" hidden="false" customHeight="true" outlineLevel="0" collapsed="false">
      <c r="A717" s="12" t="n">
        <v>4420009</v>
      </c>
      <c r="B717" s="12" t="s">
        <v>784</v>
      </c>
      <c r="C717" s="12" t="str">
        <f aca="false">TRIM(SUBSTITUTE($B717,CHAR(160)," "))</f>
        <v>377 רפ.אורטופדית ספורט זוג40</v>
      </c>
    </row>
    <row r="718" customFormat="false" ht="15" hidden="false" customHeight="true" outlineLevel="0" collapsed="false">
      <c r="A718" s="12" t="n">
        <v>4420015</v>
      </c>
      <c r="B718" s="12" t="s">
        <v>785</v>
      </c>
      <c r="C718" s="12" t="str">
        <f aca="false">TRIM(SUBSTITUTE($B718,CHAR(160)," "))</f>
        <v>377 רפ.אורטופדית ספורט זוג46</v>
      </c>
    </row>
    <row r="719" customFormat="false" ht="15" hidden="false" customHeight="true" outlineLevel="0" collapsed="false">
      <c r="A719" s="12" t="n">
        <v>4420013</v>
      </c>
      <c r="B719" s="12" t="s">
        <v>786</v>
      </c>
      <c r="C719" s="12" t="str">
        <f aca="false">TRIM(SUBSTITUTE($B719,CHAR(160)," "))</f>
        <v>377 רפידה אורט.ספורט זוג44</v>
      </c>
    </row>
    <row r="720" customFormat="false" ht="15" hidden="false" customHeight="true" outlineLevel="0" collapsed="false">
      <c r="A720" s="12" t="n">
        <v>4420010</v>
      </c>
      <c r="B720" s="12" t="s">
        <v>787</v>
      </c>
      <c r="C720" s="12" t="str">
        <f aca="false">TRIM(SUBSTITUTE($B720,CHAR(160)," "))</f>
        <v>377 רפידה אורטופ.ספורט זוג41</v>
      </c>
    </row>
    <row r="721" customFormat="false" ht="15" hidden="false" customHeight="true" outlineLevel="0" collapsed="false">
      <c r="A721" s="12" t="n">
        <v>4420005</v>
      </c>
      <c r="B721" s="12" t="s">
        <v>788</v>
      </c>
      <c r="C721" s="12" t="str">
        <f aca="false">TRIM(SUBSTITUTE($B721,CHAR(160)," "))</f>
        <v>377 רפ.אורטופדית ספורט זוג36</v>
      </c>
    </row>
    <row r="722" customFormat="false" ht="15" hidden="false" customHeight="true" outlineLevel="0" collapsed="false">
      <c r="A722" s="12" t="n">
        <v>4420014</v>
      </c>
      <c r="B722" s="12" t="s">
        <v>789</v>
      </c>
      <c r="C722" s="12" t="str">
        <f aca="false">TRIM(SUBSTITUTE($B722,CHAR(160)," "))</f>
        <v>377 רפ.אורטופדית ספורט זוג45</v>
      </c>
    </row>
    <row r="723" customFormat="false" ht="15" hidden="false" customHeight="true" outlineLevel="0" collapsed="false">
      <c r="A723" s="12" t="n">
        <v>4420011</v>
      </c>
      <c r="B723" s="12" t="s">
        <v>790</v>
      </c>
      <c r="C723" s="12" t="str">
        <f aca="false">TRIM(SUBSTITUTE($B723,CHAR(160)," "))</f>
        <v>377 רפידה אורטופ.ספורט זוג42</v>
      </c>
    </row>
    <row r="724" customFormat="false" ht="15" hidden="false" customHeight="true" outlineLevel="0" collapsed="false">
      <c r="A724" s="12" t="n">
        <v>4420029</v>
      </c>
      <c r="B724" s="12" t="s">
        <v>791</v>
      </c>
      <c r="C724" s="12" t="str">
        <f aca="false">TRIM(SUBSTITUTE($B724,CHAR(160)," "))</f>
        <v>38-40 רפידת ספורט 376 מידה</v>
      </c>
    </row>
    <row r="725" customFormat="false" ht="15" hidden="false" customHeight="true" outlineLevel="0" collapsed="false">
      <c r="A725" s="12" t="n">
        <v>4420030</v>
      </c>
      <c r="B725" s="12" t="s">
        <v>792</v>
      </c>
      <c r="C725" s="12" t="str">
        <f aca="false">TRIM(SUBSTITUTE($B725,CHAR(160)," "))</f>
        <v>41-43 רפידת ספורט 376 מידה</v>
      </c>
    </row>
    <row r="726" customFormat="false" ht="15" hidden="false" customHeight="true" outlineLevel="0" collapsed="false">
      <c r="A726" s="12" t="n">
        <v>4420031</v>
      </c>
      <c r="B726" s="12" t="s">
        <v>793</v>
      </c>
      <c r="C726" s="12" t="str">
        <f aca="false">TRIM(SUBSTITUTE($B726,CHAR(160)," "))</f>
        <v>44-45 רפידת ספורט 376 מידה</v>
      </c>
    </row>
    <row r="727" customFormat="false" ht="15" hidden="false" customHeight="true" outlineLevel="0" collapsed="false">
      <c r="A727" s="12" t="n">
        <v>4420032</v>
      </c>
      <c r="B727" s="12" t="s">
        <v>794</v>
      </c>
      <c r="C727" s="12" t="str">
        <f aca="false">TRIM(SUBSTITUTE($B727,CHAR(160)," "))</f>
        <v>46-47 רפידת ספורט 376 מידה</v>
      </c>
    </row>
    <row r="728" customFormat="false" ht="15" hidden="false" customHeight="true" outlineLevel="0" collapsed="false">
      <c r="A728" s="12" t="n">
        <v>4420033</v>
      </c>
      <c r="B728" s="12" t="s">
        <v>795</v>
      </c>
      <c r="C728" s="12" t="str">
        <f aca="false">TRIM(SUBSTITUTE($B728,CHAR(160)," "))</f>
        <v>SP372 רפידה אנטי ריח ספורט</v>
      </c>
    </row>
    <row r="729" customFormat="false" ht="15" hidden="false" customHeight="true" outlineLevel="0" collapsed="false">
      <c r="A729" s="12" t="n">
        <v>4413112</v>
      </c>
      <c r="B729" s="12" t="s">
        <v>796</v>
      </c>
      <c r="C729" s="12" t="str">
        <f aca="false">TRIM(SUBSTITUTE($B729,CHAR(160)," "))</f>
        <v>49 L מגן ירך</v>
      </c>
    </row>
    <row r="730" customFormat="false" ht="15" hidden="false" customHeight="true" outlineLevel="0" collapsed="false">
      <c r="A730" s="12" t="n">
        <v>4413113</v>
      </c>
      <c r="B730" s="12" t="s">
        <v>797</v>
      </c>
      <c r="C730" s="12" t="str">
        <f aca="false">TRIM(SUBSTITUTE($B730,CHAR(160)," "))</f>
        <v>49 M מגן ירך</v>
      </c>
    </row>
    <row r="731" customFormat="false" ht="15" hidden="false" customHeight="true" outlineLevel="0" collapsed="false">
      <c r="A731" s="12" t="n">
        <v>4413111</v>
      </c>
      <c r="B731" s="12" t="s">
        <v>798</v>
      </c>
      <c r="C731" s="12" t="str">
        <f aca="false">TRIM(SUBSTITUTE($B731,CHAR(160)," "))</f>
        <v>49 S מגן ירך</v>
      </c>
    </row>
    <row r="732" customFormat="false" ht="15" hidden="false" customHeight="true" outlineLevel="0" collapsed="false">
      <c r="A732" s="12" t="n">
        <v>4413114</v>
      </c>
      <c r="B732" s="12" t="s">
        <v>799</v>
      </c>
      <c r="C732" s="12" t="str">
        <f aca="false">TRIM(SUBSTITUTE($B732,CHAR(160)," "))</f>
        <v>49 XL מגן ירך</v>
      </c>
    </row>
    <row r="733" customFormat="false" ht="15" hidden="false" customHeight="true" outlineLevel="0" collapsed="false">
      <c r="A733" s="12" t="n">
        <v>4413115</v>
      </c>
      <c r="B733" s="12" t="s">
        <v>800</v>
      </c>
      <c r="C733" s="12" t="str">
        <f aca="false">TRIM(SUBSTITUTE($B733,CHAR(160)," "))</f>
        <v>49 XXL מגן ירך</v>
      </c>
    </row>
    <row r="734" customFormat="false" ht="15" hidden="false" customHeight="true" outlineLevel="0" collapsed="false">
      <c r="A734" s="12" t="n">
        <v>4413330</v>
      </c>
      <c r="B734" s="12" t="s">
        <v>801</v>
      </c>
      <c r="C734" s="12" t="str">
        <f aca="false">TRIM(SUBSTITUTE($B734,CHAR(160)," "))</f>
        <v>AC49 מגן ירך</v>
      </c>
    </row>
    <row r="735" customFormat="false" ht="15" hidden="false" customHeight="true" outlineLevel="0" collapsed="false">
      <c r="A735" s="12" t="n">
        <v>4413533</v>
      </c>
      <c r="B735" s="12" t="s">
        <v>802</v>
      </c>
      <c r="C735" s="12" t="str">
        <f aca="false">TRIM(SUBSTITUTE($B735,CHAR(160)," "))</f>
        <v>ST49 מגן ירך</v>
      </c>
    </row>
    <row r="736" customFormat="false" ht="15" hidden="false" customHeight="true" outlineLevel="0" collapsed="false">
      <c r="A736" s="12" t="n">
        <v>4413179</v>
      </c>
      <c r="B736" s="12" t="s">
        <v>803</v>
      </c>
      <c r="C736" s="12" t="str">
        <f aca="false">TRIM(SUBSTITUTE($B736,CHAR(160)," "))</f>
        <v>T39 M מגן שוק</v>
      </c>
    </row>
    <row r="737" customFormat="false" ht="15" hidden="false" customHeight="true" outlineLevel="0" collapsed="false">
      <c r="A737" s="12" t="n">
        <v>4413180</v>
      </c>
      <c r="B737" s="12" t="s">
        <v>804</v>
      </c>
      <c r="C737" s="12" t="str">
        <f aca="false">TRIM(SUBSTITUTE($B737,CHAR(160)," "))</f>
        <v>T39 S מגן שוק</v>
      </c>
    </row>
    <row r="738" customFormat="false" ht="15" hidden="false" customHeight="true" outlineLevel="0" collapsed="false">
      <c r="A738" s="12" t="n">
        <v>4413178</v>
      </c>
      <c r="B738" s="12" t="s">
        <v>805</v>
      </c>
      <c r="C738" s="12" t="str">
        <f aca="false">TRIM(SUBSTITUTE($B738,CHAR(160)," "))</f>
        <v>T39 XL מגן שוק</v>
      </c>
    </row>
    <row r="739" customFormat="false" ht="15" hidden="false" customHeight="true" outlineLevel="0" collapsed="false">
      <c r="A739" s="12" t="n">
        <v>4413234</v>
      </c>
      <c r="B739" s="12" t="s">
        <v>806</v>
      </c>
      <c r="C739" s="12" t="str">
        <f aca="false">TRIM(SUBSTITUTE($B739,CHAR(160)," "))</f>
        <v>T49 M מגן ירך</v>
      </c>
    </row>
    <row r="740" customFormat="false" ht="15" hidden="false" customHeight="true" outlineLevel="0" collapsed="false">
      <c r="A740" s="12" t="n">
        <v>4413402</v>
      </c>
      <c r="B740" s="12" t="s">
        <v>807</v>
      </c>
      <c r="C740" s="12" t="str">
        <f aca="false">TRIM(SUBSTITUTE($B740,CHAR(160)," "))</f>
        <v>T49 XS מגן ירך</v>
      </c>
    </row>
    <row r="741" customFormat="false" ht="15" hidden="false" customHeight="true" outlineLevel="0" collapsed="false">
      <c r="A741" s="12" t="n">
        <v>4408207</v>
      </c>
      <c r="B741" s="12" t="s">
        <v>808</v>
      </c>
      <c r="C741" s="12" t="str">
        <f aca="false">TRIM(SUBSTITUTE($B741,CHAR(160)," "))</f>
        <v>AC-25 חבק לשורש כף היד</v>
      </c>
    </row>
    <row r="742" customFormat="false" ht="15" hidden="false" customHeight="true" outlineLevel="0" collapsed="false">
      <c r="A742" s="12" t="n">
        <v>4415026</v>
      </c>
      <c r="B742" s="12" t="s">
        <v>809</v>
      </c>
      <c r="C742" s="12" t="str">
        <f aca="false">TRIM(SUBSTITUTE($B742,CHAR(160)," "))</f>
        <v>AC-27L סד לש.כף יד שמאל</v>
      </c>
    </row>
    <row r="743" customFormat="false" ht="15" hidden="false" customHeight="true" outlineLevel="0" collapsed="false">
      <c r="A743" s="12" t="n">
        <v>4415027</v>
      </c>
      <c r="B743" s="12" t="s">
        <v>810</v>
      </c>
      <c r="C743" s="12" t="str">
        <f aca="false">TRIM(SUBSTITUTE($B743,CHAR(160)," "))</f>
        <v>AC-27R סד לש.כף יד ימין</v>
      </c>
    </row>
    <row r="744" customFormat="false" ht="15" hidden="false" customHeight="true" outlineLevel="0" collapsed="false">
      <c r="A744" s="12" t="n">
        <v>4408249</v>
      </c>
      <c r="B744" s="12" t="s">
        <v>811</v>
      </c>
      <c r="C744" s="12" t="str">
        <f aca="false">TRIM(SUBSTITUTE($B744,CHAR(160)," "))</f>
        <v>SC25 L חבק יד</v>
      </c>
    </row>
    <row r="745" customFormat="false" ht="15" hidden="false" customHeight="true" outlineLevel="0" collapsed="false">
      <c r="A745" s="12" t="n">
        <v>4408248</v>
      </c>
      <c r="B745" s="12" t="s">
        <v>812</v>
      </c>
      <c r="C745" s="12" t="str">
        <f aca="false">TRIM(SUBSTITUTE($B745,CHAR(160)," "))</f>
        <v>SC25 M חבק יד</v>
      </c>
    </row>
    <row r="746" customFormat="false" ht="15" hidden="false" customHeight="true" outlineLevel="0" collapsed="false">
      <c r="A746" s="12" t="n">
        <v>4408247</v>
      </c>
      <c r="B746" s="12" t="s">
        <v>813</v>
      </c>
      <c r="C746" s="12" t="str">
        <f aca="false">TRIM(SUBSTITUTE($B746,CHAR(160)," "))</f>
        <v>SC25 S חבק יד</v>
      </c>
    </row>
    <row r="747" customFormat="false" ht="15" hidden="false" customHeight="true" outlineLevel="0" collapsed="false">
      <c r="A747" s="12" t="n">
        <v>4408250</v>
      </c>
      <c r="B747" s="12" t="s">
        <v>814</v>
      </c>
      <c r="C747" s="12" t="str">
        <f aca="false">TRIM(SUBSTITUTE($B747,CHAR(160)," "))</f>
        <v>SC25 XL חבק יד</v>
      </c>
    </row>
    <row r="748" customFormat="false" ht="15" hidden="false" customHeight="true" outlineLevel="0" collapsed="false">
      <c r="A748" s="12" t="n">
        <v>4413422</v>
      </c>
      <c r="B748" s="12" t="s">
        <v>815</v>
      </c>
      <c r="C748" s="12" t="str">
        <f aca="false">TRIM(SUBSTITUTE($B748,CHAR(160)," "))</f>
        <v>SC35L L מגן קרסול שמאל</v>
      </c>
    </row>
    <row r="749" customFormat="false" ht="15" hidden="false" customHeight="true" outlineLevel="0" collapsed="false">
      <c r="A749" s="12" t="n">
        <v>4413421</v>
      </c>
      <c r="B749" s="12" t="s">
        <v>816</v>
      </c>
      <c r="C749" s="12" t="str">
        <f aca="false">TRIM(SUBSTITUTE($B749,CHAR(160)," "))</f>
        <v>SC35L M מגן קרסול שמאל</v>
      </c>
    </row>
    <row r="750" customFormat="false" ht="15" hidden="false" customHeight="true" outlineLevel="0" collapsed="false">
      <c r="A750" s="12" t="n">
        <v>4413420</v>
      </c>
      <c r="B750" s="12" t="s">
        <v>817</v>
      </c>
      <c r="C750" s="12" t="str">
        <f aca="false">TRIM(SUBSTITUTE($B750,CHAR(160)," "))</f>
        <v>SC35L S מגן קרסול שמאל</v>
      </c>
    </row>
    <row r="751" customFormat="false" ht="15" hidden="false" customHeight="true" outlineLevel="0" collapsed="false">
      <c r="A751" s="12" t="n">
        <v>4413423</v>
      </c>
      <c r="B751" s="12" t="s">
        <v>818</v>
      </c>
      <c r="C751" s="12" t="str">
        <f aca="false">TRIM(SUBSTITUTE($B751,CHAR(160)," "))</f>
        <v>SC35L XL מגן קרסול שמאל</v>
      </c>
    </row>
    <row r="752" customFormat="false" ht="15" hidden="false" customHeight="true" outlineLevel="0" collapsed="false">
      <c r="A752" s="12" t="n">
        <v>4413426</v>
      </c>
      <c r="B752" s="12" t="s">
        <v>819</v>
      </c>
      <c r="C752" s="12" t="str">
        <f aca="false">TRIM(SUBSTITUTE($B752,CHAR(160)," "))</f>
        <v>SC35R L מגן קרסול ימין</v>
      </c>
    </row>
    <row r="753" customFormat="false" ht="15" hidden="false" customHeight="true" outlineLevel="0" collapsed="false">
      <c r="A753" s="12" t="n">
        <v>4413425</v>
      </c>
      <c r="B753" s="12" t="s">
        <v>820</v>
      </c>
      <c r="C753" s="12" t="str">
        <f aca="false">TRIM(SUBSTITUTE($B753,CHAR(160)," "))</f>
        <v>SC35R M מגן קרסול ימין</v>
      </c>
    </row>
    <row r="754" customFormat="false" ht="15" hidden="false" customHeight="true" outlineLevel="0" collapsed="false">
      <c r="A754" s="12" t="n">
        <v>4413424</v>
      </c>
      <c r="B754" s="12" t="s">
        <v>821</v>
      </c>
      <c r="C754" s="12" t="str">
        <f aca="false">TRIM(SUBSTITUTE($B754,CHAR(160)," "))</f>
        <v>SC35R S מגן קרסול ימין</v>
      </c>
    </row>
    <row r="755" customFormat="false" ht="15" hidden="false" customHeight="true" outlineLevel="0" collapsed="false">
      <c r="A755" s="12" t="n">
        <v>4413427</v>
      </c>
      <c r="B755" s="12" t="s">
        <v>822</v>
      </c>
      <c r="C755" s="12" t="str">
        <f aca="false">TRIM(SUBSTITUTE($B755,CHAR(160)," "))</f>
        <v>SC35R XLמגן קרסול ימין</v>
      </c>
    </row>
    <row r="756" customFormat="false" ht="15" hidden="false" customHeight="true" outlineLevel="0" collapsed="false">
      <c r="A756" s="12" t="n">
        <v>4413417</v>
      </c>
      <c r="B756" s="12" t="s">
        <v>823</v>
      </c>
      <c r="C756" s="12" t="str">
        <f aca="false">TRIM(SUBSTITUTE($B756,CHAR(160)," "))</f>
        <v>SC39 L מגן שוק</v>
      </c>
    </row>
    <row r="757" customFormat="false" ht="15" hidden="false" customHeight="true" outlineLevel="0" collapsed="false">
      <c r="A757" s="12" t="n">
        <v>4413416</v>
      </c>
      <c r="B757" s="12" t="s">
        <v>824</v>
      </c>
      <c r="C757" s="12" t="str">
        <f aca="false">TRIM(SUBSTITUTE($B757,CHAR(160)," "))</f>
        <v>SC39 M מגן שוק</v>
      </c>
    </row>
    <row r="758" customFormat="false" ht="15" hidden="false" customHeight="true" outlineLevel="0" collapsed="false">
      <c r="A758" s="12" t="n">
        <v>4413415</v>
      </c>
      <c r="B758" s="12" t="s">
        <v>825</v>
      </c>
      <c r="C758" s="12" t="str">
        <f aca="false">TRIM(SUBSTITUTE($B758,CHAR(160)," "))</f>
        <v>SC39 S מגן שוק</v>
      </c>
    </row>
    <row r="759" customFormat="false" ht="15" hidden="false" customHeight="true" outlineLevel="0" collapsed="false">
      <c r="A759" s="12" t="n">
        <v>4413418</v>
      </c>
      <c r="B759" s="12" t="s">
        <v>826</v>
      </c>
      <c r="C759" s="12" t="str">
        <f aca="false">TRIM(SUBSTITUTE($B759,CHAR(160)," "))</f>
        <v>SC39 XL מגן שוק</v>
      </c>
    </row>
    <row r="760" customFormat="false" ht="15" hidden="false" customHeight="true" outlineLevel="0" collapsed="false">
      <c r="A760" s="12" t="n">
        <v>4413419</v>
      </c>
      <c r="B760" s="12" t="s">
        <v>827</v>
      </c>
      <c r="C760" s="12" t="str">
        <f aca="false">TRIM(SUBSTITUTE($B760,CHAR(160)," "))</f>
        <v>SC39 XXLמגן שוק</v>
      </c>
    </row>
    <row r="761" customFormat="false" ht="15" hidden="false" customHeight="true" outlineLevel="0" collapsed="false">
      <c r="A761" s="12" t="n">
        <v>4413440</v>
      </c>
      <c r="B761" s="12" t="s">
        <v>828</v>
      </c>
      <c r="C761" s="12" t="str">
        <f aca="false">TRIM(SUBSTITUTE($B761,CHAR(160)," "))</f>
        <v>SC422 L מגן ברך</v>
      </c>
    </row>
    <row r="762" customFormat="false" ht="15" hidden="false" customHeight="true" outlineLevel="0" collapsed="false">
      <c r="A762" s="12" t="n">
        <v>4413439</v>
      </c>
      <c r="B762" s="12" t="s">
        <v>829</v>
      </c>
      <c r="C762" s="12" t="str">
        <f aca="false">TRIM(SUBSTITUTE($B762,CHAR(160)," "))</f>
        <v>SC422 M מגן ברך</v>
      </c>
    </row>
    <row r="763" customFormat="false" ht="15" hidden="false" customHeight="true" outlineLevel="0" collapsed="false">
      <c r="A763" s="12" t="n">
        <v>4413441</v>
      </c>
      <c r="B763" s="12" t="s">
        <v>830</v>
      </c>
      <c r="C763" s="12" t="str">
        <f aca="false">TRIM(SUBSTITUTE($B763,CHAR(160)," "))</f>
        <v>SC422 XL מגן ברך</v>
      </c>
    </row>
    <row r="764" customFormat="false" ht="15" hidden="false" customHeight="true" outlineLevel="0" collapsed="false">
      <c r="A764" s="12" t="n">
        <v>4413407</v>
      </c>
      <c r="B764" s="12" t="s">
        <v>831</v>
      </c>
      <c r="C764" s="12" t="str">
        <f aca="false">TRIM(SUBSTITUTE($B764,CHAR(160)," "))</f>
        <v>SC95 L מגן מרפק</v>
      </c>
    </row>
    <row r="765" customFormat="false" ht="15" hidden="false" customHeight="true" outlineLevel="0" collapsed="false">
      <c r="A765" s="12" t="n">
        <v>4413406</v>
      </c>
      <c r="B765" s="12" t="s">
        <v>832</v>
      </c>
      <c r="C765" s="12" t="str">
        <f aca="false">TRIM(SUBSTITUTE($B765,CHAR(160)," "))</f>
        <v>SC95 M מגן מרפק</v>
      </c>
    </row>
    <row r="766" customFormat="false" ht="15" hidden="false" customHeight="true" outlineLevel="0" collapsed="false">
      <c r="A766" s="12" t="n">
        <v>4413408</v>
      </c>
      <c r="B766" s="12" t="s">
        <v>833</v>
      </c>
      <c r="C766" s="12" t="str">
        <f aca="false">TRIM(SUBSTITUTE($B766,CHAR(160)," "))</f>
        <v>SC95 XLמגן מרפק</v>
      </c>
    </row>
    <row r="767" customFormat="false" ht="15" hidden="false" customHeight="true" outlineLevel="0" collapsed="false">
      <c r="A767" s="12" t="n">
        <v>4413181</v>
      </c>
      <c r="B767" s="12" t="s">
        <v>834</v>
      </c>
      <c r="C767" s="12" t="str">
        <f aca="false">TRIM(SUBSTITUTE($B767,CHAR(160)," "))</f>
        <v>T39 L מגן שוק</v>
      </c>
    </row>
    <row r="768" customFormat="false" ht="15" hidden="false" customHeight="true" outlineLevel="0" collapsed="false">
      <c r="A768" s="12" t="n">
        <v>4420034</v>
      </c>
      <c r="B768" s="12" t="s">
        <v>835</v>
      </c>
      <c r="C768" s="12" t="str">
        <f aca="false">TRIM(SUBSTITUTE($B768,CHAR(160)," "))</f>
        <v>381 HV רצועה אלסטית</v>
      </c>
    </row>
    <row r="769" customFormat="false" ht="15" hidden="false" customHeight="true" outlineLevel="0" collapsed="false">
      <c r="A769" s="12" t="n">
        <v>4415299</v>
      </c>
      <c r="B769" s="12" t="s">
        <v>836</v>
      </c>
      <c r="C769" s="12" t="str">
        <f aca="false">TRIM(SUBSTITUTE($B769,CHAR(160)," "))</f>
        <v>388B L סד לילה שחור לבוהן ימין</v>
      </c>
    </row>
    <row r="770" customFormat="false" ht="15" hidden="false" customHeight="true" outlineLevel="0" collapsed="false">
      <c r="A770" s="12" t="n">
        <v>4415298</v>
      </c>
      <c r="B770" s="12" t="s">
        <v>837</v>
      </c>
      <c r="C770" s="12" t="str">
        <f aca="false">TRIM(SUBSTITUTE($B770,CHAR(160)," "))</f>
        <v>388B L סד לילה שחור לבוהן שמאל</v>
      </c>
    </row>
    <row r="771" customFormat="false" ht="15" hidden="false" customHeight="true" outlineLevel="0" collapsed="false">
      <c r="A771" s="12" t="n">
        <v>4422000</v>
      </c>
      <c r="B771" s="12" t="s">
        <v>838</v>
      </c>
      <c r="C771" s="12" t="str">
        <f aca="false">TRIM(SUBSTITUTE($B771,CHAR(160)," "))</f>
        <v>801 תחבושת אלסטית מקררת</v>
      </c>
    </row>
    <row r="772" customFormat="false" ht="15" hidden="false" customHeight="true" outlineLevel="0" collapsed="false">
      <c r="A772" s="12" t="n">
        <v>4422023</v>
      </c>
      <c r="B772" s="12" t="s">
        <v>839</v>
      </c>
      <c r="C772" s="12" t="str">
        <f aca="false">TRIM(SUBSTITUTE($B772,CHAR(160)," "))</f>
        <v>806CB-BEIGE תחבושת א.נצמ</v>
      </c>
    </row>
    <row r="773" customFormat="false" ht="15" hidden="false" customHeight="true" outlineLevel="0" collapsed="false">
      <c r="A773" s="12" t="n">
        <v>4422024</v>
      </c>
      <c r="B773" s="12" t="s">
        <v>840</v>
      </c>
      <c r="C773" s="12" t="str">
        <f aca="false">TRIM(SUBSTITUTE($B773,CHAR(160)," "))</f>
        <v>806CB-BLACK תחבושת א.נצמ</v>
      </c>
    </row>
    <row r="774" customFormat="false" ht="15" hidden="false" customHeight="true" outlineLevel="0" collapsed="false">
      <c r="A774" s="12" t="n">
        <v>4422025</v>
      </c>
      <c r="B774" s="12" t="s">
        <v>841</v>
      </c>
      <c r="C774" s="12" t="str">
        <f aca="false">TRIM(SUBSTITUTE($B774,CHAR(160)," "))</f>
        <v>806CB-GREEN תחבושת א.נצמ</v>
      </c>
    </row>
    <row r="775" customFormat="false" ht="15" hidden="false" customHeight="true" outlineLevel="0" collapsed="false">
      <c r="A775" s="12" t="n">
        <v>4422026</v>
      </c>
      <c r="B775" s="12" t="s">
        <v>842</v>
      </c>
      <c r="C775" s="12" t="str">
        <f aca="false">TRIM(SUBSTITUTE($B775,CHAR(160)," "))</f>
        <v>806CB-PINK תחבושת א.נצמ</v>
      </c>
    </row>
    <row r="776" customFormat="false" ht="15" hidden="false" customHeight="true" outlineLevel="0" collapsed="false">
      <c r="A776" s="12" t="n">
        <v>4422032</v>
      </c>
      <c r="B776" s="12" t="s">
        <v>843</v>
      </c>
      <c r="C776" s="12" t="str">
        <f aca="false">TRIM(SUBSTITUTE($B776,CHAR(160)," "))</f>
        <v>807B-Bתחבושת נצמדת שחור 20 מ""מ</v>
      </c>
    </row>
    <row r="777" customFormat="false" ht="15" hidden="false" customHeight="true" outlineLevel="0" collapsed="false">
      <c r="A777" s="12" t="n">
        <v>4422033</v>
      </c>
      <c r="B777" s="12" t="s">
        <v>844</v>
      </c>
      <c r="C777" s="12" t="str">
        <f aca="false">TRIM(SUBSTITUTE($B777,CHAR(160)," "))</f>
        <v>807CB-BLתחבושת נצמדת כחול20מ""מ</v>
      </c>
    </row>
    <row r="778" customFormat="false" ht="15" hidden="false" customHeight="true" outlineLevel="0" collapsed="false">
      <c r="A778" s="12" t="n">
        <v>4422031</v>
      </c>
      <c r="B778" s="12" t="s">
        <v>845</v>
      </c>
      <c r="C778" s="12" t="str">
        <f aca="false">TRIM(SUBSTITUTE($B778,CHAR(160)," "))</f>
        <v>807CB-Cתחבושת נצמדת בז' 20 מ""מ</v>
      </c>
    </row>
    <row r="779" customFormat="false" ht="15" hidden="false" customHeight="true" outlineLevel="0" collapsed="false">
      <c r="A779" s="12" t="n">
        <v>4422034</v>
      </c>
      <c r="B779" s="12" t="s">
        <v>846</v>
      </c>
      <c r="C779" s="12" t="str">
        <f aca="false">TRIM(SUBSTITUTE($B779,CHAR(160)," "))</f>
        <v>807CB-P תחבושת נצמדת ורוד 20ממ</v>
      </c>
    </row>
    <row r="780" customFormat="false" ht="15" hidden="false" customHeight="true" outlineLevel="0" collapsed="false">
      <c r="A780" s="12" t="n">
        <v>4422027</v>
      </c>
      <c r="B780" s="12" t="s">
        <v>847</v>
      </c>
      <c r="C780" s="12" t="str">
        <f aca="false">TRIM(SUBSTITUTE($B780,CHAR(160)," "))</f>
        <v>B10 - תחבושת אלסטית 10 ס""מ</v>
      </c>
    </row>
    <row r="781" customFormat="false" ht="15" hidden="false" customHeight="true" outlineLevel="0" collapsed="false">
      <c r="A781" s="12" t="n">
        <v>4422028</v>
      </c>
      <c r="B781" s="12" t="s">
        <v>848</v>
      </c>
      <c r="C781" s="12" t="str">
        <f aca="false">TRIM(SUBSTITUTE($B781,CHAR(160)," "))</f>
        <v>B10 - תחבושת אלסטית 5ס""מ</v>
      </c>
    </row>
    <row r="782" customFormat="false" ht="15" hidden="false" customHeight="true" outlineLevel="0" collapsed="false">
      <c r="A782" s="12" t="n">
        <v>4422029</v>
      </c>
      <c r="B782" s="12" t="s">
        <v>849</v>
      </c>
      <c r="C782" s="12" t="str">
        <f aca="false">TRIM(SUBSTITUTE($B782,CHAR(160)," "))</f>
        <v>B75 תחבושת אלסטית 7.5ס""מ</v>
      </c>
    </row>
  </sheetData>
  <mergeCells count="1">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3"/>
    <col collapsed="false" customWidth="true" hidden="false" outlineLevel="0" max="4" min="4" style="1" width="15"/>
    <col collapsed="false" customWidth="true" hidden="false" outlineLevel="0" max="7" min="7" style="1" width="16"/>
    <col collapsed="false" customWidth="true" hidden="false" outlineLevel="0" max="8" min="8" style="1" width="15"/>
    <col collapsed="false" customWidth="true" hidden="false" outlineLevel="0" max="9" min="9" style="1" width="17"/>
    <col collapsed="false" customWidth="true" hidden="false" outlineLevel="0" max="10" min="10" style="1" width="15"/>
    <col collapsed="false" customWidth="true" hidden="false" outlineLevel="0" max="12" min="12" style="1" width="16"/>
  </cols>
  <sheetData>
    <row r="1" customFormat="false" ht="15" hidden="false" customHeight="true" outlineLevel="0" collapsed="false">
      <c r="A1" s="11" t="s">
        <v>850</v>
      </c>
    </row>
    <row r="2" customFormat="false" ht="15" hidden="false" customHeight="true" outlineLevel="0" collapsed="false">
      <c r="A2" s="3" t="s">
        <v>1</v>
      </c>
      <c r="B2" s="13" t="n">
        <v>46290</v>
      </c>
    </row>
    <row r="3" customFormat="false" ht="90" hidden="false" customHeight="true" outlineLevel="0" collapsed="false">
      <c r="A3" s="5" t="s">
        <v>851</v>
      </c>
      <c r="B3" s="5"/>
      <c r="C3" s="5"/>
      <c r="D3" s="5"/>
      <c r="E3" s="5"/>
      <c r="F3" s="5"/>
      <c r="G3" s="5"/>
      <c r="H3" s="5"/>
      <c r="I3" s="5"/>
      <c r="J3" s="5"/>
    </row>
    <row r="4" customFormat="false" ht="54.75" hidden="false" customHeight="true" outlineLevel="0" collapsed="false">
      <c r="A4" s="5" t="s">
        <v>852</v>
      </c>
      <c r="B4" s="5"/>
      <c r="C4" s="5"/>
      <c r="D4" s="5"/>
      <c r="E4" s="5"/>
      <c r="F4" s="5"/>
      <c r="G4" s="5"/>
      <c r="H4" s="5"/>
      <c r="I4" s="14" t="s">
        <v>853</v>
      </c>
      <c r="J4" s="15" t="n">
        <v>12</v>
      </c>
      <c r="K4" s="14" t="s">
        <v>854</v>
      </c>
      <c r="L4" s="15" t="n">
        <v>9.5</v>
      </c>
    </row>
    <row r="5" customFormat="false" ht="30" hidden="false" customHeight="true" outlineLevel="0" collapsed="false">
      <c r="A5" s="16" t="s">
        <v>855</v>
      </c>
      <c r="B5" s="17" t="n">
        <f aca="false">SUMPRODUCT(--((($C$9:$C$670&lt;&gt;0)+($H$9:$H$670&lt;&gt;0)&gt;0)*(($D$9:$D$670=0)*($I$9:$I$670=0))))</f>
        <v>140</v>
      </c>
      <c r="C5" s="16" t="s">
        <v>856</v>
      </c>
      <c r="D5" s="17" t="n">
        <f aca="false">SUMPRODUCT(--((($D$9:$D$670&lt;&gt;0)+($I$9:$I$670&lt;&gt;0)&gt;0)*(($C$9:$C$670=0)*($H$9:$H$670=0))))</f>
        <v>58</v>
      </c>
      <c r="I5" s="16" t="s">
        <v>857</v>
      </c>
      <c r="J5" s="18" t="n">
        <f aca="false">J4/L4</f>
        <v>1.26315789473684</v>
      </c>
    </row>
    <row r="6" customFormat="false" ht="30" hidden="false" customHeight="true" outlineLevel="0" collapsed="false">
      <c r="A6" s="16" t="s">
        <v>858</v>
      </c>
      <c r="B6" s="17" t="n">
        <f aca="false">SUMPRODUCT(--((($C$9:$C$670&lt;&gt;0)+($H$9:$H$670&lt;&gt;0)&gt;0)*(($D$9:$D$670=0)*($I$9:$I$670=0)))*$C$9:$C$670)</f>
        <v>296</v>
      </c>
      <c r="C6" s="16" t="s">
        <v>859</v>
      </c>
      <c r="D6" s="17" t="n">
        <f aca="false">SUMPRODUCT(--((($C$9:$C$670&lt;&gt;0)+($H$9:$H$670&lt;&gt;0)&gt;0)*(($D$9:$D$670=0)*($I$9:$I$670=0)))*$H$9:$H$670)</f>
        <v>30990.1</v>
      </c>
      <c r="E6" s="16" t="s">
        <v>860</v>
      </c>
      <c r="F6" s="17" t="n">
        <f aca="false">SUMPRODUCT(--((($D$9:$D$670&lt;&gt;0)+($I$9:$I$670&lt;&gt;0)&gt;0)*(($C$9:$C$670=0)*($H$9:$H$670=0)))*$D$9:$D$670)</f>
        <v>391</v>
      </c>
      <c r="G6" s="16" t="s">
        <v>861</v>
      </c>
      <c r="H6" s="17" t="n">
        <f aca="false">SUMPRODUCT(--((($D$9:$D$670&lt;&gt;0)+($I$9:$I$670&lt;&gt;0)&gt;0)*(($C$9:$C$670=0)*($H$9:$H$670=0)))*$I$9:$I$670)</f>
        <v>25557.66</v>
      </c>
      <c r="I6" s="16" t="s">
        <v>862</v>
      </c>
      <c r="J6" s="17" t="n">
        <f aca="false">F6*$J$5</f>
        <v>493.894736842105</v>
      </c>
      <c r="K6" s="16" t="s">
        <v>863</v>
      </c>
      <c r="L6" s="17" t="n">
        <f aca="false">H6*$J$5</f>
        <v>32283.36</v>
      </c>
    </row>
    <row r="8" customFormat="false" ht="43.5" hidden="false" customHeight="true" outlineLevel="0" collapsed="false">
      <c r="A8" s="19" t="s">
        <v>864</v>
      </c>
      <c r="B8" s="19" t="s">
        <v>865</v>
      </c>
      <c r="C8" s="19" t="s">
        <v>17</v>
      </c>
      <c r="D8" s="19" t="s">
        <v>866</v>
      </c>
      <c r="E8" s="19" t="s">
        <v>867</v>
      </c>
      <c r="F8" s="19" t="s">
        <v>868</v>
      </c>
      <c r="G8" s="19" t="s">
        <v>869</v>
      </c>
      <c r="H8" s="19" t="s">
        <v>21</v>
      </c>
      <c r="I8" s="19" t="s">
        <v>870</v>
      </c>
      <c r="J8" s="19" t="s">
        <v>23</v>
      </c>
      <c r="K8" s="20"/>
      <c r="L8" s="20"/>
    </row>
    <row r="9" customFormat="false" ht="15" hidden="false" customHeight="true" outlineLevel="0" collapsed="false">
      <c r="A9" s="12" t="n">
        <v>4401000</v>
      </c>
      <c r="B9" s="12" t="str">
        <f aca="false">IFERROR(INDEX('בתי מרקחת Raw'!$B:$B,MATCH($A9,'בתי מרקחת Raw'!$F:$F,0)),"")</f>
        <v>369  S-L אצבעון מסיליקון יחידה</v>
      </c>
      <c r="C9" s="12" t="n">
        <f aca="false">SUMIFS('בתי מרקחת Raw'!$D$6:$D$1616,'בתי מרקחת Raw'!$F$6:$F$1616,$A9,'בתי מרקחת Raw'!$C$6:$C$1616,2025)</f>
        <v>337</v>
      </c>
      <c r="D9" s="12" t="n">
        <f aca="false">SUMIFS('בתי מרקחת Raw'!$D$6:$D$1616,'בתי מרקחת Raw'!$F$6:$F$1616,$A9,'בתי מרקחת Raw'!$C$6:$C$1616,2026)</f>
        <v>257</v>
      </c>
      <c r="E9" s="12" t="n">
        <f aca="false">D9*$J$5</f>
        <v>324.631578947368</v>
      </c>
      <c r="F9" s="12" t="n">
        <f aca="false">E9-C9</f>
        <v>-12.3684210526316</v>
      </c>
      <c r="G9" s="21" t="n">
        <f aca="false">IF(AND(C9=0,E9=0),0,IF(C9=0,"New",(E9-C9)/C9))</f>
        <v>-0.0367015461502422</v>
      </c>
      <c r="H9" s="12" t="n">
        <f aca="false">SUMIFS('בתי מרקחת Raw'!$E$6:$E$1616,'בתי מרקחת Raw'!$F$6:$F$1616,$A9,'בתי מרקחת Raw'!$C$6:$C$1616,2025)</f>
        <v>7673.02</v>
      </c>
      <c r="I9" s="12" t="n">
        <f aca="false">SUMIFS('בתי מרקחת Raw'!$E$6:$E$1616,'בתי מרקחת Raw'!$F$6:$F$1616,$A9,'בתי מרקחת Raw'!$C$6:$C$1616,2026)</f>
        <v>5915.54</v>
      </c>
      <c r="J9" s="12" t="n">
        <f aca="false">I9*$J$5</f>
        <v>7472.26105263158</v>
      </c>
      <c r="K9" s="12"/>
      <c r="L9" s="22"/>
    </row>
    <row r="10" customFormat="false" ht="15" hidden="false" customHeight="true" outlineLevel="0" collapsed="false">
      <c r="A10" s="12" t="n">
        <v>4401001</v>
      </c>
      <c r="B10" s="12" t="str">
        <f aca="false">IFERROR(INDEX('בתי מרקחת Raw'!$B:$B,MATCH($A10,'בתי מרקחת Raw'!$F:$F,0)),"")</f>
        <v>369   XL אצבעון מסיליקון יחידה</v>
      </c>
      <c r="C10" s="12" t="n">
        <f aca="false">SUMIFS('בתי מרקחת Raw'!$D$6:$D$1616,'בתי מרקחת Raw'!$F$6:$F$1616,$A10,'בתי מרקחת Raw'!$C$6:$C$1616,2025)</f>
        <v>432</v>
      </c>
      <c r="D10" s="12" t="n">
        <f aca="false">SUMIFS('בתי מרקחת Raw'!$D$6:$D$1616,'בתי מרקחת Raw'!$F$6:$F$1616,$A10,'בתי מרקחת Raw'!$C$6:$C$1616,2026)</f>
        <v>292</v>
      </c>
      <c r="E10" s="12" t="n">
        <f aca="false">D10*$J$5</f>
        <v>368.842105263158</v>
      </c>
      <c r="F10" s="12" t="n">
        <f aca="false">E10-C10</f>
        <v>-63.1578947368421</v>
      </c>
      <c r="G10" s="21" t="n">
        <f aca="false">IF(AND(C10=0,E10=0),0,IF(C10=0,"New",(E10-C10)/C10))</f>
        <v>-0.146198830409357</v>
      </c>
      <c r="H10" s="12" t="n">
        <f aca="false">SUMIFS('בתי מרקחת Raw'!$E$6:$E$1616,'בתי מרקחת Raw'!$F$6:$F$1616,$A10,'בתי מרקחת Raw'!$C$6:$C$1616,2025)</f>
        <v>10710.15</v>
      </c>
      <c r="I10" s="12" t="n">
        <f aca="false">SUMIFS('בתי מרקחת Raw'!$E$6:$E$1616,'בתי מרקחת Raw'!$F$6:$F$1616,$A10,'בתי מרקחת Raw'!$C$6:$C$1616,2026)</f>
        <v>7282.89</v>
      </c>
      <c r="J10" s="12" t="n">
        <f aca="false">I10*$J$5</f>
        <v>9199.44</v>
      </c>
      <c r="K10" s="12"/>
      <c r="L10" s="22"/>
    </row>
    <row r="11" customFormat="false" ht="15" hidden="false" customHeight="true" outlineLevel="0" collapsed="false">
      <c r="A11" s="12" t="n">
        <v>4401002</v>
      </c>
      <c r="B11" s="12" t="str">
        <f aca="false">IFERROR(INDEX('בתי מרקחת Raw'!$B:$B,MATCH($A11,'בתי מרקחת Raw'!$F:$F,0)),"")</f>
        <v>PD 344-אבן טבעית להסרת עור קשה</v>
      </c>
      <c r="C11" s="12" t="n">
        <f aca="false">SUMIFS('בתי מרקחת Raw'!$D$6:$D$1616,'בתי מרקחת Raw'!$F$6:$F$1616,$A11,'בתי מרקחת Raw'!$C$6:$C$1616,2025)</f>
        <v>266</v>
      </c>
      <c r="D11" s="12" t="n">
        <f aca="false">SUMIFS('בתי מרקחת Raw'!$D$6:$D$1616,'בתי מרקחת Raw'!$F$6:$F$1616,$A11,'בתי מרקחת Raw'!$C$6:$C$1616,2026)</f>
        <v>184</v>
      </c>
      <c r="E11" s="12" t="n">
        <f aca="false">D11*$J$5</f>
        <v>232.421052631579</v>
      </c>
      <c r="F11" s="12" t="n">
        <f aca="false">E11-C11</f>
        <v>-33.5789473684211</v>
      </c>
      <c r="G11" s="21" t="n">
        <f aca="false">IF(AND(C11=0,E11=0),0,IF(C11=0,"New",(E11-C11)/C11))</f>
        <v>-0.126236644242184</v>
      </c>
      <c r="H11" s="12" t="n">
        <f aca="false">SUMIFS('בתי מרקחת Raw'!$E$6:$E$1616,'בתי מרקחת Raw'!$F$6:$F$1616,$A11,'בתי מרקחת Raw'!$C$6:$C$1616,2025)</f>
        <v>2275.18</v>
      </c>
      <c r="I11" s="12" t="n">
        <f aca="false">SUMIFS('בתי מרקחת Raw'!$E$6:$E$1616,'בתי מרקחת Raw'!$F$6:$F$1616,$A11,'בתי מרקחת Raw'!$C$6:$C$1616,2026)</f>
        <v>1578.6</v>
      </c>
      <c r="J11" s="12" t="n">
        <f aca="false">I11*$J$5</f>
        <v>1994.02105263158</v>
      </c>
      <c r="K11" s="12"/>
      <c r="L11" s="22"/>
    </row>
    <row r="12" customFormat="false" ht="15" hidden="false" customHeight="true" outlineLevel="0" collapsed="false">
      <c r="A12" s="12" t="n">
        <v>4401011</v>
      </c>
      <c r="B12" s="12" t="str">
        <f aca="false">IFERROR(INDEX('בתי מרקחת Raw'!$B:$B,MATCH($A12,'בתי מרקחת Raw'!$F:$F,0)),"")</f>
        <v>805AT-Cאתלטיק טייפ בז' 20מ""מ20</v>
      </c>
      <c r="C12" s="12" t="n">
        <f aca="false">SUMIFS('בתי מרקחת Raw'!$D$6:$D$1616,'בתי מרקחת Raw'!$F$6:$F$1616,$A12,'בתי מרקחת Raw'!$C$6:$C$1616,2025)</f>
        <v>72</v>
      </c>
      <c r="D12" s="12" t="n">
        <f aca="false">SUMIFS('בתי מרקחת Raw'!$D$6:$D$1616,'בתי מרקחת Raw'!$F$6:$F$1616,$A12,'בתי מרקחת Raw'!$C$6:$C$1616,2026)</f>
        <v>49</v>
      </c>
      <c r="E12" s="12" t="n">
        <f aca="false">D12*$J$5</f>
        <v>61.8947368421053</v>
      </c>
      <c r="F12" s="12" t="n">
        <f aca="false">E12-C12</f>
        <v>-10.1052631578947</v>
      </c>
      <c r="G12" s="21" t="n">
        <f aca="false">IF(AND(C12=0,E12=0),0,IF(C12=0,"New",(E12-C12)/C12))</f>
        <v>-0.140350877192983</v>
      </c>
      <c r="H12" s="12" t="n">
        <f aca="false">SUMIFS('בתי מרקחת Raw'!$E$6:$E$1616,'בתי מרקחת Raw'!$F$6:$F$1616,$A12,'בתי מרקחת Raw'!$C$6:$C$1616,2025)</f>
        <v>1124.09</v>
      </c>
      <c r="I12" s="12" t="n">
        <f aca="false">SUMIFS('בתי מרקחת Raw'!$E$6:$E$1616,'בתי מרקחת Raw'!$F$6:$F$1616,$A12,'בתי מרקחת Raw'!$C$6:$C$1616,2026)</f>
        <v>805.89</v>
      </c>
      <c r="J12" s="12" t="n">
        <f aca="false">I12*$J$5</f>
        <v>1017.96631578947</v>
      </c>
      <c r="K12" s="12"/>
      <c r="L12" s="22"/>
    </row>
    <row r="13" customFormat="false" ht="15" hidden="false" customHeight="true" outlineLevel="0" collapsed="false">
      <c r="A13" s="12" t="n">
        <v>4401012</v>
      </c>
      <c r="B13" s="12" t="str">
        <f aca="false">IFERROR(INDEX('בתי מרקחת Raw'!$B:$B,MATCH($A13,'בתי מרקחת Raw'!$F:$F,0)),"")</f>
        <v>805AT-B אתלטיק טייפ שחור 20מ""מ</v>
      </c>
      <c r="C13" s="12" t="n">
        <f aca="false">SUMIFS('בתי מרקחת Raw'!$D$6:$D$1616,'בתי מרקחת Raw'!$F$6:$F$1616,$A13,'בתי מרקחת Raw'!$C$6:$C$1616,2025)</f>
        <v>20</v>
      </c>
      <c r="D13" s="12" t="n">
        <f aca="false">SUMIFS('בתי מרקחת Raw'!$D$6:$D$1616,'בתי מרקחת Raw'!$F$6:$F$1616,$A13,'בתי מרקחת Raw'!$C$6:$C$1616,2026)</f>
        <v>21</v>
      </c>
      <c r="E13" s="12" t="n">
        <f aca="false">D13*$J$5</f>
        <v>26.5263157894737</v>
      </c>
      <c r="F13" s="12" t="n">
        <f aca="false">E13-C13</f>
        <v>6.52631578947368</v>
      </c>
      <c r="G13" s="21" t="n">
        <f aca="false">IF(AND(C13=0,E13=0),0,IF(C13=0,"New",(E13-C13)/C13))</f>
        <v>0.326315789473684</v>
      </c>
      <c r="H13" s="12" t="n">
        <f aca="false">SUMIFS('בתי מרקחת Raw'!$E$6:$E$1616,'בתי מרקחת Raw'!$F$6:$F$1616,$A13,'בתי מרקחת Raw'!$C$6:$C$1616,2025)</f>
        <v>318.7</v>
      </c>
      <c r="I13" s="12" t="n">
        <f aca="false">SUMIFS('בתי מרקחת Raw'!$E$6:$E$1616,'בתי מרקחת Raw'!$F$6:$F$1616,$A13,'בתי מרקחת Raw'!$C$6:$C$1616,2026)</f>
        <v>358.6</v>
      </c>
      <c r="J13" s="12" t="n">
        <f aca="false">I13*$J$5</f>
        <v>452.968421052632</v>
      </c>
      <c r="K13" s="12"/>
      <c r="L13" s="22"/>
    </row>
    <row r="14" customFormat="false" ht="15" hidden="false" customHeight="true" outlineLevel="0" collapsed="false">
      <c r="A14" s="12" t="n">
        <v>4401013</v>
      </c>
      <c r="B14" s="12" t="str">
        <f aca="false">IFERROR(INDEX('בתי מרקחת Raw'!$B:$B,MATCH($A14,'בתי מרקחת Raw'!$F:$F,0)),"")</f>
        <v>805AT-BLאתלטיק טייפ כחול 20מ""מ</v>
      </c>
      <c r="C14" s="12" t="n">
        <f aca="false">SUMIFS('בתי מרקחת Raw'!$D$6:$D$1616,'בתי מרקחת Raw'!$F$6:$F$1616,$A14,'בתי מרקחת Raw'!$C$6:$C$1616,2025)</f>
        <v>19</v>
      </c>
      <c r="D14" s="12" t="n">
        <f aca="false">SUMIFS('בתי מרקחת Raw'!$D$6:$D$1616,'בתי מרקחת Raw'!$F$6:$F$1616,$A14,'בתי מרקחת Raw'!$C$6:$C$1616,2026)</f>
        <v>19</v>
      </c>
      <c r="E14" s="12" t="n">
        <f aca="false">D14*$J$5</f>
        <v>24</v>
      </c>
      <c r="F14" s="12" t="n">
        <f aca="false">E14-C14</f>
        <v>5</v>
      </c>
      <c r="G14" s="21" t="n">
        <f aca="false">IF(AND(C14=0,E14=0),0,IF(C14=0,"New",(E14-C14)/C14))</f>
        <v>0.263157894736842</v>
      </c>
      <c r="H14" s="12" t="n">
        <f aca="false">SUMIFS('בתי מרקחת Raw'!$E$6:$E$1616,'בתי מרקחת Raw'!$F$6:$F$1616,$A14,'בתי מרקחת Raw'!$C$6:$C$1616,2025)</f>
        <v>301.4</v>
      </c>
      <c r="I14" s="12" t="n">
        <f aca="false">SUMIFS('בתי מרקחת Raw'!$E$6:$E$1616,'בתי מרקחת Raw'!$F$6:$F$1616,$A14,'בתי מרקחת Raw'!$C$6:$C$1616,2026)</f>
        <v>319.4</v>
      </c>
      <c r="J14" s="12" t="n">
        <f aca="false">I14*$J$5</f>
        <v>403.452631578947</v>
      </c>
      <c r="K14" s="12"/>
      <c r="L14" s="22"/>
    </row>
    <row r="15" customFormat="false" ht="15" hidden="false" customHeight="true" outlineLevel="0" collapsed="false">
      <c r="A15" s="12" t="n">
        <v>4401014</v>
      </c>
      <c r="B15" s="12" t="str">
        <f aca="false">IFERROR(INDEX('בתי מרקחת Raw'!$B:$B,MATCH($A15,'בתי מרקחת Raw'!$F:$F,0)),"")</f>
        <v>805AT-W  אתלטיק טייפ לבן 20מ""מ</v>
      </c>
      <c r="C15" s="12" t="n">
        <f aca="false">SUMIFS('בתי מרקחת Raw'!$D$6:$D$1616,'בתי מרקחת Raw'!$F$6:$F$1616,$A15,'בתי מרקחת Raw'!$C$6:$C$1616,2025)</f>
        <v>49</v>
      </c>
      <c r="D15" s="12" t="n">
        <f aca="false">SUMIFS('בתי מרקחת Raw'!$D$6:$D$1616,'בתי מרקחת Raw'!$F$6:$F$1616,$A15,'בתי מרקחת Raw'!$C$6:$C$1616,2026)</f>
        <v>41</v>
      </c>
      <c r="E15" s="12" t="n">
        <f aca="false">D15*$J$5</f>
        <v>51.7894736842105</v>
      </c>
      <c r="F15" s="12" t="n">
        <f aca="false">E15-C15</f>
        <v>2.78947368421052</v>
      </c>
      <c r="G15" s="21" t="n">
        <f aca="false">IF(AND(C15=0,E15=0),0,IF(C15=0,"New",(E15-C15)/C15))</f>
        <v>0.0569280343716433</v>
      </c>
      <c r="H15" s="12" t="n">
        <f aca="false">SUMIFS('בתי מרקחת Raw'!$E$6:$E$1616,'בתי מרקחת Raw'!$F$6:$F$1616,$A15,'בתי מרקחת Raw'!$C$6:$C$1616,2025)</f>
        <v>753.69</v>
      </c>
      <c r="I15" s="12" t="n">
        <f aca="false">SUMIFS('בתי מרקחת Raw'!$E$6:$E$1616,'בתי מרקחת Raw'!$F$6:$F$1616,$A15,'בתי מרקחת Raw'!$C$6:$C$1616,2026)</f>
        <v>665.2</v>
      </c>
      <c r="J15" s="12" t="n">
        <f aca="false">I15*$J$5</f>
        <v>840.252631578947</v>
      </c>
      <c r="K15" s="12"/>
      <c r="L15" s="22"/>
    </row>
    <row r="16" customFormat="false" ht="15" hidden="false" customHeight="true" outlineLevel="0" collapsed="false">
      <c r="A16" s="12" t="n">
        <v>4402000</v>
      </c>
      <c r="B16" s="12" t="str">
        <f aca="false">IFERROR(INDEX('בתי מרקחת Raw'!$B:$B,MATCH($A16,'בתי מרקחת Raw'!$F:$F,0)),"")</f>
        <v>363  בננה לתמיכת אצבעות ז.כרית</v>
      </c>
      <c r="C16" s="12" t="n">
        <f aca="false">SUMIFS('בתי מרקחת Raw'!$D$6:$D$1616,'בתי מרקחת Raw'!$F$6:$F$1616,$A16,'בתי מרקחת Raw'!$C$6:$C$1616,2025)</f>
        <v>132</v>
      </c>
      <c r="D16" s="12" t="n">
        <f aca="false">SUMIFS('בתי מרקחת Raw'!$D$6:$D$1616,'בתי מרקחת Raw'!$F$6:$F$1616,$A16,'בתי מרקחת Raw'!$C$6:$C$1616,2026)</f>
        <v>118</v>
      </c>
      <c r="E16" s="12" t="n">
        <f aca="false">D16*$J$5</f>
        <v>149.052631578947</v>
      </c>
      <c r="F16" s="12" t="n">
        <f aca="false">E16-C16</f>
        <v>17.0526315789474</v>
      </c>
      <c r="G16" s="21" t="n">
        <f aca="false">IF(AND(C16=0,E16=0),0,IF(C16=0,"New",(E16-C16)/C16))</f>
        <v>0.129186602870813</v>
      </c>
      <c r="H16" s="12" t="n">
        <f aca="false">SUMIFS('בתי מרקחת Raw'!$E$6:$E$1616,'בתי מרקחת Raw'!$F$6:$F$1616,$A16,'בתי מרקחת Raw'!$C$6:$C$1616,2025)</f>
        <v>3441.28</v>
      </c>
      <c r="I16" s="12" t="n">
        <f aca="false">SUMIFS('בתי מרקחת Raw'!$E$6:$E$1616,'בתי מרקחת Raw'!$F$6:$F$1616,$A16,'בתי מרקחת Raw'!$C$6:$C$1616,2026)</f>
        <v>3114.14</v>
      </c>
      <c r="J16" s="12" t="n">
        <f aca="false">I16*$J$5</f>
        <v>3933.65052631579</v>
      </c>
      <c r="K16" s="12"/>
      <c r="L16" s="22"/>
    </row>
    <row r="17" customFormat="false" ht="15" hidden="false" customHeight="true" outlineLevel="0" collapsed="false">
      <c r="A17" s="12" t="n">
        <v>4402007</v>
      </c>
      <c r="B17" s="12" t="str">
        <f aca="false">IFERROR(INDEX('בתי מרקחת Raw'!$B:$B,MATCH($A17,'בתי מרקחת Raw'!$F:$F,0)),"")</f>
        <v>320 בליסטר פלסטר</v>
      </c>
      <c r="C17" s="12" t="n">
        <f aca="false">SUMIFS('בתי מרקחת Raw'!$D$6:$D$1616,'בתי מרקחת Raw'!$F$6:$F$1616,$A17,'בתי מרקחת Raw'!$C$6:$C$1616,2025)</f>
        <v>356</v>
      </c>
      <c r="D17" s="12" t="n">
        <f aca="false">SUMIFS('בתי מרקחת Raw'!$D$6:$D$1616,'בתי מרקחת Raw'!$F$6:$F$1616,$A17,'בתי מרקחת Raw'!$C$6:$C$1616,2026)</f>
        <v>227</v>
      </c>
      <c r="E17" s="12" t="n">
        <f aca="false">D17*$J$5</f>
        <v>286.736842105263</v>
      </c>
      <c r="F17" s="12" t="n">
        <f aca="false">E17-C17</f>
        <v>-69.2631578947369</v>
      </c>
      <c r="G17" s="21" t="n">
        <f aca="false">IF(AND(C17=0,E17=0),0,IF(C17=0,"New",(E17-C17)/C17))</f>
        <v>-0.194559432288587</v>
      </c>
      <c r="H17" s="12" t="n">
        <f aca="false">SUMIFS('בתי מרקחת Raw'!$E$6:$E$1616,'בתי מרקחת Raw'!$F$6:$F$1616,$A17,'בתי מרקחת Raw'!$C$6:$C$1616,2025)</f>
        <v>6539.26</v>
      </c>
      <c r="I17" s="12" t="n">
        <f aca="false">SUMIFS('בתי מרקחת Raw'!$E$6:$E$1616,'בתי מרקחת Raw'!$F$6:$F$1616,$A17,'בתי מרקחת Raw'!$C$6:$C$1616,2026)</f>
        <v>4172.9</v>
      </c>
      <c r="J17" s="12" t="n">
        <f aca="false">I17*$J$5</f>
        <v>5271.03157894737</v>
      </c>
      <c r="K17" s="12"/>
      <c r="L17" s="22"/>
    </row>
    <row r="18" customFormat="false" ht="15" hidden="false" customHeight="true" outlineLevel="0" collapsed="false">
      <c r="A18" s="12" t="n">
        <v>4403000</v>
      </c>
      <c r="B18" s="12" t="str">
        <f aca="false">IFERROR(INDEX('בתי מרקחת Raw'!$B:$B,MATCH($A18,'בתי מרקחת Raw'!$F:$F,0)),"")</f>
        <v>390B גרב.כסף לסכרתים שחור35-38</v>
      </c>
      <c r="C18" s="12" t="n">
        <f aca="false">SUMIFS('בתי מרקחת Raw'!$D$6:$D$1616,'בתי מרקחת Raw'!$F$6:$F$1616,$A18,'בתי מרקחת Raw'!$C$6:$C$1616,2025)</f>
        <v>21</v>
      </c>
      <c r="D18" s="12" t="n">
        <f aca="false">SUMIFS('בתי מרקחת Raw'!$D$6:$D$1616,'בתי מרקחת Raw'!$F$6:$F$1616,$A18,'בתי מרקחת Raw'!$C$6:$C$1616,2026)</f>
        <v>11</v>
      </c>
      <c r="E18" s="12" t="n">
        <f aca="false">D18*$J$5</f>
        <v>13.8947368421053</v>
      </c>
      <c r="F18" s="12" t="n">
        <f aca="false">E18-C18</f>
        <v>-7.10526315789474</v>
      </c>
      <c r="G18" s="21" t="n">
        <f aca="false">IF(AND(C18=0,E18=0),0,IF(C18=0,"New",(E18-C18)/C18))</f>
        <v>-0.338345864661654</v>
      </c>
      <c r="H18" s="12" t="n">
        <f aca="false">SUMIFS('בתי מרקחת Raw'!$E$6:$E$1616,'בתי מרקחת Raw'!$F$6:$F$1616,$A18,'בתי מרקחת Raw'!$C$6:$C$1616,2025)</f>
        <v>614.1</v>
      </c>
      <c r="I18" s="12" t="n">
        <f aca="false">SUMIFS('בתי מרקחת Raw'!$E$6:$E$1616,'בתי מרקחת Raw'!$F$6:$F$1616,$A18,'בתי מרקחת Raw'!$C$6:$C$1616,2026)</f>
        <v>360.4</v>
      </c>
      <c r="J18" s="12" t="n">
        <f aca="false">I18*$J$5</f>
        <v>455.242105263158</v>
      </c>
      <c r="K18" s="12"/>
      <c r="L18" s="22"/>
    </row>
    <row r="19" customFormat="false" ht="15" hidden="false" customHeight="true" outlineLevel="0" collapsed="false">
      <c r="A19" s="12" t="n">
        <v>4403001</v>
      </c>
      <c r="B19" s="12" t="str">
        <f aca="false">IFERROR(INDEX('בתי מרקחת Raw'!$B:$B,MATCH($A19,'בתי מרקחת Raw'!$F:$F,0)),"")</f>
        <v>390B 39-42.גרב.כסף לסכרתיים שח</v>
      </c>
      <c r="C19" s="12" t="n">
        <f aca="false">SUMIFS('בתי מרקחת Raw'!$D$6:$D$1616,'בתי מרקחת Raw'!$F$6:$F$1616,$A19,'בתי מרקחת Raw'!$C$6:$C$1616,2025)</f>
        <v>42</v>
      </c>
      <c r="D19" s="12" t="n">
        <f aca="false">SUMIFS('בתי מרקחת Raw'!$D$6:$D$1616,'בתי מרקחת Raw'!$F$6:$F$1616,$A19,'בתי מרקחת Raw'!$C$6:$C$1616,2026)</f>
        <v>15</v>
      </c>
      <c r="E19" s="12" t="n">
        <f aca="false">D19*$J$5</f>
        <v>18.9473684210526</v>
      </c>
      <c r="F19" s="12" t="n">
        <f aca="false">E19-C19</f>
        <v>-23.0526315789474</v>
      </c>
      <c r="G19" s="21" t="n">
        <f aca="false">IF(AND(C19=0,E19=0),0,IF(C19=0,"New",(E19-C19)/C19))</f>
        <v>-0.548872180451128</v>
      </c>
      <c r="H19" s="12" t="n">
        <f aca="false">SUMIFS('בתי מרקחת Raw'!$E$6:$E$1616,'בתי מרקחת Raw'!$F$6:$F$1616,$A19,'בתי מרקחת Raw'!$C$6:$C$1616,2025)</f>
        <v>1277.4</v>
      </c>
      <c r="I19" s="12" t="n">
        <f aca="false">SUMIFS('בתי מרקחת Raw'!$E$6:$E$1616,'בתי מרקחת Raw'!$F$6:$F$1616,$A19,'בתי מרקחת Raw'!$C$6:$C$1616,2026)</f>
        <v>507.9</v>
      </c>
      <c r="J19" s="12" t="n">
        <f aca="false">I19*$J$5</f>
        <v>641.557894736842</v>
      </c>
      <c r="K19" s="12"/>
      <c r="L19" s="22"/>
    </row>
    <row r="20" customFormat="false" ht="15" hidden="false" customHeight="true" outlineLevel="0" collapsed="false">
      <c r="A20" s="12" t="n">
        <v>4403002</v>
      </c>
      <c r="B20" s="12" t="str">
        <f aca="false">IFERROR(INDEX('בתי מרקחת Raw'!$B:$B,MATCH($A20,'בתי מרקחת Raw'!$F:$F,0)),"")</f>
        <v>390B 43-46.גרב.כסף לסכרתיים שח</v>
      </c>
      <c r="C20" s="12" t="n">
        <f aca="false">SUMIFS('בתי מרקחת Raw'!$D$6:$D$1616,'בתי מרקחת Raw'!$F$6:$F$1616,$A20,'בתי מרקחת Raw'!$C$6:$C$1616,2025)</f>
        <v>78</v>
      </c>
      <c r="D20" s="12" t="n">
        <f aca="false">SUMIFS('בתי מרקחת Raw'!$D$6:$D$1616,'בתי מרקחת Raw'!$F$6:$F$1616,$A20,'בתי מרקחת Raw'!$C$6:$C$1616,2026)</f>
        <v>23</v>
      </c>
      <c r="E20" s="12" t="n">
        <f aca="false">D20*$J$5</f>
        <v>29.0526315789474</v>
      </c>
      <c r="F20" s="12" t="n">
        <f aca="false">E20-C20</f>
        <v>-48.9473684210526</v>
      </c>
      <c r="G20" s="21" t="n">
        <f aca="false">IF(AND(C20=0,E20=0),0,IF(C20=0,"New",(E20-C20)/C20))</f>
        <v>-0.62753036437247</v>
      </c>
      <c r="H20" s="12" t="n">
        <f aca="false">SUMIFS('בתי מרקחת Raw'!$E$6:$E$1616,'בתי מרקחת Raw'!$F$6:$F$1616,$A20,'בתי מרקחת Raw'!$C$6:$C$1616,2025)</f>
        <v>2431</v>
      </c>
      <c r="I20" s="12" t="n">
        <f aca="false">SUMIFS('בתי מרקחת Raw'!$E$6:$E$1616,'בתי מרקחת Raw'!$F$6:$F$1616,$A20,'בתי מרקחת Raw'!$C$6:$C$1616,2026)</f>
        <v>763</v>
      </c>
      <c r="J20" s="12" t="n">
        <f aca="false">I20*$J$5</f>
        <v>963.789473684211</v>
      </c>
      <c r="K20" s="12"/>
      <c r="L20" s="22"/>
    </row>
    <row r="21" customFormat="false" ht="15" hidden="false" customHeight="true" outlineLevel="0" collapsed="false">
      <c r="A21" s="12" t="n">
        <v>4403003</v>
      </c>
      <c r="B21" s="12" t="str">
        <f aca="false">IFERROR(INDEX('בתי מרקחת Raw'!$B:$B,MATCH($A21,'בתי מרקחת Raw'!$F:$F,0)),"")</f>
        <v>390G ג.כסף לסכרתיים אפור35-38</v>
      </c>
      <c r="C21" s="12" t="n">
        <f aca="false">SUMIFS('בתי מרקחת Raw'!$D$6:$D$1616,'בתי מרקחת Raw'!$F$6:$F$1616,$A21,'בתי מרקחת Raw'!$C$6:$C$1616,2025)</f>
        <v>2</v>
      </c>
      <c r="D21" s="12" t="n">
        <f aca="false">SUMIFS('בתי מרקחת Raw'!$D$6:$D$1616,'בתי מרקחת Raw'!$F$6:$F$1616,$A21,'בתי מרקחת Raw'!$C$6:$C$1616,2026)</f>
        <v>11</v>
      </c>
      <c r="E21" s="12" t="n">
        <f aca="false">D21*$J$5</f>
        <v>13.8947368421053</v>
      </c>
      <c r="F21" s="12" t="n">
        <f aca="false">E21-C21</f>
        <v>11.8947368421053</v>
      </c>
      <c r="G21" s="21" t="n">
        <f aca="false">IF(AND(C21=0,E21=0),0,IF(C21=0,"New",(E21-C21)/C21))</f>
        <v>5.94736842105263</v>
      </c>
      <c r="H21" s="12" t="n">
        <f aca="false">SUMIFS('בתי מרקחת Raw'!$E$6:$E$1616,'בתי מרקחת Raw'!$F$6:$F$1616,$A21,'בתי מרקחת Raw'!$C$6:$C$1616,2025)</f>
        <v>51</v>
      </c>
      <c r="I21" s="12" t="n">
        <f aca="false">SUMIFS('בתי מרקחת Raw'!$E$6:$E$1616,'בתי מרקחת Raw'!$F$6:$F$1616,$A21,'בתי מרקחת Raw'!$C$6:$C$1616,2026)</f>
        <v>376.8</v>
      </c>
      <c r="J21" s="12" t="n">
        <f aca="false">I21*$J$5</f>
        <v>475.957894736842</v>
      </c>
      <c r="K21" s="12"/>
      <c r="L21" s="22"/>
    </row>
    <row r="22" customFormat="false" ht="15" hidden="false" customHeight="true" outlineLevel="0" collapsed="false">
      <c r="A22" s="12" t="n">
        <v>4403004</v>
      </c>
      <c r="B22" s="12" t="str">
        <f aca="false">IFERROR(INDEX('בתי מרקחת Raw'!$B:$B,MATCH($A22,'בתי מרקחת Raw'!$F:$F,0)),"")</f>
        <v>390G 39-42.גרב.כסף לסכרתיים אפ</v>
      </c>
      <c r="C22" s="12" t="n">
        <f aca="false">SUMIFS('בתי מרקחת Raw'!$D$6:$D$1616,'בתי מרקחת Raw'!$F$6:$F$1616,$A22,'בתי מרקחת Raw'!$C$6:$C$1616,2025)</f>
        <v>16</v>
      </c>
      <c r="D22" s="12" t="n">
        <f aca="false">SUMIFS('בתי מרקחת Raw'!$D$6:$D$1616,'בתי מרקחת Raw'!$F$6:$F$1616,$A22,'בתי מרקחת Raw'!$C$6:$C$1616,2026)</f>
        <v>4</v>
      </c>
      <c r="E22" s="12" t="n">
        <f aca="false">D22*$J$5</f>
        <v>5.05263157894737</v>
      </c>
      <c r="F22" s="12" t="n">
        <f aca="false">E22-C22</f>
        <v>-10.9473684210526</v>
      </c>
      <c r="G22" s="21" t="n">
        <f aca="false">IF(AND(C22=0,E22=0),0,IF(C22=0,"New",(E22-C22)/C22))</f>
        <v>-0.68421052631579</v>
      </c>
      <c r="H22" s="12" t="n">
        <f aca="false">SUMIFS('בתי מרקחת Raw'!$E$6:$E$1616,'בתי מרקחת Raw'!$F$6:$F$1616,$A22,'בתי מרקחת Raw'!$C$6:$C$1616,2025)</f>
        <v>549.5</v>
      </c>
      <c r="I22" s="12" t="n">
        <f aca="false">SUMIFS('בתי מרקחת Raw'!$E$6:$E$1616,'בתי מרקחת Raw'!$F$6:$F$1616,$A22,'בתי מרקחת Raw'!$C$6:$C$1616,2026)</f>
        <v>140.4</v>
      </c>
      <c r="J22" s="12" t="n">
        <f aca="false">I22*$J$5</f>
        <v>177.347368421053</v>
      </c>
      <c r="K22" s="12"/>
      <c r="L22" s="22"/>
    </row>
    <row r="23" customFormat="false" ht="15" hidden="false" customHeight="true" outlineLevel="0" collapsed="false">
      <c r="A23" s="12" t="n">
        <v>4403005</v>
      </c>
      <c r="B23" s="12" t="str">
        <f aca="false">IFERROR(INDEX('בתי מרקחת Raw'!$B:$B,MATCH($A23,'בתי מרקחת Raw'!$F:$F,0)),"")</f>
        <v>G390.43-46 גרבי כסף לסכרת מידה</v>
      </c>
      <c r="C23" s="12" t="n">
        <f aca="false">SUMIFS('בתי מרקחת Raw'!$D$6:$D$1616,'בתי מרקחת Raw'!$F$6:$F$1616,$A23,'בתי מרקחת Raw'!$C$6:$C$1616,2025)</f>
        <v>50</v>
      </c>
      <c r="D23" s="12" t="n">
        <f aca="false">SUMIFS('בתי מרקחת Raw'!$D$6:$D$1616,'בתי מרקחת Raw'!$F$6:$F$1616,$A23,'בתי מרקחת Raw'!$C$6:$C$1616,2026)</f>
        <v>0</v>
      </c>
      <c r="E23" s="12" t="n">
        <f aca="false">D23*$J$5</f>
        <v>0</v>
      </c>
      <c r="F23" s="12" t="n">
        <f aca="false">E23-C23</f>
        <v>-50</v>
      </c>
      <c r="G23" s="21" t="n">
        <f aca="false">IF(AND(C23=0,E23=0),0,IF(C23=0,"New",(E23-C23)/C23))</f>
        <v>-1</v>
      </c>
      <c r="H23" s="12" t="n">
        <f aca="false">SUMIFS('בתי מרקחת Raw'!$E$6:$E$1616,'בתי מרקחת Raw'!$F$6:$F$1616,$A23,'בתי מרקחת Raw'!$C$6:$C$1616,2025)</f>
        <v>1586.82</v>
      </c>
      <c r="I23" s="12" t="n">
        <f aca="false">SUMIFS('בתי מרקחת Raw'!$E$6:$E$1616,'בתי מרקחת Raw'!$F$6:$F$1616,$A23,'בתי מרקחת Raw'!$C$6:$C$1616,2026)</f>
        <v>0</v>
      </c>
      <c r="J23" s="12" t="n">
        <f aca="false">I23*$J$5</f>
        <v>0</v>
      </c>
      <c r="K23" s="12"/>
      <c r="L23" s="22"/>
    </row>
    <row r="24" customFormat="false" ht="15" hidden="false" customHeight="true" outlineLevel="0" collapsed="false">
      <c r="A24" s="12" t="n">
        <v>4403006</v>
      </c>
      <c r="B24" s="12" t="str">
        <f aca="false">IFERROR(INDEX('בתי מרקחת Raw'!$B:$B,MATCH($A24,'בתי מרקחת Raw'!$F:$F,0)),"")</f>
        <v>390W גרב כסף לסכרתיים לבן35-38</v>
      </c>
      <c r="C24" s="12" t="n">
        <f aca="false">SUMIFS('בתי מרקחת Raw'!$D$6:$D$1616,'בתי מרקחת Raw'!$F$6:$F$1616,$A24,'בתי מרקחת Raw'!$C$6:$C$1616,2025)</f>
        <v>12</v>
      </c>
      <c r="D24" s="12" t="n">
        <f aca="false">SUMIFS('בתי מרקחת Raw'!$D$6:$D$1616,'בתי מרקחת Raw'!$F$6:$F$1616,$A24,'בתי מרקחת Raw'!$C$6:$C$1616,2026)</f>
        <v>12</v>
      </c>
      <c r="E24" s="12" t="n">
        <f aca="false">D24*$J$5</f>
        <v>15.1578947368421</v>
      </c>
      <c r="F24" s="12" t="n">
        <f aca="false">E24-C24</f>
        <v>3.1578947368421</v>
      </c>
      <c r="G24" s="21" t="n">
        <f aca="false">IF(AND(C24=0,E24=0),0,IF(C24=0,"New",(E24-C24)/C24))</f>
        <v>0.263157894736842</v>
      </c>
      <c r="H24" s="12" t="n">
        <f aca="false">SUMIFS('בתי מרקחת Raw'!$E$6:$E$1616,'בתי מרקחת Raw'!$F$6:$F$1616,$A24,'בתי מרקחת Raw'!$C$6:$C$1616,2025)</f>
        <v>345</v>
      </c>
      <c r="I24" s="12" t="n">
        <f aca="false">SUMIFS('בתי מרקחת Raw'!$E$6:$E$1616,'בתי מרקחת Raw'!$F$6:$F$1616,$A24,'בתי מרקחת Raw'!$C$6:$C$1616,2026)</f>
        <v>421.3</v>
      </c>
      <c r="J24" s="12" t="n">
        <f aca="false">I24*$J$5</f>
        <v>532.168421052632</v>
      </c>
      <c r="K24" s="12"/>
      <c r="L24" s="22"/>
    </row>
    <row r="25" customFormat="false" ht="15" hidden="false" customHeight="true" outlineLevel="0" collapsed="false">
      <c r="A25" s="12" t="n">
        <v>4403007</v>
      </c>
      <c r="B25" s="12" t="str">
        <f aca="false">IFERROR(INDEX('בתי מרקחת Raw'!$B:$B,MATCH($A25,'בתי מרקחת Raw'!$F:$F,0)),"")</f>
        <v>390W גרב.כסף לסכרתיים לבן39-42</v>
      </c>
      <c r="C25" s="12" t="n">
        <f aca="false">SUMIFS('בתי מרקחת Raw'!$D$6:$D$1616,'בתי מרקחת Raw'!$F$6:$F$1616,$A25,'בתי מרקחת Raw'!$C$6:$C$1616,2025)</f>
        <v>18</v>
      </c>
      <c r="D25" s="12" t="n">
        <f aca="false">SUMIFS('בתי מרקחת Raw'!$D$6:$D$1616,'בתי מרקחת Raw'!$F$6:$F$1616,$A25,'בתי מרקחת Raw'!$C$6:$C$1616,2026)</f>
        <v>13</v>
      </c>
      <c r="E25" s="12" t="n">
        <f aca="false">D25*$J$5</f>
        <v>16.4210526315789</v>
      </c>
      <c r="F25" s="12" t="n">
        <f aca="false">E25-C25</f>
        <v>-1.57894736842105</v>
      </c>
      <c r="G25" s="21" t="n">
        <f aca="false">IF(AND(C25=0,E25=0),0,IF(C25=0,"New",(E25-C25)/C25))</f>
        <v>-0.0877192982456142</v>
      </c>
      <c r="H25" s="12" t="n">
        <f aca="false">SUMIFS('בתי מרקחת Raw'!$E$6:$E$1616,'בתי מרקחת Raw'!$F$6:$F$1616,$A25,'בתי מרקחת Raw'!$C$6:$C$1616,2025)</f>
        <v>559.9</v>
      </c>
      <c r="I25" s="12" t="n">
        <f aca="false">SUMIFS('בתי מרקחת Raw'!$E$6:$E$1616,'בתי מרקחת Raw'!$F$6:$F$1616,$A25,'בתי מרקחת Raw'!$C$6:$C$1616,2026)</f>
        <v>433</v>
      </c>
      <c r="J25" s="12" t="n">
        <f aca="false">I25*$J$5</f>
        <v>546.947368421053</v>
      </c>
      <c r="K25" s="12"/>
      <c r="L25" s="22"/>
    </row>
    <row r="26" customFormat="false" ht="15" hidden="false" customHeight="true" outlineLevel="0" collapsed="false">
      <c r="A26" s="12" t="n">
        <v>4403008</v>
      </c>
      <c r="B26" s="12" t="str">
        <f aca="false">IFERROR(INDEX('בתי מרקחת Raw'!$B:$B,MATCH($A26,'בתי מרקחת Raw'!$F:$F,0)),"")</f>
        <v>390W גרב.כסף לסכרתיים לבן43-46</v>
      </c>
      <c r="C26" s="12" t="n">
        <f aca="false">SUMIFS('בתי מרקחת Raw'!$D$6:$D$1616,'בתי מרקחת Raw'!$F$6:$F$1616,$A26,'בתי מרקחת Raw'!$C$6:$C$1616,2025)</f>
        <v>20</v>
      </c>
      <c r="D26" s="12" t="n">
        <f aca="false">SUMIFS('בתי מרקחת Raw'!$D$6:$D$1616,'בתי מרקחת Raw'!$F$6:$F$1616,$A26,'בתי מרקחת Raw'!$C$6:$C$1616,2026)</f>
        <v>13</v>
      </c>
      <c r="E26" s="12" t="n">
        <f aca="false">D26*$J$5</f>
        <v>16.4210526315789</v>
      </c>
      <c r="F26" s="12" t="n">
        <f aca="false">E26-C26</f>
        <v>-3.57894736842106</v>
      </c>
      <c r="G26" s="21" t="n">
        <f aca="false">IF(AND(C26=0,E26=0),0,IF(C26=0,"New",(E26-C26)/C26))</f>
        <v>-0.178947368421053</v>
      </c>
      <c r="H26" s="12" t="n">
        <f aca="false">SUMIFS('בתי מרקחת Raw'!$E$6:$E$1616,'בתי מרקחת Raw'!$F$6:$F$1616,$A26,'בתי מרקחת Raw'!$C$6:$C$1616,2025)</f>
        <v>601.1</v>
      </c>
      <c r="I26" s="12" t="n">
        <f aca="false">SUMIFS('בתי מרקחת Raw'!$E$6:$E$1616,'בתי מרקחת Raw'!$F$6:$F$1616,$A26,'בתי מרקחת Raw'!$C$6:$C$1616,2026)</f>
        <v>456.4</v>
      </c>
      <c r="J26" s="12" t="n">
        <f aca="false">I26*$J$5</f>
        <v>576.505263157895</v>
      </c>
      <c r="K26" s="12"/>
      <c r="L26" s="22"/>
    </row>
    <row r="27" customFormat="false" ht="15" hidden="false" customHeight="true" outlineLevel="0" collapsed="false">
      <c r="A27" s="12" t="n">
        <v>4403017</v>
      </c>
      <c r="B27" s="12" t="str">
        <f aca="false">IFERROR(INDEX('בתי מרקחת Raw'!$B:$B,MATCH($A27,'בתי מרקחת Raw'!$F:$F,0)),"")</f>
        <v>394B גרב.כסף לסכרתים שחור35-38</v>
      </c>
      <c r="C27" s="12" t="n">
        <f aca="false">SUMIFS('בתי מרקחת Raw'!$D$6:$D$1616,'בתי מרקחת Raw'!$F$6:$F$1616,$A27,'בתי מרקחת Raw'!$C$6:$C$1616,2025)</f>
        <v>67</v>
      </c>
      <c r="D27" s="12" t="n">
        <f aca="false">SUMIFS('בתי מרקחת Raw'!$D$6:$D$1616,'בתי מרקחת Raw'!$F$6:$F$1616,$A27,'בתי מרקחת Raw'!$C$6:$C$1616,2026)</f>
        <v>29</v>
      </c>
      <c r="E27" s="12" t="n">
        <f aca="false">D27*$J$5</f>
        <v>36.6315789473684</v>
      </c>
      <c r="F27" s="12" t="n">
        <f aca="false">E27-C27</f>
        <v>-30.3684210526316</v>
      </c>
      <c r="G27" s="21" t="n">
        <f aca="false">IF(AND(C27=0,E27=0),0,IF(C27=0,"New",(E27-C27)/C27))</f>
        <v>-0.453260015710919</v>
      </c>
      <c r="H27" s="12" t="n">
        <f aca="false">SUMIFS('בתי מרקחת Raw'!$E$6:$E$1616,'בתי מרקחת Raw'!$F$6:$F$1616,$A27,'בתי מרקחת Raw'!$C$6:$C$1616,2025)</f>
        <v>1713.49</v>
      </c>
      <c r="I27" s="12" t="n">
        <f aca="false">SUMIFS('בתי מרקחת Raw'!$E$6:$E$1616,'בתי מרקחת Raw'!$F$6:$F$1616,$A27,'בתי מרקחת Raw'!$C$6:$C$1616,2026)</f>
        <v>797.46</v>
      </c>
      <c r="J27" s="12" t="n">
        <f aca="false">I27*$J$5</f>
        <v>1007.31789473684</v>
      </c>
      <c r="K27" s="12"/>
      <c r="L27" s="22"/>
    </row>
    <row r="28" customFormat="false" ht="15" hidden="false" customHeight="true" outlineLevel="0" collapsed="false">
      <c r="A28" s="12" t="n">
        <v>4403018</v>
      </c>
      <c r="B28" s="12" t="str">
        <f aca="false">IFERROR(INDEX('בתי מרקחת Raw'!$B:$B,MATCH($A28,'בתי מרקחת Raw'!$F:$F,0)),"")</f>
        <v>394B גרב.כסף לסכרתים שחור39-42</v>
      </c>
      <c r="C28" s="12" t="n">
        <f aca="false">SUMIFS('בתי מרקחת Raw'!$D$6:$D$1616,'בתי מרקחת Raw'!$F$6:$F$1616,$A28,'בתי מרקחת Raw'!$C$6:$C$1616,2025)</f>
        <v>142</v>
      </c>
      <c r="D28" s="12" t="n">
        <f aca="false">SUMIFS('בתי מרקחת Raw'!$D$6:$D$1616,'בתי מרקחת Raw'!$F$6:$F$1616,$A28,'בתי מרקחת Raw'!$C$6:$C$1616,2026)</f>
        <v>62</v>
      </c>
      <c r="E28" s="12" t="n">
        <f aca="false">D28*$J$5</f>
        <v>78.3157894736842</v>
      </c>
      <c r="F28" s="12" t="n">
        <f aca="false">E28-C28</f>
        <v>-63.6842105263158</v>
      </c>
      <c r="G28" s="21" t="n">
        <f aca="false">IF(AND(C28=0,E28=0),0,IF(C28=0,"New",(E28-C28)/C28))</f>
        <v>-0.448480355819125</v>
      </c>
      <c r="H28" s="12" t="n">
        <f aca="false">SUMIFS('בתי מרקחת Raw'!$E$6:$E$1616,'בתי מרקחת Raw'!$F$6:$F$1616,$A28,'בתי מרקחת Raw'!$C$6:$C$1616,2025)</f>
        <v>3545.31</v>
      </c>
      <c r="I28" s="12" t="n">
        <f aca="false">SUMIFS('בתי מרקחת Raw'!$E$6:$E$1616,'בתי מרקחת Raw'!$F$6:$F$1616,$A28,'בתי מרקחת Raw'!$C$6:$C$1616,2026)</f>
        <v>1606.18</v>
      </c>
      <c r="J28" s="12" t="n">
        <f aca="false">I28*$J$5</f>
        <v>2028.85894736842</v>
      </c>
      <c r="K28" s="12"/>
      <c r="L28" s="22"/>
    </row>
    <row r="29" customFormat="false" ht="15" hidden="false" customHeight="true" outlineLevel="0" collapsed="false">
      <c r="A29" s="12" t="n">
        <v>4403019</v>
      </c>
      <c r="B29" s="12" t="str">
        <f aca="false">IFERROR(INDEX('בתי מרקחת Raw'!$B:$B,MATCH($A29,'בתי מרקחת Raw'!$F:$F,0)),"")</f>
        <v>394B גרב.כסף לסכרתים שחור43-46</v>
      </c>
      <c r="C29" s="12" t="n">
        <f aca="false">SUMIFS('בתי מרקחת Raw'!$D$6:$D$1616,'בתי מרקחת Raw'!$F$6:$F$1616,$A29,'בתי מרקחת Raw'!$C$6:$C$1616,2025)</f>
        <v>236</v>
      </c>
      <c r="D29" s="12" t="n">
        <f aca="false">SUMIFS('בתי מרקחת Raw'!$D$6:$D$1616,'בתי מרקחת Raw'!$F$6:$F$1616,$A29,'בתי מרקחת Raw'!$C$6:$C$1616,2026)</f>
        <v>66</v>
      </c>
      <c r="E29" s="12" t="n">
        <f aca="false">D29*$J$5</f>
        <v>83.3684210526316</v>
      </c>
      <c r="F29" s="12" t="n">
        <f aca="false">E29-C29</f>
        <v>-152.631578947368</v>
      </c>
      <c r="G29" s="21" t="n">
        <f aca="false">IF(AND(C29=0,E29=0),0,IF(C29=0,"New",(E29-C29)/C29))</f>
        <v>-0.646743978590544</v>
      </c>
      <c r="H29" s="12" t="n">
        <f aca="false">SUMIFS('בתי מרקחת Raw'!$E$6:$E$1616,'בתי מרקחת Raw'!$F$6:$F$1616,$A29,'בתי מרקחת Raw'!$C$6:$C$1616,2025)</f>
        <v>5844.04</v>
      </c>
      <c r="I29" s="12" t="n">
        <f aca="false">SUMIFS('בתי מרקחת Raw'!$E$6:$E$1616,'בתי מרקחת Raw'!$F$6:$F$1616,$A29,'בתי מרקחת Raw'!$C$6:$C$1616,2026)</f>
        <v>1759.58</v>
      </c>
      <c r="J29" s="12" t="n">
        <f aca="false">I29*$J$5</f>
        <v>2222.62736842105</v>
      </c>
      <c r="K29" s="12"/>
      <c r="L29" s="22"/>
    </row>
    <row r="30" customFormat="false" ht="15" hidden="false" customHeight="true" outlineLevel="0" collapsed="false">
      <c r="A30" s="12" t="n">
        <v>4403020</v>
      </c>
      <c r="B30" s="12" t="str">
        <f aca="false">IFERROR(INDEX('בתי מרקחת Raw'!$B:$B,MATCH($A30,'בתי מרקחת Raw'!$F:$F,0)),"")</f>
        <v>394G גרב.כסף לסכרתים אפור35-38</v>
      </c>
      <c r="C30" s="12" t="n">
        <f aca="false">SUMIFS('בתי מרקחת Raw'!$D$6:$D$1616,'בתי מרקחת Raw'!$F$6:$F$1616,$A30,'בתי מרקחת Raw'!$C$6:$C$1616,2025)</f>
        <v>17</v>
      </c>
      <c r="D30" s="12" t="n">
        <f aca="false">SUMIFS('בתי מרקחת Raw'!$D$6:$D$1616,'בתי מרקחת Raw'!$F$6:$F$1616,$A30,'בתי מרקחת Raw'!$C$6:$C$1616,2026)</f>
        <v>1</v>
      </c>
      <c r="E30" s="12" t="n">
        <f aca="false">D30*$J$5</f>
        <v>1.26315789473684</v>
      </c>
      <c r="F30" s="12" t="n">
        <f aca="false">E30-C30</f>
        <v>-15.7368421052632</v>
      </c>
      <c r="G30" s="21" t="n">
        <f aca="false">IF(AND(C30=0,E30=0),0,IF(C30=0,"New",(E30-C30)/C30))</f>
        <v>-0.925696594427245</v>
      </c>
      <c r="H30" s="12" t="n">
        <f aca="false">SUMIFS('בתי מרקחת Raw'!$E$6:$E$1616,'בתי מרקחת Raw'!$F$6:$F$1616,$A30,'בתי מרקחת Raw'!$C$6:$C$1616,2025)</f>
        <v>426.2</v>
      </c>
      <c r="I30" s="12" t="n">
        <f aca="false">SUMIFS('בתי מרקחת Raw'!$E$6:$E$1616,'בתי מרקחת Raw'!$F$6:$F$1616,$A30,'בתי מרקחת Raw'!$C$6:$C$1616,2026)</f>
        <v>28.08</v>
      </c>
      <c r="J30" s="12" t="n">
        <f aca="false">I30*$J$5</f>
        <v>35.4694736842105</v>
      </c>
      <c r="K30" s="12"/>
      <c r="L30" s="22"/>
    </row>
    <row r="31" customFormat="false" ht="15" hidden="false" customHeight="true" outlineLevel="0" collapsed="false">
      <c r="A31" s="12" t="n">
        <v>4403021</v>
      </c>
      <c r="B31" s="12" t="str">
        <f aca="false">IFERROR(INDEX('בתי מרקחת Raw'!$B:$B,MATCH($A31,'בתי מרקחת Raw'!$F:$F,0)),"")</f>
        <v>394G גרב.כסף לסכרתים אפור39-42</v>
      </c>
      <c r="C31" s="12" t="n">
        <f aca="false">SUMIFS('בתי מרקחת Raw'!$D$6:$D$1616,'בתי מרקחת Raw'!$F$6:$F$1616,$A31,'בתי מרקחת Raw'!$C$6:$C$1616,2025)</f>
        <v>44</v>
      </c>
      <c r="D31" s="12" t="n">
        <f aca="false">SUMIFS('בתי מרקחת Raw'!$D$6:$D$1616,'בתי מרקחת Raw'!$F$6:$F$1616,$A31,'בתי מרקחת Raw'!$C$6:$C$1616,2026)</f>
        <v>2</v>
      </c>
      <c r="E31" s="12" t="n">
        <f aca="false">D31*$J$5</f>
        <v>2.52631578947368</v>
      </c>
      <c r="F31" s="12" t="n">
        <f aca="false">E31-C31</f>
        <v>-41.4736842105263</v>
      </c>
      <c r="G31" s="21" t="n">
        <f aca="false">IF(AND(C31=0,E31=0),0,IF(C31=0,"New",(E31-C31)/C31))</f>
        <v>-0.942583732057416</v>
      </c>
      <c r="H31" s="12" t="n">
        <f aca="false">SUMIFS('בתי מרקחת Raw'!$E$6:$E$1616,'בתי מרקחת Raw'!$F$6:$F$1616,$A31,'בתי מרקחת Raw'!$C$6:$C$1616,2025)</f>
        <v>1105.77</v>
      </c>
      <c r="I31" s="12" t="n">
        <f aca="false">SUMIFS('בתי מרקחת Raw'!$E$6:$E$1616,'בתי מרקחת Raw'!$F$6:$F$1616,$A31,'בתי מרקחת Raw'!$C$6:$C$1616,2026)</f>
        <v>56.18</v>
      </c>
      <c r="J31" s="12" t="n">
        <f aca="false">I31*$J$5</f>
        <v>70.9642105263158</v>
      </c>
      <c r="K31" s="12"/>
      <c r="L31" s="22"/>
    </row>
    <row r="32" customFormat="false" ht="15" hidden="false" customHeight="true" outlineLevel="0" collapsed="false">
      <c r="A32" s="12" t="n">
        <v>4403022</v>
      </c>
      <c r="B32" s="12" t="str">
        <f aca="false">IFERROR(INDEX('בתי מרקחת Raw'!$B:$B,MATCH($A32,'בתי מרקחת Raw'!$F:$F,0)),"")</f>
        <v>394G גרב.כסף לסכרתים אפור43-46</v>
      </c>
      <c r="C32" s="12" t="n">
        <f aca="false">SUMIFS('בתי מרקחת Raw'!$D$6:$D$1616,'בתי מרקחת Raw'!$F$6:$F$1616,$A32,'בתי מרקחת Raw'!$C$6:$C$1616,2025)</f>
        <v>46</v>
      </c>
      <c r="D32" s="12" t="n">
        <f aca="false">SUMIFS('בתי מרקחת Raw'!$D$6:$D$1616,'בתי מרקחת Raw'!$F$6:$F$1616,$A32,'בתי מרקחת Raw'!$C$6:$C$1616,2026)</f>
        <v>1</v>
      </c>
      <c r="E32" s="12" t="n">
        <f aca="false">D32*$J$5</f>
        <v>1.26315789473684</v>
      </c>
      <c r="F32" s="12" t="n">
        <f aca="false">E32-C32</f>
        <v>-44.7368421052632</v>
      </c>
      <c r="G32" s="21" t="n">
        <f aca="false">IF(AND(C32=0,E32=0),0,IF(C32=0,"New",(E32-C32)/C32))</f>
        <v>-0.97254004576659</v>
      </c>
      <c r="H32" s="12" t="n">
        <f aca="false">SUMIFS('בתי מרקחת Raw'!$E$6:$E$1616,'בתי מרקחת Raw'!$F$6:$F$1616,$A32,'בתי מרקחת Raw'!$C$6:$C$1616,2025)</f>
        <v>1173.42</v>
      </c>
      <c r="I32" s="12" t="n">
        <f aca="false">SUMIFS('בתי מרקחת Raw'!$E$6:$E$1616,'בתי מרקחת Raw'!$F$6:$F$1616,$A32,'בתי מרקחת Raw'!$C$6:$C$1616,2026)</f>
        <v>28.08</v>
      </c>
      <c r="J32" s="12" t="n">
        <f aca="false">I32*$J$5</f>
        <v>35.4694736842105</v>
      </c>
      <c r="K32" s="12"/>
      <c r="L32" s="22"/>
    </row>
    <row r="33" customFormat="false" ht="15" hidden="false" customHeight="true" outlineLevel="0" collapsed="false">
      <c r="A33" s="12" t="n">
        <v>4403023</v>
      </c>
      <c r="B33" s="12" t="str">
        <f aca="false">IFERROR(INDEX('בתי מרקחת Raw'!$B:$B,MATCH($A33,'בתי מרקחת Raw'!$F:$F,0)),"")</f>
        <v>394W 35-38 גרב.כסף לסכרתים לבן</v>
      </c>
      <c r="C33" s="12" t="n">
        <f aca="false">SUMIFS('בתי מרקחת Raw'!$D$6:$D$1616,'בתי מרקחת Raw'!$F$6:$F$1616,$A33,'בתי מרקחת Raw'!$C$6:$C$1616,2025)</f>
        <v>34</v>
      </c>
      <c r="D33" s="12" t="n">
        <f aca="false">SUMIFS('בתי מרקחת Raw'!$D$6:$D$1616,'בתי מרקחת Raw'!$F$6:$F$1616,$A33,'בתי מרקחת Raw'!$C$6:$C$1616,2026)</f>
        <v>24</v>
      </c>
      <c r="E33" s="12" t="n">
        <f aca="false">D33*$J$5</f>
        <v>30.3157894736842</v>
      </c>
      <c r="F33" s="12" t="n">
        <f aca="false">E33-C33</f>
        <v>-3.68421052631579</v>
      </c>
      <c r="G33" s="21" t="n">
        <f aca="false">IF(AND(C33=0,E33=0),0,IF(C33=0,"New",(E33-C33)/C33))</f>
        <v>-0.108359133126935</v>
      </c>
      <c r="H33" s="12" t="n">
        <f aca="false">SUMIFS('בתי מרקחת Raw'!$E$6:$E$1616,'בתי מרקחת Raw'!$F$6:$F$1616,$A33,'בתי מרקחת Raw'!$C$6:$C$1616,2025)</f>
        <v>843.2</v>
      </c>
      <c r="I33" s="12" t="n">
        <f aca="false">SUMIFS('בתי מרקחת Raw'!$E$6:$E$1616,'בתי מרקחת Raw'!$F$6:$F$1616,$A33,'בתי מרקחת Raw'!$C$6:$C$1616,2026)</f>
        <v>642.06</v>
      </c>
      <c r="J33" s="12" t="n">
        <f aca="false">I33*$J$5</f>
        <v>811.023157894737</v>
      </c>
      <c r="K33" s="12"/>
      <c r="L33" s="22"/>
    </row>
    <row r="34" customFormat="false" ht="15" hidden="false" customHeight="true" outlineLevel="0" collapsed="false">
      <c r="A34" s="12" t="n">
        <v>4403024</v>
      </c>
      <c r="B34" s="12" t="str">
        <f aca="false">IFERROR(INDEX('בתי מרקחת Raw'!$B:$B,MATCH($A34,'בתי מרקחת Raw'!$F:$F,0)),"")</f>
        <v>394W 39-42 גרב.כסף לסכרתים לבן</v>
      </c>
      <c r="C34" s="12" t="n">
        <f aca="false">SUMIFS('בתי מרקחת Raw'!$D$6:$D$1616,'בתי מרקחת Raw'!$F$6:$F$1616,$A34,'בתי מרקחת Raw'!$C$6:$C$1616,2025)</f>
        <v>77</v>
      </c>
      <c r="D34" s="12" t="n">
        <f aca="false">SUMIFS('בתי מרקחת Raw'!$D$6:$D$1616,'בתי מרקחת Raw'!$F$6:$F$1616,$A34,'בתי מרקחת Raw'!$C$6:$C$1616,2026)</f>
        <v>50</v>
      </c>
      <c r="E34" s="12" t="n">
        <f aca="false">D34*$J$5</f>
        <v>63.1578947368421</v>
      </c>
      <c r="F34" s="12" t="n">
        <f aca="false">E34-C34</f>
        <v>-13.8421052631579</v>
      </c>
      <c r="G34" s="21" t="n">
        <f aca="false">IF(AND(C34=0,E34=0),0,IF(C34=0,"New",(E34-C34)/C34))</f>
        <v>-0.179767600820232</v>
      </c>
      <c r="H34" s="12" t="n">
        <f aca="false">SUMIFS('בתי מרקחת Raw'!$E$6:$E$1616,'בתי מרקחת Raw'!$F$6:$F$1616,$A34,'בתי מרקחת Raw'!$C$6:$C$1616,2025)</f>
        <v>1931.67</v>
      </c>
      <c r="I34" s="12" t="n">
        <f aca="false">SUMIFS('בתי מרקחת Raw'!$E$6:$E$1616,'בתי מרקחת Raw'!$F$6:$F$1616,$A34,'בתי מרקחת Raw'!$C$6:$C$1616,2026)</f>
        <v>1338.58</v>
      </c>
      <c r="J34" s="12" t="n">
        <f aca="false">I34*$J$5</f>
        <v>1690.83789473684</v>
      </c>
      <c r="K34" s="12"/>
      <c r="L34" s="22"/>
    </row>
    <row r="35" customFormat="false" ht="15" hidden="false" customHeight="true" outlineLevel="0" collapsed="false">
      <c r="A35" s="12" t="n">
        <v>4403025</v>
      </c>
      <c r="B35" s="12" t="str">
        <f aca="false">IFERROR(INDEX('בתי מרקחת Raw'!$B:$B,MATCH($A35,'בתי מרקחת Raw'!$F:$F,0)),"")</f>
        <v>394W 43-46 גרב.כסף לסכרתים לבן</v>
      </c>
      <c r="C35" s="12" t="n">
        <f aca="false">SUMIFS('בתי מרקחת Raw'!$D$6:$D$1616,'בתי מרקחת Raw'!$F$6:$F$1616,$A35,'בתי מרקחת Raw'!$C$6:$C$1616,2025)</f>
        <v>90</v>
      </c>
      <c r="D35" s="12" t="n">
        <f aca="false">SUMIFS('בתי מרקחת Raw'!$D$6:$D$1616,'בתי מרקחת Raw'!$F$6:$F$1616,$A35,'בתי מרקחת Raw'!$C$6:$C$1616,2026)</f>
        <v>52</v>
      </c>
      <c r="E35" s="12" t="n">
        <f aca="false">D35*$J$5</f>
        <v>65.6842105263158</v>
      </c>
      <c r="F35" s="12" t="n">
        <f aca="false">E35-C35</f>
        <v>-24.3157894736842</v>
      </c>
      <c r="G35" s="21" t="n">
        <f aca="false">IF(AND(C35=0,E35=0),0,IF(C35=0,"New",(E35-C35)/C35))</f>
        <v>-0.270175438596491</v>
      </c>
      <c r="H35" s="12" t="n">
        <f aca="false">SUMIFS('בתי מרקחת Raw'!$E$6:$E$1616,'בתי מרקחת Raw'!$F$6:$F$1616,$A35,'בתי מרקחת Raw'!$C$6:$C$1616,2025)</f>
        <v>2222.39</v>
      </c>
      <c r="I35" s="12" t="n">
        <f aca="false">SUMIFS('בתי מרקחת Raw'!$E$6:$E$1616,'בתי מרקחת Raw'!$F$6:$F$1616,$A35,'בתי מרקחת Raw'!$C$6:$C$1616,2026)</f>
        <v>1402.16</v>
      </c>
      <c r="J35" s="12" t="n">
        <f aca="false">I35*$J$5</f>
        <v>1771.14947368421</v>
      </c>
      <c r="K35" s="12"/>
      <c r="L35" s="22"/>
    </row>
    <row r="36" customFormat="false" ht="15" hidden="false" customHeight="true" outlineLevel="0" collapsed="false">
      <c r="A36" s="12" t="n">
        <v>4403028</v>
      </c>
      <c r="B36" s="12" t="str">
        <f aca="false">IFERROR(INDEX('בתי מרקחת Raw'!$B:$B,MATCH($A36,'בתי מרקחת Raw'!$F:$F,0)),"")</f>
        <v>397 35-38 גרבי טיסה מידה</v>
      </c>
      <c r="C36" s="12" t="n">
        <f aca="false">SUMIFS('בתי מרקחת Raw'!$D$6:$D$1616,'בתי מרקחת Raw'!$F$6:$F$1616,$A36,'בתי מרקחת Raw'!$C$6:$C$1616,2025)</f>
        <v>125</v>
      </c>
      <c r="D36" s="12" t="n">
        <f aca="false">SUMIFS('בתי מרקחת Raw'!$D$6:$D$1616,'בתי מרקחת Raw'!$F$6:$F$1616,$A36,'בתי מרקחת Raw'!$C$6:$C$1616,2026)</f>
        <v>-1</v>
      </c>
      <c r="E36" s="12" t="n">
        <f aca="false">D36*$J$5</f>
        <v>-1.26315789473684</v>
      </c>
      <c r="F36" s="12" t="n">
        <f aca="false">E36-C36</f>
        <v>-126.263157894737</v>
      </c>
      <c r="G36" s="21" t="n">
        <f aca="false">IF(AND(C36=0,E36=0),0,IF(C36=0,"New",(E36-C36)/C36))</f>
        <v>-1.01010526315789</v>
      </c>
      <c r="H36" s="12" t="n">
        <f aca="false">SUMIFS('בתי מרקחת Raw'!$E$6:$E$1616,'בתי מרקחת Raw'!$F$6:$F$1616,$A36,'בתי מרקחת Raw'!$C$6:$C$1616,2025)</f>
        <v>7355.3</v>
      </c>
      <c r="I36" s="12" t="n">
        <f aca="false">SUMIFS('בתי מרקחת Raw'!$E$6:$E$1616,'בתי מרקחת Raw'!$F$6:$F$1616,$A36,'בתי מרקחת Raw'!$C$6:$C$1616,2026)</f>
        <v>-52.8</v>
      </c>
      <c r="J36" s="12" t="n">
        <f aca="false">I36*$J$5</f>
        <v>-66.6947368421053</v>
      </c>
      <c r="K36" s="12"/>
      <c r="L36" s="22"/>
    </row>
    <row r="37" customFormat="false" ht="15" hidden="false" customHeight="true" outlineLevel="0" collapsed="false">
      <c r="A37" s="12" t="n">
        <v>4403029</v>
      </c>
      <c r="B37" s="12" t="str">
        <f aca="false">IFERROR(INDEX('בתי מרקחת Raw'!$B:$B,MATCH($A37,'בתי מרקחת Raw'!$F:$F,0)),"")</f>
        <v>397 39-42 גרבי טיסה מידה</v>
      </c>
      <c r="C37" s="12" t="n">
        <f aca="false">SUMIFS('בתי מרקחת Raw'!$D$6:$D$1616,'בתי מרקחת Raw'!$F$6:$F$1616,$A37,'בתי מרקחת Raw'!$C$6:$C$1616,2025)</f>
        <v>225</v>
      </c>
      <c r="D37" s="12" t="n">
        <f aca="false">SUMIFS('בתי מרקחת Raw'!$D$6:$D$1616,'בתי מרקחת Raw'!$F$6:$F$1616,$A37,'בתי מרקחת Raw'!$C$6:$C$1616,2026)</f>
        <v>4</v>
      </c>
      <c r="E37" s="12" t="n">
        <f aca="false">D37*$J$5</f>
        <v>5.05263157894737</v>
      </c>
      <c r="F37" s="12" t="n">
        <f aca="false">E37-C37</f>
        <v>-219.947368421053</v>
      </c>
      <c r="G37" s="21" t="n">
        <f aca="false">IF(AND(C37=0,E37=0),0,IF(C37=0,"New",(E37-C37)/C37))</f>
        <v>-0.977543859649123</v>
      </c>
      <c r="H37" s="12" t="n">
        <f aca="false">SUMIFS('בתי מרקחת Raw'!$E$6:$E$1616,'בתי מרקחת Raw'!$F$6:$F$1616,$A37,'בתי מרקחת Raw'!$C$6:$C$1616,2025)</f>
        <v>13254.25</v>
      </c>
      <c r="I37" s="12" t="n">
        <f aca="false">SUMIFS('בתי מרקחת Raw'!$E$6:$E$1616,'בתי מרקחת Raw'!$F$6:$F$1616,$A37,'בתי מרקחת Raw'!$C$6:$C$1616,2026)</f>
        <v>261.36</v>
      </c>
      <c r="J37" s="12" t="n">
        <f aca="false">I37*$J$5</f>
        <v>330.138947368421</v>
      </c>
      <c r="K37" s="12"/>
      <c r="L37" s="22"/>
    </row>
    <row r="38" customFormat="false" ht="15" hidden="false" customHeight="true" outlineLevel="0" collapsed="false">
      <c r="A38" s="12" t="n">
        <v>4403030</v>
      </c>
      <c r="B38" s="12" t="str">
        <f aca="false">IFERROR(INDEX('בתי מרקחת Raw'!$B:$B,MATCH($A38,'בתי מרקחת Raw'!$F:$F,0)),"")</f>
        <v>397 43-46 גרבי טיסה מידה</v>
      </c>
      <c r="C38" s="12" t="n">
        <f aca="false">SUMIFS('בתי מרקחת Raw'!$D$6:$D$1616,'בתי מרקחת Raw'!$F$6:$F$1616,$A38,'בתי מרקחת Raw'!$C$6:$C$1616,2025)</f>
        <v>211</v>
      </c>
      <c r="D38" s="12" t="n">
        <f aca="false">SUMIFS('בתי מרקחת Raw'!$D$6:$D$1616,'בתי מרקחת Raw'!$F$6:$F$1616,$A38,'בתי מרקחת Raw'!$C$6:$C$1616,2026)</f>
        <v>-3</v>
      </c>
      <c r="E38" s="12" t="n">
        <f aca="false">D38*$J$5</f>
        <v>-3.78947368421053</v>
      </c>
      <c r="F38" s="12" t="n">
        <f aca="false">E38-C38</f>
        <v>-214.789473684211</v>
      </c>
      <c r="G38" s="21" t="n">
        <f aca="false">IF(AND(C38=0,E38=0),0,IF(C38=0,"New",(E38-C38)/C38))</f>
        <v>-1.01795959092043</v>
      </c>
      <c r="H38" s="12" t="n">
        <f aca="false">SUMIFS('בתי מרקחת Raw'!$E$6:$E$1616,'בתי מרקחת Raw'!$F$6:$F$1616,$A38,'בתי מרקחת Raw'!$C$6:$C$1616,2025)</f>
        <v>12491.9</v>
      </c>
      <c r="I38" s="12" t="n">
        <f aca="false">SUMIFS('בתי מרקחת Raw'!$E$6:$E$1616,'בתי מרקחת Raw'!$F$6:$F$1616,$A38,'בתי מרקחת Raw'!$C$6:$C$1616,2026)</f>
        <v>-164.4</v>
      </c>
      <c r="J38" s="12" t="n">
        <f aca="false">I38*$J$5</f>
        <v>-207.663157894737</v>
      </c>
      <c r="K38" s="12"/>
      <c r="L38" s="22"/>
    </row>
    <row r="39" customFormat="false" ht="15" hidden="false" customHeight="true" outlineLevel="0" collapsed="false">
      <c r="A39" s="12" t="n">
        <v>4403034</v>
      </c>
      <c r="B39" s="12" t="str">
        <f aca="false">IFERROR(INDEX('בתי מרקחת Raw'!$B:$B,MATCH($A39,'בתי מרקחת Raw'!$F:$F,0)),"")</f>
        <v>ST3555 S-Mגרב לילה לטיפ.בדורבן</v>
      </c>
      <c r="C39" s="12" t="n">
        <f aca="false">SUMIFS('בתי מרקחת Raw'!$D$6:$D$1616,'בתי מרקחת Raw'!$F$6:$F$1616,$A39,'בתי מרקחת Raw'!$C$6:$C$1616,2025)</f>
        <v>6</v>
      </c>
      <c r="D39" s="12" t="n">
        <f aca="false">SUMIFS('בתי מרקחת Raw'!$D$6:$D$1616,'בתי מרקחת Raw'!$F$6:$F$1616,$A39,'בתי מרקחת Raw'!$C$6:$C$1616,2026)</f>
        <v>2</v>
      </c>
      <c r="E39" s="12" t="n">
        <f aca="false">D39*$J$5</f>
        <v>2.52631578947368</v>
      </c>
      <c r="F39" s="12" t="n">
        <f aca="false">E39-C39</f>
        <v>-3.47368421052632</v>
      </c>
      <c r="G39" s="21" t="n">
        <f aca="false">IF(AND(C39=0,E39=0),0,IF(C39=0,"New",(E39-C39)/C39))</f>
        <v>-0.578947368421053</v>
      </c>
      <c r="H39" s="12" t="n">
        <f aca="false">SUMIFS('בתי מרקחת Raw'!$E$6:$E$1616,'בתי מרקחת Raw'!$F$6:$F$1616,$A39,'בתי מרקחת Raw'!$C$6:$C$1616,2025)</f>
        <v>387.1</v>
      </c>
      <c r="I39" s="12" t="n">
        <f aca="false">SUMIFS('בתי מרקחת Raw'!$E$6:$E$1616,'בתי מרקחת Raw'!$F$6:$F$1616,$A39,'בתי מרקחת Raw'!$C$6:$C$1616,2026)</f>
        <v>184.6</v>
      </c>
      <c r="J39" s="12" t="n">
        <f aca="false">I39*$J$5</f>
        <v>233.178947368421</v>
      </c>
      <c r="K39" s="12"/>
      <c r="L39" s="22"/>
    </row>
    <row r="40" customFormat="false" ht="15" hidden="false" customHeight="true" outlineLevel="0" collapsed="false">
      <c r="A40" s="12" t="n">
        <v>4403035</v>
      </c>
      <c r="B40" s="12" t="str">
        <f aca="false">IFERROR(INDEX('בתי מרקחת Raw'!$B:$B,MATCH($A40,'בתי מרקחת Raw'!$F:$F,0)),"")</f>
        <v>ST3555L-XLגרב לילה לטיפ.בדורבן</v>
      </c>
      <c r="C40" s="12" t="n">
        <f aca="false">SUMIFS('בתי מרקחת Raw'!$D$6:$D$1616,'בתי מרקחת Raw'!$F$6:$F$1616,$A40,'בתי מרקחת Raw'!$C$6:$C$1616,2025)</f>
        <v>11</v>
      </c>
      <c r="D40" s="12" t="n">
        <f aca="false">SUMIFS('בתי מרקחת Raw'!$D$6:$D$1616,'בתי מרקחת Raw'!$F$6:$F$1616,$A40,'בתי מרקחת Raw'!$C$6:$C$1616,2026)</f>
        <v>1</v>
      </c>
      <c r="E40" s="12" t="n">
        <f aca="false">D40*$J$5</f>
        <v>1.26315789473684</v>
      </c>
      <c r="F40" s="12" t="n">
        <f aca="false">E40-C40</f>
        <v>-9.73684210526316</v>
      </c>
      <c r="G40" s="21" t="n">
        <f aca="false">IF(AND(C40=0,E40=0),0,IF(C40=0,"New",(E40-C40)/C40))</f>
        <v>-0.885167464114833</v>
      </c>
      <c r="H40" s="12" t="n">
        <f aca="false">SUMIFS('בתי מרקחת Raw'!$E$6:$E$1616,'בתי מרקחת Raw'!$F$6:$F$1616,$A40,'בתי מרקחת Raw'!$C$6:$C$1616,2025)</f>
        <v>702.32</v>
      </c>
      <c r="I40" s="12" t="n">
        <f aca="false">SUMIFS('בתי מרקחת Raw'!$E$6:$E$1616,'בתי מרקחת Raw'!$F$6:$F$1616,$A40,'בתי מרקחת Raw'!$C$6:$C$1616,2026)</f>
        <v>92.3</v>
      </c>
      <c r="J40" s="12" t="n">
        <f aca="false">I40*$J$5</f>
        <v>116.589473684211</v>
      </c>
      <c r="K40" s="12"/>
      <c r="L40" s="22"/>
    </row>
    <row r="41" customFormat="false" ht="15" hidden="false" customHeight="true" outlineLevel="0" collapsed="false">
      <c r="A41" s="12" t="n">
        <v>4403040</v>
      </c>
      <c r="B41" s="12" t="str">
        <f aca="false">IFERROR(INDEX('בתי מרקחת Raw'!$B:$B,MATCH($A41,'בתי מרקחת Raw'!$F:$F,0)),"")</f>
        <v>3444B גרבי ג'ל לריכוך עור העקב</v>
      </c>
      <c r="C41" s="12" t="n">
        <f aca="false">SUMIFS('בתי מרקחת Raw'!$D$6:$D$1616,'בתי מרקחת Raw'!$F$6:$F$1616,$A41,'בתי מרקחת Raw'!$C$6:$C$1616,2025)</f>
        <v>110</v>
      </c>
      <c r="D41" s="12" t="n">
        <f aca="false">SUMIFS('בתי מרקחת Raw'!$D$6:$D$1616,'בתי מרקחת Raw'!$F$6:$F$1616,$A41,'בתי מרקחת Raw'!$C$6:$C$1616,2026)</f>
        <v>20</v>
      </c>
      <c r="E41" s="12" t="n">
        <f aca="false">D41*$J$5</f>
        <v>25.2631578947368</v>
      </c>
      <c r="F41" s="12" t="n">
        <f aca="false">E41-C41</f>
        <v>-84.7368421052632</v>
      </c>
      <c r="G41" s="21" t="n">
        <f aca="false">IF(AND(C41=0,E41=0),0,IF(C41=0,"New",(E41-C41)/C41))</f>
        <v>-0.770334928229665</v>
      </c>
      <c r="H41" s="12" t="n">
        <f aca="false">SUMIFS('בתי מרקחת Raw'!$E$6:$E$1616,'בתי מרקחת Raw'!$F$6:$F$1616,$A41,'בתי מרקחת Raw'!$C$6:$C$1616,2025)</f>
        <v>4004.4</v>
      </c>
      <c r="I41" s="12" t="n">
        <f aca="false">SUMIFS('בתי מרקחת Raw'!$E$6:$E$1616,'בתי מרקחת Raw'!$F$6:$F$1616,$A41,'בתי מרקחת Raw'!$C$6:$C$1616,2026)</f>
        <v>693.6</v>
      </c>
      <c r="J41" s="12" t="n">
        <f aca="false">I41*$J$5</f>
        <v>876.126315789474</v>
      </c>
      <c r="K41" s="12"/>
      <c r="L41" s="22"/>
    </row>
    <row r="42" customFormat="false" ht="15" hidden="false" customHeight="true" outlineLevel="0" collapsed="false">
      <c r="A42" s="12" t="n">
        <v>4403041</v>
      </c>
      <c r="B42" s="12" t="str">
        <f aca="false">IFERROR(INDEX('בתי מרקחת Raw'!$B:$B,MATCH($A42,'בתי מרקחת Raw'!$F:$F,0)),"")</f>
        <v>397A-גרבי טיסה אנטי בקטרי35-38</v>
      </c>
      <c r="C42" s="12" t="n">
        <f aca="false">SUMIFS('בתי מרקחת Raw'!$D$6:$D$1616,'בתי מרקחת Raw'!$F$6:$F$1616,$A42,'בתי מרקחת Raw'!$C$6:$C$1616,2025)</f>
        <v>17</v>
      </c>
      <c r="D42" s="12" t="n">
        <f aca="false">SUMIFS('בתי מרקחת Raw'!$D$6:$D$1616,'בתי מרקחת Raw'!$F$6:$F$1616,$A42,'בתי מרקחת Raw'!$C$6:$C$1616,2026)</f>
        <v>135</v>
      </c>
      <c r="E42" s="12" t="n">
        <f aca="false">D42*$J$5</f>
        <v>170.526315789474</v>
      </c>
      <c r="F42" s="12" t="n">
        <f aca="false">E42-C42</f>
        <v>153.526315789474</v>
      </c>
      <c r="G42" s="21" t="n">
        <f aca="false">IF(AND(C42=0,E42=0),0,IF(C42=0,"New",(E42-C42)/C42))</f>
        <v>9.03095975232198</v>
      </c>
      <c r="H42" s="12" t="n">
        <f aca="false">SUMIFS('בתי מרקחת Raw'!$E$6:$E$1616,'בתי מרקחת Raw'!$F$6:$F$1616,$A42,'בתי מרקחת Raw'!$C$6:$C$1616,2025)</f>
        <v>1040.47</v>
      </c>
      <c r="I42" s="12" t="n">
        <f aca="false">SUMIFS('בתי מרקחת Raw'!$E$6:$E$1616,'בתי מרקחת Raw'!$F$6:$F$1616,$A42,'בתי מרקחת Raw'!$C$6:$C$1616,2026)</f>
        <v>8080.93</v>
      </c>
      <c r="J42" s="12" t="n">
        <f aca="false">I42*$J$5</f>
        <v>10207.4905263158</v>
      </c>
      <c r="K42" s="12"/>
      <c r="L42" s="22"/>
    </row>
    <row r="43" customFormat="false" ht="15" hidden="false" customHeight="true" outlineLevel="0" collapsed="false">
      <c r="A43" s="12" t="n">
        <v>4403042</v>
      </c>
      <c r="B43" s="12" t="str">
        <f aca="false">IFERROR(INDEX('בתי מרקחת Raw'!$B:$B,MATCH($A43,'בתי מרקחת Raw'!$F:$F,0)),"")</f>
        <v>397A-גרבי טיסה אנטי בקטרי39-42</v>
      </c>
      <c r="C43" s="12" t="n">
        <f aca="false">SUMIFS('בתי מרקחת Raw'!$D$6:$D$1616,'בתי מרקחת Raw'!$F$6:$F$1616,$A43,'בתי מרקחת Raw'!$C$6:$C$1616,2025)</f>
        <v>0</v>
      </c>
      <c r="D43" s="12" t="n">
        <f aca="false">SUMIFS('בתי מרקחת Raw'!$D$6:$D$1616,'בתי מרקחת Raw'!$F$6:$F$1616,$A43,'בתי מרקחת Raw'!$C$6:$C$1616,2026)</f>
        <v>226</v>
      </c>
      <c r="E43" s="12" t="n">
        <f aca="false">D43*$J$5</f>
        <v>285.473684210526</v>
      </c>
      <c r="F43" s="12" t="n">
        <f aca="false">E43-C43</f>
        <v>285.473684210526</v>
      </c>
      <c r="G43" s="21" t="str">
        <f aca="false">IF(AND(C43=0,E43=0),0,IF(C43=0,"New",(E43-C43)/C43))</f>
        <v>New</v>
      </c>
      <c r="H43" s="12" t="n">
        <f aca="false">SUMIFS('בתי מרקחת Raw'!$E$6:$E$1616,'בתי מרקחת Raw'!$F$6:$F$1616,$A43,'בתי מרקחת Raw'!$C$6:$C$1616,2025)</f>
        <v>0</v>
      </c>
      <c r="I43" s="12" t="n">
        <f aca="false">SUMIFS('בתי מרקחת Raw'!$E$6:$E$1616,'בתי מרקחת Raw'!$F$6:$F$1616,$A43,'בתי מרקחת Raw'!$C$6:$C$1616,2026)</f>
        <v>13522.95</v>
      </c>
      <c r="J43" s="12" t="n">
        <f aca="false">I43*$J$5</f>
        <v>17081.6210526316</v>
      </c>
      <c r="K43" s="12"/>
      <c r="L43" s="22"/>
    </row>
    <row r="44" customFormat="false" ht="15" hidden="false" customHeight="true" outlineLevel="0" collapsed="false">
      <c r="A44" s="12" t="n">
        <v>4403043</v>
      </c>
      <c r="B44" s="12" t="str">
        <f aca="false">IFERROR(INDEX('בתי מרקחת Raw'!$B:$B,MATCH($A44,'בתי מרקחת Raw'!$F:$F,0)),"")</f>
        <v>397A-גרבי טיסה אנטי בקטרי43-46</v>
      </c>
      <c r="C44" s="12" t="n">
        <f aca="false">SUMIFS('בתי מרקחת Raw'!$D$6:$D$1616,'בתי מרקחת Raw'!$F$6:$F$1616,$A44,'בתי מרקחת Raw'!$C$6:$C$1616,2025)</f>
        <v>16</v>
      </c>
      <c r="D44" s="12" t="n">
        <f aca="false">SUMIFS('בתי מרקחת Raw'!$D$6:$D$1616,'בתי מרקחת Raw'!$F$6:$F$1616,$A44,'בתי מרקחת Raw'!$C$6:$C$1616,2026)</f>
        <v>183</v>
      </c>
      <c r="E44" s="12" t="n">
        <f aca="false">D44*$J$5</f>
        <v>231.157894736842</v>
      </c>
      <c r="F44" s="12" t="n">
        <f aca="false">E44-C44</f>
        <v>215.157894736842</v>
      </c>
      <c r="G44" s="21" t="n">
        <f aca="false">IF(AND(C44=0,E44=0),0,IF(C44=0,"New",(E44-C44)/C44))</f>
        <v>13.4473684210526</v>
      </c>
      <c r="H44" s="12" t="n">
        <f aca="false">SUMIFS('בתי מרקחת Raw'!$E$6:$E$1616,'בתי מרקחת Raw'!$F$6:$F$1616,$A44,'בתי מרקחת Raw'!$C$6:$C$1616,2025)</f>
        <v>974.95</v>
      </c>
      <c r="I44" s="12" t="n">
        <f aca="false">SUMIFS('בתי מרקחת Raw'!$E$6:$E$1616,'בתי מרקחת Raw'!$F$6:$F$1616,$A44,'בתי מרקחת Raw'!$C$6:$C$1616,2026)</f>
        <v>10981.08</v>
      </c>
      <c r="J44" s="12" t="n">
        <f aca="false">I44*$J$5</f>
        <v>13870.8378947368</v>
      </c>
      <c r="K44" s="12"/>
      <c r="L44" s="22"/>
    </row>
    <row r="45" customFormat="false" ht="15" hidden="false" customHeight="true" outlineLevel="0" collapsed="false">
      <c r="A45" s="12" t="n">
        <v>4403044</v>
      </c>
      <c r="B45" s="12" t="str">
        <f aca="false">IFERROR(INDEX('בתי מרקחת Raw'!$B:$B,MATCH($A45,'בתי מרקחת Raw'!$F:$F,0)),"")</f>
        <v>395B גרבי קיץ אנטי בקטריא39-42</v>
      </c>
      <c r="C45" s="12" t="n">
        <f aca="false">SUMIFS('בתי מרקחת Raw'!$D$6:$D$1616,'בתי מרקחת Raw'!$F$6:$F$1616,$A45,'בתי מרקחת Raw'!$C$6:$C$1616,2025)</f>
        <v>0</v>
      </c>
      <c r="D45" s="12" t="n">
        <f aca="false">SUMIFS('בתי מרקחת Raw'!$D$6:$D$1616,'בתי מרקחת Raw'!$F$6:$F$1616,$A45,'בתי מרקחת Raw'!$C$6:$C$1616,2026)</f>
        <v>30</v>
      </c>
      <c r="E45" s="12" t="n">
        <f aca="false">D45*$J$5</f>
        <v>37.8947368421053</v>
      </c>
      <c r="F45" s="12" t="n">
        <f aca="false">E45-C45</f>
        <v>37.8947368421053</v>
      </c>
      <c r="G45" s="21" t="str">
        <f aca="false">IF(AND(C45=0,E45=0),0,IF(C45=0,"New",(E45-C45)/C45))</f>
        <v>New</v>
      </c>
      <c r="H45" s="12" t="n">
        <f aca="false">SUMIFS('בתי מרקחת Raw'!$E$6:$E$1616,'בתי מרקחת Raw'!$F$6:$F$1616,$A45,'בתי מרקחת Raw'!$C$6:$C$1616,2025)</f>
        <v>0</v>
      </c>
      <c r="I45" s="12" t="n">
        <f aca="false">SUMIFS('בתי מרקחת Raw'!$E$6:$E$1616,'בתי מרקחת Raw'!$F$6:$F$1616,$A45,'בתי מרקחת Raw'!$C$6:$C$1616,2026)</f>
        <v>880.18</v>
      </c>
      <c r="J45" s="12" t="n">
        <f aca="false">I45*$J$5</f>
        <v>1111.80631578947</v>
      </c>
      <c r="K45" s="12"/>
      <c r="L45" s="22"/>
    </row>
    <row r="46" customFormat="false" ht="15" hidden="false" customHeight="true" outlineLevel="0" collapsed="false">
      <c r="A46" s="12" t="n">
        <v>4403045</v>
      </c>
      <c r="B46" s="12" t="str">
        <f aca="false">IFERROR(INDEX('בתי מרקחת Raw'!$B:$B,MATCH($A46,'בתי מרקחת Raw'!$F:$F,0)),"")</f>
        <v>395B גרבי קיץ אנטי בקטריא43-46</v>
      </c>
      <c r="C46" s="12" t="n">
        <f aca="false">SUMIFS('בתי מרקחת Raw'!$D$6:$D$1616,'בתי מרקחת Raw'!$F$6:$F$1616,$A46,'בתי מרקחת Raw'!$C$6:$C$1616,2025)</f>
        <v>0</v>
      </c>
      <c r="D46" s="12" t="n">
        <f aca="false">SUMIFS('בתי מרקחת Raw'!$D$6:$D$1616,'בתי מרקחת Raw'!$F$6:$F$1616,$A46,'בתי מרקחת Raw'!$C$6:$C$1616,2026)</f>
        <v>38</v>
      </c>
      <c r="E46" s="12" t="n">
        <f aca="false">D46*$J$5</f>
        <v>48</v>
      </c>
      <c r="F46" s="12" t="n">
        <f aca="false">E46-C46</f>
        <v>48</v>
      </c>
      <c r="G46" s="21" t="str">
        <f aca="false">IF(AND(C46=0,E46=0),0,IF(C46=0,"New",(E46-C46)/C46))</f>
        <v>New</v>
      </c>
      <c r="H46" s="12" t="n">
        <f aca="false">SUMIFS('בתי מרקחת Raw'!$E$6:$E$1616,'בתי מרקחת Raw'!$F$6:$F$1616,$A46,'בתי מרקחת Raw'!$C$6:$C$1616,2025)</f>
        <v>0</v>
      </c>
      <c r="I46" s="12" t="n">
        <f aca="false">SUMIFS('בתי מרקחת Raw'!$E$6:$E$1616,'בתי מרקחת Raw'!$F$6:$F$1616,$A46,'בתי מרקחת Raw'!$C$6:$C$1616,2026)</f>
        <v>1123.54</v>
      </c>
      <c r="J46" s="12" t="n">
        <f aca="false">I46*$J$5</f>
        <v>1419.20842105263</v>
      </c>
      <c r="K46" s="12"/>
      <c r="L46" s="22"/>
    </row>
    <row r="47" customFormat="false" ht="15" hidden="false" customHeight="true" outlineLevel="0" collapsed="false">
      <c r="A47" s="12" t="n">
        <v>4404000</v>
      </c>
      <c r="B47" s="12" t="str">
        <f aca="false">IFERROR(INDEX('בתי מרקחת Raw'!$B:$B,MATCH($A47,'בתי מרקחת Raw'!$F:$F,0)),"")</f>
        <v>FC330Z-תתדאו'אנטי בקט.לנעל120</v>
      </c>
      <c r="C47" s="12" t="n">
        <f aca="false">SUMIFS('בתי מרקחת Raw'!$D$6:$D$1616,'בתי מרקחת Raw'!$F$6:$F$1616,$A47,'בתי מרקחת Raw'!$C$6:$C$1616,2025)</f>
        <v>-6</v>
      </c>
      <c r="D47" s="12" t="n">
        <f aca="false">SUMIFS('בתי מרקחת Raw'!$D$6:$D$1616,'בתי מרקחת Raw'!$F$6:$F$1616,$A47,'בתי מרקחת Raw'!$C$6:$C$1616,2026)</f>
        <v>0</v>
      </c>
      <c r="E47" s="12" t="n">
        <f aca="false">D47*$J$5</f>
        <v>0</v>
      </c>
      <c r="F47" s="12" t="n">
        <f aca="false">E47-C47</f>
        <v>6</v>
      </c>
      <c r="G47" s="21" t="n">
        <f aca="false">IF(AND(C47=0,E47=0),0,IF(C47=0,"New",(E47-C47)/C47))</f>
        <v>-1</v>
      </c>
      <c r="H47" s="12" t="n">
        <f aca="false">SUMIFS('בתי מרקחת Raw'!$E$6:$E$1616,'בתי מרקחת Raw'!$F$6:$F$1616,$A47,'בתי מרקחת Raw'!$C$6:$C$1616,2025)</f>
        <v>-173.3</v>
      </c>
      <c r="I47" s="12" t="n">
        <f aca="false">SUMIFS('בתי מרקחת Raw'!$E$6:$E$1616,'בתי מרקחת Raw'!$F$6:$F$1616,$A47,'בתי מרקחת Raw'!$C$6:$C$1616,2026)</f>
        <v>0</v>
      </c>
      <c r="J47" s="12" t="n">
        <f aca="false">I47*$J$5</f>
        <v>0</v>
      </c>
      <c r="K47" s="12"/>
      <c r="L47" s="22"/>
    </row>
    <row r="48" customFormat="false" ht="15" hidden="false" customHeight="true" outlineLevel="0" collapsed="false">
      <c r="A48" s="12" t="n">
        <v>4408003</v>
      </c>
      <c r="B48" s="12" t="str">
        <f aca="false">IFERROR(INDEX('בתי מרקחת Raw'!$B:$B,MATCH($A48,'בתי מרקחת Raw'!$F:$F,0)),"")</f>
        <v>06 M  ""ח.גב קלה ""מיקדו</v>
      </c>
      <c r="C48" s="12" t="n">
        <f aca="false">SUMIFS('בתי מרקחת Raw'!$D$6:$D$1616,'בתי מרקחת Raw'!$F$6:$F$1616,$A48,'בתי מרקחת Raw'!$C$6:$C$1616,2025)</f>
        <v>-1</v>
      </c>
      <c r="D48" s="12" t="n">
        <f aca="false">SUMIFS('בתי מרקחת Raw'!$D$6:$D$1616,'בתי מרקחת Raw'!$F$6:$F$1616,$A48,'בתי מרקחת Raw'!$C$6:$C$1616,2026)</f>
        <v>0</v>
      </c>
      <c r="E48" s="12" t="n">
        <f aca="false">D48*$J$5</f>
        <v>0</v>
      </c>
      <c r="F48" s="12" t="n">
        <f aca="false">E48-C48</f>
        <v>1</v>
      </c>
      <c r="G48" s="21" t="n">
        <f aca="false">IF(AND(C48=0,E48=0),0,IF(C48=0,"New",(E48-C48)/C48))</f>
        <v>-1</v>
      </c>
      <c r="H48" s="12" t="n">
        <f aca="false">SUMIFS('בתי מרקחת Raw'!$E$6:$E$1616,'בתי מרקחת Raw'!$F$6:$F$1616,$A48,'בתי מרקחת Raw'!$C$6:$C$1616,2025)</f>
        <v>-170.1</v>
      </c>
      <c r="I48" s="12" t="n">
        <f aca="false">SUMIFS('בתי מרקחת Raw'!$E$6:$E$1616,'בתי מרקחת Raw'!$F$6:$F$1616,$A48,'בתי מרקחת Raw'!$C$6:$C$1616,2026)</f>
        <v>0</v>
      </c>
      <c r="J48" s="12" t="n">
        <f aca="false">I48*$J$5</f>
        <v>0</v>
      </c>
      <c r="K48" s="12"/>
      <c r="L48" s="22"/>
    </row>
    <row r="49" customFormat="false" ht="15" hidden="false" customHeight="true" outlineLevel="0" collapsed="false">
      <c r="A49" s="12" t="n">
        <v>4408004</v>
      </c>
      <c r="B49" s="12" t="str">
        <f aca="false">IFERROR(INDEX('בתי מרקחת Raw'!$B:$B,MATCH($A49,'בתי מרקחת Raw'!$F:$F,0)),"")</f>
        <v>06 XL ""ח.גב קלה ""מיקדו</v>
      </c>
      <c r="C49" s="12" t="n">
        <f aca="false">SUMIFS('בתי מרקחת Raw'!$D$6:$D$1616,'בתי מרקחת Raw'!$F$6:$F$1616,$A49,'בתי מרקחת Raw'!$C$6:$C$1616,2025)</f>
        <v>1</v>
      </c>
      <c r="D49" s="12" t="n">
        <f aca="false">SUMIFS('בתי מרקחת Raw'!$D$6:$D$1616,'בתי מרקחת Raw'!$F$6:$F$1616,$A49,'בתי מרקחת Raw'!$C$6:$C$1616,2026)</f>
        <v>0</v>
      </c>
      <c r="E49" s="12" t="n">
        <f aca="false">D49*$J$5</f>
        <v>0</v>
      </c>
      <c r="F49" s="12" t="n">
        <f aca="false">E49-C49</f>
        <v>-1</v>
      </c>
      <c r="G49" s="21" t="n">
        <f aca="false">IF(AND(C49=0,E49=0),0,IF(C49=0,"New",(E49-C49)/C49))</f>
        <v>-1</v>
      </c>
      <c r="H49" s="12" t="n">
        <f aca="false">SUMIFS('בתי מרקחת Raw'!$E$6:$E$1616,'בתי מרקחת Raw'!$F$6:$F$1616,$A49,'בתי מרקחת Raw'!$C$6:$C$1616,2025)</f>
        <v>170.1</v>
      </c>
      <c r="I49" s="12" t="n">
        <f aca="false">SUMIFS('בתי מרקחת Raw'!$E$6:$E$1616,'בתי מרקחת Raw'!$F$6:$F$1616,$A49,'בתי מרקחת Raw'!$C$6:$C$1616,2026)</f>
        <v>0</v>
      </c>
      <c r="J49" s="12" t="n">
        <f aca="false">I49*$J$5</f>
        <v>0</v>
      </c>
      <c r="K49" s="12"/>
      <c r="L49" s="22"/>
    </row>
    <row r="50" customFormat="false" ht="15" hidden="false" customHeight="true" outlineLevel="0" collapsed="false">
      <c r="A50" s="12" t="n">
        <v>4408009</v>
      </c>
      <c r="B50" s="12" t="str">
        <f aca="false">IFERROR(INDEX('בתי מרקחת Raw'!$B:$B,MATCH($A50,'בתי מרקחת Raw'!$F:$F,0)),"")</f>
        <v>079 S ח.גב סג. כפולה שחור+אדום</v>
      </c>
      <c r="C50" s="12" t="n">
        <f aca="false">SUMIFS('בתי מרקחת Raw'!$D$6:$D$1616,'בתי מרקחת Raw'!$F$6:$F$1616,$A50,'בתי מרקחת Raw'!$C$6:$C$1616,2025)</f>
        <v>3</v>
      </c>
      <c r="D50" s="12" t="n">
        <f aca="false">SUMIFS('בתי מרקחת Raw'!$D$6:$D$1616,'בתי מרקחת Raw'!$F$6:$F$1616,$A50,'בתי מרקחת Raw'!$C$6:$C$1616,2026)</f>
        <v>0</v>
      </c>
      <c r="E50" s="12" t="n">
        <f aca="false">D50*$J$5</f>
        <v>0</v>
      </c>
      <c r="F50" s="12" t="n">
        <f aca="false">E50-C50</f>
        <v>-3</v>
      </c>
      <c r="G50" s="21" t="n">
        <f aca="false">IF(AND(C50=0,E50=0),0,IF(C50=0,"New",(E50-C50)/C50))</f>
        <v>-1</v>
      </c>
      <c r="H50" s="12" t="n">
        <f aca="false">SUMIFS('בתי מרקחת Raw'!$E$6:$E$1616,'בתי מרקחת Raw'!$F$6:$F$1616,$A50,'בתי מרקחת Raw'!$C$6:$C$1616,2025)</f>
        <v>260.9</v>
      </c>
      <c r="I50" s="12" t="n">
        <f aca="false">SUMIFS('בתי מרקחת Raw'!$E$6:$E$1616,'בתי מרקחת Raw'!$F$6:$F$1616,$A50,'בתי מרקחת Raw'!$C$6:$C$1616,2026)</f>
        <v>7.2</v>
      </c>
      <c r="J50" s="12" t="n">
        <f aca="false">I50*$J$5</f>
        <v>9.09473684210526</v>
      </c>
      <c r="K50" s="12"/>
      <c r="L50" s="22"/>
    </row>
    <row r="51" customFormat="false" ht="15" hidden="false" customHeight="true" outlineLevel="0" collapsed="false">
      <c r="A51" s="12" t="n">
        <v>4408010</v>
      </c>
      <c r="B51" s="12" t="str">
        <f aca="false">IFERROR(INDEX('בתי מרקחת Raw'!$B:$B,MATCH($A51,'בתי מרקחת Raw'!$F:$F,0)),"")</f>
        <v>079 L ח.גב סג.כפולה שחור+אדום</v>
      </c>
      <c r="C51" s="12" t="n">
        <f aca="false">SUMIFS('בתי מרקחת Raw'!$D$6:$D$1616,'בתי מרקחת Raw'!$F$6:$F$1616,$A51,'בתי מרקחת Raw'!$C$6:$C$1616,2025)</f>
        <v>2</v>
      </c>
      <c r="D51" s="12" t="n">
        <f aca="false">SUMIFS('בתי מרקחת Raw'!$D$6:$D$1616,'בתי מרקחת Raw'!$F$6:$F$1616,$A51,'בתי מרקחת Raw'!$C$6:$C$1616,2026)</f>
        <v>1</v>
      </c>
      <c r="E51" s="12" t="n">
        <f aca="false">D51*$J$5</f>
        <v>1.26315789473684</v>
      </c>
      <c r="F51" s="12" t="n">
        <f aca="false">E51-C51</f>
        <v>-0.736842105263158</v>
      </c>
      <c r="G51" s="21" t="n">
        <f aca="false">IF(AND(C51=0,E51=0),0,IF(C51=0,"New",(E51-C51)/C51))</f>
        <v>-0.368421052631579</v>
      </c>
      <c r="H51" s="12" t="n">
        <f aca="false">SUMIFS('בתי מרקחת Raw'!$E$6:$E$1616,'בתי מרקחת Raw'!$F$6:$F$1616,$A51,'בתי מרקחת Raw'!$C$6:$C$1616,2025)</f>
        <v>195.7</v>
      </c>
      <c r="I51" s="12" t="n">
        <f aca="false">SUMIFS('בתי מרקחת Raw'!$E$6:$E$1616,'בתי מרקחת Raw'!$F$6:$F$1616,$A51,'בתי מרקחת Raw'!$C$6:$C$1616,2026)</f>
        <v>101.5</v>
      </c>
      <c r="J51" s="12" t="n">
        <f aca="false">I51*$J$5</f>
        <v>128.210526315789</v>
      </c>
      <c r="K51" s="12"/>
      <c r="L51" s="22"/>
    </row>
    <row r="52" customFormat="false" ht="15" hidden="false" customHeight="true" outlineLevel="0" collapsed="false">
      <c r="A52" s="12" t="n">
        <v>4408011</v>
      </c>
      <c r="B52" s="12" t="str">
        <f aca="false">IFERROR(INDEX('בתי מרקחת Raw'!$B:$B,MATCH($A52,'בתי מרקחת Raw'!$F:$F,0)),"")</f>
        <v>079  M ח.גב סג.כפולה שחור+אדום</v>
      </c>
      <c r="C52" s="12" t="n">
        <f aca="false">SUMIFS('בתי מרקחת Raw'!$D$6:$D$1616,'בתי מרקחת Raw'!$F$6:$F$1616,$A52,'בתי מרקחת Raw'!$C$6:$C$1616,2025)</f>
        <v>3</v>
      </c>
      <c r="D52" s="12" t="n">
        <f aca="false">SUMIFS('בתי מרקחת Raw'!$D$6:$D$1616,'בתי מרקחת Raw'!$F$6:$F$1616,$A52,'בתי מרקחת Raw'!$C$6:$C$1616,2026)</f>
        <v>0</v>
      </c>
      <c r="E52" s="12" t="n">
        <f aca="false">D52*$J$5</f>
        <v>0</v>
      </c>
      <c r="F52" s="12" t="n">
        <f aca="false">E52-C52</f>
        <v>-3</v>
      </c>
      <c r="G52" s="21" t="n">
        <f aca="false">IF(AND(C52=0,E52=0),0,IF(C52=0,"New",(E52-C52)/C52))</f>
        <v>-1</v>
      </c>
      <c r="H52" s="12" t="n">
        <f aca="false">SUMIFS('בתי מרקחת Raw'!$E$6:$E$1616,'בתי מרקחת Raw'!$F$6:$F$1616,$A52,'בתי מרקחת Raw'!$C$6:$C$1616,2025)</f>
        <v>268.1</v>
      </c>
      <c r="I52" s="12" t="n">
        <f aca="false">SUMIFS('בתי מרקחת Raw'!$E$6:$E$1616,'בתי מרקחת Raw'!$F$6:$F$1616,$A52,'בתי מרקחת Raw'!$C$6:$C$1616,2026)</f>
        <v>0</v>
      </c>
      <c r="J52" s="12" t="n">
        <f aca="false">I52*$J$5</f>
        <v>0</v>
      </c>
      <c r="K52" s="12"/>
      <c r="L52" s="22"/>
    </row>
    <row r="53" customFormat="false" ht="15" hidden="false" customHeight="true" outlineLevel="0" collapsed="false">
      <c r="A53" s="12" t="n">
        <v>4408012</v>
      </c>
      <c r="B53" s="12" t="str">
        <f aca="false">IFERROR(INDEX('בתי מרקחת Raw'!$B:$B,MATCH($A53,'בתי מרקחת Raw'!$F:$F,0)),"")</f>
        <v>079 XL ח.גב סג.כפולה שחור+אדום</v>
      </c>
      <c r="C53" s="12" t="n">
        <f aca="false">SUMIFS('בתי מרקחת Raw'!$D$6:$D$1616,'בתי מרקחת Raw'!$F$6:$F$1616,$A53,'בתי מרקחת Raw'!$C$6:$C$1616,2025)</f>
        <v>7</v>
      </c>
      <c r="D53" s="12" t="n">
        <f aca="false">SUMIFS('בתי מרקחת Raw'!$D$6:$D$1616,'בתי מרקחת Raw'!$F$6:$F$1616,$A53,'בתי מרקחת Raw'!$C$6:$C$1616,2026)</f>
        <v>1</v>
      </c>
      <c r="E53" s="12" t="n">
        <f aca="false">D53*$J$5</f>
        <v>1.26315789473684</v>
      </c>
      <c r="F53" s="12" t="n">
        <f aca="false">E53-C53</f>
        <v>-5.73684210526316</v>
      </c>
      <c r="G53" s="21" t="n">
        <f aca="false">IF(AND(C53=0,E53=0),0,IF(C53=0,"New",(E53-C53)/C53))</f>
        <v>-0.819548872180451</v>
      </c>
      <c r="H53" s="12" t="n">
        <f aca="false">SUMIFS('בתי מרקחת Raw'!$E$6:$E$1616,'בתי מרקחת Raw'!$F$6:$F$1616,$A53,'בתי מרקחת Raw'!$C$6:$C$1616,2025)</f>
        <v>720.2</v>
      </c>
      <c r="I53" s="12" t="n">
        <f aca="false">SUMIFS('בתי מרקחת Raw'!$E$6:$E$1616,'בתי מרקחת Raw'!$F$6:$F$1616,$A53,'בתי מרקחת Raw'!$C$6:$C$1616,2026)</f>
        <v>108.7</v>
      </c>
      <c r="J53" s="12" t="n">
        <f aca="false">I53*$J$5</f>
        <v>137.305263157895</v>
      </c>
      <c r="K53" s="12"/>
      <c r="L53" s="22"/>
    </row>
    <row r="54" customFormat="false" ht="15" hidden="false" customHeight="true" outlineLevel="0" collapsed="false">
      <c r="A54" s="12" t="n">
        <v>4408013</v>
      </c>
      <c r="B54" s="12" t="str">
        <f aca="false">IFERROR(INDEX('בתי מרקחת Raw'!$B:$B,MATCH($A54,'בתי מרקחת Raw'!$F:$F,0)),"")</f>
        <v>079 XXLח.גב סג.כפולה שחור+אדום</v>
      </c>
      <c r="C54" s="12" t="n">
        <f aca="false">SUMIFS('בתי מרקחת Raw'!$D$6:$D$1616,'בתי מרקחת Raw'!$F$6:$F$1616,$A54,'בתי מרקחת Raw'!$C$6:$C$1616,2025)</f>
        <v>5</v>
      </c>
      <c r="D54" s="12" t="n">
        <f aca="false">SUMIFS('בתי מרקחת Raw'!$D$6:$D$1616,'בתי מרקחת Raw'!$F$6:$F$1616,$A54,'בתי מרקחת Raw'!$C$6:$C$1616,2026)</f>
        <v>0</v>
      </c>
      <c r="E54" s="12" t="n">
        <f aca="false">D54*$J$5</f>
        <v>0</v>
      </c>
      <c r="F54" s="12" t="n">
        <f aca="false">E54-C54</f>
        <v>-5</v>
      </c>
      <c r="G54" s="21" t="n">
        <f aca="false">IF(AND(C54=0,E54=0),0,IF(C54=0,"New",(E54-C54)/C54))</f>
        <v>-1</v>
      </c>
      <c r="H54" s="12" t="n">
        <f aca="false">SUMIFS('בתי מרקחת Raw'!$E$6:$E$1616,'בתי מרקחת Raw'!$F$6:$F$1616,$A54,'בתי מרקחת Raw'!$C$6:$C$1616,2025)</f>
        <v>471</v>
      </c>
      <c r="I54" s="12" t="n">
        <f aca="false">SUMIFS('בתי מרקחת Raw'!$E$6:$E$1616,'בתי מרקחת Raw'!$F$6:$F$1616,$A54,'בתי מרקחת Raw'!$C$6:$C$1616,2026)</f>
        <v>0</v>
      </c>
      <c r="J54" s="12" t="n">
        <f aca="false">I54*$J$5</f>
        <v>0</v>
      </c>
      <c r="K54" s="12"/>
      <c r="L54" s="22"/>
    </row>
    <row r="55" customFormat="false" ht="15" hidden="false" customHeight="true" outlineLevel="0" collapsed="false">
      <c r="A55" s="12" t="n">
        <v>4408014</v>
      </c>
      <c r="B55" s="12" t="str">
        <f aca="false">IFERROR(INDEX('בתי מרקחת Raw'!$B:$B,MATCH($A55,'בתי מרקחת Raw'!$F:$F,0)),"")</f>
        <v>07AU S ח.גב ""איטלקית"" אורירית</v>
      </c>
      <c r="C55" s="12" t="n">
        <f aca="false">SUMIFS('בתי מרקחת Raw'!$D$6:$D$1616,'בתי מרקחת Raw'!$F$6:$F$1616,$A55,'בתי מרקחת Raw'!$C$6:$C$1616,2025)</f>
        <v>1</v>
      </c>
      <c r="D55" s="12" t="n">
        <f aca="false">SUMIFS('בתי מרקחת Raw'!$D$6:$D$1616,'בתי מרקחת Raw'!$F$6:$F$1616,$A55,'בתי מרקחת Raw'!$C$6:$C$1616,2026)</f>
        <v>1</v>
      </c>
      <c r="E55" s="12" t="n">
        <f aca="false">D55*$J$5</f>
        <v>1.26315789473684</v>
      </c>
      <c r="F55" s="12" t="n">
        <f aca="false">E55-C55</f>
        <v>0.263157894736842</v>
      </c>
      <c r="G55" s="21" t="n">
        <f aca="false">IF(AND(C55=0,E55=0),0,IF(C55=0,"New",(E55-C55)/C55))</f>
        <v>0.263157894736842</v>
      </c>
      <c r="H55" s="12" t="n">
        <f aca="false">SUMIFS('בתי מרקחת Raw'!$E$6:$E$1616,'בתי מרקחת Raw'!$F$6:$F$1616,$A55,'בתי מרקחת Raw'!$C$6:$C$1616,2025)</f>
        <v>262.4</v>
      </c>
      <c r="I55" s="12" t="n">
        <f aca="false">SUMIFS('בתי מרקחת Raw'!$E$6:$E$1616,'בתי מרקחת Raw'!$F$6:$F$1616,$A55,'בתי מרקחת Raw'!$C$6:$C$1616,2026)</f>
        <v>262.4</v>
      </c>
      <c r="J55" s="12" t="n">
        <f aca="false">I55*$J$5</f>
        <v>331.452631578947</v>
      </c>
      <c r="K55" s="12"/>
      <c r="L55" s="22"/>
    </row>
    <row r="56" customFormat="false" ht="15" hidden="false" customHeight="true" outlineLevel="0" collapsed="false">
      <c r="A56" s="12" t="n">
        <v>4408015</v>
      </c>
      <c r="B56" s="12" t="str">
        <f aca="false">IFERROR(INDEX('בתי מרקחת Raw'!$B:$B,MATCH($A56,'בתי מרקחת Raw'!$F:$F,0)),"")</f>
        <v>07AU L ח.גב ""איטלקית"" אורירית</v>
      </c>
      <c r="C56" s="12" t="n">
        <f aca="false">SUMIFS('בתי מרקחת Raw'!$D$6:$D$1616,'בתי מרקחת Raw'!$F$6:$F$1616,$A56,'בתי מרקחת Raw'!$C$6:$C$1616,2025)</f>
        <v>4</v>
      </c>
      <c r="D56" s="12" t="n">
        <f aca="false">SUMIFS('בתי מרקחת Raw'!$D$6:$D$1616,'בתי מרקחת Raw'!$F$6:$F$1616,$A56,'בתי מרקחת Raw'!$C$6:$C$1616,2026)</f>
        <v>-3</v>
      </c>
      <c r="E56" s="12" t="n">
        <f aca="false">D56*$J$5</f>
        <v>-3.78947368421053</v>
      </c>
      <c r="F56" s="12" t="n">
        <f aca="false">E56-C56</f>
        <v>-7.78947368421053</v>
      </c>
      <c r="G56" s="21" t="n">
        <f aca="false">IF(AND(C56=0,E56=0),0,IF(C56=0,"New",(E56-C56)/C56))</f>
        <v>-1.94736842105263</v>
      </c>
      <c r="H56" s="12" t="n">
        <f aca="false">SUMIFS('בתי מרקחת Raw'!$E$6:$E$1616,'בתי מרקחת Raw'!$F$6:$F$1616,$A56,'בתי מרקחת Raw'!$C$6:$C$1616,2025)</f>
        <v>975.1</v>
      </c>
      <c r="I56" s="12" t="n">
        <f aca="false">SUMIFS('בתי מרקחת Raw'!$E$6:$E$1616,'בתי מרקחת Raw'!$F$6:$F$1616,$A56,'בתי מרקחת Raw'!$C$6:$C$1616,2026)</f>
        <v>-710.5</v>
      </c>
      <c r="J56" s="12" t="n">
        <f aca="false">I56*$J$5</f>
        <v>-897.473684210526</v>
      </c>
      <c r="K56" s="12"/>
      <c r="L56" s="22"/>
    </row>
    <row r="57" customFormat="false" ht="15" hidden="false" customHeight="true" outlineLevel="0" collapsed="false">
      <c r="A57" s="12" t="n">
        <v>4408016</v>
      </c>
      <c r="B57" s="12" t="str">
        <f aca="false">IFERROR(INDEX('בתי מרקחת Raw'!$B:$B,MATCH($A57,'בתי מרקחת Raw'!$F:$F,0)),"")</f>
        <v>07AU M ח.גב ""איטלקית"" אורירית</v>
      </c>
      <c r="C57" s="12" t="n">
        <f aca="false">SUMIFS('בתי מרקחת Raw'!$D$6:$D$1616,'בתי מרקחת Raw'!$F$6:$F$1616,$A57,'בתי מרקחת Raw'!$C$6:$C$1616,2025)</f>
        <v>0</v>
      </c>
      <c r="D57" s="12" t="n">
        <f aca="false">SUMIFS('בתי מרקחת Raw'!$D$6:$D$1616,'בתי מרקחת Raw'!$F$6:$F$1616,$A57,'בתי מרקחת Raw'!$C$6:$C$1616,2026)</f>
        <v>-1</v>
      </c>
      <c r="E57" s="12" t="n">
        <f aca="false">D57*$J$5</f>
        <v>-1.26315789473684</v>
      </c>
      <c r="F57" s="12" t="n">
        <f aca="false">E57-C57</f>
        <v>-1.26315789473684</v>
      </c>
      <c r="G57" s="21" t="str">
        <f aca="false">IF(AND(C57=0,E57=0),0,IF(C57=0,"New",(E57-C57)/C57))</f>
        <v>New</v>
      </c>
      <c r="H57" s="12" t="n">
        <f aca="false">SUMIFS('בתי מרקחת Raw'!$E$6:$E$1616,'בתי מרקחת Raw'!$F$6:$F$1616,$A57,'בתי מרקחת Raw'!$C$6:$C$1616,2025)</f>
        <v>2.5</v>
      </c>
      <c r="I57" s="12" t="n">
        <f aca="false">SUMIFS('בתי מרקחת Raw'!$E$6:$E$1616,'בתי מרקחת Raw'!$F$6:$F$1616,$A57,'בתי מרקחת Raw'!$C$6:$C$1616,2026)</f>
        <v>-222.75</v>
      </c>
      <c r="J57" s="12" t="n">
        <f aca="false">I57*$J$5</f>
        <v>-281.368421052632</v>
      </c>
      <c r="K57" s="12"/>
      <c r="L57" s="22"/>
    </row>
    <row r="58" customFormat="false" ht="15" hidden="false" customHeight="true" outlineLevel="0" collapsed="false">
      <c r="A58" s="12" t="n">
        <v>4408017</v>
      </c>
      <c r="B58" s="12" t="str">
        <f aca="false">IFERROR(INDEX('בתי מרקחת Raw'!$B:$B,MATCH($A58,'בתי מרקחת Raw'!$F:$F,0)),"")</f>
        <v>07AU XL ח.גב ""איטלקית"" אורירית</v>
      </c>
      <c r="C58" s="12" t="n">
        <f aca="false">SUMIFS('בתי מרקחת Raw'!$D$6:$D$1616,'בתי מרקחת Raw'!$F$6:$F$1616,$A58,'בתי מרקחת Raw'!$C$6:$C$1616,2025)</f>
        <v>4</v>
      </c>
      <c r="D58" s="12" t="n">
        <f aca="false">SUMIFS('בתי מרקחת Raw'!$D$6:$D$1616,'בתי מרקחת Raw'!$F$6:$F$1616,$A58,'בתי מרקחת Raw'!$C$6:$C$1616,2026)</f>
        <v>3</v>
      </c>
      <c r="E58" s="12" t="n">
        <f aca="false">D58*$J$5</f>
        <v>3.78947368421053</v>
      </c>
      <c r="F58" s="12" t="n">
        <f aca="false">E58-C58</f>
        <v>-0.210526315789474</v>
      </c>
      <c r="G58" s="21" t="n">
        <f aca="false">IF(AND(C58=0,E58=0),0,IF(C58=0,"New",(E58-C58)/C58))</f>
        <v>-0.0526315789473685</v>
      </c>
      <c r="H58" s="12" t="n">
        <f aca="false">SUMIFS('בתי מרקחת Raw'!$E$6:$E$1616,'בתי מרקחת Raw'!$F$6:$F$1616,$A58,'בתי מרקחת Raw'!$C$6:$C$1616,2025)</f>
        <v>975.1</v>
      </c>
      <c r="I58" s="12" t="n">
        <f aca="false">SUMIFS('בתי מרקחת Raw'!$E$6:$E$1616,'בתי מרקחת Raw'!$F$6:$F$1616,$A58,'בתי מרקחת Raw'!$C$6:$C$1616,2026)</f>
        <v>717.36</v>
      </c>
      <c r="J58" s="12" t="n">
        <f aca="false">I58*$J$5</f>
        <v>906.138947368421</v>
      </c>
      <c r="K58" s="12"/>
      <c r="L58" s="22"/>
    </row>
    <row r="59" customFormat="false" ht="15" hidden="false" customHeight="true" outlineLevel="0" collapsed="false">
      <c r="A59" s="12" t="n">
        <v>4408018</v>
      </c>
      <c r="B59" s="12" t="str">
        <f aca="false">IFERROR(INDEX('בתי מרקחת Raw'!$B:$B,MATCH($A59,'בתי מרקחת Raw'!$F:$F,0)),"")</f>
        <v>07AU XXL.ח.גב ""איטלקית"" אוריר</v>
      </c>
      <c r="C59" s="12" t="n">
        <f aca="false">SUMIFS('בתי מרקחת Raw'!$D$6:$D$1616,'בתי מרקחת Raw'!$F$6:$F$1616,$A59,'בתי מרקחת Raw'!$C$6:$C$1616,2025)</f>
        <v>1</v>
      </c>
      <c r="D59" s="12" t="n">
        <f aca="false">SUMIFS('בתי מרקחת Raw'!$D$6:$D$1616,'בתי מרקחת Raw'!$F$6:$F$1616,$A59,'בתי מרקחת Raw'!$C$6:$C$1616,2026)</f>
        <v>0</v>
      </c>
      <c r="E59" s="12" t="n">
        <f aca="false">D59*$J$5</f>
        <v>0</v>
      </c>
      <c r="F59" s="12" t="n">
        <f aca="false">E59-C59</f>
        <v>-1</v>
      </c>
      <c r="G59" s="21" t="n">
        <f aca="false">IF(AND(C59=0,E59=0),0,IF(C59=0,"New",(E59-C59)/C59))</f>
        <v>-1</v>
      </c>
      <c r="H59" s="12" t="n">
        <f aca="false">SUMIFS('בתי מרקחת Raw'!$E$6:$E$1616,'בתי מרקחת Raw'!$F$6:$F$1616,$A59,'בתי מרקחת Raw'!$C$6:$C$1616,2025)</f>
        <v>282.25</v>
      </c>
      <c r="I59" s="12" t="n">
        <f aca="false">SUMIFS('בתי מרקחת Raw'!$E$6:$E$1616,'בתי מרקחת Raw'!$F$6:$F$1616,$A59,'בתי מרקחת Raw'!$C$6:$C$1616,2026)</f>
        <v>0</v>
      </c>
      <c r="J59" s="12" t="n">
        <f aca="false">I59*$J$5</f>
        <v>0</v>
      </c>
      <c r="K59" s="12"/>
      <c r="L59" s="22"/>
    </row>
    <row r="60" customFormat="false" ht="15" hidden="false" customHeight="true" outlineLevel="0" collapsed="false">
      <c r="A60" s="12" t="n">
        <v>4408024</v>
      </c>
      <c r="B60" s="12" t="str">
        <f aca="false">IFERROR(INDEX('בתי מרקחת Raw'!$B:$B,MATCH($A60,'בתי מרקחת Raw'!$F:$F,0)),"")</f>
        <v>07UC L-XLח.גב אמר+סגירה כפ.חום</v>
      </c>
      <c r="C60" s="12" t="n">
        <f aca="false">SUMIFS('בתי מרקחת Raw'!$D$6:$D$1616,'בתי מרקחת Raw'!$F$6:$F$1616,$A60,'בתי מרקחת Raw'!$C$6:$C$1616,2025)</f>
        <v>1</v>
      </c>
      <c r="D60" s="12" t="n">
        <f aca="false">SUMIFS('בתי מרקחת Raw'!$D$6:$D$1616,'בתי מרקחת Raw'!$F$6:$F$1616,$A60,'בתי מרקחת Raw'!$C$6:$C$1616,2026)</f>
        <v>0</v>
      </c>
      <c r="E60" s="12" t="n">
        <f aca="false">D60*$J$5</f>
        <v>0</v>
      </c>
      <c r="F60" s="12" t="n">
        <f aca="false">E60-C60</f>
        <v>-1</v>
      </c>
      <c r="G60" s="21" t="n">
        <f aca="false">IF(AND(C60=0,E60=0),0,IF(C60=0,"New",(E60-C60)/C60))</f>
        <v>-1</v>
      </c>
      <c r="H60" s="12" t="n">
        <f aca="false">SUMIFS('בתי מרקחת Raw'!$E$6:$E$1616,'בתי מרקחת Raw'!$F$6:$F$1616,$A60,'בתי מרקחת Raw'!$C$6:$C$1616,2025)</f>
        <v>231.6</v>
      </c>
      <c r="I60" s="12" t="n">
        <f aca="false">SUMIFS('בתי מרקחת Raw'!$E$6:$E$1616,'בתי מרקחת Raw'!$F$6:$F$1616,$A60,'בתי מרקחת Raw'!$C$6:$C$1616,2026)</f>
        <v>0</v>
      </c>
      <c r="J60" s="12" t="n">
        <f aca="false">I60*$J$5</f>
        <v>0</v>
      </c>
      <c r="K60" s="12"/>
      <c r="L60" s="22"/>
    </row>
    <row r="61" customFormat="false" ht="15" hidden="false" customHeight="true" outlineLevel="0" collapsed="false">
      <c r="A61" s="12" t="n">
        <v>4408026</v>
      </c>
      <c r="B61" s="12" t="str">
        <f aca="false">IFERROR(INDEX('בתי מרקחת Raw'!$B:$B,MATCH($A61,'בתי מרקחת Raw'!$F:$F,0)),"")</f>
        <v>10 S ""חגורת גב ""לומבו</v>
      </c>
      <c r="C61" s="12" t="n">
        <f aca="false">SUMIFS('בתי מרקחת Raw'!$D$6:$D$1616,'בתי מרקחת Raw'!$F$6:$F$1616,$A61,'בתי מרקחת Raw'!$C$6:$C$1616,2025)</f>
        <v>0</v>
      </c>
      <c r="D61" s="12" t="n">
        <f aca="false">SUMIFS('בתי מרקחת Raw'!$D$6:$D$1616,'בתי מרקחת Raw'!$F$6:$F$1616,$A61,'בתי מרקחת Raw'!$C$6:$C$1616,2026)</f>
        <v>0</v>
      </c>
      <c r="E61" s="12" t="n">
        <f aca="false">D61*$J$5</f>
        <v>0</v>
      </c>
      <c r="F61" s="12" t="n">
        <f aca="false">E61-C61</f>
        <v>0</v>
      </c>
      <c r="G61" s="21" t="n">
        <f aca="false">IF(AND(C61=0,E61=0),0,IF(C61=0,"New",(E61-C61)/C61))</f>
        <v>0</v>
      </c>
      <c r="H61" s="12" t="n">
        <f aca="false">SUMIFS('בתי מרקחת Raw'!$E$6:$E$1616,'בתי מרקחת Raw'!$F$6:$F$1616,$A61,'בתי מרקחת Raw'!$C$6:$C$1616,2025)</f>
        <v>0</v>
      </c>
      <c r="I61" s="12" t="n">
        <f aca="false">SUMIFS('בתי מרקחת Raw'!$E$6:$E$1616,'בתי מרקחת Raw'!$F$6:$F$1616,$A61,'בתי מרקחת Raw'!$C$6:$C$1616,2026)</f>
        <v>13.7</v>
      </c>
      <c r="J61" s="12" t="n">
        <f aca="false">I61*$J$5</f>
        <v>17.3052631578947</v>
      </c>
      <c r="K61" s="12"/>
      <c r="L61" s="22"/>
    </row>
    <row r="62" customFormat="false" ht="15" hidden="false" customHeight="true" outlineLevel="0" collapsed="false">
      <c r="A62" s="12" t="n">
        <v>4408027</v>
      </c>
      <c r="B62" s="12" t="str">
        <f aca="false">IFERROR(INDEX('בתי מרקחת Raw'!$B:$B,MATCH($A62,'בתי מרקחת Raw'!$F:$F,0)),"")</f>
        <v>10 L ""חגורת גב ""לומבו</v>
      </c>
      <c r="C62" s="12" t="n">
        <f aca="false">SUMIFS('בתי מרקחת Raw'!$D$6:$D$1616,'בתי מרקחת Raw'!$F$6:$F$1616,$A62,'בתי מרקחת Raw'!$C$6:$C$1616,2025)</f>
        <v>22</v>
      </c>
      <c r="D62" s="12" t="n">
        <f aca="false">SUMIFS('בתי מרקחת Raw'!$D$6:$D$1616,'בתי מרקחת Raw'!$F$6:$F$1616,$A62,'בתי מרקחת Raw'!$C$6:$C$1616,2026)</f>
        <v>17</v>
      </c>
      <c r="E62" s="12" t="n">
        <f aca="false">D62*$J$5</f>
        <v>21.4736842105263</v>
      </c>
      <c r="F62" s="12" t="n">
        <f aca="false">E62-C62</f>
        <v>-0.526315789473685</v>
      </c>
      <c r="G62" s="21" t="n">
        <f aca="false">IF(AND(C62=0,E62=0),0,IF(C62=0,"New",(E62-C62)/C62))</f>
        <v>-0.0239234449760766</v>
      </c>
      <c r="H62" s="12" t="n">
        <f aca="false">SUMIFS('בתי מרקחת Raw'!$E$6:$E$1616,'בתי מרקחת Raw'!$F$6:$F$1616,$A62,'בתי מרקחת Raw'!$C$6:$C$1616,2025)</f>
        <v>3042.7</v>
      </c>
      <c r="I62" s="12" t="n">
        <f aca="false">SUMIFS('בתי מרקחת Raw'!$E$6:$E$1616,'בתי מרקחת Raw'!$F$6:$F$1616,$A62,'בתי מרקחת Raw'!$C$6:$C$1616,2026)</f>
        <v>2529.7</v>
      </c>
      <c r="J62" s="12" t="n">
        <f aca="false">I62*$J$5</f>
        <v>3195.41052631579</v>
      </c>
      <c r="K62" s="12"/>
      <c r="L62" s="22"/>
    </row>
    <row r="63" customFormat="false" ht="15" hidden="false" customHeight="true" outlineLevel="0" collapsed="false">
      <c r="A63" s="12" t="n">
        <v>4408028</v>
      </c>
      <c r="B63" s="12" t="str">
        <f aca="false">IFERROR(INDEX('בתי מרקחת Raw'!$B:$B,MATCH($A63,'בתי מרקחת Raw'!$F:$F,0)),"")</f>
        <v>10 M ""חגורת גב ""לומבו</v>
      </c>
      <c r="C63" s="12" t="n">
        <f aca="false">SUMIFS('בתי מרקחת Raw'!$D$6:$D$1616,'בתי מרקחת Raw'!$F$6:$F$1616,$A63,'בתי מרקחת Raw'!$C$6:$C$1616,2025)</f>
        <v>26</v>
      </c>
      <c r="D63" s="12" t="n">
        <f aca="false">SUMIFS('בתי מרקחת Raw'!$D$6:$D$1616,'בתי מרקחת Raw'!$F$6:$F$1616,$A63,'בתי מרקחת Raw'!$C$6:$C$1616,2026)</f>
        <v>8</v>
      </c>
      <c r="E63" s="12" t="n">
        <f aca="false">D63*$J$5</f>
        <v>10.1052631578947</v>
      </c>
      <c r="F63" s="12" t="n">
        <f aca="false">E63-C63</f>
        <v>-15.8947368421053</v>
      </c>
      <c r="G63" s="21" t="n">
        <f aca="false">IF(AND(C63=0,E63=0),0,IF(C63=0,"New",(E63-C63)/C63))</f>
        <v>-0.611336032388664</v>
      </c>
      <c r="H63" s="12" t="n">
        <f aca="false">SUMIFS('בתי מרקחת Raw'!$E$6:$E$1616,'בתי מרקחת Raw'!$F$6:$F$1616,$A63,'בתי מרקחת Raw'!$C$6:$C$1616,2025)</f>
        <v>3565.43</v>
      </c>
      <c r="I63" s="12" t="n">
        <f aca="false">SUMIFS('בתי מרקחת Raw'!$E$6:$E$1616,'בתי מרקחת Raw'!$F$6:$F$1616,$A63,'בתי מרקחת Raw'!$C$6:$C$1616,2026)</f>
        <v>1158</v>
      </c>
      <c r="J63" s="12" t="n">
        <f aca="false">I63*$J$5</f>
        <v>1462.73684210526</v>
      </c>
      <c r="K63" s="12"/>
      <c r="L63" s="22"/>
    </row>
    <row r="64" customFormat="false" ht="15" hidden="false" customHeight="true" outlineLevel="0" collapsed="false">
      <c r="A64" s="12" t="n">
        <v>4408029</v>
      </c>
      <c r="B64" s="12" t="str">
        <f aca="false">IFERROR(INDEX('בתי מרקחת Raw'!$B:$B,MATCH($A64,'בתי מרקחת Raw'!$F:$F,0)),"")</f>
        <v>10 XL ""חגורת גב ""לומבו</v>
      </c>
      <c r="C64" s="12" t="n">
        <f aca="false">SUMIFS('בתי מרקחת Raw'!$D$6:$D$1616,'בתי מרקחת Raw'!$F$6:$F$1616,$A64,'בתי מרקחת Raw'!$C$6:$C$1616,2025)</f>
        <v>26</v>
      </c>
      <c r="D64" s="12" t="n">
        <f aca="false">SUMIFS('בתי מרקחת Raw'!$D$6:$D$1616,'בתי מרקחת Raw'!$F$6:$F$1616,$A64,'בתי מרקחת Raw'!$C$6:$C$1616,2026)</f>
        <v>13</v>
      </c>
      <c r="E64" s="12" t="n">
        <f aca="false">D64*$J$5</f>
        <v>16.4210526315789</v>
      </c>
      <c r="F64" s="12" t="n">
        <f aca="false">E64-C64</f>
        <v>-9.57894736842106</v>
      </c>
      <c r="G64" s="21" t="n">
        <f aca="false">IF(AND(C64=0,E64=0),0,IF(C64=0,"New",(E64-C64)/C64))</f>
        <v>-0.368421052631579</v>
      </c>
      <c r="H64" s="12" t="n">
        <f aca="false">SUMIFS('בתי מרקחת Raw'!$E$6:$E$1616,'בתי מרקחת Raw'!$F$6:$F$1616,$A64,'בתי מרקחת Raw'!$C$6:$C$1616,2025)</f>
        <v>3678.6</v>
      </c>
      <c r="I64" s="12" t="n">
        <f aca="false">SUMIFS('בתי מרקחת Raw'!$E$6:$E$1616,'בתי מרקחת Raw'!$F$6:$F$1616,$A64,'בתי מרקחת Raw'!$C$6:$C$1616,2026)</f>
        <v>1896.8</v>
      </c>
      <c r="J64" s="12" t="n">
        <f aca="false">I64*$J$5</f>
        <v>2395.95789473684</v>
      </c>
      <c r="K64" s="12"/>
      <c r="L64" s="22"/>
    </row>
    <row r="65" customFormat="false" ht="15" hidden="false" customHeight="true" outlineLevel="0" collapsed="false">
      <c r="A65" s="12" t="n">
        <v>4408030</v>
      </c>
      <c r="B65" s="12" t="str">
        <f aca="false">IFERROR(INDEX('בתי מרקחת Raw'!$B:$B,MATCH($A65,'בתי מרקחת Raw'!$F:$F,0)),"")</f>
        <v>10 XXL""חגורת גב ""לומבו</v>
      </c>
      <c r="C65" s="12" t="n">
        <f aca="false">SUMIFS('בתי מרקחת Raw'!$D$6:$D$1616,'בתי מרקחת Raw'!$F$6:$F$1616,$A65,'בתי מרקחת Raw'!$C$6:$C$1616,2025)</f>
        <v>1</v>
      </c>
      <c r="D65" s="12" t="n">
        <f aca="false">SUMIFS('בתי מרקחת Raw'!$D$6:$D$1616,'בתי מרקחת Raw'!$F$6:$F$1616,$A65,'בתי מרקחת Raw'!$C$6:$C$1616,2026)</f>
        <v>1</v>
      </c>
      <c r="E65" s="12" t="n">
        <f aca="false">D65*$J$5</f>
        <v>1.26315789473684</v>
      </c>
      <c r="F65" s="12" t="n">
        <f aca="false">E65-C65</f>
        <v>0.263157894736842</v>
      </c>
      <c r="G65" s="21" t="n">
        <f aca="false">IF(AND(C65=0,E65=0),0,IF(C65=0,"New",(E65-C65)/C65))</f>
        <v>0.263157894736842</v>
      </c>
      <c r="H65" s="12" t="n">
        <f aca="false">SUMIFS('בתי מרקחת Raw'!$E$6:$E$1616,'בתי מרקחת Raw'!$F$6:$F$1616,$A65,'בתי מרקחת Raw'!$C$6:$C$1616,2025)</f>
        <v>145.2</v>
      </c>
      <c r="I65" s="12" t="n">
        <f aca="false">SUMIFS('בתי מרקחת Raw'!$E$6:$E$1616,'בתי מרקחת Raw'!$F$6:$F$1616,$A65,'בתי מרקחת Raw'!$C$6:$C$1616,2026)</f>
        <v>148.4</v>
      </c>
      <c r="J65" s="12" t="n">
        <f aca="false">I65*$J$5</f>
        <v>187.452631578947</v>
      </c>
      <c r="K65" s="12"/>
      <c r="L65" s="22"/>
    </row>
    <row r="66" customFormat="false" ht="15" hidden="false" customHeight="true" outlineLevel="0" collapsed="false">
      <c r="A66" s="12" t="n">
        <v>4408031</v>
      </c>
      <c r="B66" s="12" t="str">
        <f aca="false">IFERROR(INDEX('בתי מרקחת Raw'!$B:$B,MATCH($A66,'בתי מרקחת Raw'!$F:$F,0)),"")</f>
        <v>11 S""חגורת בטן""אורירית</v>
      </c>
      <c r="C66" s="12" t="n">
        <f aca="false">SUMIFS('בתי מרקחת Raw'!$D$6:$D$1616,'בתי מרקחת Raw'!$F$6:$F$1616,$A66,'בתי מרקחת Raw'!$C$6:$C$1616,2025)</f>
        <v>5</v>
      </c>
      <c r="D66" s="12" t="n">
        <f aca="false">SUMIFS('בתי מרקחת Raw'!$D$6:$D$1616,'בתי מרקחת Raw'!$F$6:$F$1616,$A66,'בתי מרקחת Raw'!$C$6:$C$1616,2026)</f>
        <v>6</v>
      </c>
      <c r="E66" s="12" t="n">
        <f aca="false">D66*$J$5</f>
        <v>7.57894736842105</v>
      </c>
      <c r="F66" s="12" t="n">
        <f aca="false">E66-C66</f>
        <v>2.57894736842105</v>
      </c>
      <c r="G66" s="21" t="n">
        <f aca="false">IF(AND(C66=0,E66=0),0,IF(C66=0,"New",(E66-C66)/C66))</f>
        <v>0.515789473684211</v>
      </c>
      <c r="H66" s="12" t="n">
        <f aca="false">SUMIFS('בתי מרקחת Raw'!$E$6:$E$1616,'בתי מרקחת Raw'!$F$6:$F$1616,$A66,'בתי מרקחת Raw'!$C$6:$C$1616,2025)</f>
        <v>495.9</v>
      </c>
      <c r="I66" s="12" t="n">
        <f aca="false">SUMIFS('בתי מרקחת Raw'!$E$6:$E$1616,'בתי מרקחת Raw'!$F$6:$F$1616,$A66,'בתי מרקחת Raw'!$C$6:$C$1616,2026)</f>
        <v>619.5</v>
      </c>
      <c r="J66" s="12" t="n">
        <f aca="false">I66*$J$5</f>
        <v>782.526315789474</v>
      </c>
      <c r="K66" s="12"/>
      <c r="L66" s="22"/>
    </row>
    <row r="67" customFormat="false" ht="15" hidden="false" customHeight="true" outlineLevel="0" collapsed="false">
      <c r="A67" s="12" t="n">
        <v>4408032</v>
      </c>
      <c r="B67" s="12" t="str">
        <f aca="false">IFERROR(INDEX('בתי מרקחת Raw'!$B:$B,MATCH($A67,'בתי מרקחת Raw'!$F:$F,0)),"")</f>
        <v>11 L""חגורת בטן""אורירית</v>
      </c>
      <c r="C67" s="12" t="n">
        <f aca="false">SUMIFS('בתי מרקחת Raw'!$D$6:$D$1616,'בתי מרקחת Raw'!$F$6:$F$1616,$A67,'בתי מרקחת Raw'!$C$6:$C$1616,2025)</f>
        <v>50</v>
      </c>
      <c r="D67" s="12" t="n">
        <f aca="false">SUMIFS('בתי מרקחת Raw'!$D$6:$D$1616,'בתי מרקחת Raw'!$F$6:$F$1616,$A67,'בתי מרקחת Raw'!$C$6:$C$1616,2026)</f>
        <v>27</v>
      </c>
      <c r="E67" s="12" t="n">
        <f aca="false">D67*$J$5</f>
        <v>34.1052631578947</v>
      </c>
      <c r="F67" s="12" t="n">
        <f aca="false">E67-C67</f>
        <v>-15.8947368421053</v>
      </c>
      <c r="G67" s="21" t="n">
        <f aca="false">IF(AND(C67=0,E67=0),0,IF(C67=0,"New",(E67-C67)/C67))</f>
        <v>-0.317894736842105</v>
      </c>
      <c r="H67" s="12" t="n">
        <f aca="false">SUMIFS('בתי מרקחת Raw'!$E$6:$E$1616,'בתי מרקחת Raw'!$F$6:$F$1616,$A67,'בתי מרקחת Raw'!$C$6:$C$1616,2025)</f>
        <v>5064.14</v>
      </c>
      <c r="I67" s="12" t="n">
        <f aca="false">SUMIFS('בתי מרקחת Raw'!$E$6:$E$1616,'בתי מרקחת Raw'!$F$6:$F$1616,$A67,'בתי מרקחת Raw'!$C$6:$C$1616,2026)</f>
        <v>2799.3</v>
      </c>
      <c r="J67" s="12" t="n">
        <f aca="false">I67*$J$5</f>
        <v>3535.95789473684</v>
      </c>
      <c r="K67" s="12"/>
      <c r="L67" s="22"/>
    </row>
    <row r="68" customFormat="false" ht="15" hidden="false" customHeight="true" outlineLevel="0" collapsed="false">
      <c r="A68" s="12" t="n">
        <v>4408033</v>
      </c>
      <c r="B68" s="12" t="str">
        <f aca="false">IFERROR(INDEX('בתי מרקחת Raw'!$B:$B,MATCH($A68,'בתי מרקחת Raw'!$F:$F,0)),"")</f>
        <v>11 M""חגורת בטן""אורירית</v>
      </c>
      <c r="C68" s="12" t="n">
        <f aca="false">SUMIFS('בתי מרקחת Raw'!$D$6:$D$1616,'בתי מרקחת Raw'!$F$6:$F$1616,$A68,'בתי מרקחת Raw'!$C$6:$C$1616,2025)</f>
        <v>43</v>
      </c>
      <c r="D68" s="12" t="n">
        <f aca="false">SUMIFS('בתי מרקחת Raw'!$D$6:$D$1616,'בתי מרקחת Raw'!$F$6:$F$1616,$A68,'בתי מרקחת Raw'!$C$6:$C$1616,2026)</f>
        <v>25</v>
      </c>
      <c r="E68" s="12" t="n">
        <f aca="false">D68*$J$5</f>
        <v>31.5789473684211</v>
      </c>
      <c r="F68" s="12" t="n">
        <f aca="false">E68-C68</f>
        <v>-11.4210526315789</v>
      </c>
      <c r="G68" s="21" t="n">
        <f aca="false">IF(AND(C68=0,E68=0),0,IF(C68=0,"New",(E68-C68)/C68))</f>
        <v>-0.265605875152999</v>
      </c>
      <c r="H68" s="12" t="n">
        <f aca="false">SUMIFS('בתי מרקחת Raw'!$E$6:$E$1616,'בתי מרקחת Raw'!$F$6:$F$1616,$A68,'בתי מרקחת Raw'!$C$6:$C$1616,2025)</f>
        <v>4517.5</v>
      </c>
      <c r="I68" s="12" t="n">
        <f aca="false">SUMIFS('בתי מרקחת Raw'!$E$6:$E$1616,'בתי מרקחת Raw'!$F$6:$F$1616,$A68,'בתי מרקחת Raw'!$C$6:$C$1616,2026)</f>
        <v>2551.9</v>
      </c>
      <c r="J68" s="12" t="n">
        <f aca="false">I68*$J$5</f>
        <v>3223.45263157895</v>
      </c>
      <c r="K68" s="12"/>
      <c r="L68" s="22"/>
    </row>
    <row r="69" customFormat="false" ht="15" hidden="false" customHeight="true" outlineLevel="0" collapsed="false">
      <c r="A69" s="12" t="n">
        <v>4408034</v>
      </c>
      <c r="B69" s="12" t="str">
        <f aca="false">IFERROR(INDEX('בתי מרקחת Raw'!$B:$B,MATCH($A69,'בתי מרקחת Raw'!$F:$F,0)),"")</f>
        <v>11 XL""חגורת בטן""אורירית</v>
      </c>
      <c r="C69" s="12" t="n">
        <f aca="false">SUMIFS('בתי מרקחת Raw'!$D$6:$D$1616,'בתי מרקחת Raw'!$F$6:$F$1616,$A69,'בתי מרקחת Raw'!$C$6:$C$1616,2025)</f>
        <v>49</v>
      </c>
      <c r="D69" s="12" t="n">
        <f aca="false">SUMIFS('בתי מרקחת Raw'!$D$6:$D$1616,'בתי מרקחת Raw'!$F$6:$F$1616,$A69,'בתי מרקחת Raw'!$C$6:$C$1616,2026)</f>
        <v>30</v>
      </c>
      <c r="E69" s="12" t="n">
        <f aca="false">D69*$J$5</f>
        <v>37.8947368421053</v>
      </c>
      <c r="F69" s="12" t="n">
        <f aca="false">E69-C69</f>
        <v>-11.1052631578947</v>
      </c>
      <c r="G69" s="21" t="n">
        <f aca="false">IF(AND(C69=0,E69=0),0,IF(C69=0,"New",(E69-C69)/C69))</f>
        <v>-0.226638023630505</v>
      </c>
      <c r="H69" s="12" t="n">
        <f aca="false">SUMIFS('בתי מרקחת Raw'!$E$6:$E$1616,'בתי מרקחת Raw'!$F$6:$F$1616,$A69,'בתי מרקחת Raw'!$C$6:$C$1616,2025)</f>
        <v>4996.5</v>
      </c>
      <c r="I69" s="12" t="n">
        <f aca="false">SUMIFS('בתי מרקחת Raw'!$E$6:$E$1616,'בתי מרקחת Raw'!$F$6:$F$1616,$A69,'בתי מרקחת Raw'!$C$6:$C$1616,2026)</f>
        <v>3012.91</v>
      </c>
      <c r="J69" s="12" t="n">
        <f aca="false">I69*$J$5</f>
        <v>3805.78105263158</v>
      </c>
      <c r="K69" s="12"/>
      <c r="L69" s="22"/>
    </row>
    <row r="70" customFormat="false" ht="15" hidden="false" customHeight="true" outlineLevel="0" collapsed="false">
      <c r="A70" s="12" t="n">
        <v>4408035</v>
      </c>
      <c r="B70" s="12" t="str">
        <f aca="false">IFERROR(INDEX('בתי מרקחת Raw'!$B:$B,MATCH($A70,'בתי מרקחת Raw'!$F:$F,0)),"")</f>
        <v>11 XXL""חגורת בטן""אורירית</v>
      </c>
      <c r="C70" s="12" t="n">
        <f aca="false">SUMIFS('בתי מרקחת Raw'!$D$6:$D$1616,'בתי מרקחת Raw'!$F$6:$F$1616,$A70,'בתי מרקחת Raw'!$C$6:$C$1616,2025)</f>
        <v>29</v>
      </c>
      <c r="D70" s="12" t="n">
        <f aca="false">SUMIFS('בתי מרקחת Raw'!$D$6:$D$1616,'בתי מרקחת Raw'!$F$6:$F$1616,$A70,'בתי מרקחת Raw'!$C$6:$C$1616,2026)</f>
        <v>12</v>
      </c>
      <c r="E70" s="12" t="n">
        <f aca="false">D70*$J$5</f>
        <v>15.1578947368421</v>
      </c>
      <c r="F70" s="12" t="n">
        <f aca="false">E70-C70</f>
        <v>-13.8421052631579</v>
      </c>
      <c r="G70" s="21" t="n">
        <f aca="false">IF(AND(C70=0,E70=0),0,IF(C70=0,"New",(E70-C70)/C70))</f>
        <v>-0.477313974591652</v>
      </c>
      <c r="H70" s="12" t="n">
        <f aca="false">SUMIFS('בתי מרקחת Raw'!$E$6:$E$1616,'בתי מרקחת Raw'!$F$6:$F$1616,$A70,'בתי מרקחת Raw'!$C$6:$C$1616,2025)</f>
        <v>3013.9</v>
      </c>
      <c r="I70" s="12" t="n">
        <f aca="false">SUMIFS('בתי מרקחת Raw'!$E$6:$E$1616,'בתי מרקחת Raw'!$F$6:$F$1616,$A70,'בתי מרקחת Raw'!$C$6:$C$1616,2026)</f>
        <v>1247.6</v>
      </c>
      <c r="J70" s="12" t="n">
        <f aca="false">I70*$J$5</f>
        <v>1575.91578947368</v>
      </c>
      <c r="K70" s="12"/>
      <c r="L70" s="22"/>
    </row>
    <row r="71" customFormat="false" ht="15" hidden="false" customHeight="true" outlineLevel="0" collapsed="false">
      <c r="A71" s="12" t="n">
        <v>4408041</v>
      </c>
      <c r="B71" s="12" t="str">
        <f aca="false">IFERROR(INDEX('בתי מרקחת Raw'!$B:$B,MATCH($A71,'בתי מרקחת Raw'!$F:$F,0)),"")</f>
        <v>18 S ח.הריון מכנס למניעת כאבים</v>
      </c>
      <c r="C71" s="12" t="n">
        <f aca="false">SUMIFS('בתי מרקחת Raw'!$D$6:$D$1616,'בתי מרקחת Raw'!$F$6:$F$1616,$A71,'בתי מרקחת Raw'!$C$6:$C$1616,2025)</f>
        <v>0</v>
      </c>
      <c r="D71" s="12" t="n">
        <f aca="false">SUMIFS('בתי מרקחת Raw'!$D$6:$D$1616,'בתי מרקחת Raw'!$F$6:$F$1616,$A71,'בתי מרקחת Raw'!$C$6:$C$1616,2026)</f>
        <v>-1</v>
      </c>
      <c r="E71" s="12" t="n">
        <f aca="false">D71*$J$5</f>
        <v>-1.26315789473684</v>
      </c>
      <c r="F71" s="12" t="n">
        <f aca="false">E71-C71</f>
        <v>-1.26315789473684</v>
      </c>
      <c r="G71" s="21" t="str">
        <f aca="false">IF(AND(C71=0,E71=0),0,IF(C71=0,"New",(E71-C71)/C71))</f>
        <v>New</v>
      </c>
      <c r="H71" s="12" t="n">
        <f aca="false">SUMIFS('בתי מרקחת Raw'!$E$6:$E$1616,'בתי מרקחת Raw'!$F$6:$F$1616,$A71,'בתי מרקחת Raw'!$C$6:$C$1616,2025)</f>
        <v>0</v>
      </c>
      <c r="I71" s="12" t="n">
        <f aca="false">SUMIFS('בתי מרקחת Raw'!$E$6:$E$1616,'בתי מרקחת Raw'!$F$6:$F$1616,$A71,'בתי מרקחת Raw'!$C$6:$C$1616,2026)</f>
        <v>-247.5</v>
      </c>
      <c r="J71" s="12" t="n">
        <f aca="false">I71*$J$5</f>
        <v>-312.631578947368</v>
      </c>
      <c r="K71" s="12"/>
      <c r="L71" s="22"/>
    </row>
    <row r="72" customFormat="false" ht="15" hidden="false" customHeight="true" outlineLevel="0" collapsed="false">
      <c r="A72" s="12" t="n">
        <v>4408042</v>
      </c>
      <c r="B72" s="12" t="str">
        <f aca="false">IFERROR(INDEX('בתי מרקחת Raw'!$B:$B,MATCH($A72,'בתי מרקחת Raw'!$F:$F,0)),"")</f>
        <v>18 L ח.הריון מכנס למניעת כאבים</v>
      </c>
      <c r="C72" s="12" t="n">
        <f aca="false">SUMIFS('בתי מרקחת Raw'!$D$6:$D$1616,'בתי מרקחת Raw'!$F$6:$F$1616,$A72,'בתי מרקחת Raw'!$C$6:$C$1616,2025)</f>
        <v>-1</v>
      </c>
      <c r="D72" s="12" t="n">
        <f aca="false">SUMIFS('בתי מרקחת Raw'!$D$6:$D$1616,'בתי מרקחת Raw'!$F$6:$F$1616,$A72,'בתי מרקחת Raw'!$C$6:$C$1616,2026)</f>
        <v>-1</v>
      </c>
      <c r="E72" s="12" t="n">
        <f aca="false">D72*$J$5</f>
        <v>-1.26315789473684</v>
      </c>
      <c r="F72" s="12" t="n">
        <f aca="false">E72-C72</f>
        <v>-0.263157894736842</v>
      </c>
      <c r="G72" s="21" t="n">
        <f aca="false">IF(AND(C72=0,E72=0),0,IF(C72=0,"New",(E72-C72)/C72))</f>
        <v>0.263157894736842</v>
      </c>
      <c r="H72" s="12" t="n">
        <f aca="false">SUMIFS('בתי מרקחת Raw'!$E$6:$E$1616,'בתי מרקחת Raw'!$F$6:$F$1616,$A72,'בתי מרקחת Raw'!$C$6:$C$1616,2025)</f>
        <v>-307.2</v>
      </c>
      <c r="I72" s="12" t="n">
        <f aca="false">SUMIFS('בתי מרקחת Raw'!$E$6:$E$1616,'בתי מרקחת Raw'!$F$6:$F$1616,$A72,'בתי מרקחת Raw'!$C$6:$C$1616,2026)</f>
        <v>-247.5</v>
      </c>
      <c r="J72" s="12" t="n">
        <f aca="false">I72*$J$5</f>
        <v>-312.631578947368</v>
      </c>
      <c r="K72" s="12"/>
      <c r="L72" s="22"/>
    </row>
    <row r="73" customFormat="false" ht="15" hidden="false" customHeight="true" outlineLevel="0" collapsed="false">
      <c r="A73" s="12" t="n">
        <v>4408043</v>
      </c>
      <c r="B73" s="12" t="str">
        <f aca="false">IFERROR(INDEX('בתי מרקחת Raw'!$B:$B,MATCH($A73,'בתי מרקחת Raw'!$F:$F,0)),"")</f>
        <v>18 M ח.הריון מכנס למניעת כאבים</v>
      </c>
      <c r="C73" s="12" t="n">
        <f aca="false">SUMIFS('בתי מרקחת Raw'!$D$6:$D$1616,'בתי מרקחת Raw'!$F$6:$F$1616,$A73,'בתי מרקחת Raw'!$C$6:$C$1616,2025)</f>
        <v>0</v>
      </c>
      <c r="D73" s="12" t="n">
        <f aca="false">SUMIFS('בתי מרקחת Raw'!$D$6:$D$1616,'בתי מרקחת Raw'!$F$6:$F$1616,$A73,'בתי מרקחת Raw'!$C$6:$C$1616,2026)</f>
        <v>-1</v>
      </c>
      <c r="E73" s="12" t="n">
        <f aca="false">D73*$J$5</f>
        <v>-1.26315789473684</v>
      </c>
      <c r="F73" s="12" t="n">
        <f aca="false">E73-C73</f>
        <v>-1.26315789473684</v>
      </c>
      <c r="G73" s="21" t="str">
        <f aca="false">IF(AND(C73=0,E73=0),0,IF(C73=0,"New",(E73-C73)/C73))</f>
        <v>New</v>
      </c>
      <c r="H73" s="12" t="n">
        <f aca="false">SUMIFS('בתי מרקחת Raw'!$E$6:$E$1616,'בתי מרקחת Raw'!$F$6:$F$1616,$A73,'בתי מרקחת Raw'!$C$6:$C$1616,2025)</f>
        <v>0</v>
      </c>
      <c r="I73" s="12" t="n">
        <f aca="false">SUMIFS('בתי מרקחת Raw'!$E$6:$E$1616,'בתי מרקחת Raw'!$F$6:$F$1616,$A73,'בתי מרקחת Raw'!$C$6:$C$1616,2026)</f>
        <v>-247.5</v>
      </c>
      <c r="J73" s="12" t="n">
        <f aca="false">I73*$J$5</f>
        <v>-312.631578947368</v>
      </c>
      <c r="K73" s="12"/>
      <c r="L73" s="22"/>
    </row>
    <row r="74" customFormat="false" ht="15" hidden="false" customHeight="true" outlineLevel="0" collapsed="false">
      <c r="A74" s="12" t="n">
        <v>4408044</v>
      </c>
      <c r="B74" s="12" t="str">
        <f aca="false">IFERROR(INDEX('בתי מרקחת Raw'!$B:$B,MATCH($A74,'בתי מרקחת Raw'!$F:$F,0)),"")</f>
        <v>18  XL.ח.הריון מכנס למניעת כאב</v>
      </c>
      <c r="C74" s="12" t="n">
        <f aca="false">SUMIFS('בתי מרקחת Raw'!$D$6:$D$1616,'בתי מרקחת Raw'!$F$6:$F$1616,$A74,'בתי מרקחת Raw'!$C$6:$C$1616,2025)</f>
        <v>0</v>
      </c>
      <c r="D74" s="12" t="n">
        <f aca="false">SUMIFS('בתי מרקחת Raw'!$D$6:$D$1616,'בתי מרקחת Raw'!$F$6:$F$1616,$A74,'בתי מרקחת Raw'!$C$6:$C$1616,2026)</f>
        <v>-1</v>
      </c>
      <c r="E74" s="12" t="n">
        <f aca="false">D74*$J$5</f>
        <v>-1.26315789473684</v>
      </c>
      <c r="F74" s="12" t="n">
        <f aca="false">E74-C74</f>
        <v>-1.26315789473684</v>
      </c>
      <c r="G74" s="21" t="str">
        <f aca="false">IF(AND(C74=0,E74=0),0,IF(C74=0,"New",(E74-C74)/C74))</f>
        <v>New</v>
      </c>
      <c r="H74" s="12" t="n">
        <f aca="false">SUMIFS('בתי מרקחת Raw'!$E$6:$E$1616,'בתי מרקחת Raw'!$F$6:$F$1616,$A74,'בתי מרקחת Raw'!$C$6:$C$1616,2025)</f>
        <v>0</v>
      </c>
      <c r="I74" s="12" t="n">
        <f aca="false">SUMIFS('בתי מרקחת Raw'!$E$6:$E$1616,'בתי מרקחת Raw'!$F$6:$F$1616,$A74,'בתי מרקחת Raw'!$C$6:$C$1616,2026)</f>
        <v>-247.5</v>
      </c>
      <c r="J74" s="12" t="n">
        <f aca="false">I74*$J$5</f>
        <v>-312.631578947368</v>
      </c>
      <c r="K74" s="12"/>
      <c r="L74" s="22"/>
    </row>
    <row r="75" customFormat="false" ht="15" hidden="false" customHeight="true" outlineLevel="0" collapsed="false">
      <c r="A75" s="12" t="n">
        <v>4408046</v>
      </c>
      <c r="B75" s="12" t="str">
        <f aca="false">IFERROR(INDEX('בתי מרקחת Raw'!$B:$B,MATCH($A75,'בתי מרקחת Raw'!$F:$F,0)),"")</f>
        <v>20 L חבק יד מתכוון עם צמדן</v>
      </c>
      <c r="C75" s="12" t="n">
        <f aca="false">SUMIFS('בתי מרקחת Raw'!$D$6:$D$1616,'בתי מרקחת Raw'!$F$6:$F$1616,$A75,'בתי מרקחת Raw'!$C$6:$C$1616,2025)</f>
        <v>170</v>
      </c>
      <c r="D75" s="12" t="n">
        <f aca="false">SUMIFS('בתי מרקחת Raw'!$D$6:$D$1616,'בתי מרקחת Raw'!$F$6:$F$1616,$A75,'בתי מרקחת Raw'!$C$6:$C$1616,2026)</f>
        <v>95</v>
      </c>
      <c r="E75" s="12" t="n">
        <f aca="false">D75*$J$5</f>
        <v>120</v>
      </c>
      <c r="F75" s="12" t="n">
        <f aca="false">E75-C75</f>
        <v>-50</v>
      </c>
      <c r="G75" s="21" t="n">
        <f aca="false">IF(AND(C75=0,E75=0),0,IF(C75=0,"New",(E75-C75)/C75))</f>
        <v>-0.294117647058824</v>
      </c>
      <c r="H75" s="12" t="n">
        <f aca="false">SUMIFS('בתי מרקחת Raw'!$E$6:$E$1616,'בתי מרקחת Raw'!$F$6:$F$1616,$A75,'בתי מרקחת Raw'!$C$6:$C$1616,2025)</f>
        <v>5568.23</v>
      </c>
      <c r="I75" s="12" t="n">
        <f aca="false">SUMIFS('בתי מרקחת Raw'!$E$6:$E$1616,'בתי מרקחת Raw'!$F$6:$F$1616,$A75,'בתי מרקחת Raw'!$C$6:$C$1616,2026)</f>
        <v>3068.3</v>
      </c>
      <c r="J75" s="12" t="n">
        <f aca="false">I75*$J$5</f>
        <v>3875.74736842105</v>
      </c>
      <c r="K75" s="12"/>
      <c r="L75" s="22"/>
    </row>
    <row r="76" customFormat="false" ht="15" hidden="false" customHeight="true" outlineLevel="0" collapsed="false">
      <c r="A76" s="12" t="n">
        <v>4408047</v>
      </c>
      <c r="B76" s="12" t="str">
        <f aca="false">IFERROR(INDEX('בתי מרקחת Raw'!$B:$B,MATCH($A76,'בתי מרקחת Raw'!$F:$F,0)),"")</f>
        <v>20 M חבק יד מתכוון עם צמדן</v>
      </c>
      <c r="C76" s="12" t="n">
        <f aca="false">SUMIFS('בתי מרקחת Raw'!$D$6:$D$1616,'בתי מרקחת Raw'!$F$6:$F$1616,$A76,'בתי מרקחת Raw'!$C$6:$C$1616,2025)</f>
        <v>198</v>
      </c>
      <c r="D76" s="12" t="n">
        <f aca="false">SUMIFS('בתי מרקחת Raw'!$D$6:$D$1616,'בתי מרקחת Raw'!$F$6:$F$1616,$A76,'בתי מרקחת Raw'!$C$6:$C$1616,2026)</f>
        <v>105</v>
      </c>
      <c r="E76" s="12" t="n">
        <f aca="false">D76*$J$5</f>
        <v>132.631578947368</v>
      </c>
      <c r="F76" s="12" t="n">
        <f aca="false">E76-C76</f>
        <v>-65.3684210526316</v>
      </c>
      <c r="G76" s="21" t="n">
        <f aca="false">IF(AND(C76=0,E76=0),0,IF(C76=0,"New",(E76-C76)/C76))</f>
        <v>-0.330143540669857</v>
      </c>
      <c r="H76" s="12" t="n">
        <f aca="false">SUMIFS('בתי מרקחת Raw'!$E$6:$E$1616,'בתי מרקחת Raw'!$F$6:$F$1616,$A76,'בתי מרקחת Raw'!$C$6:$C$1616,2025)</f>
        <v>6436.77</v>
      </c>
      <c r="I76" s="12" t="n">
        <f aca="false">SUMIFS('בתי מרקחת Raw'!$E$6:$E$1616,'בתי מרקחת Raw'!$F$6:$F$1616,$A76,'בתי מרקחת Raw'!$C$6:$C$1616,2026)</f>
        <v>3418.79</v>
      </c>
      <c r="J76" s="12" t="n">
        <f aca="false">I76*$J$5</f>
        <v>4318.47157894737</v>
      </c>
      <c r="K76" s="12"/>
      <c r="L76" s="22"/>
    </row>
    <row r="77" customFormat="false" ht="15" hidden="false" customHeight="true" outlineLevel="0" collapsed="false">
      <c r="A77" s="12" t="n">
        <v>4408048</v>
      </c>
      <c r="B77" s="12" t="str">
        <f aca="false">IFERROR(INDEX('בתי מרקחת Raw'!$B:$B,MATCH($A77,'בתי מרקחת Raw'!$F:$F,0)),"")</f>
        <v>20 S חבק יד מתכוון עם צמדן</v>
      </c>
      <c r="C77" s="12" t="n">
        <f aca="false">SUMIFS('בתי מרקחת Raw'!$D$6:$D$1616,'בתי מרקחת Raw'!$F$6:$F$1616,$A77,'בתי מרקחת Raw'!$C$6:$C$1616,2025)</f>
        <v>129</v>
      </c>
      <c r="D77" s="12" t="n">
        <f aca="false">SUMIFS('בתי מרקחת Raw'!$D$6:$D$1616,'בתי מרקחת Raw'!$F$6:$F$1616,$A77,'בתי מרקחת Raw'!$C$6:$C$1616,2026)</f>
        <v>58</v>
      </c>
      <c r="E77" s="12" t="n">
        <f aca="false">D77*$J$5</f>
        <v>73.2631578947368</v>
      </c>
      <c r="F77" s="12" t="n">
        <f aca="false">E77-C77</f>
        <v>-55.7368421052632</v>
      </c>
      <c r="G77" s="21" t="n">
        <f aca="false">IF(AND(C77=0,E77=0),0,IF(C77=0,"New",(E77-C77)/C77))</f>
        <v>-0.432068543451652</v>
      </c>
      <c r="H77" s="12" t="n">
        <f aca="false">SUMIFS('בתי מרקחת Raw'!$E$6:$E$1616,'בתי מרקחת Raw'!$F$6:$F$1616,$A77,'בתי מרקחת Raw'!$C$6:$C$1616,2025)</f>
        <v>4216.3</v>
      </c>
      <c r="I77" s="12" t="n">
        <f aca="false">SUMIFS('בתי מרקחת Raw'!$E$6:$E$1616,'בתי מרקחת Raw'!$F$6:$F$1616,$A77,'בתי מרקחת Raw'!$C$6:$C$1616,2026)</f>
        <v>1893.23</v>
      </c>
      <c r="J77" s="12" t="n">
        <f aca="false">I77*$J$5</f>
        <v>2391.44842105263</v>
      </c>
      <c r="K77" s="12"/>
      <c r="L77" s="22"/>
    </row>
    <row r="78" customFormat="false" ht="15" hidden="false" customHeight="true" outlineLevel="0" collapsed="false">
      <c r="A78" s="12" t="n">
        <v>4408049</v>
      </c>
      <c r="B78" s="12" t="str">
        <f aca="false">IFERROR(INDEX('בתי מרקחת Raw'!$B:$B,MATCH($A78,'בתי מרקחת Raw'!$F:$F,0)),"")</f>
        <v>20 XL חבק יד מתכוון עם צמדן</v>
      </c>
      <c r="C78" s="12" t="n">
        <f aca="false">SUMIFS('בתי מרקחת Raw'!$D$6:$D$1616,'בתי מרקחת Raw'!$F$6:$F$1616,$A78,'בתי מרקחת Raw'!$C$6:$C$1616,2025)</f>
        <v>80</v>
      </c>
      <c r="D78" s="12" t="n">
        <f aca="false">SUMIFS('בתי מרקחת Raw'!$D$6:$D$1616,'בתי מרקחת Raw'!$F$6:$F$1616,$A78,'בתי מרקחת Raw'!$C$6:$C$1616,2026)</f>
        <v>30</v>
      </c>
      <c r="E78" s="12" t="n">
        <f aca="false">D78*$J$5</f>
        <v>37.8947368421053</v>
      </c>
      <c r="F78" s="12" t="n">
        <f aca="false">E78-C78</f>
        <v>-42.1052631578947</v>
      </c>
      <c r="G78" s="21" t="n">
        <f aca="false">IF(AND(C78=0,E78=0),0,IF(C78=0,"New",(E78-C78)/C78))</f>
        <v>-0.526315789473684</v>
      </c>
      <c r="H78" s="12" t="n">
        <f aca="false">SUMIFS('בתי מרקחת Raw'!$E$6:$E$1616,'בתי מרקחת Raw'!$F$6:$F$1616,$A78,'בתי מרקחת Raw'!$C$6:$C$1616,2025)</f>
        <v>2603.8</v>
      </c>
      <c r="I78" s="12" t="n">
        <f aca="false">SUMIFS('בתי מרקחת Raw'!$E$6:$E$1616,'בתי מרקחת Raw'!$F$6:$F$1616,$A78,'בתי מרקחת Raw'!$C$6:$C$1616,2026)</f>
        <v>971.3</v>
      </c>
      <c r="J78" s="12" t="n">
        <f aca="false">I78*$J$5</f>
        <v>1226.90526315789</v>
      </c>
      <c r="K78" s="12"/>
      <c r="L78" s="22"/>
    </row>
    <row r="79" customFormat="false" ht="15" hidden="false" customHeight="true" outlineLevel="0" collapsed="false">
      <c r="A79" s="12" t="n">
        <v>4408050</v>
      </c>
      <c r="B79" s="12" t="str">
        <f aca="false">IFERROR(INDEX('בתי מרקחת Raw'!$B:$B,MATCH($A79,'בתי מרקחת Raw'!$F:$F,0)),"")</f>
        <v>20 XXL חבק יד מתכוון עם צמדן</v>
      </c>
      <c r="C79" s="12" t="n">
        <f aca="false">SUMIFS('בתי מרקחת Raw'!$D$6:$D$1616,'בתי מרקחת Raw'!$F$6:$F$1616,$A79,'בתי מרקחת Raw'!$C$6:$C$1616,2025)</f>
        <v>4</v>
      </c>
      <c r="D79" s="12" t="n">
        <f aca="false">SUMIFS('בתי מרקחת Raw'!$D$6:$D$1616,'בתי מרקחת Raw'!$F$6:$F$1616,$A79,'בתי מרקחת Raw'!$C$6:$C$1616,2026)</f>
        <v>2</v>
      </c>
      <c r="E79" s="12" t="n">
        <f aca="false">D79*$J$5</f>
        <v>2.52631578947368</v>
      </c>
      <c r="F79" s="12" t="n">
        <f aca="false">E79-C79</f>
        <v>-1.47368421052632</v>
      </c>
      <c r="G79" s="21" t="n">
        <f aca="false">IF(AND(C79=0,E79=0),0,IF(C79=0,"New",(E79-C79)/C79))</f>
        <v>-0.368421052631579</v>
      </c>
      <c r="H79" s="12" t="n">
        <f aca="false">SUMIFS('בתי מרקחת Raw'!$E$6:$E$1616,'בתי מרקחת Raw'!$F$6:$F$1616,$A79,'בתי מרקחת Raw'!$C$6:$C$1616,2025)</f>
        <v>130.7</v>
      </c>
      <c r="I79" s="12" t="n">
        <f aca="false">SUMIFS('בתי מרקחת Raw'!$E$6:$E$1616,'בתי מרקחת Raw'!$F$6:$F$1616,$A79,'בתי מרקחת Raw'!$C$6:$C$1616,2026)</f>
        <v>66.5</v>
      </c>
      <c r="J79" s="12" t="n">
        <f aca="false">I79*$J$5</f>
        <v>84</v>
      </c>
      <c r="K79" s="12"/>
      <c r="L79" s="22"/>
    </row>
    <row r="80" customFormat="false" ht="15" hidden="false" customHeight="true" outlineLevel="0" collapsed="false">
      <c r="A80" s="12" t="n">
        <v>4408051</v>
      </c>
      <c r="B80" s="12" t="str">
        <f aca="false">IFERROR(INDEX('בתי מרקחת Raw'!$B:$B,MATCH($A80,'בתי מרקחת Raw'!$F:$F,0)),"")</f>
        <v>21 S  חבק יד ארוך</v>
      </c>
      <c r="C80" s="12" t="n">
        <f aca="false">SUMIFS('בתי מרקחת Raw'!$D$6:$D$1616,'בתי מרקחת Raw'!$F$6:$F$1616,$A80,'בתי מרקחת Raw'!$C$6:$C$1616,2025)</f>
        <v>349</v>
      </c>
      <c r="D80" s="12" t="n">
        <f aca="false">SUMIFS('בתי מרקחת Raw'!$D$6:$D$1616,'בתי מרקחת Raw'!$F$6:$F$1616,$A80,'בתי מרקחת Raw'!$C$6:$C$1616,2026)</f>
        <v>167</v>
      </c>
      <c r="E80" s="12" t="n">
        <f aca="false">D80*$J$5</f>
        <v>210.947368421053</v>
      </c>
      <c r="F80" s="12" t="n">
        <f aca="false">E80-C80</f>
        <v>-138.052631578947</v>
      </c>
      <c r="G80" s="21" t="n">
        <f aca="false">IF(AND(C80=0,E80=0),0,IF(C80=0,"New",(E80-C80)/C80))</f>
        <v>-0.395566279595838</v>
      </c>
      <c r="H80" s="12" t="n">
        <f aca="false">SUMIFS('בתי מרקחת Raw'!$E$6:$E$1616,'בתי מרקחת Raw'!$F$6:$F$1616,$A80,'בתי מרקחת Raw'!$C$6:$C$1616,2025)</f>
        <v>13569.42</v>
      </c>
      <c r="I80" s="12" t="n">
        <f aca="false">SUMIFS('בתי מרקחת Raw'!$E$6:$E$1616,'בתי מרקחת Raw'!$F$6:$F$1616,$A80,'בתי מרקחת Raw'!$C$6:$C$1616,2026)</f>
        <v>6555.17</v>
      </c>
      <c r="J80" s="12" t="n">
        <f aca="false">I80*$J$5</f>
        <v>8280.21473684211</v>
      </c>
      <c r="K80" s="12"/>
      <c r="L80" s="22"/>
    </row>
    <row r="81" customFormat="false" ht="15" hidden="false" customHeight="true" outlineLevel="0" collapsed="false">
      <c r="A81" s="12" t="n">
        <v>4408052</v>
      </c>
      <c r="B81" s="12" t="str">
        <f aca="false">IFERROR(INDEX('בתי מרקחת Raw'!$B:$B,MATCH($A81,'בתי מרקחת Raw'!$F:$F,0)),"")</f>
        <v>21 L  חבק יד ארוך</v>
      </c>
      <c r="C81" s="12" t="n">
        <f aca="false">SUMIFS('בתי מרקחת Raw'!$D$6:$D$1616,'בתי מרקחת Raw'!$F$6:$F$1616,$A81,'בתי מרקחת Raw'!$C$6:$C$1616,2025)</f>
        <v>617</v>
      </c>
      <c r="D81" s="12" t="n">
        <f aca="false">SUMIFS('בתי מרקחת Raw'!$D$6:$D$1616,'בתי מרקחת Raw'!$F$6:$F$1616,$A81,'בתי מרקחת Raw'!$C$6:$C$1616,2026)</f>
        <v>300</v>
      </c>
      <c r="E81" s="12" t="n">
        <f aca="false">D81*$J$5</f>
        <v>378.947368421053</v>
      </c>
      <c r="F81" s="12" t="n">
        <f aca="false">E81-C81</f>
        <v>-238.052631578947</v>
      </c>
      <c r="G81" s="21" t="n">
        <f aca="false">IF(AND(C81=0,E81=0),0,IF(C81=0,"New",(E81-C81)/C81))</f>
        <v>-0.38582274161904</v>
      </c>
      <c r="H81" s="12" t="n">
        <f aca="false">SUMIFS('בתי מרקחת Raw'!$E$6:$E$1616,'בתי מרקחת Raw'!$F$6:$F$1616,$A81,'בתי מרקחת Raw'!$C$6:$C$1616,2025)</f>
        <v>23829.08</v>
      </c>
      <c r="I81" s="12" t="n">
        <f aca="false">SUMIFS('בתי מרקחת Raw'!$E$6:$E$1616,'בתי מרקחת Raw'!$F$6:$F$1616,$A81,'בתי מרקחת Raw'!$C$6:$C$1616,2026)</f>
        <v>11709.66</v>
      </c>
      <c r="J81" s="12" t="n">
        <f aca="false">I81*$J$5</f>
        <v>14791.1494736842</v>
      </c>
      <c r="K81" s="12"/>
      <c r="L81" s="22"/>
    </row>
    <row r="82" customFormat="false" ht="15" hidden="false" customHeight="true" outlineLevel="0" collapsed="false">
      <c r="A82" s="12" t="n">
        <v>4408053</v>
      </c>
      <c r="B82" s="12" t="str">
        <f aca="false">IFERROR(INDEX('בתי מרקחת Raw'!$B:$B,MATCH($A82,'בתי מרקחת Raw'!$F:$F,0)),"")</f>
        <v>21 M  חבק יד ארוך</v>
      </c>
      <c r="C82" s="12" t="n">
        <f aca="false">SUMIFS('בתי מרקחת Raw'!$D$6:$D$1616,'בתי מרקחת Raw'!$F$6:$F$1616,$A82,'בתי מרקחת Raw'!$C$6:$C$1616,2025)</f>
        <v>671</v>
      </c>
      <c r="D82" s="12" t="n">
        <f aca="false">SUMIFS('בתי מרקחת Raw'!$D$6:$D$1616,'בתי מרקחת Raw'!$F$6:$F$1616,$A82,'בתי מרקחת Raw'!$C$6:$C$1616,2026)</f>
        <v>384</v>
      </c>
      <c r="E82" s="12" t="n">
        <f aca="false">D82*$J$5</f>
        <v>485.052631578947</v>
      </c>
      <c r="F82" s="12" t="n">
        <f aca="false">E82-C82</f>
        <v>-185.947368421053</v>
      </c>
      <c r="G82" s="21" t="n">
        <f aca="false">IF(AND(C82=0,E82=0),0,IF(C82=0,"New",(E82-C82)/C82))</f>
        <v>-0.277119774099929</v>
      </c>
      <c r="H82" s="12" t="n">
        <f aca="false">SUMIFS('בתי מרקחת Raw'!$E$6:$E$1616,'בתי מרקחת Raw'!$F$6:$F$1616,$A82,'בתי מרקחת Raw'!$C$6:$C$1616,2025)</f>
        <v>26087.65</v>
      </c>
      <c r="I82" s="12" t="n">
        <f aca="false">SUMIFS('בתי מרקחת Raw'!$E$6:$E$1616,'בתי מרקחת Raw'!$F$6:$F$1616,$A82,'בתי מרקחת Raw'!$C$6:$C$1616,2026)</f>
        <v>15012.46</v>
      </c>
      <c r="J82" s="12" t="n">
        <f aca="false">I82*$J$5</f>
        <v>18963.1073684211</v>
      </c>
      <c r="K82" s="12"/>
      <c r="L82" s="22"/>
    </row>
    <row r="83" customFormat="false" ht="15" hidden="false" customHeight="true" outlineLevel="0" collapsed="false">
      <c r="A83" s="12" t="n">
        <v>4408054</v>
      </c>
      <c r="B83" s="12" t="str">
        <f aca="false">IFERROR(INDEX('בתי מרקחת Raw'!$B:$B,MATCH($A83,'בתי מרקחת Raw'!$F:$F,0)),"")</f>
        <v>21 XL חבק יד ארוך</v>
      </c>
      <c r="C83" s="12" t="n">
        <f aca="false">SUMIFS('בתי מרקחת Raw'!$D$6:$D$1616,'בתי מרקחת Raw'!$F$6:$F$1616,$A83,'בתי מרקחת Raw'!$C$6:$C$1616,2025)</f>
        <v>250</v>
      </c>
      <c r="D83" s="12" t="n">
        <f aca="false">SUMIFS('בתי מרקחת Raw'!$D$6:$D$1616,'בתי מרקחת Raw'!$F$6:$F$1616,$A83,'בתי מרקחת Raw'!$C$6:$C$1616,2026)</f>
        <v>114</v>
      </c>
      <c r="E83" s="12" t="n">
        <f aca="false">D83*$J$5</f>
        <v>144</v>
      </c>
      <c r="F83" s="12" t="n">
        <f aca="false">E83-C83</f>
        <v>-106</v>
      </c>
      <c r="G83" s="21" t="n">
        <f aca="false">IF(AND(C83=0,E83=0),0,IF(C83=0,"New",(E83-C83)/C83))</f>
        <v>-0.424</v>
      </c>
      <c r="H83" s="12" t="n">
        <f aca="false">SUMIFS('בתי מרקחת Raw'!$E$6:$E$1616,'בתי מרקחת Raw'!$F$6:$F$1616,$A83,'בתי מרקחת Raw'!$C$6:$C$1616,2025)</f>
        <v>9682.11</v>
      </c>
      <c r="I83" s="12" t="n">
        <f aca="false">SUMIFS('בתי מרקחת Raw'!$E$6:$E$1616,'בתי מרקחת Raw'!$F$6:$F$1616,$A83,'בתי מרקחת Raw'!$C$6:$C$1616,2026)</f>
        <v>4361.2</v>
      </c>
      <c r="J83" s="12" t="n">
        <f aca="false">I83*$J$5</f>
        <v>5508.88421052632</v>
      </c>
      <c r="K83" s="12"/>
      <c r="L83" s="22"/>
    </row>
    <row r="84" customFormat="false" ht="15" hidden="false" customHeight="true" outlineLevel="0" collapsed="false">
      <c r="A84" s="12" t="n">
        <v>4408059</v>
      </c>
      <c r="B84" s="12" t="str">
        <f aca="false">IFERROR(INDEX('בתי מרקחת Raw'!$B:$B,MATCH($A84,'בתי מרקחת Raw'!$F:$F,0)),"")</f>
        <v>25 L חבק יד אגודלי</v>
      </c>
      <c r="C84" s="12" t="n">
        <f aca="false">SUMIFS('בתי מרקחת Raw'!$D$6:$D$1616,'בתי מרקחת Raw'!$F$6:$F$1616,$A84,'בתי מרקחת Raw'!$C$6:$C$1616,2025)</f>
        <v>2</v>
      </c>
      <c r="D84" s="12" t="n">
        <f aca="false">SUMIFS('בתי מרקחת Raw'!$D$6:$D$1616,'בתי מרקחת Raw'!$F$6:$F$1616,$A84,'בתי מרקחת Raw'!$C$6:$C$1616,2026)</f>
        <v>0</v>
      </c>
      <c r="E84" s="12" t="n">
        <f aca="false">D84*$J$5</f>
        <v>0</v>
      </c>
      <c r="F84" s="12" t="n">
        <f aca="false">E84-C84</f>
        <v>-2</v>
      </c>
      <c r="G84" s="21" t="n">
        <f aca="false">IF(AND(C84=0,E84=0),0,IF(C84=0,"New",(E84-C84)/C84))</f>
        <v>-1</v>
      </c>
      <c r="H84" s="12" t="n">
        <f aca="false">SUMIFS('בתי מרקחת Raw'!$E$6:$E$1616,'בתי מרקחת Raw'!$F$6:$F$1616,$A84,'בתי מרקחת Raw'!$C$6:$C$1616,2025)</f>
        <v>132.6</v>
      </c>
      <c r="I84" s="12" t="n">
        <f aca="false">SUMIFS('בתי מרקחת Raw'!$E$6:$E$1616,'בתי מרקחת Raw'!$F$6:$F$1616,$A84,'בתי מרקחת Raw'!$C$6:$C$1616,2026)</f>
        <v>0</v>
      </c>
      <c r="J84" s="12" t="n">
        <f aca="false">I84*$J$5</f>
        <v>0</v>
      </c>
      <c r="K84" s="12"/>
      <c r="L84" s="22"/>
    </row>
    <row r="85" customFormat="false" ht="15" hidden="false" customHeight="true" outlineLevel="0" collapsed="false">
      <c r="A85" s="12" t="n">
        <v>4408060</v>
      </c>
      <c r="B85" s="12" t="str">
        <f aca="false">IFERROR(INDEX('בתי מרקחת Raw'!$B:$B,MATCH($A85,'בתי מרקחת Raw'!$F:$F,0)),"")</f>
        <v>25 M חבק יד אגודלי</v>
      </c>
      <c r="C85" s="12" t="n">
        <f aca="false">SUMIFS('בתי מרקחת Raw'!$D$6:$D$1616,'בתי מרקחת Raw'!$F$6:$F$1616,$A85,'בתי מרקחת Raw'!$C$6:$C$1616,2025)</f>
        <v>-1</v>
      </c>
      <c r="D85" s="12" t="n">
        <f aca="false">SUMIFS('בתי מרקחת Raw'!$D$6:$D$1616,'בתי מרקחת Raw'!$F$6:$F$1616,$A85,'בתי מרקחת Raw'!$C$6:$C$1616,2026)</f>
        <v>0</v>
      </c>
      <c r="E85" s="12" t="n">
        <f aca="false">D85*$J$5</f>
        <v>0</v>
      </c>
      <c r="F85" s="12" t="n">
        <f aca="false">E85-C85</f>
        <v>1</v>
      </c>
      <c r="G85" s="21" t="n">
        <f aca="false">IF(AND(C85=0,E85=0),0,IF(C85=0,"New",(E85-C85)/C85))</f>
        <v>-1</v>
      </c>
      <c r="H85" s="12" t="n">
        <f aca="false">SUMIFS('בתי מרקחת Raw'!$E$6:$E$1616,'בתי מרקחת Raw'!$F$6:$F$1616,$A85,'בתי מרקחת Raw'!$C$6:$C$1616,2025)</f>
        <v>-50.9</v>
      </c>
      <c r="I85" s="12" t="n">
        <f aca="false">SUMIFS('בתי מרקחת Raw'!$E$6:$E$1616,'בתי מרקחת Raw'!$F$6:$F$1616,$A85,'בתי מרקחת Raw'!$C$6:$C$1616,2026)</f>
        <v>0</v>
      </c>
      <c r="J85" s="12" t="n">
        <f aca="false">I85*$J$5</f>
        <v>0</v>
      </c>
      <c r="K85" s="12"/>
      <c r="L85" s="22"/>
    </row>
    <row r="86" customFormat="false" ht="15" hidden="false" customHeight="true" outlineLevel="0" collapsed="false">
      <c r="A86" s="12" t="n">
        <v>4408061</v>
      </c>
      <c r="B86" s="12" t="str">
        <f aca="false">IFERROR(INDEX('בתי מרקחת Raw'!$B:$B,MATCH($A86,'בתי מרקחת Raw'!$F:$F,0)),"")</f>
        <v>25 S חבק יד אגודלי</v>
      </c>
      <c r="C86" s="12" t="n">
        <f aca="false">SUMIFS('בתי מרקחת Raw'!$D$6:$D$1616,'בתי מרקחת Raw'!$F$6:$F$1616,$A86,'בתי מרקחת Raw'!$C$6:$C$1616,2025)</f>
        <v>0</v>
      </c>
      <c r="D86" s="12" t="n">
        <f aca="false">SUMIFS('בתי מרקחת Raw'!$D$6:$D$1616,'בתי מרקחת Raw'!$F$6:$F$1616,$A86,'בתי מרקחת Raw'!$C$6:$C$1616,2026)</f>
        <v>0</v>
      </c>
      <c r="E86" s="12" t="n">
        <f aca="false">D86*$J$5</f>
        <v>0</v>
      </c>
      <c r="F86" s="12" t="n">
        <f aca="false">E86-C86</f>
        <v>0</v>
      </c>
      <c r="G86" s="21" t="n">
        <f aca="false">IF(AND(C86=0,E86=0),0,IF(C86=0,"New",(E86-C86)/C86))</f>
        <v>0</v>
      </c>
      <c r="H86" s="12" t="n">
        <f aca="false">SUMIFS('בתי מרקחת Raw'!$E$6:$E$1616,'בתי מרקחת Raw'!$F$6:$F$1616,$A86,'בתי מרקחת Raw'!$C$6:$C$1616,2025)</f>
        <v>7.8</v>
      </c>
      <c r="I86" s="12" t="n">
        <f aca="false">SUMIFS('בתי מרקחת Raw'!$E$6:$E$1616,'בתי מרקחת Raw'!$F$6:$F$1616,$A86,'בתי מרקחת Raw'!$C$6:$C$1616,2026)</f>
        <v>0</v>
      </c>
      <c r="J86" s="12" t="n">
        <f aca="false">I86*$J$5</f>
        <v>0</v>
      </c>
      <c r="K86" s="12"/>
      <c r="L86" s="22"/>
    </row>
    <row r="87" customFormat="false" ht="15" hidden="false" customHeight="true" outlineLevel="0" collapsed="false">
      <c r="A87" s="12" t="n">
        <v>4408062</v>
      </c>
      <c r="B87" s="12" t="str">
        <f aca="false">IFERROR(INDEX('בתי מרקחת Raw'!$B:$B,MATCH($A87,'בתי מרקחת Raw'!$F:$F,0)),"")</f>
        <v>25 XL חבק יד אגודלי</v>
      </c>
      <c r="C87" s="12" t="n">
        <f aca="false">SUMIFS('בתי מרקחת Raw'!$D$6:$D$1616,'בתי מרקחת Raw'!$F$6:$F$1616,$A87,'בתי מרקחת Raw'!$C$6:$C$1616,2025)</f>
        <v>2</v>
      </c>
      <c r="D87" s="12" t="n">
        <f aca="false">SUMIFS('בתי מרקחת Raw'!$D$6:$D$1616,'בתי מרקחת Raw'!$F$6:$F$1616,$A87,'בתי מרקחת Raw'!$C$6:$C$1616,2026)</f>
        <v>-1</v>
      </c>
      <c r="E87" s="12" t="n">
        <f aca="false">D87*$J$5</f>
        <v>-1.26315789473684</v>
      </c>
      <c r="F87" s="12" t="n">
        <f aca="false">E87-C87</f>
        <v>-3.26315789473684</v>
      </c>
      <c r="G87" s="21" t="n">
        <f aca="false">IF(AND(C87=0,E87=0),0,IF(C87=0,"New",(E87-C87)/C87))</f>
        <v>-1.63157894736842</v>
      </c>
      <c r="H87" s="12" t="n">
        <f aca="false">SUMIFS('בתי מרקחת Raw'!$E$6:$E$1616,'בתי מרקחת Raw'!$F$6:$F$1616,$A87,'בתי מרקחת Raw'!$C$6:$C$1616,2025)</f>
        <v>132.3</v>
      </c>
      <c r="I87" s="12" t="n">
        <f aca="false">SUMIFS('בתי מרקחת Raw'!$E$6:$E$1616,'בתי מרקחת Raw'!$F$6:$F$1616,$A87,'בתי מרקחת Raw'!$C$6:$C$1616,2026)</f>
        <v>-53.2</v>
      </c>
      <c r="J87" s="12" t="n">
        <f aca="false">I87*$J$5</f>
        <v>-67.2</v>
      </c>
      <c r="K87" s="12"/>
      <c r="L87" s="22"/>
    </row>
    <row r="88" customFormat="false" ht="15" hidden="false" customHeight="true" outlineLevel="0" collapsed="false">
      <c r="A88" s="12" t="n">
        <v>4408069</v>
      </c>
      <c r="B88" s="12" t="str">
        <f aca="false">IFERROR(INDEX('בתי מרקחת Raw'!$B:$B,MATCH($A88,'בתי מרקחת Raw'!$F:$F,0)),"")</f>
        <v>38 .חבישת""הלוקס ולגוס""לאחר נית</v>
      </c>
      <c r="C88" s="12" t="n">
        <f aca="false">SUMIFS('בתי מרקחת Raw'!$D$6:$D$1616,'בתי מרקחת Raw'!$F$6:$F$1616,$A88,'בתי מרקחת Raw'!$C$6:$C$1616,2025)</f>
        <v>0</v>
      </c>
      <c r="D88" s="12" t="n">
        <f aca="false">SUMIFS('בתי מרקחת Raw'!$D$6:$D$1616,'בתי מרקחת Raw'!$F$6:$F$1616,$A88,'בתי מרקחת Raw'!$C$6:$C$1616,2026)</f>
        <v>2</v>
      </c>
      <c r="E88" s="12" t="n">
        <f aca="false">D88*$J$5</f>
        <v>2.52631578947368</v>
      </c>
      <c r="F88" s="12" t="n">
        <f aca="false">E88-C88</f>
        <v>2.52631578947368</v>
      </c>
      <c r="G88" s="21" t="str">
        <f aca="false">IF(AND(C88=0,E88=0),0,IF(C88=0,"New",(E88-C88)/C88))</f>
        <v>New</v>
      </c>
      <c r="H88" s="12" t="n">
        <f aca="false">SUMIFS('בתי מרקחת Raw'!$E$6:$E$1616,'בתי מרקחת Raw'!$F$6:$F$1616,$A88,'בתי מרקחת Raw'!$C$6:$C$1616,2025)</f>
        <v>0</v>
      </c>
      <c r="I88" s="12" t="n">
        <f aca="false">SUMIFS('בתי מרקחת Raw'!$E$6:$E$1616,'בתי מרקחת Raw'!$F$6:$F$1616,$A88,'בתי מרקחת Raw'!$C$6:$C$1616,2026)</f>
        <v>178</v>
      </c>
      <c r="J88" s="12" t="n">
        <f aca="false">I88*$J$5</f>
        <v>224.842105263158</v>
      </c>
      <c r="K88" s="12"/>
      <c r="L88" s="22"/>
    </row>
    <row r="89" customFormat="false" ht="15" hidden="false" customHeight="true" outlineLevel="0" collapsed="false">
      <c r="A89" s="12" t="n">
        <v>4408070</v>
      </c>
      <c r="B89" s="12" t="str">
        <f aca="false">IFERROR(INDEX('בתי מרקחת Raw'!$B:$B,MATCH($A89,'בתי מרקחת Raw'!$F:$F,0)),"")</f>
        <v>59D S</v>
      </c>
      <c r="C89" s="12" t="n">
        <f aca="false">SUMIFS('בתי מרקחת Raw'!$D$6:$D$1616,'בתי מרקחת Raw'!$F$6:$F$1616,$A89,'בתי מרקחת Raw'!$C$6:$C$1616,2025)</f>
        <v>1</v>
      </c>
      <c r="D89" s="12" t="n">
        <f aca="false">SUMIFS('בתי מרקחת Raw'!$D$6:$D$1616,'בתי מרקחת Raw'!$F$6:$F$1616,$A89,'בתי מרקחת Raw'!$C$6:$C$1616,2026)</f>
        <v>0</v>
      </c>
      <c r="E89" s="12" t="n">
        <f aca="false">D89*$J$5</f>
        <v>0</v>
      </c>
      <c r="F89" s="12" t="n">
        <f aca="false">E89-C89</f>
        <v>-1</v>
      </c>
      <c r="G89" s="21" t="n">
        <f aca="false">IF(AND(C89=0,E89=0),0,IF(C89=0,"New",(E89-C89)/C89))</f>
        <v>-1</v>
      </c>
      <c r="H89" s="12" t="n">
        <f aca="false">SUMIFS('בתי מרקחת Raw'!$E$6:$E$1616,'בתי מרקחת Raw'!$F$6:$F$1616,$A89,'בתי מרקחת Raw'!$C$6:$C$1616,2025)</f>
        <v>180</v>
      </c>
      <c r="I89" s="12" t="n">
        <f aca="false">SUMIFS('בתי מרקחת Raw'!$E$6:$E$1616,'בתי מרקחת Raw'!$F$6:$F$1616,$A89,'בתי מרקחת Raw'!$C$6:$C$1616,2026)</f>
        <v>0</v>
      </c>
      <c r="J89" s="12" t="n">
        <f aca="false">I89*$J$5</f>
        <v>0</v>
      </c>
      <c r="K89" s="12"/>
      <c r="L89" s="22"/>
    </row>
    <row r="90" customFormat="false" ht="15" hidden="false" customHeight="true" outlineLevel="0" collapsed="false">
      <c r="A90" s="12" t="n">
        <v>4408071</v>
      </c>
      <c r="B90" s="12" t="str">
        <f aca="false">IFERROR(INDEX('בתי מרקחת Raw'!$B:$B,MATCH($A90,'בתי מרקחת Raw'!$F:$F,0)),"")</f>
        <v>59D L חגורת שבר דו צדדי</v>
      </c>
      <c r="C90" s="12" t="n">
        <f aca="false">SUMIFS('בתי מרקחת Raw'!$D$6:$D$1616,'בתי מרקחת Raw'!$F$6:$F$1616,$A90,'בתי מרקחת Raw'!$C$6:$C$1616,2025)</f>
        <v>4</v>
      </c>
      <c r="D90" s="12" t="n">
        <f aca="false">SUMIFS('בתי מרקחת Raw'!$D$6:$D$1616,'בתי מרקחת Raw'!$F$6:$F$1616,$A90,'בתי מרקחת Raw'!$C$6:$C$1616,2026)</f>
        <v>5</v>
      </c>
      <c r="E90" s="12" t="n">
        <f aca="false">D90*$J$5</f>
        <v>6.31578947368421</v>
      </c>
      <c r="F90" s="12" t="n">
        <f aca="false">E90-C90</f>
        <v>2.31578947368421</v>
      </c>
      <c r="G90" s="21" t="n">
        <f aca="false">IF(AND(C90=0,E90=0),0,IF(C90=0,"New",(E90-C90)/C90))</f>
        <v>0.578947368421053</v>
      </c>
      <c r="H90" s="12" t="n">
        <f aca="false">SUMIFS('בתי מרקחת Raw'!$E$6:$E$1616,'בתי מרקחת Raw'!$F$6:$F$1616,$A90,'בתי מרקחת Raw'!$C$6:$C$1616,2025)</f>
        <v>1122</v>
      </c>
      <c r="I90" s="12" t="n">
        <f aca="false">SUMIFS('בתי מרקחת Raw'!$E$6:$E$1616,'בתי מרקחת Raw'!$F$6:$F$1616,$A90,'בתי מרקחת Raw'!$C$6:$C$1616,2026)</f>
        <v>1239.2</v>
      </c>
      <c r="J90" s="12" t="n">
        <f aca="false">I90*$J$5</f>
        <v>1565.30526315789</v>
      </c>
      <c r="K90" s="12"/>
      <c r="L90" s="22"/>
    </row>
    <row r="91" customFormat="false" ht="15" hidden="false" customHeight="true" outlineLevel="0" collapsed="false">
      <c r="A91" s="12" t="n">
        <v>4408072</v>
      </c>
      <c r="B91" s="12" t="str">
        <f aca="false">IFERROR(INDEX('בתי מרקחת Raw'!$B:$B,MATCH($A91,'בתי מרקחת Raw'!$F:$F,0)),"")</f>
        <v>59D M חגורת שבר דו צדדי</v>
      </c>
      <c r="C91" s="12" t="n">
        <f aca="false">SUMIFS('בתי מרקחת Raw'!$D$6:$D$1616,'בתי מרקחת Raw'!$F$6:$F$1616,$A91,'בתי מרקחת Raw'!$C$6:$C$1616,2025)</f>
        <v>5</v>
      </c>
      <c r="D91" s="12" t="n">
        <f aca="false">SUMIFS('בתי מרקחת Raw'!$D$6:$D$1616,'בתי מרקחת Raw'!$F$6:$F$1616,$A91,'בתי מרקחת Raw'!$C$6:$C$1616,2026)</f>
        <v>3</v>
      </c>
      <c r="E91" s="12" t="n">
        <f aca="false">D91*$J$5</f>
        <v>3.78947368421053</v>
      </c>
      <c r="F91" s="12" t="n">
        <f aca="false">E91-C91</f>
        <v>-1.21052631578947</v>
      </c>
      <c r="G91" s="21" t="n">
        <f aca="false">IF(AND(C91=0,E91=0),0,IF(C91=0,"New",(E91-C91)/C91))</f>
        <v>-0.242105263157895</v>
      </c>
      <c r="H91" s="12" t="n">
        <f aca="false">SUMIFS('בתי מרקחת Raw'!$E$6:$E$1616,'בתי מרקחת Raw'!$F$6:$F$1616,$A91,'בתי מרקחת Raw'!$C$6:$C$1616,2025)</f>
        <v>1302</v>
      </c>
      <c r="I91" s="12" t="n">
        <f aca="false">SUMIFS('בתי מרקחת Raw'!$E$6:$E$1616,'בתי מרקחת Raw'!$F$6:$F$1616,$A91,'בתי מרקחת Raw'!$C$6:$C$1616,2026)</f>
        <v>674</v>
      </c>
      <c r="J91" s="12" t="n">
        <f aca="false">I91*$J$5</f>
        <v>851.368421052632</v>
      </c>
      <c r="K91" s="12"/>
      <c r="L91" s="22"/>
    </row>
    <row r="92" customFormat="false" ht="15" hidden="false" customHeight="true" outlineLevel="0" collapsed="false">
      <c r="A92" s="12" t="n">
        <v>4408073</v>
      </c>
      <c r="B92" s="12" t="str">
        <f aca="false">IFERROR(INDEX('בתי מרקחת Raw'!$B:$B,MATCH($A92,'בתי מרקחת Raw'!$F:$F,0)),"")</f>
        <v>59D XL חגורת שבר דו צדדי</v>
      </c>
      <c r="C92" s="12" t="n">
        <f aca="false">SUMIFS('בתי מרקחת Raw'!$D$6:$D$1616,'בתי מרקחת Raw'!$F$6:$F$1616,$A92,'בתי מרקחת Raw'!$C$6:$C$1616,2025)</f>
        <v>4</v>
      </c>
      <c r="D92" s="12" t="n">
        <f aca="false">SUMIFS('בתי מרקחת Raw'!$D$6:$D$1616,'בתי מרקחת Raw'!$F$6:$F$1616,$A92,'בתי מרקחת Raw'!$C$6:$C$1616,2026)</f>
        <v>2</v>
      </c>
      <c r="E92" s="12" t="n">
        <f aca="false">D92*$J$5</f>
        <v>2.52631578947368</v>
      </c>
      <c r="F92" s="12" t="n">
        <f aca="false">E92-C92</f>
        <v>-1.47368421052632</v>
      </c>
      <c r="G92" s="21" t="n">
        <f aca="false">IF(AND(C92=0,E92=0),0,IF(C92=0,"New",(E92-C92)/C92))</f>
        <v>-0.368421052631579</v>
      </c>
      <c r="H92" s="12" t="n">
        <f aca="false">SUMIFS('בתי מרקחת Raw'!$E$6:$E$1616,'בתי מרקחת Raw'!$F$6:$F$1616,$A92,'בתי מרקחת Raw'!$C$6:$C$1616,2025)</f>
        <v>986</v>
      </c>
      <c r="I92" s="12" t="n">
        <f aca="false">SUMIFS('בתי מרקחת Raw'!$E$6:$E$1616,'בתי מרקחת Raw'!$F$6:$F$1616,$A92,'בתי מרקחת Raw'!$C$6:$C$1616,2026)</f>
        <v>496.1</v>
      </c>
      <c r="J92" s="12" t="n">
        <f aca="false">I92*$J$5</f>
        <v>626.652631578947</v>
      </c>
      <c r="K92" s="12"/>
      <c r="L92" s="22"/>
    </row>
    <row r="93" customFormat="false" ht="15" hidden="false" customHeight="true" outlineLevel="0" collapsed="false">
      <c r="A93" s="12" t="n">
        <v>4408075</v>
      </c>
      <c r="B93" s="12" t="str">
        <f aca="false">IFERROR(INDEX('בתי מרקחת Raw'!$B:$B,MATCH($A93,'בתי מרקחת Raw'!$F:$F,0)),"")</f>
        <v>59L S חגורת שבר לצד שמאל</v>
      </c>
      <c r="C93" s="12" t="n">
        <f aca="false">SUMIFS('בתי מרקחת Raw'!$D$6:$D$1616,'בתי מרקחת Raw'!$F$6:$F$1616,$A93,'בתי מרקחת Raw'!$C$6:$C$1616,2025)</f>
        <v>1</v>
      </c>
      <c r="D93" s="12" t="n">
        <f aca="false">SUMIFS('בתי מרקחת Raw'!$D$6:$D$1616,'בתי מרקחת Raw'!$F$6:$F$1616,$A93,'בתי מרקחת Raw'!$C$6:$C$1616,2026)</f>
        <v>1</v>
      </c>
      <c r="E93" s="12" t="n">
        <f aca="false">D93*$J$5</f>
        <v>1.26315789473684</v>
      </c>
      <c r="F93" s="12" t="n">
        <f aca="false">E93-C93</f>
        <v>0.263157894736842</v>
      </c>
      <c r="G93" s="21" t="n">
        <f aca="false">IF(AND(C93=0,E93=0),0,IF(C93=0,"New",(E93-C93)/C93))</f>
        <v>0.263157894736842</v>
      </c>
      <c r="H93" s="12" t="n">
        <f aca="false">SUMIFS('בתי מרקחת Raw'!$E$6:$E$1616,'בתי מרקחת Raw'!$F$6:$F$1616,$A93,'בתי מרקחת Raw'!$C$6:$C$1616,2025)</f>
        <v>187.45</v>
      </c>
      <c r="I93" s="12" t="n">
        <f aca="false">SUMIFS('בתי מרקחת Raw'!$E$6:$E$1616,'בתי מרקחת Raw'!$F$6:$F$1616,$A93,'בתי מרקחת Raw'!$C$6:$C$1616,2026)</f>
        <v>187.4</v>
      </c>
      <c r="J93" s="12" t="n">
        <f aca="false">I93*$J$5</f>
        <v>236.715789473684</v>
      </c>
      <c r="K93" s="12"/>
      <c r="L93" s="22"/>
    </row>
    <row r="94" customFormat="false" ht="15" hidden="false" customHeight="true" outlineLevel="0" collapsed="false">
      <c r="A94" s="12" t="n">
        <v>4408076</v>
      </c>
      <c r="B94" s="12" t="str">
        <f aca="false">IFERROR(INDEX('בתי מרקחת Raw'!$B:$B,MATCH($A94,'בתי מרקחת Raw'!$F:$F,0)),"")</f>
        <v>59L L חגורת שבר לצד שמאל</v>
      </c>
      <c r="C94" s="12" t="n">
        <f aca="false">SUMIFS('בתי מרקחת Raw'!$D$6:$D$1616,'בתי מרקחת Raw'!$F$6:$F$1616,$A94,'בתי מרקחת Raw'!$C$6:$C$1616,2025)</f>
        <v>8</v>
      </c>
      <c r="D94" s="12" t="n">
        <f aca="false">SUMIFS('בתי מרקחת Raw'!$D$6:$D$1616,'בתי מרקחת Raw'!$F$6:$F$1616,$A94,'בתי מרקחת Raw'!$C$6:$C$1616,2026)</f>
        <v>9</v>
      </c>
      <c r="E94" s="12" t="n">
        <f aca="false">D94*$J$5</f>
        <v>11.3684210526316</v>
      </c>
      <c r="F94" s="12" t="n">
        <f aca="false">E94-C94</f>
        <v>3.36842105263158</v>
      </c>
      <c r="G94" s="21" t="n">
        <f aca="false">IF(AND(C94=0,E94=0),0,IF(C94=0,"New",(E94-C94)/C94))</f>
        <v>0.421052631578947</v>
      </c>
      <c r="H94" s="12" t="n">
        <f aca="false">SUMIFS('בתי מרקחת Raw'!$E$6:$E$1616,'בתי מרקחת Raw'!$F$6:$F$1616,$A94,'בתי מרקחת Raw'!$C$6:$C$1616,2025)</f>
        <v>1490.17</v>
      </c>
      <c r="I94" s="12" t="n">
        <f aca="false">SUMIFS('בתי מרקחת Raw'!$E$6:$E$1616,'בתי מרקחת Raw'!$F$6:$F$1616,$A94,'בתי מרקחת Raw'!$C$6:$C$1616,2026)</f>
        <v>1567.09</v>
      </c>
      <c r="J94" s="12" t="n">
        <f aca="false">I94*$J$5</f>
        <v>1979.48210526316</v>
      </c>
      <c r="K94" s="12"/>
      <c r="L94" s="22"/>
    </row>
    <row r="95" customFormat="false" ht="15" hidden="false" customHeight="true" outlineLevel="0" collapsed="false">
      <c r="A95" s="12" t="n">
        <v>4408077</v>
      </c>
      <c r="B95" s="12" t="str">
        <f aca="false">IFERROR(INDEX('בתי מרקחת Raw'!$B:$B,MATCH($A95,'בתי מרקחת Raw'!$F:$F,0)),"")</f>
        <v>59L M חגורת שבר לצד שמאל</v>
      </c>
      <c r="C95" s="12" t="n">
        <f aca="false">SUMIFS('בתי מרקחת Raw'!$D$6:$D$1616,'בתי מרקחת Raw'!$F$6:$F$1616,$A95,'בתי מרקחת Raw'!$C$6:$C$1616,2025)</f>
        <v>5</v>
      </c>
      <c r="D95" s="12" t="n">
        <f aca="false">SUMIFS('בתי מרקחת Raw'!$D$6:$D$1616,'בתי מרקחת Raw'!$F$6:$F$1616,$A95,'בתי מרקחת Raw'!$C$6:$C$1616,2026)</f>
        <v>10</v>
      </c>
      <c r="E95" s="12" t="n">
        <f aca="false">D95*$J$5</f>
        <v>12.6315789473684</v>
      </c>
      <c r="F95" s="12" t="n">
        <f aca="false">E95-C95</f>
        <v>7.63157894736842</v>
      </c>
      <c r="G95" s="21" t="n">
        <f aca="false">IF(AND(C95=0,E95=0),0,IF(C95=0,"New",(E95-C95)/C95))</f>
        <v>1.52631578947368</v>
      </c>
      <c r="H95" s="12" t="n">
        <f aca="false">SUMIFS('בתי מרקחת Raw'!$E$6:$E$1616,'בתי מרקחת Raw'!$F$6:$F$1616,$A95,'בתי מרקחת Raw'!$C$6:$C$1616,2025)</f>
        <v>814.25</v>
      </c>
      <c r="I95" s="12" t="n">
        <f aca="false">SUMIFS('בתי מרקחת Raw'!$E$6:$E$1616,'בתי מרקחת Raw'!$F$6:$F$1616,$A95,'בתי מרקחת Raw'!$C$6:$C$1616,2026)</f>
        <v>1684.69</v>
      </c>
      <c r="J95" s="12" t="n">
        <f aca="false">I95*$J$5</f>
        <v>2128.02947368421</v>
      </c>
      <c r="K95" s="12"/>
      <c r="L95" s="22"/>
    </row>
    <row r="96" customFormat="false" ht="15" hidden="false" customHeight="true" outlineLevel="0" collapsed="false">
      <c r="A96" s="12" t="n">
        <v>4408078</v>
      </c>
      <c r="B96" s="12" t="str">
        <f aca="false">IFERROR(INDEX('בתי מרקחת Raw'!$B:$B,MATCH($A96,'בתי מרקחת Raw'!$F:$F,0)),"")</f>
        <v>59L XLחגורת שבר לצד שמאל</v>
      </c>
      <c r="C96" s="12" t="n">
        <f aca="false">SUMIFS('בתי מרקחת Raw'!$D$6:$D$1616,'בתי מרקחת Raw'!$F$6:$F$1616,$A96,'בתי מרקחת Raw'!$C$6:$C$1616,2025)</f>
        <v>2</v>
      </c>
      <c r="D96" s="12" t="n">
        <f aca="false">SUMIFS('בתי מרקחת Raw'!$D$6:$D$1616,'בתי מרקחת Raw'!$F$6:$F$1616,$A96,'בתי מרקחת Raw'!$C$6:$C$1616,2026)</f>
        <v>1</v>
      </c>
      <c r="E96" s="12" t="n">
        <f aca="false">D96*$J$5</f>
        <v>1.26315789473684</v>
      </c>
      <c r="F96" s="12" t="n">
        <f aca="false">E96-C96</f>
        <v>-0.736842105263158</v>
      </c>
      <c r="G96" s="21" t="n">
        <f aca="false">IF(AND(C96=0,E96=0),0,IF(C96=0,"New",(E96-C96)/C96))</f>
        <v>-0.368421052631579</v>
      </c>
      <c r="H96" s="12" t="n">
        <f aca="false">SUMIFS('בתי מרקחת Raw'!$E$6:$E$1616,'בתי מרקחת Raw'!$F$6:$F$1616,$A96,'בתי מרקחת Raw'!$C$6:$C$1616,2025)</f>
        <v>371.77</v>
      </c>
      <c r="I96" s="12" t="n">
        <f aca="false">SUMIFS('בתי מרקחת Raw'!$E$6:$E$1616,'בתי מרקחת Raw'!$F$6:$F$1616,$A96,'בתי מרקחת Raw'!$C$6:$C$1616,2026)</f>
        <v>187.4</v>
      </c>
      <c r="J96" s="12" t="n">
        <f aca="false">I96*$J$5</f>
        <v>236.715789473684</v>
      </c>
      <c r="K96" s="12"/>
      <c r="L96" s="22"/>
    </row>
    <row r="97" customFormat="false" ht="15" hidden="false" customHeight="true" outlineLevel="0" collapsed="false">
      <c r="A97" s="12" t="n">
        <v>4408079</v>
      </c>
      <c r="B97" s="12" t="str">
        <f aca="false">IFERROR(INDEX('בתי מרקחת Raw'!$B:$B,MATCH($A97,'בתי מרקחת Raw'!$F:$F,0)),"")</f>
        <v>59R S חגורת שבר לצד ימין</v>
      </c>
      <c r="C97" s="12" t="n">
        <f aca="false">SUMIFS('בתי מרקחת Raw'!$D$6:$D$1616,'בתי מרקחת Raw'!$F$6:$F$1616,$A97,'בתי מרקחת Raw'!$C$6:$C$1616,2025)</f>
        <v>7</v>
      </c>
      <c r="D97" s="12" t="n">
        <f aca="false">SUMIFS('בתי מרקחת Raw'!$D$6:$D$1616,'בתי מרקחת Raw'!$F$6:$F$1616,$A97,'בתי מרקחת Raw'!$C$6:$C$1616,2026)</f>
        <v>0</v>
      </c>
      <c r="E97" s="12" t="n">
        <f aca="false">D97*$J$5</f>
        <v>0</v>
      </c>
      <c r="F97" s="12" t="n">
        <f aca="false">E97-C97</f>
        <v>-7</v>
      </c>
      <c r="G97" s="21" t="n">
        <f aca="false">IF(AND(C97=0,E97=0),0,IF(C97=0,"New",(E97-C97)/C97))</f>
        <v>-1</v>
      </c>
      <c r="H97" s="12" t="n">
        <f aca="false">SUMIFS('בתי מרקחת Raw'!$E$6:$E$1616,'בתי מרקחת Raw'!$F$6:$F$1616,$A97,'בתי מרקחת Raw'!$C$6:$C$1616,2025)</f>
        <v>1252.15</v>
      </c>
      <c r="I97" s="12" t="n">
        <f aca="false">SUMIFS('בתי מרקחת Raw'!$E$6:$E$1616,'בתי מרקחת Raw'!$F$6:$F$1616,$A97,'בתי מרקחת Raw'!$C$6:$C$1616,2026)</f>
        <v>-22.4</v>
      </c>
      <c r="J97" s="12" t="n">
        <f aca="false">I97*$J$5</f>
        <v>-28.2947368421053</v>
      </c>
      <c r="K97" s="12"/>
      <c r="L97" s="22"/>
    </row>
    <row r="98" customFormat="false" ht="15" hidden="false" customHeight="true" outlineLevel="0" collapsed="false">
      <c r="A98" s="12" t="n">
        <v>4408080</v>
      </c>
      <c r="B98" s="12" t="str">
        <f aca="false">IFERROR(INDEX('בתי מרקחת Raw'!$B:$B,MATCH($A98,'בתי מרקחת Raw'!$F:$F,0)),"")</f>
        <v>59R L חגורת שבר לצד ימין</v>
      </c>
      <c r="C98" s="12" t="n">
        <f aca="false">SUMIFS('בתי מרקחת Raw'!$D$6:$D$1616,'בתי מרקחת Raw'!$F$6:$F$1616,$A98,'בתי מרקחת Raw'!$C$6:$C$1616,2025)</f>
        <v>11</v>
      </c>
      <c r="D98" s="12" t="n">
        <f aca="false">SUMIFS('בתי מרקחת Raw'!$D$6:$D$1616,'בתי מרקחת Raw'!$F$6:$F$1616,$A98,'בתי מרקחת Raw'!$C$6:$C$1616,2026)</f>
        <v>14</v>
      </c>
      <c r="E98" s="12" t="n">
        <f aca="false">D98*$J$5</f>
        <v>17.6842105263158</v>
      </c>
      <c r="F98" s="12" t="n">
        <f aca="false">E98-C98</f>
        <v>6.68421052631579</v>
      </c>
      <c r="G98" s="21" t="n">
        <f aca="false">IF(AND(C98=0,E98=0),0,IF(C98=0,"New",(E98-C98)/C98))</f>
        <v>0.607655502392344</v>
      </c>
      <c r="H98" s="12" t="n">
        <f aca="false">SUMIFS('בתי מרקחת Raw'!$E$6:$E$1616,'בתי מרקחת Raw'!$F$6:$F$1616,$A98,'בתי מרקחת Raw'!$C$6:$C$1616,2025)</f>
        <v>1929.55</v>
      </c>
      <c r="I98" s="12" t="n">
        <f aca="false">SUMIFS('בתי מרקחת Raw'!$E$6:$E$1616,'בתי מרקחת Raw'!$F$6:$F$1616,$A98,'בתי מרקחת Raw'!$C$6:$C$1616,2026)</f>
        <v>2446.98</v>
      </c>
      <c r="J98" s="12" t="n">
        <f aca="false">I98*$J$5</f>
        <v>3090.92210526316</v>
      </c>
      <c r="K98" s="12"/>
      <c r="L98" s="22"/>
    </row>
    <row r="99" customFormat="false" ht="15" hidden="false" customHeight="true" outlineLevel="0" collapsed="false">
      <c r="A99" s="12" t="n">
        <v>4408081</v>
      </c>
      <c r="B99" s="12" t="str">
        <f aca="false">IFERROR(INDEX('בתי מרקחת Raw'!$B:$B,MATCH($A99,'בתי מרקחת Raw'!$F:$F,0)),"")</f>
        <v>59R M חגורת שבר לצד ימין</v>
      </c>
      <c r="C99" s="12" t="n">
        <f aca="false">SUMIFS('בתי מרקחת Raw'!$D$6:$D$1616,'בתי מרקחת Raw'!$F$6:$F$1616,$A99,'בתי מרקחת Raw'!$C$6:$C$1616,2025)</f>
        <v>14</v>
      </c>
      <c r="D99" s="12" t="n">
        <f aca="false">SUMIFS('בתי מרקחת Raw'!$D$6:$D$1616,'בתי מרקחת Raw'!$F$6:$F$1616,$A99,'בתי מרקחת Raw'!$C$6:$C$1616,2026)</f>
        <v>12</v>
      </c>
      <c r="E99" s="12" t="n">
        <f aca="false">D99*$J$5</f>
        <v>15.1578947368421</v>
      </c>
      <c r="F99" s="12" t="n">
        <f aca="false">E99-C99</f>
        <v>1.1578947368421</v>
      </c>
      <c r="G99" s="21" t="n">
        <f aca="false">IF(AND(C99=0,E99=0),0,IF(C99=0,"New",(E99-C99)/C99))</f>
        <v>0.0827067669172932</v>
      </c>
      <c r="H99" s="12" t="n">
        <f aca="false">SUMIFS('בתי מרקחת Raw'!$E$6:$E$1616,'בתי מרקחת Raw'!$F$6:$F$1616,$A99,'בתי מרקחת Raw'!$C$6:$C$1616,2025)</f>
        <v>2491.85</v>
      </c>
      <c r="I99" s="12" t="n">
        <f aca="false">SUMIFS('בתי מרקחת Raw'!$E$6:$E$1616,'בתי מרקחת Raw'!$F$6:$F$1616,$A99,'בתי מרקחת Raw'!$C$6:$C$1616,2026)</f>
        <v>2069.55</v>
      </c>
      <c r="J99" s="12" t="n">
        <f aca="false">I99*$J$5</f>
        <v>2614.16842105263</v>
      </c>
      <c r="K99" s="12"/>
      <c r="L99" s="22"/>
    </row>
    <row r="100" customFormat="false" ht="15" hidden="false" customHeight="true" outlineLevel="0" collapsed="false">
      <c r="A100" s="12" t="n">
        <v>4408082</v>
      </c>
      <c r="B100" s="12" t="str">
        <f aca="false">IFERROR(INDEX('בתי מרקחת Raw'!$B:$B,MATCH($A100,'בתי מרקחת Raw'!$F:$F,0)),"")</f>
        <v>59R XL חגורת שבר לצד ימין</v>
      </c>
      <c r="C100" s="12" t="n">
        <f aca="false">SUMIFS('בתי מרקחת Raw'!$D$6:$D$1616,'בתי מרקחת Raw'!$F$6:$F$1616,$A100,'בתי מרקחת Raw'!$C$6:$C$1616,2025)</f>
        <v>5</v>
      </c>
      <c r="D100" s="12" t="n">
        <f aca="false">SUMIFS('בתי מרקחת Raw'!$D$6:$D$1616,'בתי מרקחת Raw'!$F$6:$F$1616,$A100,'בתי מרקחת Raw'!$C$6:$C$1616,2026)</f>
        <v>6</v>
      </c>
      <c r="E100" s="12" t="n">
        <f aca="false">D100*$J$5</f>
        <v>7.57894736842105</v>
      </c>
      <c r="F100" s="12" t="n">
        <f aca="false">E100-C100</f>
        <v>2.57894736842105</v>
      </c>
      <c r="G100" s="21" t="n">
        <f aca="false">IF(AND(C100=0,E100=0),0,IF(C100=0,"New",(E100-C100)/C100))</f>
        <v>0.515789473684211</v>
      </c>
      <c r="H100" s="12" t="n">
        <f aca="false">SUMIFS('בתי מרקחת Raw'!$E$6:$E$1616,'בתי מרקחת Raw'!$F$6:$F$1616,$A100,'בתי מרקחת Raw'!$C$6:$C$1616,2025)</f>
        <v>906.35</v>
      </c>
      <c r="I100" s="12" t="n">
        <f aca="false">SUMIFS('בתי מרקחת Raw'!$E$6:$E$1616,'בתי מרקחת Raw'!$F$6:$F$1616,$A100,'בתי מרקחת Raw'!$C$6:$C$1616,2026)</f>
        <v>1077.25</v>
      </c>
      <c r="J100" s="12" t="n">
        <f aca="false">I100*$J$5</f>
        <v>1360.73684210526</v>
      </c>
      <c r="K100" s="12"/>
      <c r="L100" s="22"/>
    </row>
    <row r="101" customFormat="false" ht="15" hidden="false" customHeight="true" outlineLevel="0" collapsed="false">
      <c r="A101" s="12" t="n">
        <v>4408084</v>
      </c>
      <c r="B101" s="12" t="str">
        <f aca="false">IFERROR(INDEX('בתי מרקחת Raw'!$B:$B,MATCH($A101,'בתי מרקחת Raw'!$F:$F,0)),"")</f>
        <v>922L.חבק יד לטניס כרית סיליק</v>
      </c>
      <c r="C101" s="12" t="n">
        <f aca="false">SUMIFS('בתי מרקחת Raw'!$D$6:$D$1616,'בתי מרקחת Raw'!$F$6:$F$1616,$A101,'בתי מרקחת Raw'!$C$6:$C$1616,2025)</f>
        <v>1</v>
      </c>
      <c r="D101" s="12" t="n">
        <f aca="false">SUMIFS('בתי מרקחת Raw'!$D$6:$D$1616,'בתי מרקחת Raw'!$F$6:$F$1616,$A101,'בתי מרקחת Raw'!$C$6:$C$1616,2026)</f>
        <v>3</v>
      </c>
      <c r="E101" s="12" t="n">
        <f aca="false">D101*$J$5</f>
        <v>3.78947368421053</v>
      </c>
      <c r="F101" s="12" t="n">
        <f aca="false">E101-C101</f>
        <v>2.78947368421053</v>
      </c>
      <c r="G101" s="21" t="n">
        <f aca="false">IF(AND(C101=0,E101=0),0,IF(C101=0,"New",(E101-C101)/C101))</f>
        <v>2.78947368421053</v>
      </c>
      <c r="H101" s="12" t="n">
        <f aca="false">SUMIFS('בתי מרקחת Raw'!$E$6:$E$1616,'בתי מרקחת Raw'!$F$6:$F$1616,$A101,'בתי מרקחת Raw'!$C$6:$C$1616,2025)</f>
        <v>141.8</v>
      </c>
      <c r="I101" s="12" t="n">
        <f aca="false">SUMIFS('בתי מרקחת Raw'!$E$6:$E$1616,'בתי מרקחת Raw'!$F$6:$F$1616,$A101,'בתי מרקחת Raw'!$C$6:$C$1616,2026)</f>
        <v>425.87</v>
      </c>
      <c r="J101" s="12" t="n">
        <f aca="false">I101*$J$5</f>
        <v>537.941052631579</v>
      </c>
      <c r="K101" s="12"/>
      <c r="L101" s="22"/>
    </row>
    <row r="102" customFormat="false" ht="15" hidden="false" customHeight="true" outlineLevel="0" collapsed="false">
      <c r="A102" s="12" t="n">
        <v>4408085</v>
      </c>
      <c r="B102" s="12" t="str">
        <f aca="false">IFERROR(INDEX('בתי מרקחת Raw'!$B:$B,MATCH($A102,'בתי מרקחת Raw'!$F:$F,0)),"")</f>
        <v>922M.מחבק יד לטניס כרית סילי</v>
      </c>
      <c r="C102" s="12" t="n">
        <f aca="false">SUMIFS('בתי מרקחת Raw'!$D$6:$D$1616,'בתי מרקחת Raw'!$F$6:$F$1616,$A102,'בתי מרקחת Raw'!$C$6:$C$1616,2025)</f>
        <v>1</v>
      </c>
      <c r="D102" s="12" t="n">
        <f aca="false">SUMIFS('בתי מרקחת Raw'!$D$6:$D$1616,'בתי מרקחת Raw'!$F$6:$F$1616,$A102,'בתי מרקחת Raw'!$C$6:$C$1616,2026)</f>
        <v>0</v>
      </c>
      <c r="E102" s="12" t="n">
        <f aca="false">D102*$J$5</f>
        <v>0</v>
      </c>
      <c r="F102" s="12" t="n">
        <f aca="false">E102-C102</f>
        <v>-1</v>
      </c>
      <c r="G102" s="21" t="n">
        <f aca="false">IF(AND(C102=0,E102=0),0,IF(C102=0,"New",(E102-C102)/C102))</f>
        <v>-1</v>
      </c>
      <c r="H102" s="12" t="n">
        <f aca="false">SUMIFS('בתי מרקחת Raw'!$E$6:$E$1616,'בתי מרקחת Raw'!$F$6:$F$1616,$A102,'בתי מרקחת Raw'!$C$6:$C$1616,2025)</f>
        <v>142</v>
      </c>
      <c r="I102" s="12" t="n">
        <f aca="false">SUMIFS('בתי מרקחת Raw'!$E$6:$E$1616,'בתי מרקחת Raw'!$F$6:$F$1616,$A102,'בתי מרקחת Raw'!$C$6:$C$1616,2026)</f>
        <v>0</v>
      </c>
      <c r="J102" s="12" t="n">
        <f aca="false">I102*$J$5</f>
        <v>0</v>
      </c>
      <c r="K102" s="12"/>
      <c r="L102" s="22"/>
    </row>
    <row r="103" customFormat="false" ht="15" hidden="false" customHeight="true" outlineLevel="0" collapsed="false">
      <c r="A103" s="12" t="n">
        <v>4408087</v>
      </c>
      <c r="B103" s="12" t="str">
        <f aca="false">IFERROR(INDEX('בתי מרקחת Raw'!$B:$B,MATCH($A103,'בתי מרקחת Raw'!$F:$F,0)),"")</f>
        <v>922XLחבק יד לטניס כרית סיליק</v>
      </c>
      <c r="C103" s="12" t="n">
        <f aca="false">SUMIFS('בתי מרקחת Raw'!$D$6:$D$1616,'בתי מרקחת Raw'!$F$6:$F$1616,$A103,'בתי מרקחת Raw'!$C$6:$C$1616,2025)</f>
        <v>1</v>
      </c>
      <c r="D103" s="12" t="n">
        <f aca="false">SUMIFS('בתי מרקחת Raw'!$D$6:$D$1616,'בתי מרקחת Raw'!$F$6:$F$1616,$A103,'בתי מרקחת Raw'!$C$6:$C$1616,2026)</f>
        <v>1</v>
      </c>
      <c r="E103" s="12" t="n">
        <f aca="false">D103*$J$5</f>
        <v>1.26315789473684</v>
      </c>
      <c r="F103" s="12" t="n">
        <f aca="false">E103-C103</f>
        <v>0.263157894736842</v>
      </c>
      <c r="G103" s="21" t="n">
        <f aca="false">IF(AND(C103=0,E103=0),0,IF(C103=0,"New",(E103-C103)/C103))</f>
        <v>0.263157894736842</v>
      </c>
      <c r="H103" s="12" t="n">
        <f aca="false">SUMIFS('בתי מרקחת Raw'!$E$6:$E$1616,'בתי מרקחת Raw'!$F$6:$F$1616,$A103,'בתי מרקחת Raw'!$C$6:$C$1616,2025)</f>
        <v>89</v>
      </c>
      <c r="I103" s="12" t="n">
        <f aca="false">SUMIFS('בתי מרקחת Raw'!$E$6:$E$1616,'בתי מרקחת Raw'!$F$6:$F$1616,$A103,'בתי מרקחת Raw'!$C$6:$C$1616,2026)</f>
        <v>142</v>
      </c>
      <c r="J103" s="12" t="n">
        <f aca="false">I103*$J$5</f>
        <v>179.368421052632</v>
      </c>
      <c r="K103" s="12"/>
      <c r="L103" s="22"/>
    </row>
    <row r="104" customFormat="false" ht="15" hidden="false" customHeight="true" outlineLevel="0" collapsed="false">
      <c r="A104" s="12" t="n">
        <v>4408088</v>
      </c>
      <c r="B104" s="12" t="str">
        <f aca="false">IFERROR(INDEX('בתי מרקחת Raw'!$B:$B,MATCH($A104,'בתי מרקחת Raw'!$F:$F,0)),"")</f>
        <v>91  חבק ""טניס אלבו רצועה</v>
      </c>
      <c r="C104" s="12" t="n">
        <f aca="false">SUMIFS('בתי מרקחת Raw'!$D$6:$D$1616,'בתי מרקחת Raw'!$F$6:$F$1616,$A104,'בתי מרקחת Raw'!$C$6:$C$1616,2025)</f>
        <v>25</v>
      </c>
      <c r="D104" s="12" t="n">
        <f aca="false">SUMIFS('בתי מרקחת Raw'!$D$6:$D$1616,'בתי מרקחת Raw'!$F$6:$F$1616,$A104,'בתי מרקחת Raw'!$C$6:$C$1616,2026)</f>
        <v>11</v>
      </c>
      <c r="E104" s="12" t="n">
        <f aca="false">D104*$J$5</f>
        <v>13.8947368421053</v>
      </c>
      <c r="F104" s="12" t="n">
        <f aca="false">E104-C104</f>
        <v>-11.1052631578947</v>
      </c>
      <c r="G104" s="21" t="n">
        <f aca="false">IF(AND(C104=0,E104=0),0,IF(C104=0,"New",(E104-C104)/C104))</f>
        <v>-0.44421052631579</v>
      </c>
      <c r="H104" s="12" t="n">
        <f aca="false">SUMIFS('בתי מרקחת Raw'!$E$6:$E$1616,'בתי מרקחת Raw'!$F$6:$F$1616,$A104,'בתי מרקחת Raw'!$C$6:$C$1616,2025)</f>
        <v>1952.8</v>
      </c>
      <c r="I104" s="12" t="n">
        <f aca="false">SUMIFS('בתי מרקחת Raw'!$E$6:$E$1616,'בתי מרקחת Raw'!$F$6:$F$1616,$A104,'בתי מרקחת Raw'!$C$6:$C$1616,2026)</f>
        <v>859.4</v>
      </c>
      <c r="J104" s="12" t="n">
        <f aca="false">I104*$J$5</f>
        <v>1085.55789473684</v>
      </c>
      <c r="K104" s="12"/>
      <c r="L104" s="22"/>
    </row>
    <row r="105" customFormat="false" ht="15" hidden="false" customHeight="true" outlineLevel="0" collapsed="false">
      <c r="A105" s="12" t="n">
        <v>4408089</v>
      </c>
      <c r="B105" s="12" t="str">
        <f aca="false">IFERROR(INDEX('בתי מרקחת Raw'!$B:$B,MATCH($A105,'בתי מרקחת Raw'!$F:$F,0)),"")</f>
        <v>T11C S  חגורת גב פוג'יאמה</v>
      </c>
      <c r="C105" s="12" t="n">
        <f aca="false">SUMIFS('בתי מרקחת Raw'!$D$6:$D$1616,'בתי מרקחת Raw'!$F$6:$F$1616,$A105,'בתי מרקחת Raw'!$C$6:$C$1616,2025)</f>
        <v>0</v>
      </c>
      <c r="D105" s="12" t="n">
        <f aca="false">SUMIFS('בתי מרקחת Raw'!$D$6:$D$1616,'בתי מרקחת Raw'!$F$6:$F$1616,$A105,'בתי מרקחת Raw'!$C$6:$C$1616,2026)</f>
        <v>1</v>
      </c>
      <c r="E105" s="12" t="n">
        <f aca="false">D105*$J$5</f>
        <v>1.26315789473684</v>
      </c>
      <c r="F105" s="12" t="n">
        <f aca="false">E105-C105</f>
        <v>1.26315789473684</v>
      </c>
      <c r="G105" s="21" t="str">
        <f aca="false">IF(AND(C105=0,E105=0),0,IF(C105=0,"New",(E105-C105)/C105))</f>
        <v>New</v>
      </c>
      <c r="H105" s="12" t="n">
        <f aca="false">SUMIFS('בתי מרקחת Raw'!$E$6:$E$1616,'בתי מרקחת Raw'!$F$6:$F$1616,$A105,'בתי מרקחת Raw'!$C$6:$C$1616,2025)</f>
        <v>0</v>
      </c>
      <c r="I105" s="12" t="n">
        <f aca="false">SUMIFS('בתי מרקחת Raw'!$E$6:$E$1616,'בתי מרקחת Raw'!$F$6:$F$1616,$A105,'בתי מרקחת Raw'!$C$6:$C$1616,2026)</f>
        <v>107.4</v>
      </c>
      <c r="J105" s="12" t="n">
        <f aca="false">I105*$J$5</f>
        <v>135.663157894737</v>
      </c>
      <c r="K105" s="12"/>
      <c r="L105" s="22"/>
    </row>
    <row r="106" customFormat="false" ht="15" hidden="false" customHeight="true" outlineLevel="0" collapsed="false">
      <c r="A106" s="12" t="n">
        <v>4408090</v>
      </c>
      <c r="B106" s="12" t="str">
        <f aca="false">IFERROR(INDEX('בתי מרקחת Raw'!$B:$B,MATCH($A106,'בתי מרקחת Raw'!$F:$F,0)),"")</f>
        <v>T11C L  חגורת גב פוג'יאמה</v>
      </c>
      <c r="C106" s="12" t="n">
        <f aca="false">SUMIFS('בתי מרקחת Raw'!$D$6:$D$1616,'בתי מרקחת Raw'!$F$6:$F$1616,$A106,'בתי מרקחת Raw'!$C$6:$C$1616,2025)</f>
        <v>8</v>
      </c>
      <c r="D106" s="12" t="n">
        <f aca="false">SUMIFS('בתי מרקחת Raw'!$D$6:$D$1616,'בתי מרקחת Raw'!$F$6:$F$1616,$A106,'בתי מרקחת Raw'!$C$6:$C$1616,2026)</f>
        <v>160</v>
      </c>
      <c r="E106" s="12" t="n">
        <f aca="false">D106*$J$5</f>
        <v>202.105263157895</v>
      </c>
      <c r="F106" s="12" t="n">
        <f aca="false">E106-C106</f>
        <v>194.105263157895</v>
      </c>
      <c r="G106" s="21" t="n">
        <f aca="false">IF(AND(C106=0,E106=0),0,IF(C106=0,"New",(E106-C106)/C106))</f>
        <v>24.2631578947368</v>
      </c>
      <c r="H106" s="12" t="n">
        <f aca="false">SUMIFS('בתי מרקחת Raw'!$E$6:$E$1616,'בתי מרקחת Raw'!$F$6:$F$1616,$A106,'בתי מרקחת Raw'!$C$6:$C$1616,2025)</f>
        <v>740.1</v>
      </c>
      <c r="I106" s="12" t="n">
        <f aca="false">SUMIFS('בתי מרקחת Raw'!$E$6:$E$1616,'בתי מרקחת Raw'!$F$6:$F$1616,$A106,'בתי מרקחת Raw'!$C$6:$C$1616,2026)</f>
        <v>13869.2</v>
      </c>
      <c r="J106" s="12" t="n">
        <f aca="false">I106*$J$5</f>
        <v>17518.9894736842</v>
      </c>
      <c r="K106" s="12"/>
      <c r="L106" s="22"/>
    </row>
    <row r="107" customFormat="false" ht="15" hidden="false" customHeight="true" outlineLevel="0" collapsed="false">
      <c r="A107" s="12" t="n">
        <v>4408091</v>
      </c>
      <c r="B107" s="12" t="str">
        <f aca="false">IFERROR(INDEX('בתי מרקחת Raw'!$B:$B,MATCH($A107,'בתי מרקחת Raw'!$F:$F,0)),"")</f>
        <v>T11C M  חגורת גב פוג'יאמה</v>
      </c>
      <c r="C107" s="12" t="n">
        <f aca="false">SUMIFS('בתי מרקחת Raw'!$D$6:$D$1616,'בתי מרקחת Raw'!$F$6:$F$1616,$A107,'בתי מרקחת Raw'!$C$6:$C$1616,2025)</f>
        <v>1</v>
      </c>
      <c r="D107" s="12" t="n">
        <f aca="false">SUMIFS('בתי מרקחת Raw'!$D$6:$D$1616,'בתי מרקחת Raw'!$F$6:$F$1616,$A107,'בתי מרקחת Raw'!$C$6:$C$1616,2026)</f>
        <v>2</v>
      </c>
      <c r="E107" s="12" t="n">
        <f aca="false">D107*$J$5</f>
        <v>2.52631578947368</v>
      </c>
      <c r="F107" s="12" t="n">
        <f aca="false">E107-C107</f>
        <v>1.52631578947368</v>
      </c>
      <c r="G107" s="21" t="n">
        <f aca="false">IF(AND(C107=0,E107=0),0,IF(C107=0,"New",(E107-C107)/C107))</f>
        <v>1.52631578947368</v>
      </c>
      <c r="H107" s="12" t="n">
        <f aca="false">SUMIFS('בתי מרקחת Raw'!$E$6:$E$1616,'בתי מרקחת Raw'!$F$6:$F$1616,$A107,'בתי מרקחת Raw'!$C$6:$C$1616,2025)</f>
        <v>94.6</v>
      </c>
      <c r="I107" s="12" t="n">
        <f aca="false">SUMIFS('בתי מרקחת Raw'!$E$6:$E$1616,'בתי מרקחת Raw'!$F$6:$F$1616,$A107,'בתי מרקחת Raw'!$C$6:$C$1616,2026)</f>
        <v>189.3</v>
      </c>
      <c r="J107" s="12" t="n">
        <f aca="false">I107*$J$5</f>
        <v>239.115789473684</v>
      </c>
      <c r="K107" s="12"/>
      <c r="L107" s="22"/>
    </row>
    <row r="108" customFormat="false" ht="15" hidden="false" customHeight="true" outlineLevel="0" collapsed="false">
      <c r="A108" s="12" t="n">
        <v>4408092</v>
      </c>
      <c r="B108" s="12" t="str">
        <f aca="false">IFERROR(INDEX('בתי מרקחת Raw'!$B:$B,MATCH($A108,'בתי מרקחת Raw'!$F:$F,0)),"")</f>
        <v>T11C XL חגורת גב פוג'יאמה</v>
      </c>
      <c r="C108" s="12" t="n">
        <f aca="false">SUMIFS('בתי מרקחת Raw'!$D$6:$D$1616,'בתי מרקחת Raw'!$F$6:$F$1616,$A108,'בתי מרקחת Raw'!$C$6:$C$1616,2025)</f>
        <v>14</v>
      </c>
      <c r="D108" s="12" t="n">
        <f aca="false">SUMIFS('בתי מרקחת Raw'!$D$6:$D$1616,'בתי מרקחת Raw'!$F$6:$F$1616,$A108,'בתי מרקחת Raw'!$C$6:$C$1616,2026)</f>
        <v>10</v>
      </c>
      <c r="E108" s="12" t="n">
        <f aca="false">D108*$J$5</f>
        <v>12.6315789473684</v>
      </c>
      <c r="F108" s="12" t="n">
        <f aca="false">E108-C108</f>
        <v>-1.36842105263158</v>
      </c>
      <c r="G108" s="21" t="n">
        <f aca="false">IF(AND(C108=0,E108=0),0,IF(C108=0,"New",(E108-C108)/C108))</f>
        <v>-0.0977443609022556</v>
      </c>
      <c r="H108" s="12" t="n">
        <f aca="false">SUMIFS('בתי מרקחת Raw'!$E$6:$E$1616,'בתי מרקחת Raw'!$F$6:$F$1616,$A108,'בתי מרקחת Raw'!$C$6:$C$1616,2025)</f>
        <v>1304.1</v>
      </c>
      <c r="I108" s="12" t="n">
        <f aca="false">SUMIFS('בתי מרקחת Raw'!$E$6:$E$1616,'בתי מרקחת Raw'!$F$6:$F$1616,$A108,'בתי מרקחת Raw'!$C$6:$C$1616,2026)</f>
        <v>921.21</v>
      </c>
      <c r="J108" s="12" t="n">
        <f aca="false">I108*$J$5</f>
        <v>1163.63368421053</v>
      </c>
      <c r="K108" s="12"/>
      <c r="L108" s="22"/>
    </row>
    <row r="109" customFormat="false" ht="15" hidden="false" customHeight="true" outlineLevel="0" collapsed="false">
      <c r="A109" s="12" t="n">
        <v>4408093</v>
      </c>
      <c r="B109" s="12" t="str">
        <f aca="false">IFERROR(INDEX('בתי מרקחת Raw'!$B:$B,MATCH($A109,'בתי מרקחת Raw'!$F:$F,0)),"")</f>
        <v>T11C XXL חגורת גב פוג'יאמה</v>
      </c>
      <c r="C109" s="12" t="n">
        <f aca="false">SUMIFS('בתי מרקחת Raw'!$D$6:$D$1616,'בתי מרקחת Raw'!$F$6:$F$1616,$A109,'בתי מרקחת Raw'!$C$6:$C$1616,2025)</f>
        <v>8</v>
      </c>
      <c r="D109" s="12" t="n">
        <f aca="false">SUMIFS('בתי מרקחת Raw'!$D$6:$D$1616,'בתי מרקחת Raw'!$F$6:$F$1616,$A109,'בתי מרקחת Raw'!$C$6:$C$1616,2026)</f>
        <v>7</v>
      </c>
      <c r="E109" s="12" t="n">
        <f aca="false">D109*$J$5</f>
        <v>8.84210526315789</v>
      </c>
      <c r="F109" s="12" t="n">
        <f aca="false">E109-C109</f>
        <v>0.842105263157894</v>
      </c>
      <c r="G109" s="21" t="n">
        <f aca="false">IF(AND(C109=0,E109=0),0,IF(C109=0,"New",(E109-C109)/C109))</f>
        <v>0.105263157894737</v>
      </c>
      <c r="H109" s="12" t="n">
        <f aca="false">SUMIFS('בתי מרקחת Raw'!$E$6:$E$1616,'בתי מרקחת Raw'!$F$6:$F$1616,$A109,'בתי מרקחת Raw'!$C$6:$C$1616,2025)</f>
        <v>752.9</v>
      </c>
      <c r="I109" s="12" t="n">
        <f aca="false">SUMIFS('בתי מרקחת Raw'!$E$6:$E$1616,'בתי מרקחת Raw'!$F$6:$F$1616,$A109,'בתי מרקחת Raw'!$C$6:$C$1616,2026)</f>
        <v>649.77</v>
      </c>
      <c r="J109" s="12" t="n">
        <f aca="false">I109*$J$5</f>
        <v>820.762105263158</v>
      </c>
      <c r="K109" s="12"/>
      <c r="L109" s="22"/>
    </row>
    <row r="110" customFormat="false" ht="15" hidden="false" customHeight="true" outlineLevel="0" collapsed="false">
      <c r="A110" s="12" t="n">
        <v>4408094</v>
      </c>
      <c r="B110" s="12" t="str">
        <f aca="false">IFERROR(INDEX('בתי מרקחת Raw'!$B:$B,MATCH($A110,'בתי מרקחת Raw'!$F:$F,0)),"")</f>
        <v>T20 S-M חבק יד עם צמדן</v>
      </c>
      <c r="C110" s="12" t="n">
        <f aca="false">SUMIFS('בתי מרקחת Raw'!$D$6:$D$1616,'בתי מרקחת Raw'!$F$6:$F$1616,$A110,'בתי מרקחת Raw'!$C$6:$C$1616,2025)</f>
        <v>106</v>
      </c>
      <c r="D110" s="12" t="n">
        <f aca="false">SUMIFS('בתי מרקחת Raw'!$D$6:$D$1616,'בתי מרקחת Raw'!$F$6:$F$1616,$A110,'בתי מרקחת Raw'!$C$6:$C$1616,2026)</f>
        <v>61</v>
      </c>
      <c r="E110" s="12" t="n">
        <f aca="false">D110*$J$5</f>
        <v>77.0526315789474</v>
      </c>
      <c r="F110" s="12" t="n">
        <f aca="false">E110-C110</f>
        <v>-28.9473684210526</v>
      </c>
      <c r="G110" s="21" t="n">
        <f aca="false">IF(AND(C110=0,E110=0),0,IF(C110=0,"New",(E110-C110)/C110))</f>
        <v>-0.273088381330685</v>
      </c>
      <c r="H110" s="12" t="n">
        <f aca="false">SUMIFS('בתי מרקחת Raw'!$E$6:$E$1616,'בתי מרקחת Raw'!$F$6:$F$1616,$A110,'בתי מרקחת Raw'!$C$6:$C$1616,2025)</f>
        <v>3710.28</v>
      </c>
      <c r="I110" s="12" t="n">
        <f aca="false">SUMIFS('בתי מרקחת Raw'!$E$6:$E$1616,'בתי מרקחת Raw'!$F$6:$F$1616,$A110,'בתי מרקחת Raw'!$C$6:$C$1616,2026)</f>
        <v>2134.4</v>
      </c>
      <c r="J110" s="12" t="n">
        <f aca="false">I110*$J$5</f>
        <v>2696.08421052632</v>
      </c>
      <c r="K110" s="12"/>
      <c r="L110" s="22"/>
    </row>
    <row r="111" customFormat="false" ht="15" hidden="false" customHeight="true" outlineLevel="0" collapsed="false">
      <c r="A111" s="12" t="n">
        <v>4408095</v>
      </c>
      <c r="B111" s="12" t="str">
        <f aca="false">IFERROR(INDEX('בתי מרקחת Raw'!$B:$B,MATCH($A111,'בתי מרקחת Raw'!$F:$F,0)),"")</f>
        <v>T20 L-XL  חבק יד עם צמדן</v>
      </c>
      <c r="C111" s="12" t="n">
        <f aca="false">SUMIFS('בתי מרקחת Raw'!$D$6:$D$1616,'בתי מרקחת Raw'!$F$6:$F$1616,$A111,'בתי מרקחת Raw'!$C$6:$C$1616,2025)</f>
        <v>49</v>
      </c>
      <c r="D111" s="12" t="n">
        <f aca="false">SUMIFS('בתי מרקחת Raw'!$D$6:$D$1616,'בתי מרקחת Raw'!$F$6:$F$1616,$A111,'בתי מרקחת Raw'!$C$6:$C$1616,2026)</f>
        <v>61</v>
      </c>
      <c r="E111" s="12" t="n">
        <f aca="false">D111*$J$5</f>
        <v>77.0526315789474</v>
      </c>
      <c r="F111" s="12" t="n">
        <f aca="false">E111-C111</f>
        <v>28.0526315789474</v>
      </c>
      <c r="G111" s="21" t="n">
        <f aca="false">IF(AND(C111=0,E111=0),0,IF(C111=0,"New",(E111-C111)/C111))</f>
        <v>0.57250268528464</v>
      </c>
      <c r="H111" s="12" t="n">
        <f aca="false">SUMIFS('בתי מרקחת Raw'!$E$6:$E$1616,'בתי מרקחת Raw'!$F$6:$F$1616,$A111,'בתי מרקחת Raw'!$C$6:$C$1616,2025)</f>
        <v>1710.58</v>
      </c>
      <c r="I111" s="12" t="n">
        <f aca="false">SUMIFS('בתי מרקחת Raw'!$E$6:$E$1616,'בתי מרקחת Raw'!$F$6:$F$1616,$A111,'בתי מרקחת Raw'!$C$6:$C$1616,2026)</f>
        <v>2136.4</v>
      </c>
      <c r="J111" s="12" t="n">
        <f aca="false">I111*$J$5</f>
        <v>2698.61052631579</v>
      </c>
      <c r="K111" s="12"/>
      <c r="L111" s="22"/>
    </row>
    <row r="112" customFormat="false" ht="15" hidden="false" customHeight="true" outlineLevel="0" collapsed="false">
      <c r="A112" s="12" t="n">
        <v>4408096</v>
      </c>
      <c r="B112" s="12" t="str">
        <f aca="false">IFERROR(INDEX('בתי מרקחת Raw'!$B:$B,MATCH($A112,'בתי מרקחת Raw'!$F:$F,0)),"")</f>
        <v>T20C S-M חבק יד עם צמדןחום</v>
      </c>
      <c r="C112" s="12" t="n">
        <f aca="false">SUMIFS('בתי מרקחת Raw'!$D$6:$D$1616,'בתי מרקחת Raw'!$F$6:$F$1616,$A112,'בתי מרקחת Raw'!$C$6:$C$1616,2025)</f>
        <v>109</v>
      </c>
      <c r="D112" s="12" t="n">
        <f aca="false">SUMIFS('בתי מרקחת Raw'!$D$6:$D$1616,'בתי מרקחת Raw'!$F$6:$F$1616,$A112,'בתי מרקחת Raw'!$C$6:$C$1616,2026)</f>
        <v>32</v>
      </c>
      <c r="E112" s="12" t="n">
        <f aca="false">D112*$J$5</f>
        <v>40.4210526315789</v>
      </c>
      <c r="F112" s="12" t="n">
        <f aca="false">E112-C112</f>
        <v>-68.5789473684211</v>
      </c>
      <c r="G112" s="21" t="n">
        <f aca="false">IF(AND(C112=0,E112=0),0,IF(C112=0,"New",(E112-C112)/C112))</f>
        <v>-0.629164654756157</v>
      </c>
      <c r="H112" s="12" t="n">
        <f aca="false">SUMIFS('בתי מרקחת Raw'!$E$6:$E$1616,'בתי מרקחת Raw'!$F$6:$F$1616,$A112,'בתי מרקחת Raw'!$C$6:$C$1616,2025)</f>
        <v>3809.47</v>
      </c>
      <c r="I112" s="12" t="n">
        <f aca="false">SUMIFS('בתי מרקחת Raw'!$E$6:$E$1616,'בתי מרקחת Raw'!$F$6:$F$1616,$A112,'בתי מרקחת Raw'!$C$6:$C$1616,2026)</f>
        <v>854.1</v>
      </c>
      <c r="J112" s="12" t="n">
        <f aca="false">I112*$J$5</f>
        <v>1078.86315789474</v>
      </c>
      <c r="K112" s="12"/>
      <c r="L112" s="22"/>
    </row>
    <row r="113" customFormat="false" ht="15" hidden="false" customHeight="true" outlineLevel="0" collapsed="false">
      <c r="A113" s="12" t="n">
        <v>4408097</v>
      </c>
      <c r="B113" s="12" t="str">
        <f aca="false">IFERROR(INDEX('בתי מרקחת Raw'!$B:$B,MATCH($A113,'בתי מרקחת Raw'!$F:$F,0)),"")</f>
        <v>T20C L-XL חבק יד עם צמדן חום</v>
      </c>
      <c r="C113" s="12" t="n">
        <f aca="false">SUMIFS('בתי מרקחת Raw'!$D$6:$D$1616,'בתי מרקחת Raw'!$F$6:$F$1616,$A113,'בתי מרקחת Raw'!$C$6:$C$1616,2025)</f>
        <v>78</v>
      </c>
      <c r="D113" s="12" t="n">
        <f aca="false">SUMIFS('בתי מרקחת Raw'!$D$6:$D$1616,'בתי מרקחת Raw'!$F$6:$F$1616,$A113,'בתי מרקחת Raw'!$C$6:$C$1616,2026)</f>
        <v>37</v>
      </c>
      <c r="E113" s="12" t="n">
        <f aca="false">D113*$J$5</f>
        <v>46.7368421052632</v>
      </c>
      <c r="F113" s="12" t="n">
        <f aca="false">E113-C113</f>
        <v>-31.2631578947368</v>
      </c>
      <c r="G113" s="21" t="n">
        <f aca="false">IF(AND(C113=0,E113=0),0,IF(C113=0,"New",(E113-C113)/C113))</f>
        <v>-0.40080971659919</v>
      </c>
      <c r="H113" s="12" t="n">
        <f aca="false">SUMIFS('בתי מרקחת Raw'!$E$6:$E$1616,'בתי מרקחת Raw'!$F$6:$F$1616,$A113,'בתי מרקחת Raw'!$C$6:$C$1616,2025)</f>
        <v>2725.27</v>
      </c>
      <c r="I113" s="12" t="n">
        <f aca="false">SUMIFS('בתי מרקחת Raw'!$E$6:$E$1616,'בתי מרקחת Raw'!$F$6:$F$1616,$A113,'בתי מרקחת Raw'!$C$6:$C$1616,2026)</f>
        <v>1290.3</v>
      </c>
      <c r="J113" s="12" t="n">
        <f aca="false">I113*$J$5</f>
        <v>1629.85263157895</v>
      </c>
      <c r="K113" s="12"/>
      <c r="L113" s="22"/>
    </row>
    <row r="114" customFormat="false" ht="15" hidden="false" customHeight="true" outlineLevel="0" collapsed="false">
      <c r="A114" s="12" t="n">
        <v>4408098</v>
      </c>
      <c r="B114" s="12" t="str">
        <f aca="false">IFERROR(INDEX('בתי מרקחת Raw'!$B:$B,MATCH($A114,'בתי מרקחת Raw'!$F:$F,0)),"")</f>
        <v>T25-חבק יד אגודלי</v>
      </c>
      <c r="C114" s="12" t="n">
        <f aca="false">SUMIFS('בתי מרקחת Raw'!$D$6:$D$1616,'בתי מרקחת Raw'!$F$6:$F$1616,$A114,'בתי מרקחת Raw'!$C$6:$C$1616,2025)</f>
        <v>580</v>
      </c>
      <c r="D114" s="12" t="n">
        <f aca="false">SUMIFS('בתי מרקחת Raw'!$D$6:$D$1616,'בתי מרקחת Raw'!$F$6:$F$1616,$A114,'בתי מרקחת Raw'!$C$6:$C$1616,2026)</f>
        <v>306</v>
      </c>
      <c r="E114" s="12" t="n">
        <f aca="false">D114*$J$5</f>
        <v>386.526315789474</v>
      </c>
      <c r="F114" s="12" t="n">
        <f aca="false">E114-C114</f>
        <v>-193.473684210526</v>
      </c>
      <c r="G114" s="21" t="n">
        <f aca="false">IF(AND(C114=0,E114=0),0,IF(C114=0,"New",(E114-C114)/C114))</f>
        <v>-0.333575317604356</v>
      </c>
      <c r="H114" s="12" t="n">
        <f aca="false">SUMIFS('בתי מרקחת Raw'!$E$6:$E$1616,'בתי מרקחת Raw'!$F$6:$F$1616,$A114,'בתי מרקחת Raw'!$C$6:$C$1616,2025)</f>
        <v>25896.56</v>
      </c>
      <c r="I114" s="12" t="n">
        <f aca="false">SUMIFS('בתי מרקחת Raw'!$E$6:$E$1616,'בתי מרקחת Raw'!$F$6:$F$1616,$A114,'בתי מרקחת Raw'!$C$6:$C$1616,2026)</f>
        <v>14005.55</v>
      </c>
      <c r="J114" s="12" t="n">
        <f aca="false">I114*$J$5</f>
        <v>17691.2210526316</v>
      </c>
      <c r="K114" s="12"/>
      <c r="L114" s="22"/>
    </row>
    <row r="115" customFormat="false" ht="15" hidden="false" customHeight="true" outlineLevel="0" collapsed="false">
      <c r="A115" s="12" t="n">
        <v>4408099</v>
      </c>
      <c r="B115" s="12" t="str">
        <f aca="false">IFERROR(INDEX('בתי מרקחת Raw'!$B:$B,MATCH($A115,'בתי מרקחת Raw'!$F:$F,0)),"")</f>
        <v>T25C-חבק יד אגודלי</v>
      </c>
      <c r="C115" s="12" t="n">
        <f aca="false">SUMIFS('בתי מרקחת Raw'!$D$6:$D$1616,'בתי מרקחת Raw'!$F$6:$F$1616,$A115,'בתי מרקחת Raw'!$C$6:$C$1616,2025)</f>
        <v>488</v>
      </c>
      <c r="D115" s="12" t="n">
        <f aca="false">SUMIFS('בתי מרקחת Raw'!$D$6:$D$1616,'בתי מרקחת Raw'!$F$6:$F$1616,$A115,'בתי מרקחת Raw'!$C$6:$C$1616,2026)</f>
        <v>351</v>
      </c>
      <c r="E115" s="12" t="n">
        <f aca="false">D115*$J$5</f>
        <v>443.368421052632</v>
      </c>
      <c r="F115" s="12" t="n">
        <f aca="false">E115-C115</f>
        <v>-44.6315789473684</v>
      </c>
      <c r="G115" s="21" t="n">
        <f aca="false">IF(AND(C115=0,E115=0),0,IF(C115=0,"New",(E115-C115)/C115))</f>
        <v>-0.091458153580673</v>
      </c>
      <c r="H115" s="12" t="n">
        <f aca="false">SUMIFS('בתי מרקחת Raw'!$E$6:$E$1616,'בתי מרקחת Raw'!$F$6:$F$1616,$A115,'בתי מרקחת Raw'!$C$6:$C$1616,2025)</f>
        <v>21770.67</v>
      </c>
      <c r="I115" s="12" t="n">
        <f aca="false">SUMIFS('בתי מרקחת Raw'!$E$6:$E$1616,'בתי מרקחת Raw'!$F$6:$F$1616,$A115,'בתי מרקחת Raw'!$C$6:$C$1616,2026)</f>
        <v>15799.5</v>
      </c>
      <c r="J115" s="12" t="n">
        <f aca="false">I115*$J$5</f>
        <v>19957.2631578947</v>
      </c>
      <c r="K115" s="12"/>
      <c r="L115" s="22"/>
    </row>
    <row r="116" customFormat="false" ht="15" hidden="false" customHeight="true" outlineLevel="0" collapsed="false">
      <c r="A116" s="12" t="n">
        <v>4408100</v>
      </c>
      <c r="B116" s="12" t="str">
        <f aca="false">IFERROR(INDEX('בתי מרקחת Raw'!$B:$B,MATCH($A116,'בתי מרקחת Raw'!$F:$F,0)),"")</f>
        <v>11U Lחגורת בטן וחזה אחרי ניתוח</v>
      </c>
      <c r="C116" s="12" t="n">
        <f aca="false">SUMIFS('בתי מרקחת Raw'!$D$6:$D$1616,'בתי מרקחת Raw'!$F$6:$F$1616,$A116,'בתי מרקחת Raw'!$C$6:$C$1616,2025)</f>
        <v>1</v>
      </c>
      <c r="D116" s="12" t="n">
        <f aca="false">SUMIFS('בתי מרקחת Raw'!$D$6:$D$1616,'בתי מרקחת Raw'!$F$6:$F$1616,$A116,'בתי מרקחת Raw'!$C$6:$C$1616,2026)</f>
        <v>0</v>
      </c>
      <c r="E116" s="12" t="n">
        <f aca="false">D116*$J$5</f>
        <v>0</v>
      </c>
      <c r="F116" s="12" t="n">
        <f aca="false">E116-C116</f>
        <v>-1</v>
      </c>
      <c r="G116" s="21" t="n">
        <f aca="false">IF(AND(C116=0,E116=0),0,IF(C116=0,"New",(E116-C116)/C116))</f>
        <v>-1</v>
      </c>
      <c r="H116" s="12" t="n">
        <f aca="false">SUMIFS('בתי מרקחת Raw'!$E$6:$E$1616,'בתי מרקחת Raw'!$F$6:$F$1616,$A116,'בתי מרקחת Raw'!$C$6:$C$1616,2025)</f>
        <v>94.5</v>
      </c>
      <c r="I116" s="12" t="n">
        <f aca="false">SUMIFS('בתי מרקחת Raw'!$E$6:$E$1616,'בתי מרקחת Raw'!$F$6:$F$1616,$A116,'בתי מרקחת Raw'!$C$6:$C$1616,2026)</f>
        <v>0</v>
      </c>
      <c r="J116" s="12" t="n">
        <f aca="false">I116*$J$5</f>
        <v>0</v>
      </c>
      <c r="K116" s="12"/>
      <c r="L116" s="22"/>
    </row>
    <row r="117" customFormat="false" ht="15" hidden="false" customHeight="true" outlineLevel="0" collapsed="false">
      <c r="A117" s="12" t="n">
        <v>4408105</v>
      </c>
      <c r="B117" s="12" t="str">
        <f aca="false">IFERROR(INDEX('בתי מרקחת Raw'!$B:$B,MATCH($A117,'בתי מרקחת Raw'!$F:$F,0)),"")</f>
        <v>19 S-M חגורת הריון בכאב חזק</v>
      </c>
      <c r="C117" s="12" t="n">
        <f aca="false">SUMIFS('בתי מרקחת Raw'!$D$6:$D$1616,'בתי מרקחת Raw'!$F$6:$F$1616,$A117,'בתי מרקחת Raw'!$C$6:$C$1616,2025)</f>
        <v>1</v>
      </c>
      <c r="D117" s="12" t="n">
        <f aca="false">SUMIFS('בתי מרקחת Raw'!$D$6:$D$1616,'בתי מרקחת Raw'!$F$6:$F$1616,$A117,'בתי מרקחת Raw'!$C$6:$C$1616,2026)</f>
        <v>0</v>
      </c>
      <c r="E117" s="12" t="n">
        <f aca="false">D117*$J$5</f>
        <v>0</v>
      </c>
      <c r="F117" s="12" t="n">
        <f aca="false">E117-C117</f>
        <v>-1</v>
      </c>
      <c r="G117" s="21" t="n">
        <f aca="false">IF(AND(C117=0,E117=0),0,IF(C117=0,"New",(E117-C117)/C117))</f>
        <v>-1</v>
      </c>
      <c r="H117" s="12" t="n">
        <f aca="false">SUMIFS('בתי מרקחת Raw'!$E$6:$E$1616,'בתי מרקחת Raw'!$F$6:$F$1616,$A117,'בתי מרקחת Raw'!$C$6:$C$1616,2025)</f>
        <v>213</v>
      </c>
      <c r="I117" s="12" t="n">
        <f aca="false">SUMIFS('בתי מרקחת Raw'!$E$6:$E$1616,'בתי מרקחת Raw'!$F$6:$F$1616,$A117,'בתי מרקחת Raw'!$C$6:$C$1616,2026)</f>
        <v>0</v>
      </c>
      <c r="J117" s="12" t="n">
        <f aca="false">I117*$J$5</f>
        <v>0</v>
      </c>
      <c r="K117" s="12"/>
      <c r="L117" s="22"/>
    </row>
    <row r="118" customFormat="false" ht="15" hidden="false" customHeight="true" outlineLevel="0" collapsed="false">
      <c r="A118" s="12" t="n">
        <v>4408113</v>
      </c>
      <c r="B118" s="12" t="str">
        <f aca="false">IFERROR(INDEX('בתי מרקחת Raw'!$B:$B,MATCH($A118,'בתי מרקחת Raw'!$F:$F,0)),"")</f>
        <v>11EU S ח.בטן לאחר ניתוח</v>
      </c>
      <c r="C118" s="12" t="n">
        <f aca="false">SUMIFS('בתי מרקחת Raw'!$D$6:$D$1616,'בתי מרקחת Raw'!$F$6:$F$1616,$A118,'בתי מרקחת Raw'!$C$6:$C$1616,2025)</f>
        <v>3</v>
      </c>
      <c r="D118" s="12" t="n">
        <f aca="false">SUMIFS('בתי מרקחת Raw'!$D$6:$D$1616,'בתי מרקחת Raw'!$F$6:$F$1616,$A118,'בתי מרקחת Raw'!$C$6:$C$1616,2026)</f>
        <v>1</v>
      </c>
      <c r="E118" s="12" t="n">
        <f aca="false">D118*$J$5</f>
        <v>1.26315789473684</v>
      </c>
      <c r="F118" s="12" t="n">
        <f aca="false">E118-C118</f>
        <v>-1.73684210526316</v>
      </c>
      <c r="G118" s="21" t="n">
        <f aca="false">IF(AND(C118=0,E118=0),0,IF(C118=0,"New",(E118-C118)/C118))</f>
        <v>-0.578947368421053</v>
      </c>
      <c r="H118" s="12" t="n">
        <f aca="false">SUMIFS('בתי מרקחת Raw'!$E$6:$E$1616,'בתי מרקחת Raw'!$F$6:$F$1616,$A118,'בתי מרקחת Raw'!$C$6:$C$1616,2025)</f>
        <v>324.2</v>
      </c>
      <c r="I118" s="12" t="n">
        <f aca="false">SUMIFS('בתי מרקחת Raw'!$E$6:$E$1616,'בתי מרקחת Raw'!$F$6:$F$1616,$A118,'בתי מרקחת Raw'!$C$6:$C$1616,2026)</f>
        <v>102.8</v>
      </c>
      <c r="J118" s="12" t="n">
        <f aca="false">I118*$J$5</f>
        <v>129.852631578947</v>
      </c>
      <c r="K118" s="12"/>
      <c r="L118" s="22"/>
    </row>
    <row r="119" customFormat="false" ht="15" hidden="false" customHeight="true" outlineLevel="0" collapsed="false">
      <c r="A119" s="12" t="n">
        <v>4408114</v>
      </c>
      <c r="B119" s="12" t="str">
        <f aca="false">IFERROR(INDEX('בתי מרקחת Raw'!$B:$B,MATCH($A119,'בתי מרקחת Raw'!$F:$F,0)),"")</f>
        <v>11EU M ח.בטן לאחר ניתוח</v>
      </c>
      <c r="C119" s="12" t="n">
        <f aca="false">SUMIFS('בתי מרקחת Raw'!$D$6:$D$1616,'בתי מרקחת Raw'!$F$6:$F$1616,$A119,'בתי מרקחת Raw'!$C$6:$C$1616,2025)</f>
        <v>12</v>
      </c>
      <c r="D119" s="12" t="n">
        <f aca="false">SUMIFS('בתי מרקחת Raw'!$D$6:$D$1616,'בתי מרקחת Raw'!$F$6:$F$1616,$A119,'בתי מרקחת Raw'!$C$6:$C$1616,2026)</f>
        <v>6</v>
      </c>
      <c r="E119" s="12" t="n">
        <f aca="false">D119*$J$5</f>
        <v>7.57894736842105</v>
      </c>
      <c r="F119" s="12" t="n">
        <f aca="false">E119-C119</f>
        <v>-4.42105263157895</v>
      </c>
      <c r="G119" s="21" t="n">
        <f aca="false">IF(AND(C119=0,E119=0),0,IF(C119=0,"New",(E119-C119)/C119))</f>
        <v>-0.368421052631579</v>
      </c>
      <c r="H119" s="12" t="n">
        <f aca="false">SUMIFS('בתי מרקחת Raw'!$E$6:$E$1616,'בתי מרקחת Raw'!$F$6:$F$1616,$A119,'בתי מרקחת Raw'!$C$6:$C$1616,2025)</f>
        <v>1222.8</v>
      </c>
      <c r="I119" s="12" t="n">
        <f aca="false">SUMIFS('בתי מרקחת Raw'!$E$6:$E$1616,'בתי מרקחת Raw'!$F$6:$F$1616,$A119,'בתי מרקחת Raw'!$C$6:$C$1616,2026)</f>
        <v>660.6</v>
      </c>
      <c r="J119" s="12" t="n">
        <f aca="false">I119*$J$5</f>
        <v>834.442105263158</v>
      </c>
      <c r="K119" s="12"/>
      <c r="L119" s="22"/>
    </row>
    <row r="120" customFormat="false" ht="15" hidden="false" customHeight="true" outlineLevel="0" collapsed="false">
      <c r="A120" s="12" t="n">
        <v>4408115</v>
      </c>
      <c r="B120" s="12" t="str">
        <f aca="false">IFERROR(INDEX('בתי מרקחת Raw'!$B:$B,MATCH($A120,'בתי מרקחת Raw'!$F:$F,0)),"")</f>
        <v>11EU L ח.בטן לאחר ניתוח</v>
      </c>
      <c r="C120" s="12" t="n">
        <f aca="false">SUMIFS('בתי מרקחת Raw'!$D$6:$D$1616,'בתי מרקחת Raw'!$F$6:$F$1616,$A120,'בתי מרקחת Raw'!$C$6:$C$1616,2025)</f>
        <v>22</v>
      </c>
      <c r="D120" s="12" t="n">
        <f aca="false">SUMIFS('בתי מרקחת Raw'!$D$6:$D$1616,'בתי מרקחת Raw'!$F$6:$F$1616,$A120,'בתי מרקחת Raw'!$C$6:$C$1616,2026)</f>
        <v>16</v>
      </c>
      <c r="E120" s="12" t="n">
        <f aca="false">D120*$J$5</f>
        <v>20.2105263157895</v>
      </c>
      <c r="F120" s="12" t="n">
        <f aca="false">E120-C120</f>
        <v>-1.78947368421053</v>
      </c>
      <c r="G120" s="21" t="n">
        <f aca="false">IF(AND(C120=0,E120=0),0,IF(C120=0,"New",(E120-C120)/C120))</f>
        <v>-0.0813397129186603</v>
      </c>
      <c r="H120" s="12" t="n">
        <f aca="false">SUMIFS('בתי מרקחת Raw'!$E$6:$E$1616,'בתי מרקחת Raw'!$F$6:$F$1616,$A120,'בתי מרקחת Raw'!$C$6:$C$1616,2025)</f>
        <v>2220.6</v>
      </c>
      <c r="I120" s="12" t="n">
        <f aca="false">SUMIFS('בתי מרקחת Raw'!$E$6:$E$1616,'בתי מרקחת Raw'!$F$6:$F$1616,$A120,'בתי מרקחת Raw'!$C$6:$C$1616,2026)</f>
        <v>1618.37</v>
      </c>
      <c r="J120" s="12" t="n">
        <f aca="false">I120*$J$5</f>
        <v>2044.25684210526</v>
      </c>
      <c r="K120" s="12"/>
      <c r="L120" s="22"/>
    </row>
    <row r="121" customFormat="false" ht="15" hidden="false" customHeight="true" outlineLevel="0" collapsed="false">
      <c r="A121" s="12" t="n">
        <v>4408116</v>
      </c>
      <c r="B121" s="12" t="str">
        <f aca="false">IFERROR(INDEX('בתי מרקחת Raw'!$B:$B,MATCH($A121,'בתי מרקחת Raw'!$F:$F,0)),"")</f>
        <v>11EU XLח.בטן לאחר ניתוח</v>
      </c>
      <c r="C121" s="12" t="n">
        <f aca="false">SUMIFS('בתי מרקחת Raw'!$D$6:$D$1616,'בתי מרקחת Raw'!$F$6:$F$1616,$A121,'בתי מרקחת Raw'!$C$6:$C$1616,2025)</f>
        <v>35</v>
      </c>
      <c r="D121" s="12" t="n">
        <f aca="false">SUMIFS('בתי מרקחת Raw'!$D$6:$D$1616,'בתי מרקחת Raw'!$F$6:$F$1616,$A121,'בתי מרקחת Raw'!$C$6:$C$1616,2026)</f>
        <v>9</v>
      </c>
      <c r="E121" s="12" t="n">
        <f aca="false">D121*$J$5</f>
        <v>11.3684210526316</v>
      </c>
      <c r="F121" s="12" t="n">
        <f aca="false">E121-C121</f>
        <v>-23.6315789473684</v>
      </c>
      <c r="G121" s="21" t="n">
        <f aca="false">IF(AND(C121=0,E121=0),0,IF(C121=0,"New",(E121-C121)/C121))</f>
        <v>-0.675187969924812</v>
      </c>
      <c r="H121" s="12" t="n">
        <f aca="false">SUMIFS('בתי מרקחת Raw'!$E$6:$E$1616,'בתי מרקחת Raw'!$F$6:$F$1616,$A121,'בתי מרקחת Raw'!$C$6:$C$1616,2025)</f>
        <v>3625</v>
      </c>
      <c r="I121" s="12" t="n">
        <f aca="false">SUMIFS('בתי מרקחת Raw'!$E$6:$E$1616,'בתי מרקחת Raw'!$F$6:$F$1616,$A121,'בתי מרקחת Raw'!$C$6:$C$1616,2026)</f>
        <v>990.9</v>
      </c>
      <c r="J121" s="12" t="n">
        <f aca="false">I121*$J$5</f>
        <v>1251.66315789474</v>
      </c>
      <c r="K121" s="12"/>
      <c r="L121" s="22"/>
    </row>
    <row r="122" customFormat="false" ht="15" hidden="false" customHeight="true" outlineLevel="0" collapsed="false">
      <c r="A122" s="12" t="n">
        <v>4408119</v>
      </c>
      <c r="B122" s="12" t="str">
        <f aca="false">IFERROR(INDEX('בתי מרקחת Raw'!$B:$B,MATCH($A122,'בתי מרקחת Raw'!$F:$F,0)),"")</f>
        <v>06U L ח.בטן מותנית צר</v>
      </c>
      <c r="C122" s="12" t="n">
        <f aca="false">SUMIFS('בתי מרקחת Raw'!$D$6:$D$1616,'בתי מרקחת Raw'!$F$6:$F$1616,$A122,'בתי מרקחת Raw'!$C$6:$C$1616,2025)</f>
        <v>3</v>
      </c>
      <c r="D122" s="12" t="n">
        <f aca="false">SUMIFS('בתי מרקחת Raw'!$D$6:$D$1616,'בתי מרקחת Raw'!$F$6:$F$1616,$A122,'בתי מרקחת Raw'!$C$6:$C$1616,2026)</f>
        <v>1</v>
      </c>
      <c r="E122" s="12" t="n">
        <f aca="false">D122*$J$5</f>
        <v>1.26315789473684</v>
      </c>
      <c r="F122" s="12" t="n">
        <f aca="false">E122-C122</f>
        <v>-1.73684210526316</v>
      </c>
      <c r="G122" s="21" t="n">
        <f aca="false">IF(AND(C122=0,E122=0),0,IF(C122=0,"New",(E122-C122)/C122))</f>
        <v>-0.578947368421053</v>
      </c>
      <c r="H122" s="12" t="n">
        <f aca="false">SUMIFS('בתי מרקחת Raw'!$E$6:$E$1616,'בתי מרקחת Raw'!$F$6:$F$1616,$A122,'בתי מרקחת Raw'!$C$6:$C$1616,2025)</f>
        <v>380.1</v>
      </c>
      <c r="I122" s="12" t="n">
        <f aca="false">SUMIFS('בתי מרקחת Raw'!$E$6:$E$1616,'בתי מרקחת Raw'!$F$6:$F$1616,$A122,'בתי מרקחת Raw'!$C$6:$C$1616,2026)</f>
        <v>140.6</v>
      </c>
      <c r="J122" s="12" t="n">
        <f aca="false">I122*$J$5</f>
        <v>177.6</v>
      </c>
      <c r="K122" s="12"/>
      <c r="L122" s="22"/>
    </row>
    <row r="123" customFormat="false" ht="15" hidden="false" customHeight="true" outlineLevel="0" collapsed="false">
      <c r="A123" s="12" t="n">
        <v>4408120</v>
      </c>
      <c r="B123" s="12" t="str">
        <f aca="false">IFERROR(INDEX('בתי מרקחת Raw'!$B:$B,MATCH($A123,'בתי מרקחת Raw'!$F:$F,0)),"")</f>
        <v>06U XL ח.בטן מותנית צר</v>
      </c>
      <c r="C123" s="12" t="n">
        <f aca="false">SUMIFS('בתי מרקחת Raw'!$D$6:$D$1616,'בתי מרקחת Raw'!$F$6:$F$1616,$A123,'בתי מרקחת Raw'!$C$6:$C$1616,2025)</f>
        <v>3</v>
      </c>
      <c r="D123" s="12" t="n">
        <f aca="false">SUMIFS('בתי מרקחת Raw'!$D$6:$D$1616,'בתי מרקחת Raw'!$F$6:$F$1616,$A123,'בתי מרקחת Raw'!$C$6:$C$1616,2026)</f>
        <v>1</v>
      </c>
      <c r="E123" s="12" t="n">
        <f aca="false">D123*$J$5</f>
        <v>1.26315789473684</v>
      </c>
      <c r="F123" s="12" t="n">
        <f aca="false">E123-C123</f>
        <v>-1.73684210526316</v>
      </c>
      <c r="G123" s="21" t="n">
        <f aca="false">IF(AND(C123=0,E123=0),0,IF(C123=0,"New",(E123-C123)/C123))</f>
        <v>-0.578947368421053</v>
      </c>
      <c r="H123" s="12" t="n">
        <f aca="false">SUMIFS('בתי מרקחת Raw'!$E$6:$E$1616,'בתי מרקחת Raw'!$F$6:$F$1616,$A123,'בתי מרקחת Raw'!$C$6:$C$1616,2025)</f>
        <v>380.09</v>
      </c>
      <c r="I123" s="12" t="n">
        <f aca="false">SUMIFS('בתי מרקחת Raw'!$E$6:$E$1616,'בתי מרקחת Raw'!$F$6:$F$1616,$A123,'בתי מרקחת Raw'!$C$6:$C$1616,2026)</f>
        <v>112.5</v>
      </c>
      <c r="J123" s="12" t="n">
        <f aca="false">I123*$J$5</f>
        <v>142.105263157895</v>
      </c>
      <c r="K123" s="12"/>
      <c r="L123" s="22"/>
    </row>
    <row r="124" customFormat="false" ht="15" hidden="false" customHeight="true" outlineLevel="0" collapsed="false">
      <c r="A124" s="12" t="n">
        <v>4408122</v>
      </c>
      <c r="B124" s="12" t="str">
        <f aca="false">IFERROR(INDEX('בתי מרקחת Raw'!$B:$B,MATCH($A124,'בתי מרקחת Raw'!$F:$F,0)),"")</f>
        <v>15M L חגורת צלעות לגבר</v>
      </c>
      <c r="C124" s="12" t="n">
        <f aca="false">SUMIFS('בתי מרקחת Raw'!$D$6:$D$1616,'בתי מרקחת Raw'!$F$6:$F$1616,$A124,'בתי מרקחת Raw'!$C$6:$C$1616,2025)</f>
        <v>2</v>
      </c>
      <c r="D124" s="12" t="n">
        <f aca="false">SUMIFS('בתי מרקחת Raw'!$D$6:$D$1616,'בתי מרקחת Raw'!$F$6:$F$1616,$A124,'בתי מרקחת Raw'!$C$6:$C$1616,2026)</f>
        <v>0</v>
      </c>
      <c r="E124" s="12" t="n">
        <f aca="false">D124*$J$5</f>
        <v>0</v>
      </c>
      <c r="F124" s="12" t="n">
        <f aca="false">E124-C124</f>
        <v>-2</v>
      </c>
      <c r="G124" s="21" t="n">
        <f aca="false">IF(AND(C124=0,E124=0),0,IF(C124=0,"New",(E124-C124)/C124))</f>
        <v>-1</v>
      </c>
      <c r="H124" s="12" t="n">
        <f aca="false">SUMIFS('בתי מרקחת Raw'!$E$6:$E$1616,'בתי מרקחת Raw'!$F$6:$F$1616,$A124,'בתי מרקחת Raw'!$C$6:$C$1616,2025)</f>
        <v>272.9</v>
      </c>
      <c r="I124" s="12" t="n">
        <f aca="false">SUMIFS('בתי מרקחת Raw'!$E$6:$E$1616,'בתי מרקחת Raw'!$F$6:$F$1616,$A124,'בתי מרקחת Raw'!$C$6:$C$1616,2026)</f>
        <v>0</v>
      </c>
      <c r="J124" s="12" t="n">
        <f aca="false">I124*$J$5</f>
        <v>0</v>
      </c>
      <c r="K124" s="12"/>
      <c r="L124" s="22"/>
    </row>
    <row r="125" customFormat="false" ht="15" hidden="false" customHeight="true" outlineLevel="0" collapsed="false">
      <c r="A125" s="12" t="n">
        <v>4408126</v>
      </c>
      <c r="B125" s="12" t="str">
        <f aca="false">IFERROR(INDEX('בתי מרקחת Raw'!$B:$B,MATCH($A125,'בתי מרקחת Raw'!$F:$F,0)),"")</f>
        <v>15W XL חגורת צלעות לאשה</v>
      </c>
      <c r="C125" s="12" t="n">
        <f aca="false">SUMIFS('בתי מרקחת Raw'!$D$6:$D$1616,'בתי מרקחת Raw'!$F$6:$F$1616,$A125,'בתי מרקחת Raw'!$C$6:$C$1616,2025)</f>
        <v>1</v>
      </c>
      <c r="D125" s="12" t="n">
        <f aca="false">SUMIFS('בתי מרקחת Raw'!$D$6:$D$1616,'בתי מרקחת Raw'!$F$6:$F$1616,$A125,'בתי מרקחת Raw'!$C$6:$C$1616,2026)</f>
        <v>0</v>
      </c>
      <c r="E125" s="12" t="n">
        <f aca="false">D125*$J$5</f>
        <v>0</v>
      </c>
      <c r="F125" s="12" t="n">
        <f aca="false">E125-C125</f>
        <v>-1</v>
      </c>
      <c r="G125" s="21" t="n">
        <f aca="false">IF(AND(C125=0,E125=0),0,IF(C125=0,"New",(E125-C125)/C125))</f>
        <v>-1</v>
      </c>
      <c r="H125" s="12" t="n">
        <f aca="false">SUMIFS('בתי מרקחת Raw'!$E$6:$E$1616,'בתי מרקחת Raw'!$F$6:$F$1616,$A125,'בתי מרקחת Raw'!$C$6:$C$1616,2025)</f>
        <v>140.6</v>
      </c>
      <c r="I125" s="12" t="n">
        <f aca="false">SUMIFS('בתי מרקחת Raw'!$E$6:$E$1616,'בתי מרקחת Raw'!$F$6:$F$1616,$A125,'בתי מרקחת Raw'!$C$6:$C$1616,2026)</f>
        <v>0</v>
      </c>
      <c r="J125" s="12" t="n">
        <f aca="false">I125*$J$5</f>
        <v>0</v>
      </c>
      <c r="K125" s="12"/>
      <c r="L125" s="22"/>
    </row>
    <row r="126" customFormat="false" ht="15" hidden="false" customHeight="true" outlineLevel="0" collapsed="false">
      <c r="A126" s="12" t="n">
        <v>4408129</v>
      </c>
      <c r="B126" s="12" t="str">
        <f aca="false">IFERROR(INDEX('בתי מרקחת Raw'!$B:$B,MATCH($A126,'בתי מרקחת Raw'!$F:$F,0)),"")</f>
        <v>15M M חגורת צלעות לגבר</v>
      </c>
      <c r="C126" s="12" t="n">
        <f aca="false">SUMIFS('בתי מרקחת Raw'!$D$6:$D$1616,'בתי מרקחת Raw'!$F$6:$F$1616,$A126,'בתי מרקחת Raw'!$C$6:$C$1616,2025)</f>
        <v>1</v>
      </c>
      <c r="D126" s="12" t="n">
        <f aca="false">SUMIFS('בתי מרקחת Raw'!$D$6:$D$1616,'בתי מרקחת Raw'!$F$6:$F$1616,$A126,'בתי מרקחת Raw'!$C$6:$C$1616,2026)</f>
        <v>0</v>
      </c>
      <c r="E126" s="12" t="n">
        <f aca="false">D126*$J$5</f>
        <v>0</v>
      </c>
      <c r="F126" s="12" t="n">
        <f aca="false">E126-C126</f>
        <v>-1</v>
      </c>
      <c r="G126" s="21" t="n">
        <f aca="false">IF(AND(C126=0,E126=0),0,IF(C126=0,"New",(E126-C126)/C126))</f>
        <v>-1</v>
      </c>
      <c r="H126" s="12" t="n">
        <f aca="false">SUMIFS('בתי מרקחת Raw'!$E$6:$E$1616,'בתי מרקחת Raw'!$F$6:$F$1616,$A126,'בתי מרקחת Raw'!$C$6:$C$1616,2025)</f>
        <v>140.6</v>
      </c>
      <c r="I126" s="12" t="n">
        <f aca="false">SUMIFS('בתי מרקחת Raw'!$E$6:$E$1616,'בתי מרקחת Raw'!$F$6:$F$1616,$A126,'בתי מרקחת Raw'!$C$6:$C$1616,2026)</f>
        <v>0</v>
      </c>
      <c r="J126" s="12" t="n">
        <f aca="false">I126*$J$5</f>
        <v>0</v>
      </c>
      <c r="K126" s="12"/>
      <c r="L126" s="22"/>
    </row>
    <row r="127" customFormat="false" ht="15" hidden="false" customHeight="true" outlineLevel="0" collapsed="false">
      <c r="A127" s="12" t="n">
        <v>4408130</v>
      </c>
      <c r="B127" s="12" t="str">
        <f aca="false">IFERROR(INDEX('בתי מרקחת Raw'!$B:$B,MATCH($A127,'בתי מרקחת Raw'!$F:$F,0)),"")</f>
        <v>15W M חגורת צלעות לאשה</v>
      </c>
      <c r="C127" s="12" t="n">
        <f aca="false">SUMIFS('בתי מרקחת Raw'!$D$6:$D$1616,'בתי מרקחת Raw'!$F$6:$F$1616,$A127,'בתי מרקחת Raw'!$C$6:$C$1616,2025)</f>
        <v>0</v>
      </c>
      <c r="D127" s="12" t="n">
        <f aca="false">SUMIFS('בתי מרקחת Raw'!$D$6:$D$1616,'בתי מרקחת Raw'!$F$6:$F$1616,$A127,'בתי מרקחת Raw'!$C$6:$C$1616,2026)</f>
        <v>-1</v>
      </c>
      <c r="E127" s="12" t="n">
        <f aca="false">D127*$J$5</f>
        <v>-1.26315789473684</v>
      </c>
      <c r="F127" s="12" t="n">
        <f aca="false">E127-C127</f>
        <v>-1.26315789473684</v>
      </c>
      <c r="G127" s="21" t="str">
        <f aca="false">IF(AND(C127=0,E127=0),0,IF(C127=0,"New",(E127-C127)/C127))</f>
        <v>New</v>
      </c>
      <c r="H127" s="12" t="n">
        <f aca="false">SUMIFS('בתי מרקחת Raw'!$E$6:$E$1616,'בתי מרקחת Raw'!$F$6:$F$1616,$A127,'בתי מרקחת Raw'!$C$6:$C$1616,2025)</f>
        <v>0</v>
      </c>
      <c r="I127" s="12" t="n">
        <f aca="false">SUMIFS('בתי מרקחת Raw'!$E$6:$E$1616,'בתי מרקחת Raw'!$F$6:$F$1616,$A127,'בתי מרקחת Raw'!$C$6:$C$1616,2026)</f>
        <v>-140.6</v>
      </c>
      <c r="J127" s="12" t="n">
        <f aca="false">I127*$J$5</f>
        <v>-177.6</v>
      </c>
      <c r="K127" s="12"/>
      <c r="L127" s="22"/>
    </row>
    <row r="128" customFormat="false" ht="15" hidden="false" customHeight="true" outlineLevel="0" collapsed="false">
      <c r="A128" s="12" t="n">
        <v>4408131</v>
      </c>
      <c r="B128" s="12" t="str">
        <f aca="false">IFERROR(INDEX('בתי מרקחת Raw'!$B:$B,MATCH($A128,'בתי מרקחת Raw'!$F:$F,0)),"")</f>
        <v>15W L חגורת צלעות לאשה</v>
      </c>
      <c r="C128" s="12" t="n">
        <f aca="false">SUMIFS('בתי מרקחת Raw'!$D$6:$D$1616,'בתי מרקחת Raw'!$F$6:$F$1616,$A128,'בתי מרקחת Raw'!$C$6:$C$1616,2025)</f>
        <v>1</v>
      </c>
      <c r="D128" s="12" t="n">
        <f aca="false">SUMIFS('בתי מרקחת Raw'!$D$6:$D$1616,'בתי מרקחת Raw'!$F$6:$F$1616,$A128,'בתי מרקחת Raw'!$C$6:$C$1616,2026)</f>
        <v>1</v>
      </c>
      <c r="E128" s="12" t="n">
        <f aca="false">D128*$J$5</f>
        <v>1.26315789473684</v>
      </c>
      <c r="F128" s="12" t="n">
        <f aca="false">E128-C128</f>
        <v>0.263157894736842</v>
      </c>
      <c r="G128" s="21" t="n">
        <f aca="false">IF(AND(C128=0,E128=0),0,IF(C128=0,"New",(E128-C128)/C128))</f>
        <v>0.263157894736842</v>
      </c>
      <c r="H128" s="12" t="n">
        <f aca="false">SUMIFS('בתי מרקחת Raw'!$E$6:$E$1616,'בתי מרקחת Raw'!$F$6:$F$1616,$A128,'בתי מרקחת Raw'!$C$6:$C$1616,2025)</f>
        <v>132.32</v>
      </c>
      <c r="I128" s="12" t="n">
        <f aca="false">SUMIFS('בתי מרקחת Raw'!$E$6:$E$1616,'בתי מרקחת Raw'!$F$6:$F$1616,$A128,'בתי מרקחת Raw'!$C$6:$C$1616,2026)</f>
        <v>140.6</v>
      </c>
      <c r="J128" s="12" t="n">
        <f aca="false">I128*$J$5</f>
        <v>177.6</v>
      </c>
      <c r="K128" s="12"/>
      <c r="L128" s="22"/>
    </row>
    <row r="129" customFormat="false" ht="15" hidden="false" customHeight="true" outlineLevel="0" collapsed="false">
      <c r="A129" s="12" t="n">
        <v>4408132</v>
      </c>
      <c r="B129" s="12" t="str">
        <f aca="false">IFERROR(INDEX('בתי מרקחת Raw'!$B:$B,MATCH($A129,'בתי מרקחת Raw'!$F:$F,0)),"")</f>
        <v>11EU XXL חגורת בטןלאחר ניתוח</v>
      </c>
      <c r="C129" s="12" t="n">
        <f aca="false">SUMIFS('בתי מרקחת Raw'!$D$6:$D$1616,'בתי מרקחת Raw'!$F$6:$F$1616,$A129,'בתי מרקחת Raw'!$C$6:$C$1616,2025)</f>
        <v>24</v>
      </c>
      <c r="D129" s="12" t="n">
        <f aca="false">SUMIFS('בתי מרקחת Raw'!$D$6:$D$1616,'בתי מרקחת Raw'!$F$6:$F$1616,$A129,'בתי מרקחת Raw'!$C$6:$C$1616,2026)</f>
        <v>21</v>
      </c>
      <c r="E129" s="12" t="n">
        <f aca="false">D129*$J$5</f>
        <v>26.5263157894737</v>
      </c>
      <c r="F129" s="12" t="n">
        <f aca="false">E129-C129</f>
        <v>2.52631578947368</v>
      </c>
      <c r="G129" s="21" t="n">
        <f aca="false">IF(AND(C129=0,E129=0),0,IF(C129=0,"New",(E129-C129)/C129))</f>
        <v>0.105263157894737</v>
      </c>
      <c r="H129" s="12" t="n">
        <f aca="false">SUMIFS('בתי מרקחת Raw'!$E$6:$E$1616,'בתי מרקחת Raw'!$F$6:$F$1616,$A129,'בתי מרקחת Raw'!$C$6:$C$1616,2025)</f>
        <v>2504.72</v>
      </c>
      <c r="I129" s="12" t="n">
        <f aca="false">SUMIFS('בתי מרקחת Raw'!$E$6:$E$1616,'בתי מרקחת Raw'!$F$6:$F$1616,$A129,'בתי מרקחת Raw'!$C$6:$C$1616,2026)</f>
        <v>2236.8</v>
      </c>
      <c r="J129" s="12" t="n">
        <f aca="false">I129*$J$5</f>
        <v>2825.43157894737</v>
      </c>
      <c r="K129" s="12"/>
      <c r="L129" s="22"/>
    </row>
    <row r="130" customFormat="false" ht="15" hidden="false" customHeight="true" outlineLevel="0" collapsed="false">
      <c r="A130" s="12" t="n">
        <v>4408134</v>
      </c>
      <c r="B130" s="12" t="str">
        <f aca="false">IFERROR(INDEX('בתי מרקחת Raw'!$B:$B,MATCH($A130,'בתי מרקחת Raw'!$F:$F,0)),"")</f>
        <v>077A S-M חגורת גב</v>
      </c>
      <c r="C130" s="12" t="n">
        <f aca="false">SUMIFS('בתי מרקחת Raw'!$D$6:$D$1616,'בתי מרקחת Raw'!$F$6:$F$1616,$A130,'בתי מרקחת Raw'!$C$6:$C$1616,2025)</f>
        <v>60</v>
      </c>
      <c r="D130" s="12" t="n">
        <f aca="false">SUMIFS('בתי מרקחת Raw'!$D$6:$D$1616,'בתי מרקחת Raw'!$F$6:$F$1616,$A130,'בתי מרקחת Raw'!$C$6:$C$1616,2026)</f>
        <v>8</v>
      </c>
      <c r="E130" s="12" t="n">
        <f aca="false">D130*$J$5</f>
        <v>10.1052631578947</v>
      </c>
      <c r="F130" s="12" t="n">
        <f aca="false">E130-C130</f>
        <v>-49.8947368421053</v>
      </c>
      <c r="G130" s="21" t="n">
        <f aca="false">IF(AND(C130=0,E130=0),0,IF(C130=0,"New",(E130-C130)/C130))</f>
        <v>-0.831578947368421</v>
      </c>
      <c r="H130" s="12" t="n">
        <f aca="false">SUMIFS('בתי מרקחת Raw'!$E$6:$E$1616,'בתי מרקחת Raw'!$F$6:$F$1616,$A130,'בתי מרקחת Raw'!$C$6:$C$1616,2025)</f>
        <v>5377.44</v>
      </c>
      <c r="I130" s="12" t="n">
        <f aca="false">SUMIFS('בתי מרקחת Raw'!$E$6:$E$1616,'בתי מרקחת Raw'!$F$6:$F$1616,$A130,'בתי מרקחת Raw'!$C$6:$C$1616,2026)</f>
        <v>1093</v>
      </c>
      <c r="J130" s="12" t="n">
        <f aca="false">I130*$J$5</f>
        <v>1380.63157894737</v>
      </c>
      <c r="K130" s="12"/>
      <c r="L130" s="22"/>
    </row>
    <row r="131" customFormat="false" ht="15" hidden="false" customHeight="true" outlineLevel="0" collapsed="false">
      <c r="A131" s="12" t="n">
        <v>4408135</v>
      </c>
      <c r="B131" s="12" t="str">
        <f aca="false">IFERROR(INDEX('בתי מרקחת Raw'!$B:$B,MATCH($A131,'בתי מרקחת Raw'!$F:$F,0)),"")</f>
        <v>077A L-XLחגורת גב</v>
      </c>
      <c r="C131" s="12" t="n">
        <f aca="false">SUMIFS('בתי מרקחת Raw'!$D$6:$D$1616,'בתי מרקחת Raw'!$F$6:$F$1616,$A131,'בתי מרקחת Raw'!$C$6:$C$1616,2025)</f>
        <v>47</v>
      </c>
      <c r="D131" s="12" t="n">
        <f aca="false">SUMIFS('בתי מרקחת Raw'!$D$6:$D$1616,'בתי מרקחת Raw'!$F$6:$F$1616,$A131,'בתי מרקחת Raw'!$C$6:$C$1616,2026)</f>
        <v>10</v>
      </c>
      <c r="E131" s="12" t="n">
        <f aca="false">D131*$J$5</f>
        <v>12.6315789473684</v>
      </c>
      <c r="F131" s="12" t="n">
        <f aca="false">E131-C131</f>
        <v>-34.3684210526316</v>
      </c>
      <c r="G131" s="21" t="n">
        <f aca="false">IF(AND(C131=0,E131=0),0,IF(C131=0,"New",(E131-C131)/C131))</f>
        <v>-0.731243001119821</v>
      </c>
      <c r="H131" s="12" t="n">
        <f aca="false">SUMIFS('בתי מרקחת Raw'!$E$6:$E$1616,'בתי מרקחת Raw'!$F$6:$F$1616,$A131,'בתי מרקחת Raw'!$C$6:$C$1616,2025)</f>
        <v>5255.8</v>
      </c>
      <c r="I131" s="12" t="n">
        <f aca="false">SUMIFS('בתי מרקחת Raw'!$E$6:$E$1616,'בתי מרקחת Raw'!$F$6:$F$1616,$A131,'בתי מרקחת Raw'!$C$6:$C$1616,2026)</f>
        <v>1283.6</v>
      </c>
      <c r="J131" s="12" t="n">
        <f aca="false">I131*$J$5</f>
        <v>1621.38947368421</v>
      </c>
      <c r="K131" s="12"/>
      <c r="L131" s="22"/>
    </row>
    <row r="132" customFormat="false" ht="15" hidden="false" customHeight="true" outlineLevel="0" collapsed="false">
      <c r="A132" s="12" t="n">
        <v>4408140</v>
      </c>
      <c r="B132" s="12" t="str">
        <f aca="false">IFERROR(INDEX('בתי מרקחת Raw'!$B:$B,MATCH($A132,'בתי מרקחת Raw'!$F:$F,0)),"")</f>
        <v>06W S חגורת גב לנשים</v>
      </c>
      <c r="C132" s="12" t="n">
        <f aca="false">SUMIFS('בתי מרקחת Raw'!$D$6:$D$1616,'בתי מרקחת Raw'!$F$6:$F$1616,$A132,'בתי מרקחת Raw'!$C$6:$C$1616,2025)</f>
        <v>1</v>
      </c>
      <c r="D132" s="12" t="n">
        <f aca="false">SUMIFS('בתי מרקחת Raw'!$D$6:$D$1616,'בתי מרקחת Raw'!$F$6:$F$1616,$A132,'בתי מרקחת Raw'!$C$6:$C$1616,2026)</f>
        <v>0</v>
      </c>
      <c r="E132" s="12" t="n">
        <f aca="false">D132*$J$5</f>
        <v>0</v>
      </c>
      <c r="F132" s="12" t="n">
        <f aca="false">E132-C132</f>
        <v>-1</v>
      </c>
      <c r="G132" s="21" t="n">
        <f aca="false">IF(AND(C132=0,E132=0),0,IF(C132=0,"New",(E132-C132)/C132))</f>
        <v>-1</v>
      </c>
      <c r="H132" s="12" t="n">
        <f aca="false">SUMIFS('בתי מרקחת Raw'!$E$6:$E$1616,'בתי מרקחת Raw'!$F$6:$F$1616,$A132,'בתי מרקחת Raw'!$C$6:$C$1616,2025)</f>
        <v>154.4</v>
      </c>
      <c r="I132" s="12" t="n">
        <f aca="false">SUMIFS('בתי מרקחת Raw'!$E$6:$E$1616,'בתי מרקחת Raw'!$F$6:$F$1616,$A132,'בתי מרקחת Raw'!$C$6:$C$1616,2026)</f>
        <v>0</v>
      </c>
      <c r="J132" s="12" t="n">
        <f aca="false">I132*$J$5</f>
        <v>0</v>
      </c>
      <c r="K132" s="12"/>
      <c r="L132" s="22"/>
    </row>
    <row r="133" customFormat="false" ht="15" hidden="false" customHeight="true" outlineLevel="0" collapsed="false">
      <c r="A133" s="12" t="n">
        <v>4408141</v>
      </c>
      <c r="B133" s="12" t="str">
        <f aca="false">IFERROR(INDEX('בתי מרקחת Raw'!$B:$B,MATCH($A133,'בתי מרקחת Raw'!$F:$F,0)),"")</f>
        <v>776 S  ח.גב גבוהה</v>
      </c>
      <c r="C133" s="12" t="n">
        <f aca="false">SUMIFS('בתי מרקחת Raw'!$D$6:$D$1616,'בתי מרקחת Raw'!$F$6:$F$1616,$A133,'בתי מרקחת Raw'!$C$6:$C$1616,2025)</f>
        <v>1</v>
      </c>
      <c r="D133" s="12" t="n">
        <f aca="false">SUMIFS('בתי מרקחת Raw'!$D$6:$D$1616,'בתי מרקחת Raw'!$F$6:$F$1616,$A133,'בתי מרקחת Raw'!$C$6:$C$1616,2026)</f>
        <v>0</v>
      </c>
      <c r="E133" s="12" t="n">
        <f aca="false">D133*$J$5</f>
        <v>0</v>
      </c>
      <c r="F133" s="12" t="n">
        <f aca="false">E133-C133</f>
        <v>-1</v>
      </c>
      <c r="G133" s="21" t="n">
        <f aca="false">IF(AND(C133=0,E133=0),0,IF(C133=0,"New",(E133-C133)/C133))</f>
        <v>-1</v>
      </c>
      <c r="H133" s="12" t="n">
        <f aca="false">SUMIFS('בתי מרקחת Raw'!$E$6:$E$1616,'בתי מרקחת Raw'!$F$6:$F$1616,$A133,'בתי מרקחת Raw'!$C$6:$C$1616,2025)</f>
        <v>472.7</v>
      </c>
      <c r="I133" s="12" t="n">
        <f aca="false">SUMIFS('בתי מרקחת Raw'!$E$6:$E$1616,'בתי מרקחת Raw'!$F$6:$F$1616,$A133,'בתי מרקחת Raw'!$C$6:$C$1616,2026)</f>
        <v>0</v>
      </c>
      <c r="J133" s="12" t="n">
        <f aca="false">I133*$J$5</f>
        <v>0</v>
      </c>
      <c r="K133" s="12"/>
      <c r="L133" s="22"/>
    </row>
    <row r="134" customFormat="false" ht="15" hidden="false" customHeight="true" outlineLevel="0" collapsed="false">
      <c r="A134" s="12" t="n">
        <v>4408142</v>
      </c>
      <c r="B134" s="12" t="str">
        <f aca="false">IFERROR(INDEX('בתי מרקחת Raw'!$B:$B,MATCH($A134,'בתי מרקחת Raw'!$F:$F,0)),"")</f>
        <v>776 M  ח.גב גבוהה</v>
      </c>
      <c r="C134" s="12" t="n">
        <f aca="false">SUMIFS('בתי מרקחת Raw'!$D$6:$D$1616,'בתי מרקחת Raw'!$F$6:$F$1616,$A134,'בתי מרקחת Raw'!$C$6:$C$1616,2025)</f>
        <v>1</v>
      </c>
      <c r="D134" s="12" t="n">
        <f aca="false">SUMIFS('בתי מרקחת Raw'!$D$6:$D$1616,'בתי מרקחת Raw'!$F$6:$F$1616,$A134,'בתי מרקחת Raw'!$C$6:$C$1616,2026)</f>
        <v>0</v>
      </c>
      <c r="E134" s="12" t="n">
        <f aca="false">D134*$J$5</f>
        <v>0</v>
      </c>
      <c r="F134" s="12" t="n">
        <f aca="false">E134-C134</f>
        <v>-1</v>
      </c>
      <c r="G134" s="21" t="n">
        <f aca="false">IF(AND(C134=0,E134=0),0,IF(C134=0,"New",(E134-C134)/C134))</f>
        <v>-1</v>
      </c>
      <c r="H134" s="12" t="n">
        <f aca="false">SUMIFS('בתי מרקחת Raw'!$E$6:$E$1616,'בתי מרקחת Raw'!$F$6:$F$1616,$A134,'בתי מרקחת Raw'!$C$6:$C$1616,2025)</f>
        <v>472.7</v>
      </c>
      <c r="I134" s="12" t="n">
        <f aca="false">SUMIFS('בתי מרקחת Raw'!$E$6:$E$1616,'בתי מרקחת Raw'!$F$6:$F$1616,$A134,'בתי מרקחת Raw'!$C$6:$C$1616,2026)</f>
        <v>0</v>
      </c>
      <c r="J134" s="12" t="n">
        <f aca="false">I134*$J$5</f>
        <v>0</v>
      </c>
      <c r="K134" s="12"/>
      <c r="L134" s="22"/>
    </row>
    <row r="135" customFormat="false" ht="15" hidden="false" customHeight="true" outlineLevel="0" collapsed="false">
      <c r="A135" s="12" t="n">
        <v>4408145</v>
      </c>
      <c r="B135" s="12" t="str">
        <f aca="false">IFERROR(INDEX('בתי מרקחת Raw'!$B:$B,MATCH($A135,'בתי מרקחת Raw'!$F:$F,0)),"")</f>
        <v>11PS S</v>
      </c>
      <c r="C135" s="12" t="n">
        <f aca="false">SUMIFS('בתי מרקחת Raw'!$D$6:$D$1616,'בתי מרקחת Raw'!$F$6:$F$1616,$A135,'בתי מרקחת Raw'!$C$6:$C$1616,2025)</f>
        <v>2</v>
      </c>
      <c r="D135" s="12" t="n">
        <f aca="false">SUMIFS('בתי מרקחת Raw'!$D$6:$D$1616,'בתי מרקחת Raw'!$F$6:$F$1616,$A135,'בתי מרקחת Raw'!$C$6:$C$1616,2026)</f>
        <v>0</v>
      </c>
      <c r="E135" s="12" t="n">
        <f aca="false">D135*$J$5</f>
        <v>0</v>
      </c>
      <c r="F135" s="12" t="n">
        <f aca="false">E135-C135</f>
        <v>-2</v>
      </c>
      <c r="G135" s="21" t="n">
        <f aca="false">IF(AND(C135=0,E135=0),0,IF(C135=0,"New",(E135-C135)/C135))</f>
        <v>-1</v>
      </c>
      <c r="H135" s="12" t="n">
        <f aca="false">SUMIFS('בתי מרקחת Raw'!$E$6:$E$1616,'בתי מרקחת Raw'!$F$6:$F$1616,$A135,'בתי מרקחת Raw'!$C$6:$C$1616,2025)</f>
        <v>263.48</v>
      </c>
      <c r="I135" s="12" t="n">
        <f aca="false">SUMIFS('בתי מרקחת Raw'!$E$6:$E$1616,'בתי מרקחת Raw'!$F$6:$F$1616,$A135,'בתי מרקחת Raw'!$C$6:$C$1616,2026)</f>
        <v>0</v>
      </c>
      <c r="J135" s="12" t="n">
        <f aca="false">I135*$J$5</f>
        <v>0</v>
      </c>
      <c r="K135" s="12"/>
      <c r="L135" s="22"/>
    </row>
    <row r="136" customFormat="false" ht="15" hidden="false" customHeight="true" outlineLevel="0" collapsed="false">
      <c r="A136" s="12" t="n">
        <v>4408147</v>
      </c>
      <c r="B136" s="12" t="str">
        <f aca="false">IFERROR(INDEX('בתי מרקחת Raw'!$B:$B,MATCH($A136,'בתי מרקחת Raw'!$F:$F,0)),"")</f>
        <v>11PS Lחגורה למנותחי בטן</v>
      </c>
      <c r="C136" s="12" t="n">
        <f aca="false">SUMIFS('בתי מרקחת Raw'!$D$6:$D$1616,'בתי מרקחת Raw'!$F$6:$F$1616,$A136,'בתי מרקחת Raw'!$C$6:$C$1616,2025)</f>
        <v>4</v>
      </c>
      <c r="D136" s="12" t="n">
        <f aca="false">SUMIFS('בתי מרקחת Raw'!$D$6:$D$1616,'בתי מרקחת Raw'!$F$6:$F$1616,$A136,'בתי מרקחת Raw'!$C$6:$C$1616,2026)</f>
        <v>2</v>
      </c>
      <c r="E136" s="12" t="n">
        <f aca="false">D136*$J$5</f>
        <v>2.52631578947368</v>
      </c>
      <c r="F136" s="12" t="n">
        <f aca="false">E136-C136</f>
        <v>-1.47368421052632</v>
      </c>
      <c r="G136" s="21" t="n">
        <f aca="false">IF(AND(C136=0,E136=0),0,IF(C136=0,"New",(E136-C136)/C136))</f>
        <v>-0.368421052631579</v>
      </c>
      <c r="H136" s="12" t="n">
        <f aca="false">SUMIFS('בתי מרקחת Raw'!$E$6:$E$1616,'בתי מרקחת Raw'!$F$6:$F$1616,$A136,'בתי מרקחת Raw'!$C$6:$C$1616,2025)</f>
        <v>501.67</v>
      </c>
      <c r="I136" s="12" t="n">
        <f aca="false">SUMIFS('בתי מרקחת Raw'!$E$6:$E$1616,'בתי מרקחת Raw'!$F$6:$F$1616,$A136,'בתי מרקחת Raw'!$C$6:$C$1616,2026)</f>
        <v>271.78</v>
      </c>
      <c r="J136" s="12" t="n">
        <f aca="false">I136*$J$5</f>
        <v>343.301052631579</v>
      </c>
      <c r="K136" s="12"/>
      <c r="L136" s="22"/>
    </row>
    <row r="137" customFormat="false" ht="15" hidden="false" customHeight="true" outlineLevel="0" collapsed="false">
      <c r="A137" s="12" t="n">
        <v>4408148</v>
      </c>
      <c r="B137" s="12" t="str">
        <f aca="false">IFERROR(INDEX('בתי מרקחת Raw'!$B:$B,MATCH($A137,'בתי מרקחת Raw'!$F:$F,0)),"")</f>
        <v>11PS XLחגורה למנותחי בטן</v>
      </c>
      <c r="C137" s="12" t="n">
        <f aca="false">SUMIFS('בתי מרקחת Raw'!$D$6:$D$1616,'בתי מרקחת Raw'!$F$6:$F$1616,$A137,'בתי מרקחת Raw'!$C$6:$C$1616,2025)</f>
        <v>6</v>
      </c>
      <c r="D137" s="12" t="n">
        <f aca="false">SUMIFS('בתי מרקחת Raw'!$D$6:$D$1616,'בתי מרקחת Raw'!$F$6:$F$1616,$A137,'בתי מרקחת Raw'!$C$6:$C$1616,2026)</f>
        <v>0</v>
      </c>
      <c r="E137" s="12" t="n">
        <f aca="false">D137*$J$5</f>
        <v>0</v>
      </c>
      <c r="F137" s="12" t="n">
        <f aca="false">E137-C137</f>
        <v>-6</v>
      </c>
      <c r="G137" s="21" t="n">
        <f aca="false">IF(AND(C137=0,E137=0),0,IF(C137=0,"New",(E137-C137)/C137))</f>
        <v>-1</v>
      </c>
      <c r="H137" s="12" t="n">
        <f aca="false">SUMIFS('בתי מרקחת Raw'!$E$6:$E$1616,'בתי מרקחת Raw'!$F$6:$F$1616,$A137,'בתי מרקחת Raw'!$C$6:$C$1616,2025)</f>
        <v>781.95</v>
      </c>
      <c r="I137" s="12" t="n">
        <f aca="false">SUMIFS('בתי מרקחת Raw'!$E$6:$E$1616,'בתי מרקחת Raw'!$F$6:$F$1616,$A137,'בתי מרקחת Raw'!$C$6:$C$1616,2026)</f>
        <v>0</v>
      </c>
      <c r="J137" s="12" t="n">
        <f aca="false">I137*$J$5</f>
        <v>0</v>
      </c>
      <c r="K137" s="12"/>
      <c r="L137" s="22"/>
    </row>
    <row r="138" customFormat="false" ht="15" hidden="false" customHeight="true" outlineLevel="0" collapsed="false">
      <c r="A138" s="12" t="n">
        <v>4408149</v>
      </c>
      <c r="B138" s="12" t="str">
        <f aca="false">IFERROR(INDEX('בתי מרקחת Raw'!$B:$B,MATCH($A138,'בתי מרקחת Raw'!$F:$F,0)),"")</f>
        <v>11PS XXLחגורה למנותחי בטן</v>
      </c>
      <c r="C138" s="12" t="n">
        <f aca="false">SUMIFS('בתי מרקחת Raw'!$D$6:$D$1616,'בתי מרקחת Raw'!$F$6:$F$1616,$A138,'בתי מרקחת Raw'!$C$6:$C$1616,2025)</f>
        <v>3</v>
      </c>
      <c r="D138" s="12" t="n">
        <f aca="false">SUMIFS('בתי מרקחת Raw'!$D$6:$D$1616,'בתי מרקחת Raw'!$F$6:$F$1616,$A138,'בתי מרקחת Raw'!$C$6:$C$1616,2026)</f>
        <v>1</v>
      </c>
      <c r="E138" s="12" t="n">
        <f aca="false">D138*$J$5</f>
        <v>1.26315789473684</v>
      </c>
      <c r="F138" s="12" t="n">
        <f aca="false">E138-C138</f>
        <v>-1.73684210526316</v>
      </c>
      <c r="G138" s="21" t="n">
        <f aca="false">IF(AND(C138=0,E138=0),0,IF(C138=0,"New",(E138-C138)/C138))</f>
        <v>-0.578947368421053</v>
      </c>
      <c r="H138" s="12" t="n">
        <f aca="false">SUMIFS('בתי מרקחת Raw'!$E$6:$E$1616,'בתי מרקחת Raw'!$F$6:$F$1616,$A138,'בתי מרקחת Raw'!$C$6:$C$1616,2025)</f>
        <v>407.68</v>
      </c>
      <c r="I138" s="12" t="n">
        <f aca="false">SUMIFS('בתי מרקחת Raw'!$E$6:$E$1616,'בתי מרקחת Raw'!$F$6:$F$1616,$A138,'בתי מרקחת Raw'!$C$6:$C$1616,2026)</f>
        <v>135.9</v>
      </c>
      <c r="J138" s="12" t="n">
        <f aca="false">I138*$J$5</f>
        <v>171.663157894737</v>
      </c>
      <c r="K138" s="12"/>
      <c r="L138" s="22"/>
    </row>
    <row r="139" customFormat="false" ht="15" hidden="false" customHeight="true" outlineLevel="0" collapsed="false">
      <c r="A139" s="12" t="n">
        <v>4408150</v>
      </c>
      <c r="B139" s="12" t="str">
        <f aca="false">IFERROR(INDEX('בתי מרקחת Raw'!$B:$B,MATCH($A139,'בתי מרקחת Raw'!$F:$F,0)),"")</f>
        <v>11TO S חגורה למנותחי בית החזה</v>
      </c>
      <c r="C139" s="12" t="n">
        <f aca="false">SUMIFS('בתי מרקחת Raw'!$D$6:$D$1616,'בתי מרקחת Raw'!$F$6:$F$1616,$A139,'בתי מרקחת Raw'!$C$6:$C$1616,2025)</f>
        <v>-1</v>
      </c>
      <c r="D139" s="12" t="n">
        <f aca="false">SUMIFS('בתי מרקחת Raw'!$D$6:$D$1616,'בתי מרקחת Raw'!$F$6:$F$1616,$A139,'בתי מרקחת Raw'!$C$6:$C$1616,2026)</f>
        <v>0</v>
      </c>
      <c r="E139" s="12" t="n">
        <f aca="false">D139*$J$5</f>
        <v>0</v>
      </c>
      <c r="F139" s="12" t="n">
        <f aca="false">E139-C139</f>
        <v>1</v>
      </c>
      <c r="G139" s="21" t="n">
        <f aca="false">IF(AND(C139=0,E139=0),0,IF(C139=0,"New",(E139-C139)/C139))</f>
        <v>-1</v>
      </c>
      <c r="H139" s="12" t="n">
        <f aca="false">SUMIFS('בתי מרקחת Raw'!$E$6:$E$1616,'בתי מרקחת Raw'!$F$6:$F$1616,$A139,'בתי מרקחת Raw'!$C$6:$C$1616,2025)</f>
        <v>-209.3</v>
      </c>
      <c r="I139" s="12" t="n">
        <f aca="false">SUMIFS('בתי מרקחת Raw'!$E$6:$E$1616,'בתי מרקחת Raw'!$F$6:$F$1616,$A139,'בתי מרקחת Raw'!$C$6:$C$1616,2026)</f>
        <v>0</v>
      </c>
      <c r="J139" s="12" t="n">
        <f aca="false">I139*$J$5</f>
        <v>0</v>
      </c>
      <c r="K139" s="12"/>
      <c r="L139" s="22"/>
    </row>
    <row r="140" customFormat="false" ht="15" hidden="false" customHeight="true" outlineLevel="0" collapsed="false">
      <c r="A140" s="12" t="n">
        <v>4408151</v>
      </c>
      <c r="B140" s="12" t="str">
        <f aca="false">IFERROR(INDEX('בתי מרקחת Raw'!$B:$B,MATCH($A140,'בתי מרקחת Raw'!$F:$F,0)),"")</f>
        <v>11TO M חגורה למנותחי בית החזה</v>
      </c>
      <c r="C140" s="12" t="n">
        <f aca="false">SUMIFS('בתי מרקחת Raw'!$D$6:$D$1616,'בתי מרקחת Raw'!$F$6:$F$1616,$A140,'בתי מרקחת Raw'!$C$6:$C$1616,2025)</f>
        <v>2</v>
      </c>
      <c r="D140" s="12" t="n">
        <f aca="false">SUMIFS('בתי מרקחת Raw'!$D$6:$D$1616,'בתי מרקחת Raw'!$F$6:$F$1616,$A140,'בתי מרקחת Raw'!$C$6:$C$1616,2026)</f>
        <v>0</v>
      </c>
      <c r="E140" s="12" t="n">
        <f aca="false">D140*$J$5</f>
        <v>0</v>
      </c>
      <c r="F140" s="12" t="n">
        <f aca="false">E140-C140</f>
        <v>-2</v>
      </c>
      <c r="G140" s="21" t="n">
        <f aca="false">IF(AND(C140=0,E140=0),0,IF(C140=0,"New",(E140-C140)/C140))</f>
        <v>-1</v>
      </c>
      <c r="H140" s="12" t="n">
        <f aca="false">SUMIFS('בתי מרקחת Raw'!$E$6:$E$1616,'בתי מרקחת Raw'!$F$6:$F$1616,$A140,'בתי מרקחת Raw'!$C$6:$C$1616,2025)</f>
        <v>282.6</v>
      </c>
      <c r="I140" s="12" t="n">
        <f aca="false">SUMIFS('בתי מרקחת Raw'!$E$6:$E$1616,'בתי מרקחת Raw'!$F$6:$F$1616,$A140,'בתי מרקחת Raw'!$C$6:$C$1616,2026)</f>
        <v>31.4</v>
      </c>
      <c r="J140" s="12" t="n">
        <f aca="false">I140*$J$5</f>
        <v>39.6631578947368</v>
      </c>
      <c r="K140" s="12"/>
      <c r="L140" s="22"/>
    </row>
    <row r="141" customFormat="false" ht="15" hidden="false" customHeight="true" outlineLevel="0" collapsed="false">
      <c r="A141" s="12" t="n">
        <v>4408152</v>
      </c>
      <c r="B141" s="12" t="str">
        <f aca="false">IFERROR(INDEX('בתי מרקחת Raw'!$B:$B,MATCH($A141,'בתי מרקחת Raw'!$F:$F,0)),"")</f>
        <v>11TO L חגורה למנותחי בית החזה</v>
      </c>
      <c r="C141" s="12" t="n">
        <f aca="false">SUMIFS('בתי מרקחת Raw'!$D$6:$D$1616,'בתי מרקחת Raw'!$F$6:$F$1616,$A141,'בתי מרקחת Raw'!$C$6:$C$1616,2025)</f>
        <v>8</v>
      </c>
      <c r="D141" s="12" t="n">
        <f aca="false">SUMIFS('בתי מרקחת Raw'!$D$6:$D$1616,'בתי מרקחת Raw'!$F$6:$F$1616,$A141,'בתי מרקחת Raw'!$C$6:$C$1616,2026)</f>
        <v>6</v>
      </c>
      <c r="E141" s="12" t="n">
        <f aca="false">D141*$J$5</f>
        <v>7.57894736842105</v>
      </c>
      <c r="F141" s="12" t="n">
        <f aca="false">E141-C141</f>
        <v>-0.421052631578948</v>
      </c>
      <c r="G141" s="21" t="n">
        <f aca="false">IF(AND(C141=0,E141=0),0,IF(C141=0,"New",(E141-C141)/C141))</f>
        <v>-0.0526315789473685</v>
      </c>
      <c r="H141" s="12" t="n">
        <f aca="false">SUMIFS('בתי מרקחת Raw'!$E$6:$E$1616,'בתי מרקחת Raw'!$F$6:$F$1616,$A141,'בתי מרקחת Raw'!$C$6:$C$1616,2025)</f>
        <v>1118.9</v>
      </c>
      <c r="I141" s="12" t="n">
        <f aca="false">SUMIFS('בתי מרקחת Raw'!$E$6:$E$1616,'בתי מרקחת Raw'!$F$6:$F$1616,$A141,'בתי מרקחת Raw'!$C$6:$C$1616,2026)</f>
        <v>920.9</v>
      </c>
      <c r="J141" s="12" t="n">
        <f aca="false">I141*$J$5</f>
        <v>1163.24210526316</v>
      </c>
      <c r="K141" s="12"/>
      <c r="L141" s="22"/>
    </row>
    <row r="142" customFormat="false" ht="15" hidden="false" customHeight="true" outlineLevel="0" collapsed="false">
      <c r="A142" s="12" t="n">
        <v>4408153</v>
      </c>
      <c r="B142" s="12" t="str">
        <f aca="false">IFERROR(INDEX('בתי מרקחת Raw'!$B:$B,MATCH($A142,'בתי מרקחת Raw'!$F:$F,0)),"")</f>
        <v>11TO XLחגורה למנותחי בית החזה</v>
      </c>
      <c r="C142" s="12" t="n">
        <f aca="false">SUMIFS('בתי מרקחת Raw'!$D$6:$D$1616,'בתי מרקחת Raw'!$F$6:$F$1616,$A142,'בתי מרקחת Raw'!$C$6:$C$1616,2025)</f>
        <v>14</v>
      </c>
      <c r="D142" s="12" t="n">
        <f aca="false">SUMIFS('בתי מרקחת Raw'!$D$6:$D$1616,'בתי מרקחת Raw'!$F$6:$F$1616,$A142,'בתי מרקחת Raw'!$C$6:$C$1616,2026)</f>
        <v>11</v>
      </c>
      <c r="E142" s="12" t="n">
        <f aca="false">D142*$J$5</f>
        <v>13.8947368421053</v>
      </c>
      <c r="F142" s="12" t="n">
        <f aca="false">E142-C142</f>
        <v>-0.105263157894738</v>
      </c>
      <c r="G142" s="21" t="n">
        <f aca="false">IF(AND(C142=0,E142=0),0,IF(C142=0,"New",(E142-C142)/C142))</f>
        <v>-0.00751879699248129</v>
      </c>
      <c r="H142" s="12" t="n">
        <f aca="false">SUMIFS('בתי מרקחת Raw'!$E$6:$E$1616,'בתי מרקחת Raw'!$F$6:$F$1616,$A142,'בתי מרקחת Raw'!$C$6:$C$1616,2025)</f>
        <v>2112</v>
      </c>
      <c r="I142" s="12" t="n">
        <f aca="false">SUMIFS('בתי מרקחת Raw'!$E$6:$E$1616,'בתי מרקחת Raw'!$F$6:$F$1616,$A142,'בתי מרקחת Raw'!$C$6:$C$1616,2026)</f>
        <v>1726.7</v>
      </c>
      <c r="J142" s="12" t="n">
        <f aca="false">I142*$J$5</f>
        <v>2181.09473684211</v>
      </c>
      <c r="K142" s="12"/>
      <c r="L142" s="22"/>
    </row>
    <row r="143" customFormat="false" ht="15" hidden="false" customHeight="true" outlineLevel="0" collapsed="false">
      <c r="A143" s="12" t="n">
        <v>4408154</v>
      </c>
      <c r="B143" s="12" t="str">
        <f aca="false">IFERROR(INDEX('בתי מרקחת Raw'!$B:$B,MATCH($A143,'בתי מרקחת Raw'!$F:$F,0)),"")</f>
        <v>11TO XXLחגורה למנותחי בית החזה</v>
      </c>
      <c r="C143" s="12" t="n">
        <f aca="false">SUMIFS('בתי מרקחת Raw'!$D$6:$D$1616,'בתי מרקחת Raw'!$F$6:$F$1616,$A143,'בתי מרקחת Raw'!$C$6:$C$1616,2025)</f>
        <v>7</v>
      </c>
      <c r="D143" s="12" t="n">
        <f aca="false">SUMIFS('בתי מרקחת Raw'!$D$6:$D$1616,'בתי מרקחת Raw'!$F$6:$F$1616,$A143,'בתי מרקחת Raw'!$C$6:$C$1616,2026)</f>
        <v>5</v>
      </c>
      <c r="E143" s="12" t="n">
        <f aca="false">D143*$J$5</f>
        <v>6.31578947368421</v>
      </c>
      <c r="F143" s="12" t="n">
        <f aca="false">E143-C143</f>
        <v>-0.684210526315789</v>
      </c>
      <c r="G143" s="21" t="n">
        <f aca="false">IF(AND(C143=0,E143=0),0,IF(C143=0,"New",(E143-C143)/C143))</f>
        <v>-0.0977443609022556</v>
      </c>
      <c r="H143" s="12" t="n">
        <f aca="false">SUMIFS('בתי מרקחת Raw'!$E$6:$E$1616,'בתי מרקחת Raw'!$F$6:$F$1616,$A143,'בתי מרקחת Raw'!$C$6:$C$1616,2025)</f>
        <v>1024.68</v>
      </c>
      <c r="I143" s="12" t="n">
        <f aca="false">SUMIFS('בתי מרקחת Raw'!$E$6:$E$1616,'בתי מרקחת Raw'!$F$6:$F$1616,$A143,'בתי מרקחת Raw'!$C$6:$C$1616,2026)</f>
        <v>763.9</v>
      </c>
      <c r="J143" s="12" t="n">
        <f aca="false">I143*$J$5</f>
        <v>964.926315789474</v>
      </c>
      <c r="K143" s="12"/>
      <c r="L143" s="22"/>
    </row>
    <row r="144" customFormat="false" ht="15" hidden="false" customHeight="true" outlineLevel="0" collapsed="false">
      <c r="A144" s="12" t="n">
        <v>4408175</v>
      </c>
      <c r="B144" s="12" t="str">
        <f aca="false">IFERROR(INDEX('בתי מרקחת Raw'!$B:$B,MATCH($A144,'בתי מרקחת Raw'!$F:$F,0)),"")</f>
        <v>11 XS  חגורת בטן</v>
      </c>
      <c r="C144" s="12" t="n">
        <f aca="false">SUMIFS('בתי מרקחת Raw'!$D$6:$D$1616,'בתי מרקחת Raw'!$F$6:$F$1616,$A144,'בתי מרקחת Raw'!$C$6:$C$1616,2025)</f>
        <v>2</v>
      </c>
      <c r="D144" s="12" t="n">
        <f aca="false">SUMIFS('בתי מרקחת Raw'!$D$6:$D$1616,'בתי מרקחת Raw'!$F$6:$F$1616,$A144,'בתי מרקחת Raw'!$C$6:$C$1616,2026)</f>
        <v>0</v>
      </c>
      <c r="E144" s="12" t="n">
        <f aca="false">D144*$J$5</f>
        <v>0</v>
      </c>
      <c r="F144" s="12" t="n">
        <f aca="false">E144-C144</f>
        <v>-2</v>
      </c>
      <c r="G144" s="21" t="n">
        <f aca="false">IF(AND(C144=0,E144=0),0,IF(C144=0,"New",(E144-C144)/C144))</f>
        <v>-1</v>
      </c>
      <c r="H144" s="12" t="n">
        <f aca="false">SUMIFS('בתי מרקחת Raw'!$E$6:$E$1616,'בתי מרקחת Raw'!$F$6:$F$1616,$A144,'בתי מרקחת Raw'!$C$6:$C$1616,2025)</f>
        <v>211.7</v>
      </c>
      <c r="I144" s="12" t="n">
        <f aca="false">SUMIFS('בתי מרקחת Raw'!$E$6:$E$1616,'בתי מרקחת Raw'!$F$6:$F$1616,$A144,'בתי מרקחת Raw'!$C$6:$C$1616,2026)</f>
        <v>0</v>
      </c>
      <c r="J144" s="12" t="n">
        <f aca="false">I144*$J$5</f>
        <v>0</v>
      </c>
      <c r="K144" s="12"/>
      <c r="L144" s="22"/>
    </row>
    <row r="145" customFormat="false" ht="15" hidden="false" customHeight="true" outlineLevel="0" collapsed="false">
      <c r="A145" s="12" t="n">
        <v>4408177</v>
      </c>
      <c r="B145" s="12" t="str">
        <f aca="false">IFERROR(INDEX('בתי מרקחת Raw'!$B:$B,MATCH($A145,'בתי מרקחת Raw'!$F:$F,0)),"")</f>
        <v>13 M חגורה לשבר טבור</v>
      </c>
      <c r="C145" s="12" t="n">
        <f aca="false">SUMIFS('בתי מרקחת Raw'!$D$6:$D$1616,'בתי מרקחת Raw'!$F$6:$F$1616,$A145,'בתי מרקחת Raw'!$C$6:$C$1616,2025)</f>
        <v>1</v>
      </c>
      <c r="D145" s="12" t="n">
        <f aca="false">SUMIFS('בתי מרקחת Raw'!$D$6:$D$1616,'בתי מרקחת Raw'!$F$6:$F$1616,$A145,'בתי מרקחת Raw'!$C$6:$C$1616,2026)</f>
        <v>0</v>
      </c>
      <c r="E145" s="12" t="n">
        <f aca="false">D145*$J$5</f>
        <v>0</v>
      </c>
      <c r="F145" s="12" t="n">
        <f aca="false">E145-C145</f>
        <v>-1</v>
      </c>
      <c r="G145" s="21" t="n">
        <f aca="false">IF(AND(C145=0,E145=0),0,IF(C145=0,"New",(E145-C145)/C145))</f>
        <v>-1</v>
      </c>
      <c r="H145" s="12" t="n">
        <f aca="false">SUMIFS('בתי מרקחת Raw'!$E$6:$E$1616,'בתי מרקחת Raw'!$F$6:$F$1616,$A145,'בתי מרקחת Raw'!$C$6:$C$1616,2025)</f>
        <v>157</v>
      </c>
      <c r="I145" s="12" t="n">
        <f aca="false">SUMIFS('בתי מרקחת Raw'!$E$6:$E$1616,'בתי מרקחת Raw'!$F$6:$F$1616,$A145,'בתי מרקחת Raw'!$C$6:$C$1616,2026)</f>
        <v>0</v>
      </c>
      <c r="J145" s="12" t="n">
        <f aca="false">I145*$J$5</f>
        <v>0</v>
      </c>
      <c r="K145" s="12"/>
      <c r="L145" s="22"/>
    </row>
    <row r="146" customFormat="false" ht="15" hidden="false" customHeight="true" outlineLevel="0" collapsed="false">
      <c r="A146" s="12" t="n">
        <v>4408178</v>
      </c>
      <c r="B146" s="12" t="str">
        <f aca="false">IFERROR(INDEX('בתי מרקחת Raw'!$B:$B,MATCH($A146,'בתי מרקחת Raw'!$F:$F,0)),"")</f>
        <v>13 L חגורה לשבר טבור</v>
      </c>
      <c r="C146" s="12" t="n">
        <f aca="false">SUMIFS('בתי מרקחת Raw'!$D$6:$D$1616,'בתי מרקחת Raw'!$F$6:$F$1616,$A146,'בתי מרקחת Raw'!$C$6:$C$1616,2025)</f>
        <v>1</v>
      </c>
      <c r="D146" s="12" t="n">
        <f aca="false">SUMIFS('בתי מרקחת Raw'!$D$6:$D$1616,'בתי מרקחת Raw'!$F$6:$F$1616,$A146,'בתי מרקחת Raw'!$C$6:$C$1616,2026)</f>
        <v>0</v>
      </c>
      <c r="E146" s="12" t="n">
        <f aca="false">D146*$J$5</f>
        <v>0</v>
      </c>
      <c r="F146" s="12" t="n">
        <f aca="false">E146-C146</f>
        <v>-1</v>
      </c>
      <c r="G146" s="21" t="n">
        <f aca="false">IF(AND(C146=0,E146=0),0,IF(C146=0,"New",(E146-C146)/C146))</f>
        <v>-1</v>
      </c>
      <c r="H146" s="12" t="n">
        <f aca="false">SUMIFS('בתי מרקחת Raw'!$E$6:$E$1616,'בתי מרקחת Raw'!$F$6:$F$1616,$A146,'בתי מרקחת Raw'!$C$6:$C$1616,2025)</f>
        <v>177.9</v>
      </c>
      <c r="I146" s="12" t="n">
        <f aca="false">SUMIFS('בתי מרקחת Raw'!$E$6:$E$1616,'בתי מרקחת Raw'!$F$6:$F$1616,$A146,'בתי מרקחת Raw'!$C$6:$C$1616,2026)</f>
        <v>0</v>
      </c>
      <c r="J146" s="12" t="n">
        <f aca="false">I146*$J$5</f>
        <v>0</v>
      </c>
      <c r="K146" s="12"/>
      <c r="L146" s="22"/>
    </row>
    <row r="147" customFormat="false" ht="15" hidden="false" customHeight="true" outlineLevel="0" collapsed="false">
      <c r="A147" s="12" t="n">
        <v>4408179</v>
      </c>
      <c r="B147" s="12" t="str">
        <f aca="false">IFERROR(INDEX('בתי מרקחת Raw'!$B:$B,MATCH($A147,'בתי מרקחת Raw'!$F:$F,0)),"")</f>
        <v>13 XL חגורה לשבר טבור</v>
      </c>
      <c r="C147" s="12" t="n">
        <f aca="false">SUMIFS('בתי מרקחת Raw'!$D$6:$D$1616,'בתי מרקחת Raw'!$F$6:$F$1616,$A147,'בתי מרקחת Raw'!$C$6:$C$1616,2025)</f>
        <v>3</v>
      </c>
      <c r="D147" s="12" t="n">
        <f aca="false">SUMIFS('בתי מרקחת Raw'!$D$6:$D$1616,'בתי מרקחת Raw'!$F$6:$F$1616,$A147,'בתי מרקחת Raw'!$C$6:$C$1616,2026)</f>
        <v>4</v>
      </c>
      <c r="E147" s="12" t="n">
        <f aca="false">D147*$J$5</f>
        <v>5.05263157894737</v>
      </c>
      <c r="F147" s="12" t="n">
        <f aca="false">E147-C147</f>
        <v>2.05263157894737</v>
      </c>
      <c r="G147" s="21" t="n">
        <f aca="false">IF(AND(C147=0,E147=0),0,IF(C147=0,"New",(E147-C147)/C147))</f>
        <v>0.684210526315789</v>
      </c>
      <c r="H147" s="12" t="n">
        <f aca="false">SUMIFS('בתי מרקחת Raw'!$E$6:$E$1616,'בתי מרקחת Raw'!$F$6:$F$1616,$A147,'בתי מרקחת Raw'!$C$6:$C$1616,2025)</f>
        <v>468.9</v>
      </c>
      <c r="I147" s="12" t="n">
        <f aca="false">SUMIFS('בתי מרקחת Raw'!$E$6:$E$1616,'בתי מרקחת Raw'!$F$6:$F$1616,$A147,'בתי מרקחת Raw'!$C$6:$C$1616,2026)</f>
        <v>585.93</v>
      </c>
      <c r="J147" s="12" t="n">
        <f aca="false">I147*$J$5</f>
        <v>740.122105263158</v>
      </c>
      <c r="K147" s="12"/>
      <c r="L147" s="22"/>
    </row>
    <row r="148" customFormat="false" ht="15" hidden="false" customHeight="true" outlineLevel="0" collapsed="false">
      <c r="A148" s="12" t="n">
        <v>4408180</v>
      </c>
      <c r="B148" s="12" t="str">
        <f aca="false">IFERROR(INDEX('בתי מרקחת Raw'!$B:$B,MATCH($A148,'בתי מרקחת Raw'!$F:$F,0)),"")</f>
        <v>13 XXL חגורה לשבר טבור</v>
      </c>
      <c r="C148" s="12" t="n">
        <f aca="false">SUMIFS('בתי מרקחת Raw'!$D$6:$D$1616,'בתי מרקחת Raw'!$F$6:$F$1616,$A148,'בתי מרקחת Raw'!$C$6:$C$1616,2025)</f>
        <v>3</v>
      </c>
      <c r="D148" s="12" t="n">
        <f aca="false">SUMIFS('בתי מרקחת Raw'!$D$6:$D$1616,'בתי מרקחת Raw'!$F$6:$F$1616,$A148,'בתי מרקחת Raw'!$C$6:$C$1616,2026)</f>
        <v>1</v>
      </c>
      <c r="E148" s="12" t="n">
        <f aca="false">D148*$J$5</f>
        <v>1.26315789473684</v>
      </c>
      <c r="F148" s="12" t="n">
        <f aca="false">E148-C148</f>
        <v>-1.73684210526316</v>
      </c>
      <c r="G148" s="21" t="n">
        <f aca="false">IF(AND(C148=0,E148=0),0,IF(C148=0,"New",(E148-C148)/C148))</f>
        <v>-0.578947368421053</v>
      </c>
      <c r="H148" s="12" t="n">
        <f aca="false">SUMIFS('בתי מרקחת Raw'!$E$6:$E$1616,'בתי מרקחת Raw'!$F$6:$F$1616,$A148,'בתי מרקחת Raw'!$C$6:$C$1616,2025)</f>
        <v>429.1</v>
      </c>
      <c r="I148" s="12" t="n">
        <f aca="false">SUMIFS('בתי מרקחת Raw'!$E$6:$E$1616,'בתי מרקחת Raw'!$F$6:$F$1616,$A148,'בתי מרקחת Raw'!$C$6:$C$1616,2026)</f>
        <v>157</v>
      </c>
      <c r="J148" s="12" t="n">
        <f aca="false">I148*$J$5</f>
        <v>198.315789473684</v>
      </c>
      <c r="K148" s="12"/>
      <c r="L148" s="22"/>
    </row>
    <row r="149" customFormat="false" ht="15" hidden="false" customHeight="true" outlineLevel="0" collapsed="false">
      <c r="A149" s="12" t="n">
        <v>4408190</v>
      </c>
      <c r="B149" s="12" t="str">
        <f aca="false">IFERROR(INDEX('בתי מרקחת Raw'!$B:$B,MATCH($A149,'בתי מרקחת Raw'!$F:$F,0)),"")</f>
        <v>M078 חגורת גב +סגירה כפולה</v>
      </c>
      <c r="C149" s="12" t="n">
        <f aca="false">SUMIFS('בתי מרקחת Raw'!$D$6:$D$1616,'בתי מרקחת Raw'!$F$6:$F$1616,$A149,'בתי מרקחת Raw'!$C$6:$C$1616,2025)</f>
        <v>86</v>
      </c>
      <c r="D149" s="12" t="n">
        <f aca="false">SUMIFS('בתי מרקחת Raw'!$D$6:$D$1616,'בתי מרקחת Raw'!$F$6:$F$1616,$A149,'בתי מרקחת Raw'!$C$6:$C$1616,2026)</f>
        <v>33</v>
      </c>
      <c r="E149" s="12" t="n">
        <f aca="false">D149*$J$5</f>
        <v>41.6842105263158</v>
      </c>
      <c r="F149" s="12" t="n">
        <f aca="false">E149-C149</f>
        <v>-44.3157894736842</v>
      </c>
      <c r="G149" s="21" t="n">
        <f aca="false">IF(AND(C149=0,E149=0),0,IF(C149=0,"New",(E149-C149)/C149))</f>
        <v>-0.515299877600979</v>
      </c>
      <c r="H149" s="12" t="n">
        <f aca="false">SUMIFS('בתי מרקחת Raw'!$E$6:$E$1616,'בתי מרקחת Raw'!$F$6:$F$1616,$A149,'בתי מרקחת Raw'!$C$6:$C$1616,2025)</f>
        <v>9536.7</v>
      </c>
      <c r="I149" s="12" t="n">
        <f aca="false">SUMIFS('בתי מרקחת Raw'!$E$6:$E$1616,'בתי מרקחת Raw'!$F$6:$F$1616,$A149,'בתי מרקחת Raw'!$C$6:$C$1616,2026)</f>
        <v>3735.7</v>
      </c>
      <c r="J149" s="12" t="n">
        <f aca="false">I149*$J$5</f>
        <v>4718.77894736842</v>
      </c>
      <c r="K149" s="12"/>
      <c r="L149" s="22"/>
    </row>
    <row r="150" customFormat="false" ht="15" hidden="false" customHeight="true" outlineLevel="0" collapsed="false">
      <c r="A150" s="12" t="n">
        <v>4408192</v>
      </c>
      <c r="B150" s="12" t="str">
        <f aca="false">IFERROR(INDEX('בתי מרקחת Raw'!$B:$B,MATCH($A150,'בתי מרקחת Raw'!$F:$F,0)),"")</f>
        <v>078 L חגורת גב +סגירה</v>
      </c>
      <c r="C150" s="12" t="n">
        <f aca="false">SUMIFS('בתי מרקחת Raw'!$D$6:$D$1616,'בתי מרקחת Raw'!$F$6:$F$1616,$A150,'בתי מרקחת Raw'!$C$6:$C$1616,2025)</f>
        <v>140</v>
      </c>
      <c r="D150" s="12" t="n">
        <f aca="false">SUMIFS('בתי מרקחת Raw'!$D$6:$D$1616,'בתי מרקחת Raw'!$F$6:$F$1616,$A150,'בתי מרקחת Raw'!$C$6:$C$1616,2026)</f>
        <v>56</v>
      </c>
      <c r="E150" s="12" t="n">
        <f aca="false">D150*$J$5</f>
        <v>70.7368421052632</v>
      </c>
      <c r="F150" s="12" t="n">
        <f aca="false">E150-C150</f>
        <v>-69.2631578947369</v>
      </c>
      <c r="G150" s="21" t="n">
        <f aca="false">IF(AND(C150=0,E150=0),0,IF(C150=0,"New",(E150-C150)/C150))</f>
        <v>-0.494736842105263</v>
      </c>
      <c r="H150" s="12" t="n">
        <f aca="false">SUMIFS('בתי מרקחת Raw'!$E$6:$E$1616,'בתי מרקחת Raw'!$F$6:$F$1616,$A150,'בתי מרקחת Raw'!$C$6:$C$1616,2025)</f>
        <v>15556.14</v>
      </c>
      <c r="I150" s="12" t="n">
        <f aca="false">SUMIFS('בתי מרקחת Raw'!$E$6:$E$1616,'בתי מרקחת Raw'!$F$6:$F$1616,$A150,'בתי מרקחת Raw'!$C$6:$C$1616,2026)</f>
        <v>6371.93</v>
      </c>
      <c r="J150" s="12" t="n">
        <f aca="false">I150*$J$5</f>
        <v>8048.75368421053</v>
      </c>
      <c r="K150" s="12"/>
      <c r="L150" s="22"/>
    </row>
    <row r="151" customFormat="false" ht="15" hidden="false" customHeight="true" outlineLevel="0" collapsed="false">
      <c r="A151" s="12" t="n">
        <v>4408203</v>
      </c>
      <c r="B151" s="12" t="str">
        <f aca="false">IFERROR(INDEX('בתי מרקחת Raw'!$B:$B,MATCH($A151,'בתי מרקחת Raw'!$F:$F,0)),"")</f>
        <v>14 0 חגורה למנותחי בית חזה</v>
      </c>
      <c r="C151" s="12" t="n">
        <f aca="false">SUMIFS('בתי מרקחת Raw'!$D$6:$D$1616,'בתי מרקחת Raw'!$F$6:$F$1616,$A151,'בתי מרקחת Raw'!$C$6:$C$1616,2025)</f>
        <v>9</v>
      </c>
      <c r="D151" s="12" t="n">
        <f aca="false">SUMIFS('בתי מרקחת Raw'!$D$6:$D$1616,'בתי מרקחת Raw'!$F$6:$F$1616,$A151,'בתי מרקחת Raw'!$C$6:$C$1616,2026)</f>
        <v>4</v>
      </c>
      <c r="E151" s="12" t="n">
        <f aca="false">D151*$J$5</f>
        <v>5.05263157894737</v>
      </c>
      <c r="F151" s="12" t="n">
        <f aca="false">E151-C151</f>
        <v>-3.94736842105263</v>
      </c>
      <c r="G151" s="21" t="n">
        <f aca="false">IF(AND(C151=0,E151=0),0,IF(C151=0,"New",(E151-C151)/C151))</f>
        <v>-0.43859649122807</v>
      </c>
      <c r="H151" s="12" t="n">
        <f aca="false">SUMIFS('בתי מרקחת Raw'!$E$6:$E$1616,'בתי מרקחת Raw'!$F$6:$F$1616,$A151,'בתי מרקחת Raw'!$C$6:$C$1616,2025)</f>
        <v>2162.38</v>
      </c>
      <c r="I151" s="12" t="n">
        <f aca="false">SUMIFS('בתי מרקחת Raw'!$E$6:$E$1616,'בתי מרקחת Raw'!$F$6:$F$1616,$A151,'בתי מרקחת Raw'!$C$6:$C$1616,2026)</f>
        <v>1037.25</v>
      </c>
      <c r="J151" s="12" t="n">
        <f aca="false">I151*$J$5</f>
        <v>1310.21052631579</v>
      </c>
      <c r="K151" s="12"/>
      <c r="L151" s="22"/>
    </row>
    <row r="152" customFormat="false" ht="15" hidden="false" customHeight="true" outlineLevel="0" collapsed="false">
      <c r="A152" s="12" t="n">
        <v>4408205</v>
      </c>
      <c r="B152" s="12" t="str">
        <f aca="false">IFERROR(INDEX('בתי מרקחת Raw'!$B:$B,MATCH($A152,'בתי מרקחת Raw'!$F:$F,0)),"")</f>
        <v>AC-07 חגורת גב עם תמיכות</v>
      </c>
      <c r="C152" s="12" t="n">
        <f aca="false">SUMIFS('בתי מרקחת Raw'!$D$6:$D$1616,'בתי מרקחת Raw'!$F$6:$F$1616,$A152,'בתי מרקחת Raw'!$C$6:$C$1616,2025)</f>
        <v>1141</v>
      </c>
      <c r="D152" s="12" t="n">
        <f aca="false">SUMIFS('בתי מרקחת Raw'!$D$6:$D$1616,'בתי מרקחת Raw'!$F$6:$F$1616,$A152,'בתי מרקחת Raw'!$C$6:$C$1616,2026)</f>
        <v>821</v>
      </c>
      <c r="E152" s="12" t="n">
        <f aca="false">D152*$J$5</f>
        <v>1037.05263157895</v>
      </c>
      <c r="F152" s="12" t="n">
        <f aca="false">E152-C152</f>
        <v>-103.947368421053</v>
      </c>
      <c r="G152" s="21" t="n">
        <f aca="false">IF(AND(C152=0,E152=0),0,IF(C152=0,"New",(E152-C152)/C152))</f>
        <v>-0.0911019880990821</v>
      </c>
      <c r="H152" s="12" t="n">
        <f aca="false">SUMIFS('בתי מרקחת Raw'!$E$6:$E$1616,'בתי מרקחת Raw'!$F$6:$F$1616,$A152,'בתי מרקחת Raw'!$C$6:$C$1616,2025)</f>
        <v>97427.25</v>
      </c>
      <c r="I152" s="12" t="n">
        <f aca="false">SUMIFS('בתי מרקחת Raw'!$E$6:$E$1616,'בתי מרקחת Raw'!$F$6:$F$1616,$A152,'בתי מרקחת Raw'!$C$6:$C$1616,2026)</f>
        <v>70715.22</v>
      </c>
      <c r="J152" s="12" t="n">
        <f aca="false">I152*$J$5</f>
        <v>89324.4884210526</v>
      </c>
      <c r="K152" s="12"/>
      <c r="L152" s="22"/>
    </row>
    <row r="153" customFormat="false" ht="15" hidden="false" customHeight="true" outlineLevel="0" collapsed="false">
      <c r="A153" s="12" t="n">
        <v>4408206</v>
      </c>
      <c r="B153" s="12" t="str">
        <f aca="false">IFERROR(INDEX('בתי מרקחת Raw'!$B:$B,MATCH($A153,'בתי מרקחת Raw'!$F:$F,0)),"")</f>
        <v>AC-11 חגורת בטן קלה</v>
      </c>
      <c r="C153" s="12" t="n">
        <f aca="false">SUMIFS('בתי מרקחת Raw'!$D$6:$D$1616,'בתי מרקחת Raw'!$F$6:$F$1616,$A153,'בתי מרקחת Raw'!$C$6:$C$1616,2025)</f>
        <v>224</v>
      </c>
      <c r="D153" s="12" t="n">
        <f aca="false">SUMIFS('בתי מרקחת Raw'!$D$6:$D$1616,'בתי מרקחת Raw'!$F$6:$F$1616,$A153,'בתי מרקחת Raw'!$C$6:$C$1616,2026)</f>
        <v>161</v>
      </c>
      <c r="E153" s="12" t="n">
        <f aca="false">D153*$J$5</f>
        <v>203.368421052632</v>
      </c>
      <c r="F153" s="12" t="n">
        <f aca="false">E153-C153</f>
        <v>-20.6315789473684</v>
      </c>
      <c r="G153" s="21" t="n">
        <f aca="false">IF(AND(C153=0,E153=0),0,IF(C153=0,"New",(E153-C153)/C153))</f>
        <v>-0.0921052631578948</v>
      </c>
      <c r="H153" s="12" t="n">
        <f aca="false">SUMIFS('בתי מרקחת Raw'!$E$6:$E$1616,'בתי מרקחת Raw'!$F$6:$F$1616,$A153,'בתי מרקחת Raw'!$C$6:$C$1616,2025)</f>
        <v>14959.2</v>
      </c>
      <c r="I153" s="12" t="n">
        <f aca="false">SUMIFS('בתי מרקחת Raw'!$E$6:$E$1616,'בתי מרקחת Raw'!$F$6:$F$1616,$A153,'בתי מרקחת Raw'!$C$6:$C$1616,2026)</f>
        <v>10810.9</v>
      </c>
      <c r="J153" s="12" t="n">
        <f aca="false">I153*$J$5</f>
        <v>13655.8736842105</v>
      </c>
      <c r="K153" s="12"/>
      <c r="L153" s="22"/>
    </row>
    <row r="154" customFormat="false" ht="15" hidden="false" customHeight="true" outlineLevel="0" collapsed="false">
      <c r="A154" s="12" t="n">
        <v>4408207</v>
      </c>
      <c r="B154" s="12" t="str">
        <f aca="false">IFERROR(INDEX('בתי מרקחת Raw'!$B:$B,MATCH($A154,'בתי מרקחת Raw'!$F:$F,0)),"")</f>
        <v>AC-25 חבק לשורש כף היד</v>
      </c>
      <c r="C154" s="12" t="n">
        <f aca="false">SUMIFS('בתי מרקחת Raw'!$D$6:$D$1616,'בתי מרקחת Raw'!$F$6:$F$1616,$A154,'בתי מרקחת Raw'!$C$6:$C$1616,2025)</f>
        <v>1167</v>
      </c>
      <c r="D154" s="12" t="n">
        <f aca="false">SUMIFS('בתי מרקחת Raw'!$D$6:$D$1616,'בתי מרקחת Raw'!$F$6:$F$1616,$A154,'בתי מרקחת Raw'!$C$6:$C$1616,2026)</f>
        <v>833</v>
      </c>
      <c r="E154" s="12" t="n">
        <f aca="false">D154*$J$5</f>
        <v>1052.21052631579</v>
      </c>
      <c r="F154" s="12" t="n">
        <f aca="false">E154-C154</f>
        <v>-114.789473684211</v>
      </c>
      <c r="G154" s="21" t="n">
        <f aca="false">IF(AND(C154=0,E154=0),0,IF(C154=0,"New",(E154-C154)/C154))</f>
        <v>-0.0983628737653904</v>
      </c>
      <c r="H154" s="12" t="n">
        <f aca="false">SUMIFS('בתי מרקחת Raw'!$E$6:$E$1616,'בתי מרקחת Raw'!$F$6:$F$1616,$A154,'בתי מרקחת Raw'!$C$6:$C$1616,2025)</f>
        <v>37378.7</v>
      </c>
      <c r="I154" s="12" t="n">
        <f aca="false">SUMIFS('בתי מרקחת Raw'!$E$6:$E$1616,'בתי מרקחת Raw'!$F$6:$F$1616,$A154,'בתי מרקחת Raw'!$C$6:$C$1616,2026)</f>
        <v>28090.48</v>
      </c>
      <c r="J154" s="12" t="n">
        <f aca="false">I154*$J$5</f>
        <v>35482.7115789474</v>
      </c>
      <c r="K154" s="12"/>
      <c r="L154" s="22"/>
    </row>
    <row r="155" customFormat="false" ht="15" hidden="false" customHeight="true" outlineLevel="0" collapsed="false">
      <c r="A155" s="12" t="n">
        <v>4408208</v>
      </c>
      <c r="B155" s="12" t="str">
        <f aca="false">IFERROR(INDEX('בתי מרקחת Raw'!$B:$B,MATCH($A155,'בתי מרקחת Raw'!$F:$F,0)),"")</f>
        <v>AC91 חבק טניס</v>
      </c>
      <c r="C155" s="12" t="n">
        <f aca="false">SUMIFS('בתי מרקחת Raw'!$D$6:$D$1616,'בתי מרקחת Raw'!$F$6:$F$1616,$A155,'בתי מרקחת Raw'!$C$6:$C$1616,2025)</f>
        <v>467</v>
      </c>
      <c r="D155" s="12" t="n">
        <f aca="false">SUMIFS('בתי מרקחת Raw'!$D$6:$D$1616,'בתי מרקחת Raw'!$F$6:$F$1616,$A155,'בתי מרקחת Raw'!$C$6:$C$1616,2026)</f>
        <v>347</v>
      </c>
      <c r="E155" s="12" t="n">
        <f aca="false">D155*$J$5</f>
        <v>438.315789473684</v>
      </c>
      <c r="F155" s="12" t="n">
        <f aca="false">E155-C155</f>
        <v>-28.6842105263158</v>
      </c>
      <c r="G155" s="21" t="n">
        <f aca="false">IF(AND(C155=0,E155=0),0,IF(C155=0,"New",(E155-C155)/C155))</f>
        <v>-0.0614222923475714</v>
      </c>
      <c r="H155" s="12" t="n">
        <f aca="false">SUMIFS('בתי מרקחת Raw'!$E$6:$E$1616,'בתי מרקחת Raw'!$F$6:$F$1616,$A155,'בתי מרקחת Raw'!$C$6:$C$1616,2025)</f>
        <v>16837.32</v>
      </c>
      <c r="I155" s="12" t="n">
        <f aca="false">SUMIFS('בתי מרקחת Raw'!$E$6:$E$1616,'בתי מרקחת Raw'!$F$6:$F$1616,$A155,'בתי מרקחת Raw'!$C$6:$C$1616,2026)</f>
        <v>13112.72</v>
      </c>
      <c r="J155" s="12" t="n">
        <f aca="false">I155*$J$5</f>
        <v>16563.4357894737</v>
      </c>
      <c r="K155" s="12"/>
      <c r="L155" s="22"/>
    </row>
    <row r="156" customFormat="false" ht="15" hidden="false" customHeight="true" outlineLevel="0" collapsed="false">
      <c r="A156" s="12" t="n">
        <v>4408217</v>
      </c>
      <c r="B156" s="12" t="str">
        <f aca="false">IFERROR(INDEX('בתי מרקחת Raw'!$B:$B,MATCH($A156,'בתי מרקחת Raw'!$F:$F,0)),"")</f>
        <v>S078 חגורת גב +סגירה כפולה</v>
      </c>
      <c r="C156" s="12" t="n">
        <f aca="false">SUMIFS('בתי מרקחת Raw'!$D$6:$D$1616,'בתי מרקחת Raw'!$F$6:$F$1616,$A156,'בתי מרקחת Raw'!$C$6:$C$1616,2025)</f>
        <v>21</v>
      </c>
      <c r="D156" s="12" t="n">
        <f aca="false">SUMIFS('בתי מרקחת Raw'!$D$6:$D$1616,'בתי מרקחת Raw'!$F$6:$F$1616,$A156,'בתי מרקחת Raw'!$C$6:$C$1616,2026)</f>
        <v>8</v>
      </c>
      <c r="E156" s="12" t="n">
        <f aca="false">D156*$J$5</f>
        <v>10.1052631578947</v>
      </c>
      <c r="F156" s="12" t="n">
        <f aca="false">E156-C156</f>
        <v>-10.8947368421053</v>
      </c>
      <c r="G156" s="21" t="n">
        <f aca="false">IF(AND(C156=0,E156=0),0,IF(C156=0,"New",(E156-C156)/C156))</f>
        <v>-0.518796992481203</v>
      </c>
      <c r="H156" s="12" t="n">
        <f aca="false">SUMIFS('בתי מרקחת Raw'!$E$6:$E$1616,'בתי מרקחת Raw'!$F$6:$F$1616,$A156,'בתי מרקחת Raw'!$C$6:$C$1616,2025)</f>
        <v>2324.2</v>
      </c>
      <c r="I156" s="12" t="n">
        <f aca="false">SUMIFS('בתי מרקחת Raw'!$E$6:$E$1616,'בתי מרקחת Raw'!$F$6:$F$1616,$A156,'בתי מרקחת Raw'!$C$6:$C$1616,2026)</f>
        <v>858.9</v>
      </c>
      <c r="J156" s="12" t="n">
        <f aca="false">I156*$J$5</f>
        <v>1084.92631578947</v>
      </c>
      <c r="K156" s="12"/>
      <c r="L156" s="22"/>
    </row>
    <row r="157" customFormat="false" ht="15" hidden="false" customHeight="true" outlineLevel="0" collapsed="false">
      <c r="A157" s="12" t="n">
        <v>4408218</v>
      </c>
      <c r="B157" s="12" t="str">
        <f aca="false">IFERROR(INDEX('בתי מרקחת Raw'!$B:$B,MATCH($A157,'בתי מרקחת Raw'!$F:$F,0)),"")</f>
        <v>078XL חגורת גב +סגירה כפולה</v>
      </c>
      <c r="C157" s="12" t="n">
        <f aca="false">SUMIFS('בתי מרקחת Raw'!$D$6:$D$1616,'בתי מרקחת Raw'!$F$6:$F$1616,$A157,'בתי מרקחת Raw'!$C$6:$C$1616,2025)</f>
        <v>121</v>
      </c>
      <c r="D157" s="12" t="n">
        <f aca="false">SUMIFS('בתי מרקחת Raw'!$D$6:$D$1616,'בתי מרקחת Raw'!$F$6:$F$1616,$A157,'בתי מרקחת Raw'!$C$6:$C$1616,2026)</f>
        <v>53</v>
      </c>
      <c r="E157" s="12" t="n">
        <f aca="false">D157*$J$5</f>
        <v>66.9473684210526</v>
      </c>
      <c r="F157" s="12" t="n">
        <f aca="false">E157-C157</f>
        <v>-54.0526315789474</v>
      </c>
      <c r="G157" s="21" t="n">
        <f aca="false">IF(AND(C157=0,E157=0),0,IF(C157=0,"New",(E157-C157)/C157))</f>
        <v>-0.446715963462375</v>
      </c>
      <c r="H157" s="12" t="n">
        <f aca="false">SUMIFS('בתי מרקחת Raw'!$E$6:$E$1616,'בתי מרקחת Raw'!$F$6:$F$1616,$A157,'בתי מרקחת Raw'!$C$6:$C$1616,2025)</f>
        <v>13380.2</v>
      </c>
      <c r="I157" s="12" t="n">
        <f aca="false">SUMIFS('בתי מרקחת Raw'!$E$6:$E$1616,'בתי מרקחת Raw'!$F$6:$F$1616,$A157,'בתי מרקחת Raw'!$C$6:$C$1616,2026)</f>
        <v>6083.04</v>
      </c>
      <c r="J157" s="12" t="n">
        <f aca="false">I157*$J$5</f>
        <v>7683.84</v>
      </c>
      <c r="K157" s="12"/>
      <c r="L157" s="22"/>
    </row>
    <row r="158" customFormat="false" ht="15" hidden="false" customHeight="true" outlineLevel="0" collapsed="false">
      <c r="A158" s="12" t="n">
        <v>4408219</v>
      </c>
      <c r="B158" s="12" t="str">
        <f aca="false">IFERROR(INDEX('בתי מרקחת Raw'!$B:$B,MATCH($A158,'בתי מרקחת Raw'!$F:$F,0)),"")</f>
        <v>078G-S חגורת גב אפורה</v>
      </c>
      <c r="C158" s="12" t="n">
        <f aca="false">SUMIFS('בתי מרקחת Raw'!$D$6:$D$1616,'בתי מרקחת Raw'!$F$6:$F$1616,$A158,'בתי מרקחת Raw'!$C$6:$C$1616,2025)</f>
        <v>5</v>
      </c>
      <c r="D158" s="12" t="n">
        <f aca="false">SUMIFS('בתי מרקחת Raw'!$D$6:$D$1616,'בתי מרקחת Raw'!$F$6:$F$1616,$A158,'בתי מרקחת Raw'!$C$6:$C$1616,2026)</f>
        <v>5</v>
      </c>
      <c r="E158" s="12" t="n">
        <f aca="false">D158*$J$5</f>
        <v>6.31578947368421</v>
      </c>
      <c r="F158" s="12" t="n">
        <f aca="false">E158-C158</f>
        <v>1.31578947368421</v>
      </c>
      <c r="G158" s="21" t="n">
        <f aca="false">IF(AND(C158=0,E158=0),0,IF(C158=0,"New",(E158-C158)/C158))</f>
        <v>0.263157894736842</v>
      </c>
      <c r="H158" s="12" t="n">
        <f aca="false">SUMIFS('בתי מרקחת Raw'!$E$6:$E$1616,'בתי מרקחת Raw'!$F$6:$F$1616,$A158,'בתי מרקחת Raw'!$C$6:$C$1616,2025)</f>
        <v>577.8</v>
      </c>
      <c r="I158" s="12" t="n">
        <f aca="false">SUMIFS('בתי מרקחת Raw'!$E$6:$E$1616,'בתי מרקחת Raw'!$F$6:$F$1616,$A158,'בתי מרקחת Raw'!$C$6:$C$1616,2026)</f>
        <v>554.4</v>
      </c>
      <c r="J158" s="12" t="n">
        <f aca="false">I158*$J$5</f>
        <v>700.294736842105</v>
      </c>
      <c r="K158" s="12"/>
      <c r="L158" s="22"/>
    </row>
    <row r="159" customFormat="false" ht="15" hidden="false" customHeight="true" outlineLevel="0" collapsed="false">
      <c r="A159" s="12" t="n">
        <v>4408220</v>
      </c>
      <c r="B159" s="12" t="str">
        <f aca="false">IFERROR(INDEX('בתי מרקחת Raw'!$B:$B,MATCH($A159,'בתי מרקחת Raw'!$F:$F,0)),"")</f>
        <v>078G-M חגורת גב אפורה</v>
      </c>
      <c r="C159" s="12" t="n">
        <f aca="false">SUMIFS('בתי מרקחת Raw'!$D$6:$D$1616,'בתי מרקחת Raw'!$F$6:$F$1616,$A159,'בתי מרקחת Raw'!$C$6:$C$1616,2025)</f>
        <v>27</v>
      </c>
      <c r="D159" s="12" t="n">
        <f aca="false">SUMIFS('בתי מרקחת Raw'!$D$6:$D$1616,'בתי מרקחת Raw'!$F$6:$F$1616,$A159,'בתי מרקחת Raw'!$C$6:$C$1616,2026)</f>
        <v>27</v>
      </c>
      <c r="E159" s="12" t="n">
        <f aca="false">D159*$J$5</f>
        <v>34.1052631578947</v>
      </c>
      <c r="F159" s="12" t="n">
        <f aca="false">E159-C159</f>
        <v>7.10526315789473</v>
      </c>
      <c r="G159" s="21" t="n">
        <f aca="false">IF(AND(C159=0,E159=0),0,IF(C159=0,"New",(E159-C159)/C159))</f>
        <v>0.263157894736842</v>
      </c>
      <c r="H159" s="12" t="n">
        <f aca="false">SUMIFS('בתי מרקחת Raw'!$E$6:$E$1616,'בתי מרקחת Raw'!$F$6:$F$1616,$A159,'בתי מרקחת Raw'!$C$6:$C$1616,2025)</f>
        <v>2977.7</v>
      </c>
      <c r="I159" s="12" t="n">
        <f aca="false">SUMIFS('בתי מרקחת Raw'!$E$6:$E$1616,'בתי מרקחת Raw'!$F$6:$F$1616,$A159,'בתי מרקחת Raw'!$C$6:$C$1616,2026)</f>
        <v>3009.4</v>
      </c>
      <c r="J159" s="12" t="n">
        <f aca="false">I159*$J$5</f>
        <v>3801.34736842105</v>
      </c>
      <c r="K159" s="12"/>
      <c r="L159" s="22"/>
    </row>
    <row r="160" customFormat="false" ht="15" hidden="false" customHeight="true" outlineLevel="0" collapsed="false">
      <c r="A160" s="12" t="n">
        <v>4408221</v>
      </c>
      <c r="B160" s="12" t="str">
        <f aca="false">IFERROR(INDEX('בתי מרקחת Raw'!$B:$B,MATCH($A160,'בתי מרקחת Raw'!$F:$F,0)),"")</f>
        <v>078G-L חגורת גב אפורה</v>
      </c>
      <c r="C160" s="12" t="n">
        <f aca="false">SUMIFS('בתי מרקחת Raw'!$D$6:$D$1616,'בתי מרקחת Raw'!$F$6:$F$1616,$A160,'בתי מרקחת Raw'!$C$6:$C$1616,2025)</f>
        <v>50</v>
      </c>
      <c r="D160" s="12" t="n">
        <f aca="false">SUMIFS('בתי מרקחת Raw'!$D$6:$D$1616,'בתי מרקחת Raw'!$F$6:$F$1616,$A160,'בתי מרקחת Raw'!$C$6:$C$1616,2026)</f>
        <v>43</v>
      </c>
      <c r="E160" s="12" t="n">
        <f aca="false">D160*$J$5</f>
        <v>54.3157894736842</v>
      </c>
      <c r="F160" s="12" t="n">
        <f aca="false">E160-C160</f>
        <v>4.31578947368421</v>
      </c>
      <c r="G160" s="21" t="n">
        <f aca="false">IF(AND(C160=0,E160=0),0,IF(C160=0,"New",(E160-C160)/C160))</f>
        <v>0.0863157894736841</v>
      </c>
      <c r="H160" s="12" t="n">
        <f aca="false">SUMIFS('בתי מרקחת Raw'!$E$6:$E$1616,'בתי מרקחת Raw'!$F$6:$F$1616,$A160,'בתי מרקחת Raw'!$C$6:$C$1616,2025)</f>
        <v>5649.4</v>
      </c>
      <c r="I160" s="12" t="n">
        <f aca="false">SUMIFS('בתי מרקחת Raw'!$E$6:$E$1616,'בתי מרקחת Raw'!$F$6:$F$1616,$A160,'בתי מרקחת Raw'!$C$6:$C$1616,2026)</f>
        <v>4953.8</v>
      </c>
      <c r="J160" s="12" t="n">
        <f aca="false">I160*$J$5</f>
        <v>6257.43157894737</v>
      </c>
      <c r="K160" s="12"/>
      <c r="L160" s="22"/>
    </row>
    <row r="161" customFormat="false" ht="15" hidden="false" customHeight="true" outlineLevel="0" collapsed="false">
      <c r="A161" s="12" t="n">
        <v>4408222</v>
      </c>
      <c r="B161" s="12" t="str">
        <f aca="false">IFERROR(INDEX('בתי מרקחת Raw'!$B:$B,MATCH($A161,'בתי מרקחת Raw'!$F:$F,0)),"")</f>
        <v>078G-XLחגורת גב אפורה</v>
      </c>
      <c r="C161" s="12" t="n">
        <f aca="false">SUMIFS('בתי מרקחת Raw'!$D$6:$D$1616,'בתי מרקחת Raw'!$F$6:$F$1616,$A161,'בתי מרקחת Raw'!$C$6:$C$1616,2025)</f>
        <v>54</v>
      </c>
      <c r="D161" s="12" t="n">
        <f aca="false">SUMIFS('בתי מרקחת Raw'!$D$6:$D$1616,'בתי מרקחת Raw'!$F$6:$F$1616,$A161,'בתי מרקחת Raw'!$C$6:$C$1616,2026)</f>
        <v>35</v>
      </c>
      <c r="E161" s="12" t="n">
        <f aca="false">D161*$J$5</f>
        <v>44.2105263157895</v>
      </c>
      <c r="F161" s="12" t="n">
        <f aca="false">E161-C161</f>
        <v>-9.78947368421053</v>
      </c>
      <c r="G161" s="21" t="n">
        <f aca="false">IF(AND(C161=0,E161=0),0,IF(C161=0,"New",(E161-C161)/C161))</f>
        <v>-0.181286549707602</v>
      </c>
      <c r="H161" s="12" t="n">
        <f aca="false">SUMIFS('בתי מרקחת Raw'!$E$6:$E$1616,'בתי מרקחת Raw'!$F$6:$F$1616,$A161,'בתי מרקחת Raw'!$C$6:$C$1616,2025)</f>
        <v>5997.87</v>
      </c>
      <c r="I161" s="12" t="n">
        <f aca="false">SUMIFS('בתי מרקחת Raw'!$E$6:$E$1616,'בתי מרקחת Raw'!$F$6:$F$1616,$A161,'בתי מרקחת Raw'!$C$6:$C$1616,2026)</f>
        <v>3813.7</v>
      </c>
      <c r="J161" s="12" t="n">
        <f aca="false">I161*$J$5</f>
        <v>4817.30526315789</v>
      </c>
      <c r="K161" s="12"/>
      <c r="L161" s="22"/>
    </row>
    <row r="162" customFormat="false" ht="15" hidden="false" customHeight="true" outlineLevel="0" collapsed="false">
      <c r="A162" s="12" t="n">
        <v>4408223</v>
      </c>
      <c r="B162" s="12" t="str">
        <f aca="false">IFERROR(INDEX('בתי מרקחת Raw'!$B:$B,MATCH($A162,'בתי מרקחת Raw'!$F:$F,0)),"")</f>
        <v>078G-XXLחגורת גב אפורה</v>
      </c>
      <c r="C162" s="12" t="n">
        <f aca="false">SUMIFS('בתי מרקחת Raw'!$D$6:$D$1616,'בתי מרקחת Raw'!$F$6:$F$1616,$A162,'בתי מרקחת Raw'!$C$6:$C$1616,2025)</f>
        <v>41</v>
      </c>
      <c r="D162" s="12" t="n">
        <f aca="false">SUMIFS('בתי מרקחת Raw'!$D$6:$D$1616,'בתי מרקחת Raw'!$F$6:$F$1616,$A162,'בתי מרקחת Raw'!$C$6:$C$1616,2026)</f>
        <v>22</v>
      </c>
      <c r="E162" s="12" t="n">
        <f aca="false">D162*$J$5</f>
        <v>27.7894736842105</v>
      </c>
      <c r="F162" s="12" t="n">
        <f aca="false">E162-C162</f>
        <v>-13.2105263157895</v>
      </c>
      <c r="G162" s="21" t="n">
        <f aca="false">IF(AND(C162=0,E162=0),0,IF(C162=0,"New",(E162-C162)/C162))</f>
        <v>-0.322207958921695</v>
      </c>
      <c r="H162" s="12" t="n">
        <f aca="false">SUMIFS('בתי מרקחת Raw'!$E$6:$E$1616,'בתי מרקחת Raw'!$F$6:$F$1616,$A162,'בתי מרקחת Raw'!$C$6:$C$1616,2025)</f>
        <v>4452.3</v>
      </c>
      <c r="I162" s="12" t="n">
        <f aca="false">SUMIFS('בתי מרקחת Raw'!$E$6:$E$1616,'בתי מרקחת Raw'!$F$6:$F$1616,$A162,'בתי מרקחת Raw'!$C$6:$C$1616,2026)</f>
        <v>2494.1</v>
      </c>
      <c r="J162" s="12" t="n">
        <f aca="false">I162*$J$5</f>
        <v>3150.44210526316</v>
      </c>
      <c r="K162" s="12"/>
      <c r="L162" s="22"/>
    </row>
    <row r="163" customFormat="false" ht="15" hidden="false" customHeight="true" outlineLevel="0" collapsed="false">
      <c r="A163" s="12" t="n">
        <v>4408225</v>
      </c>
      <c r="B163" s="12" t="str">
        <f aca="false">IFERROR(INDEX('בתי מרקחת Raw'!$B:$B,MATCH($A163,'בתי מרקחת Raw'!$F:$F,0)),"")</f>
        <v>M 11 אפורUG חגורת בטן</v>
      </c>
      <c r="C163" s="12" t="n">
        <f aca="false">SUMIFS('בתי מרקחת Raw'!$D$6:$D$1616,'בתי מרקחת Raw'!$F$6:$F$1616,$A163,'בתי מרקחת Raw'!$C$6:$C$1616,2025)</f>
        <v>3</v>
      </c>
      <c r="D163" s="12" t="n">
        <f aca="false">SUMIFS('בתי מרקחת Raw'!$D$6:$D$1616,'בתי מרקחת Raw'!$F$6:$F$1616,$A163,'בתי מרקחת Raw'!$C$6:$C$1616,2026)</f>
        <v>0</v>
      </c>
      <c r="E163" s="12" t="n">
        <f aca="false">D163*$J$5</f>
        <v>0</v>
      </c>
      <c r="F163" s="12" t="n">
        <f aca="false">E163-C163</f>
        <v>-3</v>
      </c>
      <c r="G163" s="21" t="n">
        <f aca="false">IF(AND(C163=0,E163=0),0,IF(C163=0,"New",(E163-C163)/C163))</f>
        <v>-1</v>
      </c>
      <c r="H163" s="12" t="n">
        <f aca="false">SUMIFS('בתי מרקחת Raw'!$E$6:$E$1616,'בתי מרקחת Raw'!$F$6:$F$1616,$A163,'בתי מרקחת Raw'!$C$6:$C$1616,2025)</f>
        <v>288.7</v>
      </c>
      <c r="I163" s="12" t="n">
        <f aca="false">SUMIFS('בתי מרקחת Raw'!$E$6:$E$1616,'בתי מרקחת Raw'!$F$6:$F$1616,$A163,'בתי מרקחת Raw'!$C$6:$C$1616,2026)</f>
        <v>0</v>
      </c>
      <c r="J163" s="12" t="n">
        <f aca="false">I163*$J$5</f>
        <v>0</v>
      </c>
      <c r="K163" s="12"/>
      <c r="L163" s="22"/>
    </row>
    <row r="164" customFormat="false" ht="15" hidden="false" customHeight="true" outlineLevel="0" collapsed="false">
      <c r="A164" s="12" t="n">
        <v>4408226</v>
      </c>
      <c r="B164" s="12" t="str">
        <f aca="false">IFERROR(INDEX('בתי מרקחת Raw'!$B:$B,MATCH($A164,'בתי מרקחת Raw'!$F:$F,0)),"")</f>
        <v>L 11 אפורUG חגורת בטן</v>
      </c>
      <c r="C164" s="12" t="n">
        <f aca="false">SUMIFS('בתי מרקחת Raw'!$D$6:$D$1616,'בתי מרקחת Raw'!$F$6:$F$1616,$A164,'בתי מרקחת Raw'!$C$6:$C$1616,2025)</f>
        <v>2</v>
      </c>
      <c r="D164" s="12" t="n">
        <f aca="false">SUMIFS('בתי מרקחת Raw'!$D$6:$D$1616,'בתי מרקחת Raw'!$F$6:$F$1616,$A164,'בתי מרקחת Raw'!$C$6:$C$1616,2026)</f>
        <v>0</v>
      </c>
      <c r="E164" s="12" t="n">
        <f aca="false">D164*$J$5</f>
        <v>0</v>
      </c>
      <c r="F164" s="12" t="n">
        <f aca="false">E164-C164</f>
        <v>-2</v>
      </c>
      <c r="G164" s="21" t="n">
        <f aca="false">IF(AND(C164=0,E164=0),0,IF(C164=0,"New",(E164-C164)/C164))</f>
        <v>-1</v>
      </c>
      <c r="H164" s="12" t="n">
        <f aca="false">SUMIFS('בתי מרקחת Raw'!$E$6:$E$1616,'בתי מרקחת Raw'!$F$6:$F$1616,$A164,'בתי מרקחת Raw'!$C$6:$C$1616,2025)</f>
        <v>206.1</v>
      </c>
      <c r="I164" s="12" t="n">
        <f aca="false">SUMIFS('בתי מרקחת Raw'!$E$6:$E$1616,'בתי מרקחת Raw'!$F$6:$F$1616,$A164,'בתי מרקחת Raw'!$C$6:$C$1616,2026)</f>
        <v>0</v>
      </c>
      <c r="J164" s="12" t="n">
        <f aca="false">I164*$J$5</f>
        <v>0</v>
      </c>
      <c r="K164" s="12"/>
      <c r="L164" s="22"/>
    </row>
    <row r="165" customFormat="false" ht="15" hidden="false" customHeight="true" outlineLevel="0" collapsed="false">
      <c r="A165" s="12" t="n">
        <v>4408227</v>
      </c>
      <c r="B165" s="12" t="str">
        <f aca="false">IFERROR(INDEX('בתי מרקחת Raw'!$B:$B,MATCH($A165,'בתי מרקחת Raw'!$F:$F,0)),"")</f>
        <v>XL 11 אפורUG חגורת בטן</v>
      </c>
      <c r="C165" s="12" t="n">
        <f aca="false">SUMIFS('בתי מרקחת Raw'!$D$6:$D$1616,'בתי מרקחת Raw'!$F$6:$F$1616,$A165,'בתי מרקחת Raw'!$C$6:$C$1616,2025)</f>
        <v>1</v>
      </c>
      <c r="D165" s="12" t="n">
        <f aca="false">SUMIFS('בתי מרקחת Raw'!$D$6:$D$1616,'בתי מרקחת Raw'!$F$6:$F$1616,$A165,'בתי מרקחת Raw'!$C$6:$C$1616,2026)</f>
        <v>0</v>
      </c>
      <c r="E165" s="12" t="n">
        <f aca="false">D165*$J$5</f>
        <v>0</v>
      </c>
      <c r="F165" s="12" t="n">
        <f aca="false">E165-C165</f>
        <v>-1</v>
      </c>
      <c r="G165" s="21" t="n">
        <f aca="false">IF(AND(C165=0,E165=0),0,IF(C165=0,"New",(E165-C165)/C165))</f>
        <v>-1</v>
      </c>
      <c r="H165" s="12" t="n">
        <f aca="false">SUMIFS('בתי מרקחת Raw'!$E$6:$E$1616,'בתי מרקחת Raw'!$F$6:$F$1616,$A165,'בתי מרקחת Raw'!$C$6:$C$1616,2025)</f>
        <v>103.1</v>
      </c>
      <c r="I165" s="12" t="n">
        <f aca="false">SUMIFS('בתי מרקחת Raw'!$E$6:$E$1616,'בתי מרקחת Raw'!$F$6:$F$1616,$A165,'בתי מרקחת Raw'!$C$6:$C$1616,2026)</f>
        <v>0</v>
      </c>
      <c r="J165" s="12" t="n">
        <f aca="false">I165*$J$5</f>
        <v>0</v>
      </c>
      <c r="K165" s="12"/>
      <c r="L165" s="22"/>
    </row>
    <row r="166" customFormat="false" ht="15" hidden="false" customHeight="true" outlineLevel="0" collapsed="false">
      <c r="A166" s="12" t="n">
        <v>4408229</v>
      </c>
      <c r="B166" s="12" t="str">
        <f aca="false">IFERROR(INDEX('בתי מרקחת Raw'!$B:$B,MATCH($A166,'בתי מרקחת Raw'!$F:$F,0)),"")</f>
        <v>XXL 11אפורUGחגורת בטן</v>
      </c>
      <c r="C166" s="12" t="n">
        <f aca="false">SUMIFS('בתי מרקחת Raw'!$D$6:$D$1616,'בתי מרקחת Raw'!$F$6:$F$1616,$A166,'בתי מרקחת Raw'!$C$6:$C$1616,2025)</f>
        <v>1</v>
      </c>
      <c r="D166" s="12" t="n">
        <f aca="false">SUMIFS('בתי מרקחת Raw'!$D$6:$D$1616,'בתי מרקחת Raw'!$F$6:$F$1616,$A166,'בתי מרקחת Raw'!$C$6:$C$1616,2026)</f>
        <v>-1</v>
      </c>
      <c r="E166" s="12" t="n">
        <f aca="false">D166*$J$5</f>
        <v>-1.26315789473684</v>
      </c>
      <c r="F166" s="12" t="n">
        <f aca="false">E166-C166</f>
        <v>-2.26315789473684</v>
      </c>
      <c r="G166" s="21" t="n">
        <f aca="false">IF(AND(C166=0,E166=0),0,IF(C166=0,"New",(E166-C166)/C166))</f>
        <v>-2.26315789473684</v>
      </c>
      <c r="H166" s="12" t="n">
        <f aca="false">SUMIFS('בתי מרקחת Raw'!$E$6:$E$1616,'בתי מרקחת Raw'!$F$6:$F$1616,$A166,'בתי מרקחת Raw'!$C$6:$C$1616,2025)</f>
        <v>103.1</v>
      </c>
      <c r="I166" s="12" t="n">
        <f aca="false">SUMIFS('בתי מרקחת Raw'!$E$6:$E$1616,'בתי מרקחת Raw'!$F$6:$F$1616,$A166,'בתי מרקחת Raw'!$C$6:$C$1616,2026)</f>
        <v>-92.8</v>
      </c>
      <c r="J166" s="12" t="n">
        <f aca="false">I166*$J$5</f>
        <v>-117.221052631579</v>
      </c>
      <c r="K166" s="12"/>
      <c r="L166" s="22"/>
    </row>
    <row r="167" customFormat="false" ht="15" hidden="false" customHeight="true" outlineLevel="0" collapsed="false">
      <c r="A167" s="12" t="n">
        <v>4408230</v>
      </c>
      <c r="B167" s="12" t="str">
        <f aca="false">IFERROR(INDEX('בתי מרקחת Raw'!$B:$B,MATCH($A167,'בתי מרקחת Raw'!$F:$F,0)),"")</f>
        <v>16 L-XL חגורת הריון</v>
      </c>
      <c r="C167" s="12" t="n">
        <f aca="false">SUMIFS('בתי מרקחת Raw'!$D$6:$D$1616,'בתי מרקחת Raw'!$F$6:$F$1616,$A167,'בתי מרקחת Raw'!$C$6:$C$1616,2025)</f>
        <v>27</v>
      </c>
      <c r="D167" s="12" t="n">
        <f aca="false">SUMIFS('בתי מרקחת Raw'!$D$6:$D$1616,'בתי מרקחת Raw'!$F$6:$F$1616,$A167,'בתי מרקחת Raw'!$C$6:$C$1616,2026)</f>
        <v>24</v>
      </c>
      <c r="E167" s="12" t="n">
        <f aca="false">D167*$J$5</f>
        <v>30.3157894736842</v>
      </c>
      <c r="F167" s="12" t="n">
        <f aca="false">E167-C167</f>
        <v>3.31578947368421</v>
      </c>
      <c r="G167" s="21" t="n">
        <f aca="false">IF(AND(C167=0,E167=0),0,IF(C167=0,"New",(E167-C167)/C167))</f>
        <v>0.12280701754386</v>
      </c>
      <c r="H167" s="12" t="n">
        <f aca="false">SUMIFS('בתי מרקחת Raw'!$E$6:$E$1616,'בתי מרקחת Raw'!$F$6:$F$1616,$A167,'בתי מרקחת Raw'!$C$6:$C$1616,2025)</f>
        <v>2825.12</v>
      </c>
      <c r="I167" s="12" t="n">
        <f aca="false">SUMIFS('בתי מרקחת Raw'!$E$6:$E$1616,'בתי מרקחת Raw'!$F$6:$F$1616,$A167,'בתי מרקחת Raw'!$C$6:$C$1616,2026)</f>
        <v>2741.23</v>
      </c>
      <c r="J167" s="12" t="n">
        <f aca="false">I167*$J$5</f>
        <v>3462.60631578947</v>
      </c>
      <c r="K167" s="12"/>
      <c r="L167" s="22"/>
    </row>
    <row r="168" customFormat="false" ht="15" hidden="false" customHeight="true" outlineLevel="0" collapsed="false">
      <c r="A168" s="12" t="n">
        <v>4408231</v>
      </c>
      <c r="B168" s="12" t="str">
        <f aca="false">IFERROR(INDEX('בתי מרקחת Raw'!$B:$B,MATCH($A168,'בתי מרקחת Raw'!$F:$F,0)),"")</f>
        <v>16 S-M חגורת הריון</v>
      </c>
      <c r="C168" s="12" t="n">
        <f aca="false">SUMIFS('בתי מרקחת Raw'!$D$6:$D$1616,'בתי מרקחת Raw'!$F$6:$F$1616,$A168,'בתי מרקחת Raw'!$C$6:$C$1616,2025)</f>
        <v>11</v>
      </c>
      <c r="D168" s="12" t="n">
        <f aca="false">SUMIFS('בתי מרקחת Raw'!$D$6:$D$1616,'בתי מרקחת Raw'!$F$6:$F$1616,$A168,'בתי מרקחת Raw'!$C$6:$C$1616,2026)</f>
        <v>19</v>
      </c>
      <c r="E168" s="12" t="n">
        <f aca="false">D168*$J$5</f>
        <v>24</v>
      </c>
      <c r="F168" s="12" t="n">
        <f aca="false">E168-C168</f>
        <v>13</v>
      </c>
      <c r="G168" s="21" t="n">
        <f aca="false">IF(AND(C168=0,E168=0),0,IF(C168=0,"New",(E168-C168)/C168))</f>
        <v>1.18181818181818</v>
      </c>
      <c r="H168" s="12" t="n">
        <f aca="false">SUMIFS('בתי מרקחת Raw'!$E$6:$E$1616,'בתי מרקחת Raw'!$F$6:$F$1616,$A168,'בתי מרקחת Raw'!$C$6:$C$1616,2025)</f>
        <v>1119.63</v>
      </c>
      <c r="I168" s="12" t="n">
        <f aca="false">SUMIFS('בתי מרקחת Raw'!$E$6:$E$1616,'בתי מרקחת Raw'!$F$6:$F$1616,$A168,'בתי מרקחת Raw'!$C$6:$C$1616,2026)</f>
        <v>2105.9</v>
      </c>
      <c r="J168" s="12" t="n">
        <f aca="false">I168*$J$5</f>
        <v>2660.08421052632</v>
      </c>
      <c r="K168" s="12"/>
      <c r="L168" s="22"/>
    </row>
    <row r="169" customFormat="false" ht="15" hidden="false" customHeight="true" outlineLevel="0" collapsed="false">
      <c r="A169" s="12" t="n">
        <v>4408232</v>
      </c>
      <c r="B169" s="12" t="str">
        <f aca="false">IFERROR(INDEX('בתי מרקחת Raw'!$B:$B,MATCH($A169,'בתי מרקחת Raw'!$F:$F,0)),"")</f>
        <v>16 XXL חגורת הריון</v>
      </c>
      <c r="C169" s="12" t="n">
        <f aca="false">SUMIFS('בתי מרקחת Raw'!$D$6:$D$1616,'בתי מרקחת Raw'!$F$6:$F$1616,$A169,'בתי מרקחת Raw'!$C$6:$C$1616,2025)</f>
        <v>2</v>
      </c>
      <c r="D169" s="12" t="n">
        <f aca="false">SUMIFS('בתי מרקחת Raw'!$D$6:$D$1616,'בתי מרקחת Raw'!$F$6:$F$1616,$A169,'בתי מרקחת Raw'!$C$6:$C$1616,2026)</f>
        <v>4</v>
      </c>
      <c r="E169" s="12" t="n">
        <f aca="false">D169*$J$5</f>
        <v>5.05263157894737</v>
      </c>
      <c r="F169" s="12" t="n">
        <f aca="false">E169-C169</f>
        <v>3.05263157894737</v>
      </c>
      <c r="G169" s="21" t="n">
        <f aca="false">IF(AND(C169=0,E169=0),0,IF(C169=0,"New",(E169-C169)/C169))</f>
        <v>1.52631578947368</v>
      </c>
      <c r="H169" s="12" t="n">
        <f aca="false">SUMIFS('בתי מרקחת Raw'!$E$6:$E$1616,'בתי מרקחת Raw'!$F$6:$F$1616,$A169,'בתי מרקחת Raw'!$C$6:$C$1616,2025)</f>
        <v>236.2</v>
      </c>
      <c r="I169" s="12" t="n">
        <f aca="false">SUMIFS('בתי מרקחת Raw'!$E$6:$E$1616,'בתי מרקחת Raw'!$F$6:$F$1616,$A169,'בתי מרקחת Raw'!$C$6:$C$1616,2026)</f>
        <v>489.2</v>
      </c>
      <c r="J169" s="12" t="n">
        <f aca="false">I169*$J$5</f>
        <v>617.936842105263</v>
      </c>
      <c r="K169" s="12"/>
      <c r="L169" s="22"/>
    </row>
    <row r="170" customFormat="false" ht="15" hidden="false" customHeight="true" outlineLevel="0" collapsed="false">
      <c r="A170" s="12" t="n">
        <v>4408234</v>
      </c>
      <c r="B170" s="12" t="str">
        <f aca="false">IFERROR(INDEX('בתי מרקחת Raw'!$B:$B,MATCH($A170,'בתי מרקחת Raw'!$F:$F,0)),"")</f>
        <v>078C M'חגורת גב+סגירה כפו בז</v>
      </c>
      <c r="C170" s="12" t="n">
        <f aca="false">SUMIFS('בתי מרקחת Raw'!$D$6:$D$1616,'בתי מרקחת Raw'!$F$6:$F$1616,$A170,'בתי מרקחת Raw'!$C$6:$C$1616,2025)</f>
        <v>-1</v>
      </c>
      <c r="D170" s="12" t="n">
        <f aca="false">SUMIFS('בתי מרקחת Raw'!$D$6:$D$1616,'בתי מרקחת Raw'!$F$6:$F$1616,$A170,'בתי מרקחת Raw'!$C$6:$C$1616,2026)</f>
        <v>0</v>
      </c>
      <c r="E170" s="12" t="n">
        <f aca="false">D170*$J$5</f>
        <v>0</v>
      </c>
      <c r="F170" s="12" t="n">
        <f aca="false">E170-C170</f>
        <v>1</v>
      </c>
      <c r="G170" s="21" t="n">
        <f aca="false">IF(AND(C170=0,E170=0),0,IF(C170=0,"New",(E170-C170)/C170))</f>
        <v>-1</v>
      </c>
      <c r="H170" s="12" t="n">
        <f aca="false">SUMIFS('בתי מרקחת Raw'!$E$6:$E$1616,'בתי מרקחת Raw'!$F$6:$F$1616,$A170,'בתי מרקחת Raw'!$C$6:$C$1616,2025)</f>
        <v>-133.3</v>
      </c>
      <c r="I170" s="12" t="n">
        <f aca="false">SUMIFS('בתי מרקחת Raw'!$E$6:$E$1616,'בתי מרקחת Raw'!$F$6:$F$1616,$A170,'בתי מרקחת Raw'!$C$6:$C$1616,2026)</f>
        <v>-37.1</v>
      </c>
      <c r="J170" s="12" t="n">
        <f aca="false">I170*$J$5</f>
        <v>-46.8631578947368</v>
      </c>
      <c r="K170" s="12"/>
      <c r="L170" s="22"/>
    </row>
    <row r="171" customFormat="false" ht="15" hidden="false" customHeight="true" outlineLevel="0" collapsed="false">
      <c r="A171" s="12" t="n">
        <v>4408235</v>
      </c>
      <c r="B171" s="12" t="str">
        <f aca="false">IFERROR(INDEX('בתי מרקחת Raw'!$B:$B,MATCH($A171,'בתי מרקחת Raw'!$F:$F,0)),"")</f>
        <v>078C S'חגורת גב+סגירה כפו בז</v>
      </c>
      <c r="C171" s="12" t="n">
        <f aca="false">SUMIFS('בתי מרקחת Raw'!$D$6:$D$1616,'בתי מרקחת Raw'!$F$6:$F$1616,$A171,'בתי מרקחת Raw'!$C$6:$C$1616,2025)</f>
        <v>0</v>
      </c>
      <c r="D171" s="12" t="n">
        <f aca="false">SUMIFS('בתי מרקחת Raw'!$D$6:$D$1616,'בתי מרקחת Raw'!$F$6:$F$1616,$A171,'בתי מרקחת Raw'!$C$6:$C$1616,2026)</f>
        <v>1</v>
      </c>
      <c r="E171" s="12" t="n">
        <f aca="false">D171*$J$5</f>
        <v>1.26315789473684</v>
      </c>
      <c r="F171" s="12" t="n">
        <f aca="false">E171-C171</f>
        <v>1.26315789473684</v>
      </c>
      <c r="G171" s="21" t="str">
        <f aca="false">IF(AND(C171=0,E171=0),0,IF(C171=0,"New",(E171-C171)/C171))</f>
        <v>New</v>
      </c>
      <c r="H171" s="12" t="n">
        <f aca="false">SUMIFS('בתי מרקחת Raw'!$E$6:$E$1616,'בתי מרקחת Raw'!$F$6:$F$1616,$A171,'בתי מרקחת Raw'!$C$6:$C$1616,2025)</f>
        <v>0</v>
      </c>
      <c r="I171" s="12" t="n">
        <f aca="false">SUMIFS('בתי מרקחת Raw'!$E$6:$E$1616,'בתי מרקחת Raw'!$F$6:$F$1616,$A171,'בתי מרקחת Raw'!$C$6:$C$1616,2026)</f>
        <v>111</v>
      </c>
      <c r="J171" s="12" t="n">
        <f aca="false">I171*$J$5</f>
        <v>140.210526315789</v>
      </c>
      <c r="K171" s="12"/>
      <c r="L171" s="22"/>
    </row>
    <row r="172" customFormat="false" ht="15" hidden="false" customHeight="true" outlineLevel="0" collapsed="false">
      <c r="A172" s="12" t="n">
        <v>4408245</v>
      </c>
      <c r="B172" s="12" t="str">
        <f aca="false">IFERROR(INDEX('בתי מרקחת Raw'!$B:$B,MATCH($A172,'בתי מרקחת Raw'!$F:$F,0)),"")</f>
        <v>077A   XXL חגורת גב עם חיזוקים</v>
      </c>
      <c r="C172" s="12" t="n">
        <f aca="false">SUMIFS('בתי מרקחת Raw'!$D$6:$D$1616,'בתי מרקחת Raw'!$F$6:$F$1616,$A172,'בתי מרקחת Raw'!$C$6:$C$1616,2025)</f>
        <v>7</v>
      </c>
      <c r="D172" s="12" t="n">
        <f aca="false">SUMIFS('בתי מרקחת Raw'!$D$6:$D$1616,'בתי מרקחת Raw'!$F$6:$F$1616,$A172,'בתי מרקחת Raw'!$C$6:$C$1616,2026)</f>
        <v>3</v>
      </c>
      <c r="E172" s="12" t="n">
        <f aca="false">D172*$J$5</f>
        <v>3.78947368421053</v>
      </c>
      <c r="F172" s="12" t="n">
        <f aca="false">E172-C172</f>
        <v>-3.21052631578947</v>
      </c>
      <c r="G172" s="21" t="n">
        <f aca="false">IF(AND(C172=0,E172=0),0,IF(C172=0,"New",(E172-C172)/C172))</f>
        <v>-0.458646616541353</v>
      </c>
      <c r="H172" s="12" t="n">
        <f aca="false">SUMIFS('בתי מרקחת Raw'!$E$6:$E$1616,'בתי מרקחת Raw'!$F$6:$F$1616,$A172,'בתי מרקחת Raw'!$C$6:$C$1616,2025)</f>
        <v>999</v>
      </c>
      <c r="I172" s="12" t="n">
        <f aca="false">SUMIFS('בתי מרקחת Raw'!$E$6:$E$1616,'בתי מרקחת Raw'!$F$6:$F$1616,$A172,'בתי מרקחת Raw'!$C$6:$C$1616,2026)</f>
        <v>520.1</v>
      </c>
      <c r="J172" s="12" t="n">
        <f aca="false">I172*$J$5</f>
        <v>656.968421052632</v>
      </c>
      <c r="K172" s="12"/>
      <c r="L172" s="22"/>
    </row>
    <row r="173" customFormat="false" ht="15" hidden="false" customHeight="true" outlineLevel="0" collapsed="false">
      <c r="A173" s="12" t="n">
        <v>4408247</v>
      </c>
      <c r="B173" s="12" t="str">
        <f aca="false">IFERROR(INDEX('בתי מרקחת Raw'!$B:$B,MATCH($A173,'בתי מרקחת Raw'!$F:$F,0)),"")</f>
        <v>SC25  S חבק יד</v>
      </c>
      <c r="C173" s="12" t="n">
        <f aca="false">SUMIFS('בתי מרקחת Raw'!$D$6:$D$1616,'בתי מרקחת Raw'!$F$6:$F$1616,$A173,'בתי מרקחת Raw'!$C$6:$C$1616,2025)</f>
        <v>6</v>
      </c>
      <c r="D173" s="12" t="n">
        <f aca="false">SUMIFS('בתי מרקחת Raw'!$D$6:$D$1616,'בתי מרקחת Raw'!$F$6:$F$1616,$A173,'בתי מרקחת Raw'!$C$6:$C$1616,2026)</f>
        <v>15</v>
      </c>
      <c r="E173" s="12" t="n">
        <f aca="false">D173*$J$5</f>
        <v>18.9473684210526</v>
      </c>
      <c r="F173" s="12" t="n">
        <f aca="false">E173-C173</f>
        <v>12.9473684210526</v>
      </c>
      <c r="G173" s="21" t="n">
        <f aca="false">IF(AND(C173=0,E173=0),0,IF(C173=0,"New",(E173-C173)/C173))</f>
        <v>2.15789473684211</v>
      </c>
      <c r="H173" s="12" t="n">
        <f aca="false">SUMIFS('בתי מרקחת Raw'!$E$6:$E$1616,'בתי מרקחת Raw'!$F$6:$F$1616,$A173,'בתי מרקחת Raw'!$C$6:$C$1616,2025)</f>
        <v>496.57</v>
      </c>
      <c r="I173" s="12" t="n">
        <f aca="false">SUMIFS('בתי מרקחת Raw'!$E$6:$E$1616,'בתי מרקחת Raw'!$F$6:$F$1616,$A173,'בתי מרקחת Raw'!$C$6:$C$1616,2026)</f>
        <v>1355.15</v>
      </c>
      <c r="J173" s="12" t="n">
        <f aca="false">I173*$J$5</f>
        <v>1711.76842105263</v>
      </c>
      <c r="K173" s="12"/>
      <c r="L173" s="22"/>
    </row>
    <row r="174" customFormat="false" ht="15" hidden="false" customHeight="true" outlineLevel="0" collapsed="false">
      <c r="A174" s="12" t="n">
        <v>4408248</v>
      </c>
      <c r="B174" s="12" t="str">
        <f aca="false">IFERROR(INDEX('בתי מרקחת Raw'!$B:$B,MATCH($A174,'בתי מרקחת Raw'!$F:$F,0)),"")</f>
        <v>SC25  M חבק יד</v>
      </c>
      <c r="C174" s="12" t="n">
        <f aca="false">SUMIFS('בתי מרקחת Raw'!$D$6:$D$1616,'בתי מרקחת Raw'!$F$6:$F$1616,$A174,'בתי מרקחת Raw'!$C$6:$C$1616,2025)</f>
        <v>19</v>
      </c>
      <c r="D174" s="12" t="n">
        <f aca="false">SUMIFS('בתי מרקחת Raw'!$D$6:$D$1616,'בתי מרקחת Raw'!$F$6:$F$1616,$A174,'בתי מרקחת Raw'!$C$6:$C$1616,2026)</f>
        <v>18</v>
      </c>
      <c r="E174" s="12" t="n">
        <f aca="false">D174*$J$5</f>
        <v>22.7368421052632</v>
      </c>
      <c r="F174" s="12" t="n">
        <f aca="false">E174-C174</f>
        <v>3.73684210526316</v>
      </c>
      <c r="G174" s="21" t="n">
        <f aca="false">IF(AND(C174=0,E174=0),0,IF(C174=0,"New",(E174-C174)/C174))</f>
        <v>0.196675900277008</v>
      </c>
      <c r="H174" s="12" t="n">
        <f aca="false">SUMIFS('בתי מרקחת Raw'!$E$6:$E$1616,'בתי מרקחת Raw'!$F$6:$F$1616,$A174,'בתי מרקחת Raw'!$C$6:$C$1616,2025)</f>
        <v>1647.98</v>
      </c>
      <c r="I174" s="12" t="n">
        <f aca="false">SUMIFS('בתי מרקחת Raw'!$E$6:$E$1616,'בתי מרקחת Raw'!$F$6:$F$1616,$A174,'בתי מרקחת Raw'!$C$6:$C$1616,2026)</f>
        <v>1623.62</v>
      </c>
      <c r="J174" s="12" t="n">
        <f aca="false">I174*$J$5</f>
        <v>2050.88842105263</v>
      </c>
      <c r="K174" s="12"/>
      <c r="L174" s="22"/>
    </row>
    <row r="175" customFormat="false" ht="15" hidden="false" customHeight="true" outlineLevel="0" collapsed="false">
      <c r="A175" s="12" t="n">
        <v>4408249</v>
      </c>
      <c r="B175" s="12" t="str">
        <f aca="false">IFERROR(INDEX('בתי מרקחת Raw'!$B:$B,MATCH($A175,'בתי מרקחת Raw'!$F:$F,0)),"")</f>
        <v>SC25  L חבק יד</v>
      </c>
      <c r="C175" s="12" t="n">
        <f aca="false">SUMIFS('בתי מרקחת Raw'!$D$6:$D$1616,'בתי מרקחת Raw'!$F$6:$F$1616,$A175,'בתי מרקחת Raw'!$C$6:$C$1616,2025)</f>
        <v>16</v>
      </c>
      <c r="D175" s="12" t="n">
        <f aca="false">SUMIFS('בתי מרקחת Raw'!$D$6:$D$1616,'בתי מרקחת Raw'!$F$6:$F$1616,$A175,'בתי מרקחת Raw'!$C$6:$C$1616,2026)</f>
        <v>21</v>
      </c>
      <c r="E175" s="12" t="n">
        <f aca="false">D175*$J$5</f>
        <v>26.5263157894737</v>
      </c>
      <c r="F175" s="12" t="n">
        <f aca="false">E175-C175</f>
        <v>10.5263157894737</v>
      </c>
      <c r="G175" s="21" t="n">
        <f aca="false">IF(AND(C175=0,E175=0),0,IF(C175=0,"New",(E175-C175)/C175))</f>
        <v>0.657894736842105</v>
      </c>
      <c r="H175" s="12" t="n">
        <f aca="false">SUMIFS('בתי מרקחת Raw'!$E$6:$E$1616,'בתי מרקחת Raw'!$F$6:$F$1616,$A175,'בתי מרקחת Raw'!$C$6:$C$1616,2025)</f>
        <v>1318.91</v>
      </c>
      <c r="I175" s="12" t="n">
        <f aca="false">SUMIFS('בתי מרקחת Raw'!$E$6:$E$1616,'בתי מרקחת Raw'!$F$6:$F$1616,$A175,'בתי מרקחת Raw'!$C$6:$C$1616,2026)</f>
        <v>1927.35</v>
      </c>
      <c r="J175" s="12" t="n">
        <f aca="false">I175*$J$5</f>
        <v>2434.54736842105</v>
      </c>
      <c r="K175" s="12"/>
      <c r="L175" s="22"/>
    </row>
    <row r="176" customFormat="false" ht="15" hidden="false" customHeight="true" outlineLevel="0" collapsed="false">
      <c r="A176" s="12" t="n">
        <v>4408250</v>
      </c>
      <c r="B176" s="12" t="str">
        <f aca="false">IFERROR(INDEX('בתי מרקחת Raw'!$B:$B,MATCH($A176,'בתי מרקחת Raw'!$F:$F,0)),"")</f>
        <v>SC25 XL חבק יד</v>
      </c>
      <c r="C176" s="12" t="n">
        <f aca="false">SUMIFS('בתי מרקחת Raw'!$D$6:$D$1616,'בתי מרקחת Raw'!$F$6:$F$1616,$A176,'בתי מרקחת Raw'!$C$6:$C$1616,2025)</f>
        <v>18</v>
      </c>
      <c r="D176" s="12" t="n">
        <f aca="false">SUMIFS('בתי מרקחת Raw'!$D$6:$D$1616,'בתי מרקחת Raw'!$F$6:$F$1616,$A176,'בתי מרקחת Raw'!$C$6:$C$1616,2026)</f>
        <v>13</v>
      </c>
      <c r="E176" s="12" t="n">
        <f aca="false">D176*$J$5</f>
        <v>16.4210526315789</v>
      </c>
      <c r="F176" s="12" t="n">
        <f aca="false">E176-C176</f>
        <v>-1.57894736842105</v>
      </c>
      <c r="G176" s="21" t="n">
        <f aca="false">IF(AND(C176=0,E176=0),0,IF(C176=0,"New",(E176-C176)/C176))</f>
        <v>-0.0877192982456142</v>
      </c>
      <c r="H176" s="12" t="n">
        <f aca="false">SUMIFS('בתי מרקחת Raw'!$E$6:$E$1616,'בתי מרקחת Raw'!$F$6:$F$1616,$A176,'בתי מרקחת Raw'!$C$6:$C$1616,2025)</f>
        <v>1457.79</v>
      </c>
      <c r="I176" s="12" t="n">
        <f aca="false">SUMIFS('בתי מרקחת Raw'!$E$6:$E$1616,'בתי מרקחת Raw'!$F$6:$F$1616,$A176,'בתי מרקחת Raw'!$C$6:$C$1616,2026)</f>
        <v>1180.23</v>
      </c>
      <c r="J176" s="12" t="n">
        <f aca="false">I176*$J$5</f>
        <v>1490.81684210526</v>
      </c>
      <c r="K176" s="12"/>
      <c r="L176" s="22"/>
    </row>
    <row r="177" customFormat="false" ht="15" hidden="false" customHeight="true" outlineLevel="0" collapsed="false">
      <c r="A177" s="12" t="n">
        <v>4408259</v>
      </c>
      <c r="B177" s="12" t="str">
        <f aca="false">IFERROR(INDEX('בתי מרקחת Raw'!$B:$B,MATCH($A177,'בתי מרקחת Raw'!$F:$F,0)),"")</f>
        <v>11STO S חגורה אחרי ניתוח</v>
      </c>
      <c r="C177" s="12" t="n">
        <f aca="false">SUMIFS('בתי מרקחת Raw'!$D$6:$D$1616,'בתי מרקחת Raw'!$F$6:$F$1616,$A177,'בתי מרקחת Raw'!$C$6:$C$1616,2025)</f>
        <v>1</v>
      </c>
      <c r="D177" s="12" t="n">
        <f aca="false">SUMIFS('בתי מרקחת Raw'!$D$6:$D$1616,'בתי מרקחת Raw'!$F$6:$F$1616,$A177,'בתי מרקחת Raw'!$C$6:$C$1616,2026)</f>
        <v>3</v>
      </c>
      <c r="E177" s="12" t="n">
        <f aca="false">D177*$J$5</f>
        <v>3.78947368421053</v>
      </c>
      <c r="F177" s="12" t="n">
        <f aca="false">E177-C177</f>
        <v>2.78947368421053</v>
      </c>
      <c r="G177" s="21" t="n">
        <f aca="false">IF(AND(C177=0,E177=0),0,IF(C177=0,"New",(E177-C177)/C177))</f>
        <v>2.78947368421053</v>
      </c>
      <c r="H177" s="12" t="n">
        <f aca="false">SUMIFS('בתי מרקחת Raw'!$E$6:$E$1616,'בתי מרקחת Raw'!$F$6:$F$1616,$A177,'בתי מרקחת Raw'!$C$6:$C$1616,2025)</f>
        <v>105</v>
      </c>
      <c r="I177" s="12" t="n">
        <f aca="false">SUMIFS('בתי מרקחת Raw'!$E$6:$E$1616,'בתי מרקחת Raw'!$F$6:$F$1616,$A177,'בתי מרקחת Raw'!$C$6:$C$1616,2026)</f>
        <v>376.41</v>
      </c>
      <c r="J177" s="12" t="n">
        <f aca="false">I177*$J$5</f>
        <v>475.465263157895</v>
      </c>
      <c r="K177" s="12"/>
      <c r="L177" s="22"/>
    </row>
    <row r="178" customFormat="false" ht="15" hidden="false" customHeight="true" outlineLevel="0" collapsed="false">
      <c r="A178" s="12" t="n">
        <v>4408260</v>
      </c>
      <c r="B178" s="12" t="str">
        <f aca="false">IFERROR(INDEX('בתי מרקחת Raw'!$B:$B,MATCH($A178,'בתי מרקחת Raw'!$F:$F,0)),"")</f>
        <v>11STO M חגורה אחרי ניתוח</v>
      </c>
      <c r="C178" s="12" t="n">
        <f aca="false">SUMIFS('בתי מרקחת Raw'!$D$6:$D$1616,'בתי מרקחת Raw'!$F$6:$F$1616,$A178,'בתי מרקחת Raw'!$C$6:$C$1616,2025)</f>
        <v>9</v>
      </c>
      <c r="D178" s="12" t="n">
        <f aca="false">SUMIFS('בתי מרקחת Raw'!$D$6:$D$1616,'בתי מרקחת Raw'!$F$6:$F$1616,$A178,'בתי מרקחת Raw'!$C$6:$C$1616,2026)</f>
        <v>6</v>
      </c>
      <c r="E178" s="12" t="n">
        <f aca="false">D178*$J$5</f>
        <v>7.57894736842105</v>
      </c>
      <c r="F178" s="12" t="n">
        <f aca="false">E178-C178</f>
        <v>-1.42105263157895</v>
      </c>
      <c r="G178" s="21" t="n">
        <f aca="false">IF(AND(C178=0,E178=0),0,IF(C178=0,"New",(E178-C178)/C178))</f>
        <v>-0.157894736842105</v>
      </c>
      <c r="H178" s="12" t="n">
        <f aca="false">SUMIFS('בתי מרקחת Raw'!$E$6:$E$1616,'בתי מרקחת Raw'!$F$6:$F$1616,$A178,'בתי מרקחת Raw'!$C$6:$C$1616,2025)</f>
        <v>1045.5</v>
      </c>
      <c r="I178" s="12" t="n">
        <f aca="false">SUMIFS('בתי מרקחת Raw'!$E$6:$E$1616,'בתי מרקחת Raw'!$F$6:$F$1616,$A178,'בתי מרקחת Raw'!$C$6:$C$1616,2026)</f>
        <v>691.41</v>
      </c>
      <c r="J178" s="12" t="n">
        <f aca="false">I178*$J$5</f>
        <v>873.36</v>
      </c>
      <c r="K178" s="12"/>
      <c r="L178" s="22"/>
    </row>
    <row r="179" customFormat="false" ht="15" hidden="false" customHeight="true" outlineLevel="0" collapsed="false">
      <c r="A179" s="12" t="n">
        <v>4408261</v>
      </c>
      <c r="B179" s="12" t="str">
        <f aca="false">IFERROR(INDEX('בתי מרקחת Raw'!$B:$B,MATCH($A179,'בתי מרקחת Raw'!$F:$F,0)),"")</f>
        <v>11STO L</v>
      </c>
      <c r="C179" s="12" t="n">
        <f aca="false">SUMIFS('בתי מרקחת Raw'!$D$6:$D$1616,'בתי מרקחת Raw'!$F$6:$F$1616,$A179,'בתי מרקחת Raw'!$C$6:$C$1616,2025)</f>
        <v>24</v>
      </c>
      <c r="D179" s="12" t="n">
        <f aca="false">SUMIFS('בתי מרקחת Raw'!$D$6:$D$1616,'בתי מרקחת Raw'!$F$6:$F$1616,$A179,'בתי מרקחת Raw'!$C$6:$C$1616,2026)</f>
        <v>14</v>
      </c>
      <c r="E179" s="12" t="n">
        <f aca="false">D179*$J$5</f>
        <v>17.6842105263158</v>
      </c>
      <c r="F179" s="12" t="n">
        <f aca="false">E179-C179</f>
        <v>-6.31578947368421</v>
      </c>
      <c r="G179" s="21" t="n">
        <f aca="false">IF(AND(C179=0,E179=0),0,IF(C179=0,"New",(E179-C179)/C179))</f>
        <v>-0.263157894736842</v>
      </c>
      <c r="H179" s="12" t="n">
        <f aca="false">SUMIFS('בתי מרקחת Raw'!$E$6:$E$1616,'בתי מרקחת Raw'!$F$6:$F$1616,$A179,'בתי מרקחת Raw'!$C$6:$C$1616,2025)</f>
        <v>2704.04</v>
      </c>
      <c r="I179" s="12" t="n">
        <f aca="false">SUMIFS('בתי מרקחת Raw'!$E$6:$E$1616,'בתי מרקחת Raw'!$F$6:$F$1616,$A179,'בתי מרקחת Raw'!$C$6:$C$1616,2026)</f>
        <v>1531.38</v>
      </c>
      <c r="J179" s="12" t="n">
        <f aca="false">I179*$J$5</f>
        <v>1934.37473684211</v>
      </c>
      <c r="K179" s="12"/>
      <c r="L179" s="22"/>
    </row>
    <row r="180" customFormat="false" ht="15" hidden="false" customHeight="true" outlineLevel="0" collapsed="false">
      <c r="A180" s="12" t="n">
        <v>4408262</v>
      </c>
      <c r="B180" s="12" t="str">
        <f aca="false">IFERROR(INDEX('בתי מרקחת Raw'!$B:$B,MATCH($A180,'בתי מרקחת Raw'!$F:$F,0)),"")</f>
        <v>11STO XL  חגורה אחרי ניתוח</v>
      </c>
      <c r="C180" s="12" t="n">
        <f aca="false">SUMIFS('בתי מרקחת Raw'!$D$6:$D$1616,'בתי מרקחת Raw'!$F$6:$F$1616,$A180,'בתי מרקחת Raw'!$C$6:$C$1616,2025)</f>
        <v>11</v>
      </c>
      <c r="D180" s="12" t="n">
        <f aca="false">SUMIFS('בתי מרקחת Raw'!$D$6:$D$1616,'בתי מרקחת Raw'!$F$6:$F$1616,$A180,'בתי מרקחת Raw'!$C$6:$C$1616,2026)</f>
        <v>10</v>
      </c>
      <c r="E180" s="12" t="n">
        <f aca="false">D180*$J$5</f>
        <v>12.6315789473684</v>
      </c>
      <c r="F180" s="12" t="n">
        <f aca="false">E180-C180</f>
        <v>1.63157894736842</v>
      </c>
      <c r="G180" s="21" t="n">
        <f aca="false">IF(AND(C180=0,E180=0),0,IF(C180=0,"New",(E180-C180)/C180))</f>
        <v>0.148325358851675</v>
      </c>
      <c r="H180" s="12" t="n">
        <f aca="false">SUMIFS('בתי מרקחת Raw'!$E$6:$E$1616,'בתי מרקחת Raw'!$F$6:$F$1616,$A180,'בתי מרקחת Raw'!$C$6:$C$1616,2025)</f>
        <v>1155</v>
      </c>
      <c r="I180" s="12" t="n">
        <f aca="false">SUMIFS('בתי מרקחת Raw'!$E$6:$E$1616,'בתי מרקחת Raw'!$F$6:$F$1616,$A180,'בתי מרקחת Raw'!$C$6:$C$1616,2026)</f>
        <v>1295.41</v>
      </c>
      <c r="J180" s="12" t="n">
        <f aca="false">I180*$J$5</f>
        <v>1636.30736842105</v>
      </c>
      <c r="K180" s="12"/>
      <c r="L180" s="22"/>
    </row>
    <row r="181" customFormat="false" ht="15" hidden="false" customHeight="true" outlineLevel="0" collapsed="false">
      <c r="A181" s="12" t="n">
        <v>4408263</v>
      </c>
      <c r="B181" s="12" t="str">
        <f aca="false">IFERROR(INDEX('בתי מרקחת Raw'!$B:$B,MATCH($A181,'בתי מרקחת Raw'!$F:$F,0)),"")</f>
        <v>11STO XXL</v>
      </c>
      <c r="C181" s="12" t="n">
        <f aca="false">SUMIFS('בתי מרקחת Raw'!$D$6:$D$1616,'בתי מרקחת Raw'!$F$6:$F$1616,$A181,'בתי מרקחת Raw'!$C$6:$C$1616,2025)</f>
        <v>14</v>
      </c>
      <c r="D181" s="12" t="n">
        <f aca="false">SUMIFS('בתי מרקחת Raw'!$D$6:$D$1616,'בתי מרקחת Raw'!$F$6:$F$1616,$A181,'בתי מרקחת Raw'!$C$6:$C$1616,2026)</f>
        <v>6</v>
      </c>
      <c r="E181" s="12" t="n">
        <f aca="false">D181*$J$5</f>
        <v>7.57894736842105</v>
      </c>
      <c r="F181" s="12" t="n">
        <f aca="false">E181-C181</f>
        <v>-6.42105263157895</v>
      </c>
      <c r="G181" s="21" t="n">
        <f aca="false">IF(AND(C181=0,E181=0),0,IF(C181=0,"New",(E181-C181)/C181))</f>
        <v>-0.458646616541353</v>
      </c>
      <c r="H181" s="12" t="n">
        <f aca="false">SUMIFS('בתי מרקחת Raw'!$E$6:$E$1616,'בתי מרקחת Raw'!$F$6:$F$1616,$A181,'בתי מרקחת Raw'!$C$6:$C$1616,2025)</f>
        <v>1530.41</v>
      </c>
      <c r="I181" s="12" t="n">
        <f aca="false">SUMIFS('בתי מרקחת Raw'!$E$6:$E$1616,'בתי מרקחת Raw'!$F$6:$F$1616,$A181,'בתי מרקחת Raw'!$C$6:$C$1616,2026)</f>
        <v>630.01</v>
      </c>
      <c r="J181" s="12" t="n">
        <f aca="false">I181*$J$5</f>
        <v>795.802105263158</v>
      </c>
      <c r="K181" s="12"/>
      <c r="L181" s="22"/>
    </row>
    <row r="182" customFormat="false" ht="15" hidden="false" customHeight="true" outlineLevel="0" collapsed="false">
      <c r="A182" s="12" t="n">
        <v>4408264</v>
      </c>
      <c r="B182" s="12" t="str">
        <f aca="false">IFERROR(INDEX('בתי מרקחת Raw'!$B:$B,MATCH($A182,'בתי מרקחת Raw'!$F:$F,0)),"")</f>
        <v>T25B   חבק יד אגודלי</v>
      </c>
      <c r="C182" s="12" t="n">
        <f aca="false">SUMIFS('בתי מרקחת Raw'!$D$6:$D$1616,'בתי מרקחת Raw'!$F$6:$F$1616,$A182,'בתי מרקחת Raw'!$C$6:$C$1616,2025)</f>
        <v>383</v>
      </c>
      <c r="D182" s="12" t="n">
        <f aca="false">SUMIFS('בתי מרקחת Raw'!$D$6:$D$1616,'בתי מרקחת Raw'!$F$6:$F$1616,$A182,'בתי מרקחת Raw'!$C$6:$C$1616,2026)</f>
        <v>180</v>
      </c>
      <c r="E182" s="12" t="n">
        <f aca="false">D182*$J$5</f>
        <v>227.368421052632</v>
      </c>
      <c r="F182" s="12" t="n">
        <f aca="false">E182-C182</f>
        <v>-155.631578947368</v>
      </c>
      <c r="G182" s="21" t="n">
        <f aca="false">IF(AND(C182=0,E182=0),0,IF(C182=0,"New",(E182-C182)/C182))</f>
        <v>-0.406348770097568</v>
      </c>
      <c r="H182" s="12" t="n">
        <f aca="false">SUMIFS('בתי מרקחת Raw'!$E$6:$E$1616,'בתי מרקחת Raw'!$F$6:$F$1616,$A182,'בתי מרקחת Raw'!$C$6:$C$1616,2025)</f>
        <v>16041.2</v>
      </c>
      <c r="I182" s="12" t="n">
        <f aca="false">SUMIFS('בתי מרקחת Raw'!$E$6:$E$1616,'בתי מרקחת Raw'!$F$6:$F$1616,$A182,'בתי מרקחת Raw'!$C$6:$C$1616,2026)</f>
        <v>8199.82</v>
      </c>
      <c r="J182" s="12" t="n">
        <f aca="false">I182*$J$5</f>
        <v>10357.6673684211</v>
      </c>
      <c r="K182" s="12"/>
      <c r="L182" s="22"/>
    </row>
    <row r="183" customFormat="false" ht="15" hidden="false" customHeight="true" outlineLevel="0" collapsed="false">
      <c r="A183" s="12" t="n">
        <v>4408265</v>
      </c>
      <c r="B183" s="12" t="str">
        <f aca="false">IFERROR(INDEX('בתי מרקחת Raw'!$B:$B,MATCH($A183,'בתי מרקחת Raw'!$F:$F,0)),"")</f>
        <v>078XXL חגורת גב +סגירה כפולה</v>
      </c>
      <c r="C183" s="12" t="n">
        <f aca="false">SUMIFS('בתי מרקחת Raw'!$D$6:$D$1616,'בתי מרקחת Raw'!$F$6:$F$1616,$A183,'בתי מרקחת Raw'!$C$6:$C$1616,2025)</f>
        <v>64</v>
      </c>
      <c r="D183" s="12" t="n">
        <f aca="false">SUMIFS('בתי מרקחת Raw'!$D$6:$D$1616,'בתי מרקחת Raw'!$F$6:$F$1616,$A183,'בתי מרקחת Raw'!$C$6:$C$1616,2026)</f>
        <v>32</v>
      </c>
      <c r="E183" s="12" t="n">
        <f aca="false">D183*$J$5</f>
        <v>40.4210526315789</v>
      </c>
      <c r="F183" s="12" t="n">
        <f aca="false">E183-C183</f>
        <v>-23.5789473684211</v>
      </c>
      <c r="G183" s="21" t="n">
        <f aca="false">IF(AND(C183=0,E183=0),0,IF(C183=0,"New",(E183-C183)/C183))</f>
        <v>-0.368421052631579</v>
      </c>
      <c r="H183" s="12" t="n">
        <f aca="false">SUMIFS('בתי מרקחת Raw'!$E$6:$E$1616,'בתי מרקחת Raw'!$F$6:$F$1616,$A183,'בתי מרקחת Raw'!$C$6:$C$1616,2025)</f>
        <v>6752.6</v>
      </c>
      <c r="I183" s="12" t="n">
        <f aca="false">SUMIFS('בתי מרקחת Raw'!$E$6:$E$1616,'בתי מרקחת Raw'!$F$6:$F$1616,$A183,'בתי מרקחת Raw'!$C$6:$C$1616,2026)</f>
        <v>3393.7</v>
      </c>
      <c r="J183" s="12" t="n">
        <f aca="false">I183*$J$5</f>
        <v>4286.77894736842</v>
      </c>
      <c r="K183" s="12"/>
      <c r="L183" s="22"/>
    </row>
    <row r="184" customFormat="false" ht="15" hidden="false" customHeight="true" outlineLevel="0" collapsed="false">
      <c r="A184" s="12" t="n">
        <v>4408266</v>
      </c>
      <c r="B184" s="12" t="str">
        <f aca="false">IFERROR(INDEX('בתי מרקחת Raw'!$B:$B,MATCH($A184,'בתי מרקחת Raw'!$F:$F,0)),"")</f>
        <v>91B חבק טניס אלבו</v>
      </c>
      <c r="C184" s="12" t="n">
        <f aca="false">SUMIFS('בתי מרקחת Raw'!$D$6:$D$1616,'בתי מרקחת Raw'!$F$6:$F$1616,$A184,'בתי מרקחת Raw'!$C$6:$C$1616,2025)</f>
        <v>83</v>
      </c>
      <c r="D184" s="12" t="n">
        <f aca="false">SUMIFS('בתי מרקחת Raw'!$D$6:$D$1616,'בתי מרקחת Raw'!$F$6:$F$1616,$A184,'בתי מרקחת Raw'!$C$6:$C$1616,2026)</f>
        <v>80</v>
      </c>
      <c r="E184" s="12" t="n">
        <f aca="false">D184*$J$5</f>
        <v>101.052631578947</v>
      </c>
      <c r="F184" s="12" t="n">
        <f aca="false">E184-C184</f>
        <v>18.0526315789474</v>
      </c>
      <c r="G184" s="21" t="n">
        <f aca="false">IF(AND(C184=0,E184=0),0,IF(C184=0,"New",(E184-C184)/C184))</f>
        <v>0.217501585288523</v>
      </c>
      <c r="H184" s="12" t="n">
        <f aca="false">SUMIFS('בתי מרקחת Raw'!$E$6:$E$1616,'בתי מרקחת Raw'!$F$6:$F$1616,$A184,'בתי מרקחת Raw'!$C$6:$C$1616,2025)</f>
        <v>6841.18</v>
      </c>
      <c r="I184" s="12" t="n">
        <f aca="false">SUMIFS('בתי מרקחת Raw'!$E$6:$E$1616,'בתי מרקחת Raw'!$F$6:$F$1616,$A184,'בתי מרקחת Raw'!$C$6:$C$1616,2026)</f>
        <v>6633.15</v>
      </c>
      <c r="J184" s="12" t="n">
        <f aca="false">I184*$J$5</f>
        <v>8378.71578947368</v>
      </c>
      <c r="K184" s="12"/>
      <c r="L184" s="22"/>
    </row>
    <row r="185" customFormat="false" ht="15" hidden="false" customHeight="true" outlineLevel="0" collapsed="false">
      <c r="A185" s="12" t="n">
        <v>4408271</v>
      </c>
      <c r="B185" s="12" t="str">
        <f aca="false">IFERROR(INDEX('בתי מרקחת Raw'!$B:$B,MATCH($A185,'בתי מרקחת Raw'!$F:$F,0)),"")</f>
        <v>70N XS</v>
      </c>
      <c r="C185" s="12" t="n">
        <f aca="false">SUMIFS('בתי מרקחת Raw'!$D$6:$D$1616,'בתי מרקחת Raw'!$F$6:$F$1616,$A185,'בתי מרקחת Raw'!$C$6:$C$1616,2025)</f>
        <v>1</v>
      </c>
      <c r="D185" s="12" t="n">
        <f aca="false">SUMIFS('בתי מרקחת Raw'!$D$6:$D$1616,'בתי מרקחת Raw'!$F$6:$F$1616,$A185,'בתי מרקחת Raw'!$C$6:$C$1616,2026)</f>
        <v>2</v>
      </c>
      <c r="E185" s="12" t="n">
        <f aca="false">D185*$J$5</f>
        <v>2.52631578947368</v>
      </c>
      <c r="F185" s="12" t="n">
        <f aca="false">E185-C185</f>
        <v>1.52631578947368</v>
      </c>
      <c r="G185" s="21" t="n">
        <f aca="false">IF(AND(C185=0,E185=0),0,IF(C185=0,"New",(E185-C185)/C185))</f>
        <v>1.52631578947368</v>
      </c>
      <c r="H185" s="12" t="n">
        <f aca="false">SUMIFS('בתי מרקחת Raw'!$E$6:$E$1616,'בתי מרקחת Raw'!$F$6:$F$1616,$A185,'בתי מרקחת Raw'!$C$6:$C$1616,2025)</f>
        <v>260</v>
      </c>
      <c r="I185" s="12" t="n">
        <f aca="false">SUMIFS('בתי מרקחת Raw'!$E$6:$E$1616,'בתי מרקחת Raw'!$F$6:$F$1616,$A185,'בתי מרקחת Raw'!$C$6:$C$1616,2026)</f>
        <v>583.38</v>
      </c>
      <c r="J185" s="12" t="n">
        <f aca="false">I185*$J$5</f>
        <v>736.901052631579</v>
      </c>
      <c r="K185" s="12"/>
      <c r="L185" s="22"/>
    </row>
    <row r="186" customFormat="false" ht="15" hidden="false" customHeight="true" outlineLevel="0" collapsed="false">
      <c r="A186" s="12" t="n">
        <v>4408272</v>
      </c>
      <c r="B186" s="12" t="str">
        <f aca="false">IFERROR(INDEX('בתי מרקחת Raw'!$B:$B,MATCH($A186,'בתי מרקחת Raw'!$F:$F,0)),"")</f>
        <v>70N S חגורת פאבליק</v>
      </c>
      <c r="C186" s="12" t="n">
        <f aca="false">SUMIFS('בתי מרקחת Raw'!$D$6:$D$1616,'בתי מרקחת Raw'!$F$6:$F$1616,$A186,'בתי מרקחת Raw'!$C$6:$C$1616,2025)</f>
        <v>0</v>
      </c>
      <c r="D186" s="12" t="n">
        <f aca="false">SUMIFS('בתי מרקחת Raw'!$D$6:$D$1616,'בתי מרקחת Raw'!$F$6:$F$1616,$A186,'בתי מרקחת Raw'!$C$6:$C$1616,2026)</f>
        <v>1</v>
      </c>
      <c r="E186" s="12" t="n">
        <f aca="false">D186*$J$5</f>
        <v>1.26315789473684</v>
      </c>
      <c r="F186" s="12" t="n">
        <f aca="false">E186-C186</f>
        <v>1.26315789473684</v>
      </c>
      <c r="G186" s="21" t="str">
        <f aca="false">IF(AND(C186=0,E186=0),0,IF(C186=0,"New",(E186-C186)/C186))</f>
        <v>New</v>
      </c>
      <c r="H186" s="12" t="n">
        <f aca="false">SUMIFS('בתי מרקחת Raw'!$E$6:$E$1616,'בתי מרקחת Raw'!$F$6:$F$1616,$A186,'בתי מרקחת Raw'!$C$6:$C$1616,2025)</f>
        <v>0</v>
      </c>
      <c r="I186" s="12" t="n">
        <f aca="false">SUMIFS('בתי מרקחת Raw'!$E$6:$E$1616,'בתי מרקחת Raw'!$F$6:$F$1616,$A186,'בתי מרקחת Raw'!$C$6:$C$1616,2026)</f>
        <v>323.4</v>
      </c>
      <c r="J186" s="12" t="n">
        <f aca="false">I186*$J$5</f>
        <v>408.505263157895</v>
      </c>
      <c r="K186" s="12"/>
      <c r="L186" s="22"/>
    </row>
    <row r="187" customFormat="false" ht="15" hidden="false" customHeight="true" outlineLevel="0" collapsed="false">
      <c r="A187" s="12" t="n">
        <v>4408273</v>
      </c>
      <c r="B187" s="12" t="str">
        <f aca="false">IFERROR(INDEX('בתי מרקחת Raw'!$B:$B,MATCH($A187,'בתי מרקחת Raw'!$F:$F,0)),"")</f>
        <v>70N M חגורת פאבליק</v>
      </c>
      <c r="C187" s="12" t="n">
        <f aca="false">SUMIFS('בתי מרקחת Raw'!$D$6:$D$1616,'בתי מרקחת Raw'!$F$6:$F$1616,$A187,'בתי מרקחת Raw'!$C$6:$C$1616,2025)</f>
        <v>0</v>
      </c>
      <c r="D187" s="12" t="n">
        <f aca="false">SUMIFS('בתי מרקחת Raw'!$D$6:$D$1616,'בתי מרקחת Raw'!$F$6:$F$1616,$A187,'בתי מרקחת Raw'!$C$6:$C$1616,2026)</f>
        <v>1</v>
      </c>
      <c r="E187" s="12" t="n">
        <f aca="false">D187*$J$5</f>
        <v>1.26315789473684</v>
      </c>
      <c r="F187" s="12" t="n">
        <f aca="false">E187-C187</f>
        <v>1.26315789473684</v>
      </c>
      <c r="G187" s="21" t="str">
        <f aca="false">IF(AND(C187=0,E187=0),0,IF(C187=0,"New",(E187-C187)/C187))</f>
        <v>New</v>
      </c>
      <c r="H187" s="12" t="n">
        <f aca="false">SUMIFS('בתי מרקחת Raw'!$E$6:$E$1616,'בתי מרקחת Raw'!$F$6:$F$1616,$A187,'בתי מרקחת Raw'!$C$6:$C$1616,2025)</f>
        <v>0</v>
      </c>
      <c r="I187" s="12" t="n">
        <f aca="false">SUMIFS('בתי מרקחת Raw'!$E$6:$E$1616,'בתי מרקחת Raw'!$F$6:$F$1616,$A187,'בתי מרקחת Raw'!$C$6:$C$1616,2026)</f>
        <v>323.4</v>
      </c>
      <c r="J187" s="12" t="n">
        <f aca="false">I187*$J$5</f>
        <v>408.505263157895</v>
      </c>
      <c r="K187" s="12"/>
      <c r="L187" s="22"/>
    </row>
    <row r="188" customFormat="false" ht="15" hidden="false" customHeight="true" outlineLevel="0" collapsed="false">
      <c r="A188" s="12" t="n">
        <v>4408274</v>
      </c>
      <c r="B188" s="12" t="str">
        <f aca="false">IFERROR(INDEX('בתי מרקחת Raw'!$B:$B,MATCH($A188,'בתי מרקחת Raw'!$F:$F,0)),"")</f>
        <v>70N L חגורת פאבליק</v>
      </c>
      <c r="C188" s="12" t="n">
        <f aca="false">SUMIFS('בתי מרקחת Raw'!$D$6:$D$1616,'בתי מרקחת Raw'!$F$6:$F$1616,$A188,'בתי מרקחת Raw'!$C$6:$C$1616,2025)</f>
        <v>0</v>
      </c>
      <c r="D188" s="12" t="n">
        <f aca="false">SUMIFS('בתי מרקחת Raw'!$D$6:$D$1616,'בתי מרקחת Raw'!$F$6:$F$1616,$A188,'בתי מרקחת Raw'!$C$6:$C$1616,2026)</f>
        <v>1</v>
      </c>
      <c r="E188" s="12" t="n">
        <f aca="false">D188*$J$5</f>
        <v>1.26315789473684</v>
      </c>
      <c r="F188" s="12" t="n">
        <f aca="false">E188-C188</f>
        <v>1.26315789473684</v>
      </c>
      <c r="G188" s="21" t="str">
        <f aca="false">IF(AND(C188=0,E188=0),0,IF(C188=0,"New",(E188-C188)/C188))</f>
        <v>New</v>
      </c>
      <c r="H188" s="12" t="n">
        <f aca="false">SUMIFS('בתי מרקחת Raw'!$E$6:$E$1616,'בתי מרקחת Raw'!$F$6:$F$1616,$A188,'בתי מרקחת Raw'!$C$6:$C$1616,2025)</f>
        <v>0</v>
      </c>
      <c r="I188" s="12" t="n">
        <f aca="false">SUMIFS('בתי מרקחת Raw'!$E$6:$E$1616,'בתי מרקחת Raw'!$F$6:$F$1616,$A188,'בתי מרקחת Raw'!$C$6:$C$1616,2026)</f>
        <v>323.4</v>
      </c>
      <c r="J188" s="12" t="n">
        <f aca="false">I188*$J$5</f>
        <v>408.505263157895</v>
      </c>
      <c r="K188" s="12"/>
      <c r="L188" s="22"/>
    </row>
    <row r="189" customFormat="false" ht="15" hidden="false" customHeight="true" outlineLevel="0" collapsed="false">
      <c r="A189" s="12" t="n">
        <v>4408275</v>
      </c>
      <c r="B189" s="12" t="str">
        <f aca="false">IFERROR(INDEX('בתי מרקחת Raw'!$B:$B,MATCH($A189,'בתי מרקחת Raw'!$F:$F,0)),"")</f>
        <v>202  ONE SIZE חבק יד</v>
      </c>
      <c r="C189" s="12" t="n">
        <f aca="false">SUMIFS('בתי מרקחת Raw'!$D$6:$D$1616,'בתי מרקחת Raw'!$F$6:$F$1616,$A189,'בתי מרקחת Raw'!$C$6:$C$1616,2025)</f>
        <v>0</v>
      </c>
      <c r="D189" s="12" t="n">
        <f aca="false">SUMIFS('בתי מרקחת Raw'!$D$6:$D$1616,'בתי מרקחת Raw'!$F$6:$F$1616,$A189,'בתי מרקחת Raw'!$C$6:$C$1616,2026)</f>
        <v>22</v>
      </c>
      <c r="E189" s="12" t="n">
        <f aca="false">D189*$J$5</f>
        <v>27.7894736842105</v>
      </c>
      <c r="F189" s="12" t="n">
        <f aca="false">E189-C189</f>
        <v>27.7894736842105</v>
      </c>
      <c r="G189" s="21" t="str">
        <f aca="false">IF(AND(C189=0,E189=0),0,IF(C189=0,"New",(E189-C189)/C189))</f>
        <v>New</v>
      </c>
      <c r="H189" s="12" t="n">
        <f aca="false">SUMIFS('בתי מרקחת Raw'!$E$6:$E$1616,'בתי מרקחת Raw'!$F$6:$F$1616,$A189,'בתי מרקחת Raw'!$C$6:$C$1616,2025)</f>
        <v>0</v>
      </c>
      <c r="I189" s="12" t="n">
        <f aca="false">SUMIFS('בתי מרקחת Raw'!$E$6:$E$1616,'בתי מרקחת Raw'!$F$6:$F$1616,$A189,'בתי מרקחת Raw'!$C$6:$C$1616,2026)</f>
        <v>1035.8</v>
      </c>
      <c r="J189" s="12" t="n">
        <f aca="false">I189*$J$5</f>
        <v>1308.37894736842</v>
      </c>
      <c r="K189" s="12"/>
      <c r="L189" s="22"/>
    </row>
    <row r="190" customFormat="false" ht="15" hidden="false" customHeight="true" outlineLevel="0" collapsed="false">
      <c r="A190" s="12" t="n">
        <v>4409000</v>
      </c>
      <c r="B190" s="12" t="str">
        <f aca="false">IFERROR(INDEX('בתי מרקחת Raw'!$B:$B,MATCH($A190,'בתי מרקחת Raw'!$F:$F,0)),"")</f>
        <v>365 S-Lטבעת אלסטית מסיליקון</v>
      </c>
      <c r="C190" s="12" t="n">
        <f aca="false">SUMIFS('בתי מרקחת Raw'!$D$6:$D$1616,'בתי מרקחת Raw'!$F$6:$F$1616,$A190,'בתי מרקחת Raw'!$C$6:$C$1616,2025)</f>
        <v>414</v>
      </c>
      <c r="D190" s="12" t="n">
        <f aca="false">SUMIFS('בתי מרקחת Raw'!$D$6:$D$1616,'בתי מרקחת Raw'!$F$6:$F$1616,$A190,'בתי מרקחת Raw'!$C$6:$C$1616,2026)</f>
        <v>352</v>
      </c>
      <c r="E190" s="12" t="n">
        <f aca="false">D190*$J$5</f>
        <v>444.631578947368</v>
      </c>
      <c r="F190" s="12" t="n">
        <f aca="false">E190-C190</f>
        <v>30.6315789473684</v>
      </c>
      <c r="G190" s="21" t="n">
        <f aca="false">IF(AND(C190=0,E190=0),0,IF(C190=0,"New",(E190-C190)/C190))</f>
        <v>0.0739893211289091</v>
      </c>
      <c r="H190" s="12" t="n">
        <f aca="false">SUMIFS('בתי מרקחת Raw'!$E$6:$E$1616,'בתי מרקחת Raw'!$F$6:$F$1616,$A190,'בתי מרקחת Raw'!$C$6:$C$1616,2025)</f>
        <v>5614.64</v>
      </c>
      <c r="I190" s="12" t="n">
        <f aca="false">SUMIFS('בתי מרקחת Raw'!$E$6:$E$1616,'בתי מרקחת Raw'!$F$6:$F$1616,$A190,'בתי מרקחת Raw'!$C$6:$C$1616,2026)</f>
        <v>4789.92</v>
      </c>
      <c r="J190" s="12" t="n">
        <f aca="false">I190*$J$5</f>
        <v>6050.4252631579</v>
      </c>
      <c r="K190" s="12"/>
      <c r="L190" s="22"/>
    </row>
    <row r="191" customFormat="false" ht="15" hidden="false" customHeight="true" outlineLevel="0" collapsed="false">
      <c r="A191" s="12" t="n">
        <v>4409001</v>
      </c>
      <c r="B191" s="12" t="str">
        <f aca="false">IFERROR(INDEX('בתי מרקחת Raw'!$B:$B,MATCH($A191,'בתי מרקחת Raw'!$F:$F,0)),"")</f>
        <v>365  X-Lטבעת אלסטית מסיליקון</v>
      </c>
      <c r="C191" s="12" t="n">
        <f aca="false">SUMIFS('בתי מרקחת Raw'!$D$6:$D$1616,'בתי מרקחת Raw'!$F$6:$F$1616,$A191,'בתי מרקחת Raw'!$C$6:$C$1616,2025)</f>
        <v>265</v>
      </c>
      <c r="D191" s="12" t="n">
        <f aca="false">SUMIFS('בתי מרקחת Raw'!$D$6:$D$1616,'בתי מרקחת Raw'!$F$6:$F$1616,$A191,'בתי מרקחת Raw'!$C$6:$C$1616,2026)</f>
        <v>145</v>
      </c>
      <c r="E191" s="12" t="n">
        <f aca="false">D191*$J$5</f>
        <v>183.157894736842</v>
      </c>
      <c r="F191" s="12" t="n">
        <f aca="false">E191-C191</f>
        <v>-81.8421052631579</v>
      </c>
      <c r="G191" s="21" t="n">
        <f aca="false">IF(AND(C191=0,E191=0),0,IF(C191=0,"New",(E191-C191)/C191))</f>
        <v>-0.30883813306852</v>
      </c>
      <c r="H191" s="12" t="n">
        <f aca="false">SUMIFS('בתי מרקחת Raw'!$E$6:$E$1616,'בתי מרקחת Raw'!$F$6:$F$1616,$A191,'בתי מרקחת Raw'!$C$6:$C$1616,2025)</f>
        <v>3447.8</v>
      </c>
      <c r="I191" s="12" t="n">
        <f aca="false">SUMIFS('בתי מרקחת Raw'!$E$6:$E$1616,'בתי מרקחת Raw'!$F$6:$F$1616,$A191,'בתי מרקחת Raw'!$C$6:$C$1616,2026)</f>
        <v>1868.79</v>
      </c>
      <c r="J191" s="12" t="n">
        <f aca="false">I191*$J$5</f>
        <v>2360.57684210526</v>
      </c>
      <c r="K191" s="12"/>
      <c r="L191" s="22"/>
    </row>
    <row r="192" customFormat="false" ht="15" hidden="false" customHeight="true" outlineLevel="0" collapsed="false">
      <c r="A192" s="12" t="n">
        <v>4409002</v>
      </c>
      <c r="B192" s="12" t="str">
        <f aca="false">IFERROR(INDEX('בתי מרקחת Raw'!$B:$B,MATCH($A192,'בתי מרקחת Raw'!$F:$F,0)),"")</f>
        <v>FC341-טיפות נגד פטרת הציפורן</v>
      </c>
      <c r="C192" s="12" t="n">
        <f aca="false">SUMIFS('בתי מרקחת Raw'!$D$6:$D$1616,'בתי מרקחת Raw'!$F$6:$F$1616,$A192,'בתי מרקחת Raw'!$C$6:$C$1616,2025)</f>
        <v>-21</v>
      </c>
      <c r="D192" s="12" t="n">
        <f aca="false">SUMIFS('בתי מרקחת Raw'!$D$6:$D$1616,'בתי מרקחת Raw'!$F$6:$F$1616,$A192,'בתי מרקחת Raw'!$C$6:$C$1616,2026)</f>
        <v>-4</v>
      </c>
      <c r="E192" s="12" t="n">
        <f aca="false">D192*$J$5</f>
        <v>-5.05263157894737</v>
      </c>
      <c r="F192" s="12" t="n">
        <f aca="false">E192-C192</f>
        <v>15.9473684210526</v>
      </c>
      <c r="G192" s="21" t="n">
        <f aca="false">IF(AND(C192=0,E192=0),0,IF(C192=0,"New",(E192-C192)/C192))</f>
        <v>-0.759398496240602</v>
      </c>
      <c r="H192" s="12" t="n">
        <f aca="false">SUMIFS('בתי מרקחת Raw'!$E$6:$E$1616,'בתי מרקחת Raw'!$F$6:$F$1616,$A192,'בתי מרקחת Raw'!$C$6:$C$1616,2025)</f>
        <v>-810.8</v>
      </c>
      <c r="I192" s="12" t="n">
        <f aca="false">SUMIFS('בתי מרקחת Raw'!$E$6:$E$1616,'בתי מרקחת Raw'!$F$6:$F$1616,$A192,'בתי מרקחת Raw'!$C$6:$C$1616,2026)</f>
        <v>-113.3</v>
      </c>
      <c r="J192" s="12" t="n">
        <f aca="false">I192*$J$5</f>
        <v>-143.115789473684</v>
      </c>
      <c r="K192" s="12"/>
      <c r="L192" s="22"/>
    </row>
    <row r="193" customFormat="false" ht="15" hidden="false" customHeight="true" outlineLevel="0" collapsed="false">
      <c r="A193" s="12" t="n">
        <v>4409004</v>
      </c>
      <c r="B193" s="12" t="str">
        <f aca="false">IFERROR(INDEX('בתי מרקחת Raw'!$B:$B,MATCH($A193,'בתי מרקחת Raw'!$F:$F,0)),"")</f>
        <v>FC335 טלק מעושר באלוורה</v>
      </c>
      <c r="C193" s="12" t="n">
        <f aca="false">SUMIFS('בתי מרקחת Raw'!$D$6:$D$1616,'בתי מרקחת Raw'!$F$6:$F$1616,$A193,'בתי מרקחת Raw'!$C$6:$C$1616,2025)</f>
        <v>689</v>
      </c>
      <c r="D193" s="12" t="n">
        <f aca="false">SUMIFS('בתי מרקחת Raw'!$D$6:$D$1616,'בתי מרקחת Raw'!$F$6:$F$1616,$A193,'בתי מרקחת Raw'!$C$6:$C$1616,2026)</f>
        <v>278</v>
      </c>
      <c r="E193" s="12" t="n">
        <f aca="false">D193*$J$5</f>
        <v>351.157894736842</v>
      </c>
      <c r="F193" s="12" t="n">
        <f aca="false">E193-C193</f>
        <v>-337.842105263158</v>
      </c>
      <c r="G193" s="21" t="n">
        <f aca="false">IF(AND(C193=0,E193=0),0,IF(C193=0,"New",(E193-C193)/C193))</f>
        <v>-0.490336872660607</v>
      </c>
      <c r="H193" s="12" t="n">
        <f aca="false">SUMIFS('בתי מרקחת Raw'!$E$6:$E$1616,'בתי מרקחת Raw'!$F$6:$F$1616,$A193,'בתי מרקחת Raw'!$C$6:$C$1616,2025)</f>
        <v>15520.27</v>
      </c>
      <c r="I193" s="12" t="n">
        <f aca="false">SUMIFS('בתי מרקחת Raw'!$E$6:$E$1616,'בתי מרקחת Raw'!$F$6:$F$1616,$A193,'בתי מרקחת Raw'!$C$6:$C$1616,2026)</f>
        <v>6368.9</v>
      </c>
      <c r="J193" s="12" t="n">
        <f aca="false">I193*$J$5</f>
        <v>8044.92631578947</v>
      </c>
      <c r="K193" s="12"/>
      <c r="L193" s="22"/>
    </row>
    <row r="194" customFormat="false" ht="15" hidden="false" customHeight="true" outlineLevel="0" collapsed="false">
      <c r="A194" s="12" t="n">
        <v>4409010</v>
      </c>
      <c r="B194" s="12" t="str">
        <f aca="false">IFERROR(INDEX('בתי מרקחת Raw'!$B:$B,MATCH($A194,'בתי מרקחת Raw'!$F:$F,0)),"")</f>
        <v>804AT-W      טייפ חבישה לספורט</v>
      </c>
      <c r="C194" s="12" t="n">
        <f aca="false">SUMIFS('בתי מרקחת Raw'!$D$6:$D$1616,'בתי מרקחת Raw'!$F$6:$F$1616,$A194,'בתי מרקחת Raw'!$C$6:$C$1616,2025)</f>
        <v>10</v>
      </c>
      <c r="D194" s="12" t="n">
        <f aca="false">SUMIFS('בתי מרקחת Raw'!$D$6:$D$1616,'בתי מרקחת Raw'!$F$6:$F$1616,$A194,'בתי מרקחת Raw'!$C$6:$C$1616,2026)</f>
        <v>8</v>
      </c>
      <c r="E194" s="12" t="n">
        <f aca="false">D194*$J$5</f>
        <v>10.1052631578947</v>
      </c>
      <c r="F194" s="12" t="n">
        <f aca="false">E194-C194</f>
        <v>0.105263157894736</v>
      </c>
      <c r="G194" s="21" t="n">
        <f aca="false">IF(AND(C194=0,E194=0),0,IF(C194=0,"New",(E194-C194)/C194))</f>
        <v>0.0105263157894736</v>
      </c>
      <c r="H194" s="12" t="n">
        <f aca="false">SUMIFS('בתי מרקחת Raw'!$E$6:$E$1616,'בתי מרקחת Raw'!$F$6:$F$1616,$A194,'בתי מרקחת Raw'!$C$6:$C$1616,2025)</f>
        <v>159.1</v>
      </c>
      <c r="I194" s="12" t="n">
        <f aca="false">SUMIFS('בתי מרקחת Raw'!$E$6:$E$1616,'בתי מרקחת Raw'!$F$6:$F$1616,$A194,'בתי מרקחת Raw'!$C$6:$C$1616,2026)</f>
        <v>136.1</v>
      </c>
      <c r="J194" s="12" t="n">
        <f aca="false">I194*$J$5</f>
        <v>171.915789473684</v>
      </c>
      <c r="K194" s="12"/>
      <c r="L194" s="22"/>
    </row>
    <row r="195" customFormat="false" ht="15" hidden="false" customHeight="true" outlineLevel="0" collapsed="false">
      <c r="A195" s="12" t="n">
        <v>4409011</v>
      </c>
      <c r="B195" s="12" t="str">
        <f aca="false">IFERROR(INDEX('בתי מרקחת Raw'!$B:$B,MATCH($A195,'בתי מרקחת Raw'!$F:$F,0)),"")</f>
        <v>804AT-B      טייפ חבישה לספורט</v>
      </c>
      <c r="C195" s="12" t="n">
        <f aca="false">SUMIFS('בתי מרקחת Raw'!$D$6:$D$1616,'בתי מרקחת Raw'!$F$6:$F$1616,$A195,'בתי מרקחת Raw'!$C$6:$C$1616,2025)</f>
        <v>26</v>
      </c>
      <c r="D195" s="12" t="n">
        <f aca="false">SUMIFS('בתי מרקחת Raw'!$D$6:$D$1616,'בתי מרקחת Raw'!$F$6:$F$1616,$A195,'בתי מרקחת Raw'!$C$6:$C$1616,2026)</f>
        <v>56</v>
      </c>
      <c r="E195" s="12" t="n">
        <f aca="false">D195*$J$5</f>
        <v>70.7368421052632</v>
      </c>
      <c r="F195" s="12" t="n">
        <f aca="false">E195-C195</f>
        <v>44.7368421052632</v>
      </c>
      <c r="G195" s="21" t="n">
        <f aca="false">IF(AND(C195=0,E195=0),0,IF(C195=0,"New",(E195-C195)/C195))</f>
        <v>1.72064777327935</v>
      </c>
      <c r="H195" s="12" t="n">
        <f aca="false">SUMIFS('בתי מרקחת Raw'!$E$6:$E$1616,'בתי מרקחת Raw'!$F$6:$F$1616,$A195,'בתי מרקחת Raw'!$C$6:$C$1616,2025)</f>
        <v>417.2</v>
      </c>
      <c r="I195" s="12" t="n">
        <f aca="false">SUMIFS('בתי מרקחת Raw'!$E$6:$E$1616,'בתי מרקחת Raw'!$F$6:$F$1616,$A195,'בתי מרקחת Raw'!$C$6:$C$1616,2026)</f>
        <v>966.2</v>
      </c>
      <c r="J195" s="12" t="n">
        <f aca="false">I195*$J$5</f>
        <v>1220.46315789474</v>
      </c>
      <c r="K195" s="12"/>
      <c r="L195" s="22"/>
    </row>
    <row r="196" customFormat="false" ht="15" hidden="false" customHeight="true" outlineLevel="0" collapsed="false">
      <c r="A196" s="12" t="n">
        <v>4409012</v>
      </c>
      <c r="B196" s="12" t="str">
        <f aca="false">IFERROR(INDEX('בתי מרקחת Raw'!$B:$B,MATCH($A196,'בתי מרקחת Raw'!$F:$F,0)),"")</f>
        <v>804AT-C      טייפ חבישה לספורט</v>
      </c>
      <c r="C196" s="12" t="n">
        <f aca="false">SUMIFS('בתי מרקחת Raw'!$D$6:$D$1616,'בתי מרקחת Raw'!$F$6:$F$1616,$A196,'בתי מרקחת Raw'!$C$6:$C$1616,2025)</f>
        <v>41</v>
      </c>
      <c r="D196" s="12" t="n">
        <f aca="false">SUMIFS('בתי מרקחת Raw'!$D$6:$D$1616,'בתי מרקחת Raw'!$F$6:$F$1616,$A196,'בתי מרקחת Raw'!$C$6:$C$1616,2026)</f>
        <v>35</v>
      </c>
      <c r="E196" s="12" t="n">
        <f aca="false">D196*$J$5</f>
        <v>44.2105263157895</v>
      </c>
      <c r="F196" s="12" t="n">
        <f aca="false">E196-C196</f>
        <v>3.21052631578947</v>
      </c>
      <c r="G196" s="21" t="n">
        <f aca="false">IF(AND(C196=0,E196=0),0,IF(C196=0,"New",(E196-C196)/C196))</f>
        <v>0.0783055198973042</v>
      </c>
      <c r="H196" s="12" t="n">
        <f aca="false">SUMIFS('בתי מרקחת Raw'!$E$6:$E$1616,'בתי מרקחת Raw'!$F$6:$F$1616,$A196,'בתי מרקחת Raw'!$C$6:$C$1616,2025)</f>
        <v>613.6</v>
      </c>
      <c r="I196" s="12" t="n">
        <f aca="false">SUMIFS('בתי מרקחת Raw'!$E$6:$E$1616,'בתי מרקחת Raw'!$F$6:$F$1616,$A196,'בתי מרקחת Raw'!$C$6:$C$1616,2026)</f>
        <v>600.7</v>
      </c>
      <c r="J196" s="12" t="n">
        <f aca="false">I196*$J$5</f>
        <v>758.778947368421</v>
      </c>
      <c r="K196" s="12"/>
      <c r="L196" s="22"/>
    </row>
    <row r="197" customFormat="false" ht="15" hidden="false" customHeight="true" outlineLevel="0" collapsed="false">
      <c r="A197" s="12" t="n">
        <v>4409013</v>
      </c>
      <c r="B197" s="12" t="str">
        <f aca="false">IFERROR(INDEX('בתי מרקחת Raw'!$B:$B,MATCH($A197,'בתי מרקחת Raw'!$F:$F,0)),"")</f>
        <v>804AT-BL     טייפ חבישה לספורט</v>
      </c>
      <c r="C197" s="12" t="n">
        <f aca="false">SUMIFS('בתי מרקחת Raw'!$D$6:$D$1616,'בתי מרקחת Raw'!$F$6:$F$1616,$A197,'בתי מרקחת Raw'!$C$6:$C$1616,2025)</f>
        <v>7</v>
      </c>
      <c r="D197" s="12" t="n">
        <f aca="false">SUMIFS('בתי מרקחת Raw'!$D$6:$D$1616,'בתי מרקחת Raw'!$F$6:$F$1616,$A197,'בתי מרקחת Raw'!$C$6:$C$1616,2026)</f>
        <v>26</v>
      </c>
      <c r="E197" s="12" t="n">
        <f aca="false">D197*$J$5</f>
        <v>32.8421052631579</v>
      </c>
      <c r="F197" s="12" t="n">
        <f aca="false">E197-C197</f>
        <v>25.8421052631579</v>
      </c>
      <c r="G197" s="21" t="n">
        <f aca="false">IF(AND(C197=0,E197=0),0,IF(C197=0,"New",(E197-C197)/C197))</f>
        <v>3.69172932330827</v>
      </c>
      <c r="H197" s="12" t="n">
        <f aca="false">SUMIFS('בתי מרקחת Raw'!$E$6:$E$1616,'בתי מרקחת Raw'!$F$6:$F$1616,$A197,'בתי מרקחת Raw'!$C$6:$C$1616,2025)</f>
        <v>118.8</v>
      </c>
      <c r="I197" s="12" t="n">
        <f aca="false">SUMIFS('בתי מרקחת Raw'!$E$6:$E$1616,'בתי מרקחת Raw'!$F$6:$F$1616,$A197,'בתי מרקחת Raw'!$C$6:$C$1616,2026)</f>
        <v>449.7</v>
      </c>
      <c r="J197" s="12" t="n">
        <f aca="false">I197*$J$5</f>
        <v>568.042105263158</v>
      </c>
      <c r="K197" s="12"/>
      <c r="L197" s="22"/>
    </row>
    <row r="198" customFormat="false" ht="15" hidden="false" customHeight="true" outlineLevel="0" collapsed="false">
      <c r="A198" s="12" t="n">
        <v>4409014</v>
      </c>
      <c r="B198" s="12" t="str">
        <f aca="false">IFERROR(INDEX('בתי מרקחת Raw'!$B:$B,MATCH($A198,'בתי מרקחת Raw'!$F:$F,0)),"")</f>
        <v>808KT-P        טייפ קינזיולוגי</v>
      </c>
      <c r="C198" s="12" t="n">
        <f aca="false">SUMIFS('בתי מרקחת Raw'!$D$6:$D$1616,'בתי מרקחת Raw'!$F$6:$F$1616,$A198,'בתי מרקחת Raw'!$C$6:$C$1616,2025)</f>
        <v>300</v>
      </c>
      <c r="D198" s="12" t="n">
        <f aca="false">SUMIFS('בתי מרקחת Raw'!$D$6:$D$1616,'בתי מרקחת Raw'!$F$6:$F$1616,$A198,'בתי מרקחת Raw'!$C$6:$C$1616,2026)</f>
        <v>63</v>
      </c>
      <c r="E198" s="12" t="n">
        <f aca="false">D198*$J$5</f>
        <v>79.5789473684211</v>
      </c>
      <c r="F198" s="12" t="n">
        <f aca="false">E198-C198</f>
        <v>-220.421052631579</v>
      </c>
      <c r="G198" s="21" t="n">
        <f aca="false">IF(AND(C198=0,E198=0),0,IF(C198=0,"New",(E198-C198)/C198))</f>
        <v>-0.734736842105263</v>
      </c>
      <c r="H198" s="12" t="n">
        <f aca="false">SUMIFS('בתי מרקחת Raw'!$E$6:$E$1616,'בתי מרקחת Raw'!$F$6:$F$1616,$A198,'בתי מרקחת Raw'!$C$6:$C$1616,2025)</f>
        <v>9022.45</v>
      </c>
      <c r="I198" s="12" t="n">
        <f aca="false">SUMIFS('בתי מרקחת Raw'!$E$6:$E$1616,'בתי מרקחת Raw'!$F$6:$F$1616,$A198,'בתי מרקחת Raw'!$C$6:$C$1616,2026)</f>
        <v>2401</v>
      </c>
      <c r="J198" s="12" t="n">
        <f aca="false">I198*$J$5</f>
        <v>3032.84210526316</v>
      </c>
      <c r="K198" s="12"/>
      <c r="L198" s="22"/>
    </row>
    <row r="199" customFormat="false" ht="15" hidden="false" customHeight="true" outlineLevel="0" collapsed="false">
      <c r="A199" s="12" t="n">
        <v>4409015</v>
      </c>
      <c r="B199" s="12" t="str">
        <f aca="false">IFERROR(INDEX('בתי מרקחת Raw'!$B:$B,MATCH($A199,'בתי מרקחת Raw'!$F:$F,0)),"")</f>
        <v>808KT-BL       טייפ קינזיולוגי</v>
      </c>
      <c r="C199" s="12" t="n">
        <f aca="false">SUMIFS('בתי מרקחת Raw'!$D$6:$D$1616,'בתי מרקחת Raw'!$F$6:$F$1616,$A199,'בתי מרקחת Raw'!$C$6:$C$1616,2025)</f>
        <v>412</v>
      </c>
      <c r="D199" s="12" t="n">
        <f aca="false">SUMIFS('בתי מרקחת Raw'!$D$6:$D$1616,'בתי מרקחת Raw'!$F$6:$F$1616,$A199,'בתי מרקחת Raw'!$C$6:$C$1616,2026)</f>
        <v>120</v>
      </c>
      <c r="E199" s="12" t="n">
        <f aca="false">D199*$J$5</f>
        <v>151.578947368421</v>
      </c>
      <c r="F199" s="12" t="n">
        <f aca="false">E199-C199</f>
        <v>-260.421052631579</v>
      </c>
      <c r="G199" s="21" t="n">
        <f aca="false">IF(AND(C199=0,E199=0),0,IF(C199=0,"New",(E199-C199)/C199))</f>
        <v>-0.632089933571794</v>
      </c>
      <c r="H199" s="12" t="n">
        <f aca="false">SUMIFS('בתי מרקחת Raw'!$E$6:$E$1616,'בתי מרקחת Raw'!$F$6:$F$1616,$A199,'בתי מרקחת Raw'!$C$6:$C$1616,2025)</f>
        <v>13087</v>
      </c>
      <c r="I199" s="12" t="n">
        <f aca="false">SUMIFS('בתי מרקחת Raw'!$E$6:$E$1616,'בתי מרקחת Raw'!$F$6:$F$1616,$A199,'בתי מרקחת Raw'!$C$6:$C$1616,2026)</f>
        <v>4295</v>
      </c>
      <c r="J199" s="12" t="n">
        <f aca="false">I199*$J$5</f>
        <v>5425.26315789474</v>
      </c>
      <c r="K199" s="12"/>
      <c r="L199" s="22"/>
    </row>
    <row r="200" customFormat="false" ht="15" hidden="false" customHeight="true" outlineLevel="0" collapsed="false">
      <c r="A200" s="12" t="n">
        <v>4409016</v>
      </c>
      <c r="B200" s="12" t="str">
        <f aca="false">IFERROR(INDEX('בתי מרקחת Raw'!$B:$B,MATCH($A200,'בתי מרקחת Raw'!$F:$F,0)),"")</f>
        <v>808KT-C        טייפ קינזיולוגי</v>
      </c>
      <c r="C200" s="12" t="n">
        <f aca="false">SUMIFS('בתי מרקחת Raw'!$D$6:$D$1616,'בתי מרקחת Raw'!$F$6:$F$1616,$A200,'בתי מרקחת Raw'!$C$6:$C$1616,2025)</f>
        <v>533</v>
      </c>
      <c r="D200" s="12" t="n">
        <f aca="false">SUMIFS('בתי מרקחת Raw'!$D$6:$D$1616,'בתי מרקחת Raw'!$F$6:$F$1616,$A200,'בתי מרקחת Raw'!$C$6:$C$1616,2026)</f>
        <v>285</v>
      </c>
      <c r="E200" s="12" t="n">
        <f aca="false">D200*$J$5</f>
        <v>360</v>
      </c>
      <c r="F200" s="12" t="n">
        <f aca="false">E200-C200</f>
        <v>-173</v>
      </c>
      <c r="G200" s="21" t="n">
        <f aca="false">IF(AND(C200=0,E200=0),0,IF(C200=0,"New",(E200-C200)/C200))</f>
        <v>-0.324577861163227</v>
      </c>
      <c r="H200" s="12" t="n">
        <f aca="false">SUMIFS('בתי מרקחת Raw'!$E$6:$E$1616,'בתי מרקחת Raw'!$F$6:$F$1616,$A200,'בתי מרקחת Raw'!$C$6:$C$1616,2025)</f>
        <v>16178.13</v>
      </c>
      <c r="I200" s="12" t="n">
        <f aca="false">SUMIFS('בתי מרקחת Raw'!$E$6:$E$1616,'בתי מרקחת Raw'!$F$6:$F$1616,$A200,'בתי מרקחת Raw'!$C$6:$C$1616,2026)</f>
        <v>9507.7</v>
      </c>
      <c r="J200" s="12" t="n">
        <f aca="false">I200*$J$5</f>
        <v>12009.7263157895</v>
      </c>
      <c r="K200" s="12"/>
      <c r="L200" s="22"/>
    </row>
    <row r="201" customFormat="false" ht="15" hidden="false" customHeight="true" outlineLevel="0" collapsed="false">
      <c r="A201" s="12" t="n">
        <v>4409017</v>
      </c>
      <c r="B201" s="12" t="str">
        <f aca="false">IFERROR(INDEX('בתי מרקחת Raw'!$B:$B,MATCH($A201,'בתי מרקחת Raw'!$F:$F,0)),"")</f>
        <v>808KT-B        טייפ קינזיולוגי</v>
      </c>
      <c r="C201" s="12" t="n">
        <f aca="false">SUMIFS('בתי מרקחת Raw'!$D$6:$D$1616,'בתי מרקחת Raw'!$F$6:$F$1616,$A201,'בתי מרקחת Raw'!$C$6:$C$1616,2025)</f>
        <v>398</v>
      </c>
      <c r="D201" s="12" t="n">
        <f aca="false">SUMIFS('בתי מרקחת Raw'!$D$6:$D$1616,'בתי מרקחת Raw'!$F$6:$F$1616,$A201,'בתי מרקחת Raw'!$C$6:$C$1616,2026)</f>
        <v>183</v>
      </c>
      <c r="E201" s="12" t="n">
        <f aca="false">D201*$J$5</f>
        <v>231.157894736842</v>
      </c>
      <c r="F201" s="12" t="n">
        <f aca="false">E201-C201</f>
        <v>-166.842105263158</v>
      </c>
      <c r="G201" s="21" t="n">
        <f aca="false">IF(AND(C201=0,E201=0),0,IF(C201=0,"New",(E201-C201)/C201))</f>
        <v>-0.419201269505422</v>
      </c>
      <c r="H201" s="12" t="n">
        <f aca="false">SUMIFS('בתי מרקחת Raw'!$E$6:$E$1616,'בתי מרקחת Raw'!$F$6:$F$1616,$A201,'בתי מרקחת Raw'!$C$6:$C$1616,2025)</f>
        <v>12323.8</v>
      </c>
      <c r="I201" s="12" t="n">
        <f aca="false">SUMIFS('בתי מרקחת Raw'!$E$6:$E$1616,'בתי מרקחת Raw'!$F$6:$F$1616,$A201,'בתי מרקחת Raw'!$C$6:$C$1616,2026)</f>
        <v>6524.5</v>
      </c>
      <c r="J201" s="12" t="n">
        <f aca="false">I201*$J$5</f>
        <v>8241.47368421053</v>
      </c>
      <c r="K201" s="12"/>
      <c r="L201" s="22"/>
    </row>
    <row r="202" customFormat="false" ht="15" hidden="false" customHeight="true" outlineLevel="0" collapsed="false">
      <c r="A202" s="12" t="n">
        <v>4411000</v>
      </c>
      <c r="B202" s="12" t="str">
        <f aca="false">IFERROR(INDEX('בתי מרקחת Raw'!$B:$B,MATCH($A202,'בתי מרקחת Raw'!$F:$F,0)),"")</f>
        <v>כרית מטטרזלי סיליקון362</v>
      </c>
      <c r="C202" s="12" t="n">
        <f aca="false">SUMIFS('בתי מרקחת Raw'!$D$6:$D$1616,'בתי מרקחת Raw'!$F$6:$F$1616,$A202,'בתי מרקחת Raw'!$C$6:$C$1616,2025)</f>
        <v>354</v>
      </c>
      <c r="D202" s="12" t="n">
        <f aca="false">SUMIFS('בתי מרקחת Raw'!$D$6:$D$1616,'בתי מרקחת Raw'!$F$6:$F$1616,$A202,'בתי מרקחת Raw'!$C$6:$C$1616,2026)</f>
        <v>199</v>
      </c>
      <c r="E202" s="12" t="n">
        <f aca="false">D202*$J$5</f>
        <v>251.368421052632</v>
      </c>
      <c r="F202" s="12" t="n">
        <f aca="false">E202-C202</f>
        <v>-102.631578947368</v>
      </c>
      <c r="G202" s="21" t="n">
        <f aca="false">IF(AND(C202=0,E202=0),0,IF(C202=0,"New",(E202-C202)/C202))</f>
        <v>-0.289919714540589</v>
      </c>
      <c r="H202" s="12" t="n">
        <f aca="false">SUMIFS('בתי מרקחת Raw'!$E$6:$E$1616,'בתי מרקחת Raw'!$F$6:$F$1616,$A202,'בתי מרקחת Raw'!$C$6:$C$1616,2025)</f>
        <v>10012.29</v>
      </c>
      <c r="I202" s="12" t="n">
        <f aca="false">SUMIFS('בתי מרקחת Raw'!$E$6:$E$1616,'בתי מרקחת Raw'!$F$6:$F$1616,$A202,'בתי מרקחת Raw'!$C$6:$C$1616,2026)</f>
        <v>5734.8</v>
      </c>
      <c r="J202" s="12" t="n">
        <f aca="false">I202*$J$5</f>
        <v>7243.95789473684</v>
      </c>
      <c r="K202" s="12"/>
      <c r="L202" s="22"/>
    </row>
    <row r="203" customFormat="false" ht="15" hidden="false" customHeight="true" outlineLevel="0" collapsed="false">
      <c r="A203" s="12" t="n">
        <v>4411001</v>
      </c>
      <c r="B203" s="12" t="str">
        <f aca="false">IFERROR(INDEX('בתי מרקחת Raw'!$B:$B,MATCH($A203,'בתי מרקחת Raw'!$F:$F,0)),"")</f>
        <v>3623 כרית ליישור אצבע פטיש</v>
      </c>
      <c r="C203" s="12" t="n">
        <f aca="false">SUMIFS('בתי מרקחת Raw'!$D$6:$D$1616,'בתי מרקחת Raw'!$F$6:$F$1616,$A203,'בתי מרקחת Raw'!$C$6:$C$1616,2025)</f>
        <v>282</v>
      </c>
      <c r="D203" s="12" t="n">
        <f aca="false">SUMIFS('בתי מרקחת Raw'!$D$6:$D$1616,'בתי מרקחת Raw'!$F$6:$F$1616,$A203,'בתי מרקחת Raw'!$C$6:$C$1616,2026)</f>
        <v>163</v>
      </c>
      <c r="E203" s="12" t="n">
        <f aca="false">D203*$J$5</f>
        <v>205.894736842105</v>
      </c>
      <c r="F203" s="12" t="n">
        <f aca="false">E203-C203</f>
        <v>-76.1052631578947</v>
      </c>
      <c r="G203" s="21" t="n">
        <f aca="false">IF(AND(C203=0,E203=0),0,IF(C203=0,"New",(E203-C203)/C203))</f>
        <v>-0.269876819708847</v>
      </c>
      <c r="H203" s="12" t="n">
        <f aca="false">SUMIFS('בתי מרקחת Raw'!$E$6:$E$1616,'בתי מרקחת Raw'!$F$6:$F$1616,$A203,'בתי מרקחת Raw'!$C$6:$C$1616,2025)</f>
        <v>7530.12</v>
      </c>
      <c r="I203" s="12" t="n">
        <f aca="false">SUMIFS('בתי מרקחת Raw'!$E$6:$E$1616,'בתי מרקחת Raw'!$F$6:$F$1616,$A203,'בתי מרקחת Raw'!$C$6:$C$1616,2026)</f>
        <v>4409.6</v>
      </c>
      <c r="J203" s="12" t="n">
        <f aca="false">I203*$J$5</f>
        <v>5570.02105263158</v>
      </c>
      <c r="K203" s="12"/>
      <c r="L203" s="22"/>
    </row>
    <row r="204" customFormat="false" ht="15" hidden="false" customHeight="true" outlineLevel="0" collapsed="false">
      <c r="A204" s="12" t="n">
        <v>4411015</v>
      </c>
      <c r="B204" s="12" t="str">
        <f aca="false">IFERROR(INDEX('בתי מרקחת Raw'!$B:$B,MATCH($A204,'בתי מרקחת Raw'!$F:$F,0)),"")</f>
        <v>820 0 כרית חום וקור</v>
      </c>
      <c r="C204" s="12" t="n">
        <f aca="false">SUMIFS('בתי מרקחת Raw'!$D$6:$D$1616,'בתי מרקחת Raw'!$F$6:$F$1616,$A204,'בתי מרקחת Raw'!$C$6:$C$1616,2025)</f>
        <v>50</v>
      </c>
      <c r="D204" s="12" t="n">
        <f aca="false">SUMIFS('בתי מרקחת Raw'!$D$6:$D$1616,'בתי מרקחת Raw'!$F$6:$F$1616,$A204,'בתי מרקחת Raw'!$C$6:$C$1616,2026)</f>
        <v>36</v>
      </c>
      <c r="E204" s="12" t="n">
        <f aca="false">D204*$J$5</f>
        <v>45.4736842105263</v>
      </c>
      <c r="F204" s="12" t="n">
        <f aca="false">E204-C204</f>
        <v>-4.52631578947369</v>
      </c>
      <c r="G204" s="21" t="n">
        <f aca="false">IF(AND(C204=0,E204=0),0,IF(C204=0,"New",(E204-C204)/C204))</f>
        <v>-0.0905263157894737</v>
      </c>
      <c r="H204" s="12" t="n">
        <f aca="false">SUMIFS('בתי מרקחת Raw'!$E$6:$E$1616,'בתי מרקחת Raw'!$F$6:$F$1616,$A204,'בתי מרקחת Raw'!$C$6:$C$1616,2025)</f>
        <v>2323.5</v>
      </c>
      <c r="I204" s="12" t="n">
        <f aca="false">SUMIFS('בתי מרקחת Raw'!$E$6:$E$1616,'בתי מרקחת Raw'!$F$6:$F$1616,$A204,'בתי מרקחת Raw'!$C$6:$C$1616,2026)</f>
        <v>1677.4</v>
      </c>
      <c r="J204" s="12" t="n">
        <f aca="false">I204*$J$5</f>
        <v>2118.82105263158</v>
      </c>
      <c r="K204" s="12"/>
      <c r="L204" s="22"/>
    </row>
    <row r="205" customFormat="false" ht="15" hidden="false" customHeight="true" outlineLevel="0" collapsed="false">
      <c r="A205" s="12" t="n">
        <v>4411016</v>
      </c>
      <c r="B205" s="12" t="str">
        <f aca="false">IFERROR(INDEX('בתי מרקחת Raw'!$B:$B,MATCH($A205,'בתי מרקחת Raw'!$F:$F,0)),"")</f>
        <v>307 XL כרית סיליקון לעקב</v>
      </c>
      <c r="C205" s="12" t="n">
        <f aca="false">SUMIFS('בתי מרקחת Raw'!$D$6:$D$1616,'בתי מרקחת Raw'!$F$6:$F$1616,$A205,'בתי מרקחת Raw'!$C$6:$C$1616,2025)</f>
        <v>107</v>
      </c>
      <c r="D205" s="12" t="n">
        <f aca="false">SUMIFS('בתי מרקחת Raw'!$D$6:$D$1616,'בתי מרקחת Raw'!$F$6:$F$1616,$A205,'בתי מרקחת Raw'!$C$6:$C$1616,2026)</f>
        <v>58</v>
      </c>
      <c r="E205" s="12" t="n">
        <f aca="false">D205*$J$5</f>
        <v>73.2631578947368</v>
      </c>
      <c r="F205" s="12" t="n">
        <f aca="false">E205-C205</f>
        <v>-33.7368421052632</v>
      </c>
      <c r="G205" s="21" t="n">
        <f aca="false">IF(AND(C205=0,E205=0),0,IF(C205=0,"New",(E205-C205)/C205))</f>
        <v>-0.315297589768815</v>
      </c>
      <c r="H205" s="12" t="n">
        <f aca="false">SUMIFS('בתי מרקחת Raw'!$E$6:$E$1616,'בתי מרקחת Raw'!$F$6:$F$1616,$A205,'בתי מרקחת Raw'!$C$6:$C$1616,2025)</f>
        <v>8476.17</v>
      </c>
      <c r="I205" s="12" t="n">
        <f aca="false">SUMIFS('בתי מרקחת Raw'!$E$6:$E$1616,'בתי מרקחת Raw'!$F$6:$F$1616,$A205,'בתי מרקחת Raw'!$C$6:$C$1616,2026)</f>
        <v>4865.58</v>
      </c>
      <c r="J205" s="12" t="n">
        <f aca="false">I205*$J$5</f>
        <v>6145.99578947368</v>
      </c>
      <c r="K205" s="12"/>
      <c r="L205" s="22"/>
    </row>
    <row r="206" customFormat="false" ht="15" hidden="false" customHeight="true" outlineLevel="0" collapsed="false">
      <c r="A206" s="12" t="n">
        <v>4411017</v>
      </c>
      <c r="B206" s="12" t="str">
        <f aca="false">IFERROR(INDEX('בתי מרקחת Raw'!$B:$B,MATCH($A206,'בתי מרקחת Raw'!$F:$F,0)),"")</f>
        <v>211L כפפות לחץ</v>
      </c>
      <c r="C206" s="12" t="n">
        <f aca="false">SUMIFS('בתי מרקחת Raw'!$D$6:$D$1616,'בתי מרקחת Raw'!$F$6:$F$1616,$A206,'בתי מרקחת Raw'!$C$6:$C$1616,2025)</f>
        <v>26</v>
      </c>
      <c r="D206" s="12" t="n">
        <f aca="false">SUMIFS('בתי מרקחת Raw'!$D$6:$D$1616,'בתי מרקחת Raw'!$F$6:$F$1616,$A206,'בתי מרקחת Raw'!$C$6:$C$1616,2026)</f>
        <v>11</v>
      </c>
      <c r="E206" s="12" t="n">
        <f aca="false">D206*$J$5</f>
        <v>13.8947368421053</v>
      </c>
      <c r="F206" s="12" t="n">
        <f aca="false">E206-C206</f>
        <v>-12.1052631578947</v>
      </c>
      <c r="G206" s="21" t="n">
        <f aca="false">IF(AND(C206=0,E206=0),0,IF(C206=0,"New",(E206-C206)/C206))</f>
        <v>-0.465587044534413</v>
      </c>
      <c r="H206" s="12" t="n">
        <f aca="false">SUMIFS('בתי מרקחת Raw'!$E$6:$E$1616,'בתי מרקחת Raw'!$F$6:$F$1616,$A206,'בתי מרקחת Raw'!$C$6:$C$1616,2025)</f>
        <v>922.3</v>
      </c>
      <c r="I206" s="12" t="n">
        <f aca="false">SUMIFS('בתי מרקחת Raw'!$E$6:$E$1616,'בתי מרקחת Raw'!$F$6:$F$1616,$A206,'בתי מרקחת Raw'!$C$6:$C$1616,2026)</f>
        <v>407</v>
      </c>
      <c r="J206" s="12" t="n">
        <f aca="false">I206*$J$5</f>
        <v>514.105263157895</v>
      </c>
      <c r="K206" s="12"/>
      <c r="L206" s="22"/>
    </row>
    <row r="207" customFormat="false" ht="15" hidden="false" customHeight="true" outlineLevel="0" collapsed="false">
      <c r="A207" s="12" t="n">
        <v>4411018</v>
      </c>
      <c r="B207" s="12" t="str">
        <f aca="false">IFERROR(INDEX('בתי מרקחת Raw'!$B:$B,MATCH($A207,'בתי מרקחת Raw'!$F:$F,0)),"")</f>
        <v>211M כפפות לחץ</v>
      </c>
      <c r="C207" s="12" t="n">
        <f aca="false">SUMIFS('בתי מרקחת Raw'!$D$6:$D$1616,'בתי מרקחת Raw'!$F$6:$F$1616,$A207,'בתי מרקחת Raw'!$C$6:$C$1616,2025)</f>
        <v>32</v>
      </c>
      <c r="D207" s="12" t="n">
        <f aca="false">SUMIFS('בתי מרקחת Raw'!$D$6:$D$1616,'בתי מרקחת Raw'!$F$6:$F$1616,$A207,'בתי מרקחת Raw'!$C$6:$C$1616,2026)</f>
        <v>16</v>
      </c>
      <c r="E207" s="12" t="n">
        <f aca="false">D207*$J$5</f>
        <v>20.2105263157895</v>
      </c>
      <c r="F207" s="12" t="n">
        <f aca="false">E207-C207</f>
        <v>-11.7894736842105</v>
      </c>
      <c r="G207" s="21" t="n">
        <f aca="false">IF(AND(C207=0,E207=0),0,IF(C207=0,"New",(E207-C207)/C207))</f>
        <v>-0.368421052631579</v>
      </c>
      <c r="H207" s="12" t="n">
        <f aca="false">SUMIFS('בתי מרקחת Raw'!$E$6:$E$1616,'בתי מרקחת Raw'!$F$6:$F$1616,$A207,'בתי מרקחת Raw'!$C$6:$C$1616,2025)</f>
        <v>1162.2</v>
      </c>
      <c r="I207" s="12" t="n">
        <f aca="false">SUMIFS('בתי מרקחת Raw'!$E$6:$E$1616,'בתי מרקחת Raw'!$F$6:$F$1616,$A207,'בתי מרקחת Raw'!$C$6:$C$1616,2026)</f>
        <v>591.7</v>
      </c>
      <c r="J207" s="12" t="n">
        <f aca="false">I207*$J$5</f>
        <v>747.41052631579</v>
      </c>
      <c r="K207" s="12"/>
      <c r="L207" s="22"/>
    </row>
    <row r="208" customFormat="false" ht="15" hidden="false" customHeight="true" outlineLevel="0" collapsed="false">
      <c r="A208" s="12" t="n">
        <v>4411019</v>
      </c>
      <c r="B208" s="12" t="str">
        <f aca="false">IFERROR(INDEX('בתי מרקחת Raw'!$B:$B,MATCH($A208,'בתי מרקחת Raw'!$F:$F,0)),"")</f>
        <v>211S כפפות לחץ</v>
      </c>
      <c r="C208" s="12" t="n">
        <f aca="false">SUMIFS('בתי מרקחת Raw'!$D$6:$D$1616,'בתי מרקחת Raw'!$F$6:$F$1616,$A208,'בתי מרקחת Raw'!$C$6:$C$1616,2025)</f>
        <v>24</v>
      </c>
      <c r="D208" s="12" t="n">
        <f aca="false">SUMIFS('בתי מרקחת Raw'!$D$6:$D$1616,'בתי מרקחת Raw'!$F$6:$F$1616,$A208,'בתי מרקחת Raw'!$C$6:$C$1616,2026)</f>
        <v>10</v>
      </c>
      <c r="E208" s="12" t="n">
        <f aca="false">D208*$J$5</f>
        <v>12.6315789473684</v>
      </c>
      <c r="F208" s="12" t="n">
        <f aca="false">E208-C208</f>
        <v>-11.3684210526316</v>
      </c>
      <c r="G208" s="21" t="n">
        <f aca="false">IF(AND(C208=0,E208=0),0,IF(C208=0,"New",(E208-C208)/C208))</f>
        <v>-0.473684210526316</v>
      </c>
      <c r="H208" s="12" t="n">
        <f aca="false">SUMIFS('בתי מרקחת Raw'!$E$6:$E$1616,'בתי מרקחת Raw'!$F$6:$F$1616,$A208,'בתי מרקחת Raw'!$C$6:$C$1616,2025)</f>
        <v>857.1</v>
      </c>
      <c r="I208" s="12" t="n">
        <f aca="false">SUMIFS('בתי מרקחת Raw'!$E$6:$E$1616,'בתי מרקחת Raw'!$F$6:$F$1616,$A208,'בתי מרקחת Raw'!$C$6:$C$1616,2026)</f>
        <v>359.6</v>
      </c>
      <c r="J208" s="12" t="n">
        <f aca="false">I208*$J$5</f>
        <v>454.231578947368</v>
      </c>
      <c r="K208" s="12"/>
      <c r="L208" s="22"/>
    </row>
    <row r="209" customFormat="false" ht="15" hidden="false" customHeight="true" outlineLevel="0" collapsed="false">
      <c r="A209" s="12" t="n">
        <v>4411020</v>
      </c>
      <c r="B209" s="12" t="str">
        <f aca="false">IFERROR(INDEX('בתי מרקחת Raw'!$B:$B,MATCH($A209,'בתי מרקחת Raw'!$F:$F,0)),"")</f>
        <v>211XL כפפות לחץ</v>
      </c>
      <c r="C209" s="12" t="n">
        <f aca="false">SUMIFS('בתי מרקחת Raw'!$D$6:$D$1616,'בתי מרקחת Raw'!$F$6:$F$1616,$A209,'בתי מרקחת Raw'!$C$6:$C$1616,2025)</f>
        <v>13</v>
      </c>
      <c r="D209" s="12" t="n">
        <f aca="false">SUMIFS('בתי מרקחת Raw'!$D$6:$D$1616,'בתי מרקחת Raw'!$F$6:$F$1616,$A209,'בתי מרקחת Raw'!$C$6:$C$1616,2026)</f>
        <v>5</v>
      </c>
      <c r="E209" s="12" t="n">
        <f aca="false">D209*$J$5</f>
        <v>6.31578947368421</v>
      </c>
      <c r="F209" s="12" t="n">
        <f aca="false">E209-C209</f>
        <v>-6.68421052631579</v>
      </c>
      <c r="G209" s="21" t="n">
        <f aca="false">IF(AND(C209=0,E209=0),0,IF(C209=0,"New",(E209-C209)/C209))</f>
        <v>-0.51417004048583</v>
      </c>
      <c r="H209" s="12" t="n">
        <f aca="false">SUMIFS('בתי מרקחת Raw'!$E$6:$E$1616,'בתי מרקחת Raw'!$F$6:$F$1616,$A209,'בתי מרקחת Raw'!$C$6:$C$1616,2025)</f>
        <v>469.4</v>
      </c>
      <c r="I209" s="12" t="n">
        <f aca="false">SUMIFS('בתי מרקחת Raw'!$E$6:$E$1616,'בתי מרקחת Raw'!$F$6:$F$1616,$A209,'בתי מרקחת Raw'!$C$6:$C$1616,2026)</f>
        <v>184.8</v>
      </c>
      <c r="J209" s="12" t="n">
        <f aca="false">I209*$J$5</f>
        <v>233.431578947368</v>
      </c>
      <c r="K209" s="12"/>
      <c r="L209" s="22"/>
    </row>
    <row r="210" customFormat="false" ht="15" hidden="false" customHeight="true" outlineLevel="0" collapsed="false">
      <c r="A210" s="12" t="n">
        <v>4411021</v>
      </c>
      <c r="B210" s="12" t="str">
        <f aca="false">IFERROR(INDEX('בתי מרקחת Raw'!$B:$B,MATCH($A210,'בתי מרקחת Raw'!$F:$F,0)),"")</f>
        <v>212L כפפות אגודל לחץ</v>
      </c>
      <c r="C210" s="12" t="n">
        <f aca="false">SUMIFS('בתי מרקחת Raw'!$D$6:$D$1616,'בתי מרקחת Raw'!$F$6:$F$1616,$A210,'בתי מרקחת Raw'!$C$6:$C$1616,2025)</f>
        <v>28</v>
      </c>
      <c r="D210" s="12" t="n">
        <f aca="false">SUMIFS('בתי מרקחת Raw'!$D$6:$D$1616,'בתי מרקחת Raw'!$F$6:$F$1616,$A210,'בתי מרקחת Raw'!$C$6:$C$1616,2026)</f>
        <v>16</v>
      </c>
      <c r="E210" s="12" t="n">
        <f aca="false">D210*$J$5</f>
        <v>20.2105263157895</v>
      </c>
      <c r="F210" s="12" t="n">
        <f aca="false">E210-C210</f>
        <v>-7.78947368421053</v>
      </c>
      <c r="G210" s="21" t="n">
        <f aca="false">IF(AND(C210=0,E210=0),0,IF(C210=0,"New",(E210-C210)/C210))</f>
        <v>-0.278195488721805</v>
      </c>
      <c r="H210" s="12" t="n">
        <f aca="false">SUMIFS('בתי מרקחת Raw'!$E$6:$E$1616,'בתי מרקחת Raw'!$F$6:$F$1616,$A210,'בתי מרקחת Raw'!$C$6:$C$1616,2025)</f>
        <v>1071.9</v>
      </c>
      <c r="I210" s="12" t="n">
        <f aca="false">SUMIFS('בתי מרקחת Raw'!$E$6:$E$1616,'בתי מרקחת Raw'!$F$6:$F$1616,$A210,'בתי מרקחת Raw'!$C$6:$C$1616,2026)</f>
        <v>631.39</v>
      </c>
      <c r="J210" s="12" t="n">
        <f aca="false">I210*$J$5</f>
        <v>797.545263157895</v>
      </c>
      <c r="K210" s="12"/>
      <c r="L210" s="22"/>
    </row>
    <row r="211" customFormat="false" ht="15" hidden="false" customHeight="true" outlineLevel="0" collapsed="false">
      <c r="A211" s="12" t="n">
        <v>4411022</v>
      </c>
      <c r="B211" s="12" t="str">
        <f aca="false">IFERROR(INDEX('בתי מרקחת Raw'!$B:$B,MATCH($A211,'בתי מרקחת Raw'!$F:$F,0)),"")</f>
        <v>212M כפפות אגודל לחץ</v>
      </c>
      <c r="C211" s="12" t="n">
        <f aca="false">SUMIFS('בתי מרקחת Raw'!$D$6:$D$1616,'בתי מרקחת Raw'!$F$6:$F$1616,$A211,'בתי מרקחת Raw'!$C$6:$C$1616,2025)</f>
        <v>49</v>
      </c>
      <c r="D211" s="12" t="n">
        <f aca="false">SUMIFS('בתי מרקחת Raw'!$D$6:$D$1616,'בתי מרקחת Raw'!$F$6:$F$1616,$A211,'בתי מרקחת Raw'!$C$6:$C$1616,2026)</f>
        <v>29</v>
      </c>
      <c r="E211" s="12" t="n">
        <f aca="false">D211*$J$5</f>
        <v>36.6315789473684</v>
      </c>
      <c r="F211" s="12" t="n">
        <f aca="false">E211-C211</f>
        <v>-12.3684210526316</v>
      </c>
      <c r="G211" s="21" t="n">
        <f aca="false">IF(AND(C211=0,E211=0),0,IF(C211=0,"New",(E211-C211)/C211))</f>
        <v>-0.252416756176155</v>
      </c>
      <c r="H211" s="12" t="n">
        <f aca="false">SUMIFS('בתי מרקחת Raw'!$E$6:$E$1616,'בתי מרקחת Raw'!$F$6:$F$1616,$A211,'בתי מרקחת Raw'!$C$6:$C$1616,2025)</f>
        <v>1871.71</v>
      </c>
      <c r="I211" s="12" t="n">
        <f aca="false">SUMIFS('בתי מרקחת Raw'!$E$6:$E$1616,'בתי מרקחת Raw'!$F$6:$F$1616,$A211,'בתי מרקחת Raw'!$C$6:$C$1616,2026)</f>
        <v>1143.4</v>
      </c>
      <c r="J211" s="12" t="n">
        <f aca="false">I211*$J$5</f>
        <v>1444.29473684211</v>
      </c>
      <c r="K211" s="12"/>
      <c r="L211" s="22"/>
    </row>
    <row r="212" customFormat="false" ht="15" hidden="false" customHeight="true" outlineLevel="0" collapsed="false">
      <c r="A212" s="12" t="n">
        <v>4411023</v>
      </c>
      <c r="B212" s="12" t="str">
        <f aca="false">IFERROR(INDEX('בתי מרקחת Raw'!$B:$B,MATCH($A212,'בתי מרקחת Raw'!$F:$F,0)),"")</f>
        <v>212S כפפות אגודל לחץ</v>
      </c>
      <c r="C212" s="12" t="n">
        <f aca="false">SUMIFS('בתי מרקחת Raw'!$D$6:$D$1616,'בתי מרקחת Raw'!$F$6:$F$1616,$A212,'בתי מרקחת Raw'!$C$6:$C$1616,2025)</f>
        <v>39</v>
      </c>
      <c r="D212" s="12" t="n">
        <f aca="false">SUMIFS('בתי מרקחת Raw'!$D$6:$D$1616,'בתי מרקחת Raw'!$F$6:$F$1616,$A212,'בתי מרקחת Raw'!$C$6:$C$1616,2026)</f>
        <v>29</v>
      </c>
      <c r="E212" s="12" t="n">
        <f aca="false">D212*$J$5</f>
        <v>36.6315789473684</v>
      </c>
      <c r="F212" s="12" t="n">
        <f aca="false">E212-C212</f>
        <v>-2.36842105263158</v>
      </c>
      <c r="G212" s="21" t="n">
        <f aca="false">IF(AND(C212=0,E212=0),0,IF(C212=0,"New",(E212-C212)/C212))</f>
        <v>-0.0607287449392713</v>
      </c>
      <c r="H212" s="12" t="n">
        <f aca="false">SUMIFS('בתי מרקחת Raw'!$E$6:$E$1616,'בתי מרקחת Raw'!$F$6:$F$1616,$A212,'בתי מרקחת Raw'!$C$6:$C$1616,2025)</f>
        <v>1482</v>
      </c>
      <c r="I212" s="12" t="n">
        <f aca="false">SUMIFS('בתי מרקחת Raw'!$E$6:$E$1616,'בתי מרקחת Raw'!$F$6:$F$1616,$A212,'בתי מרקחת Raw'!$C$6:$C$1616,2026)</f>
        <v>1135.38</v>
      </c>
      <c r="J212" s="12" t="n">
        <f aca="false">I212*$J$5</f>
        <v>1434.16421052632</v>
      </c>
      <c r="K212" s="12"/>
      <c r="L212" s="22"/>
    </row>
    <row r="213" customFormat="false" ht="15" hidden="false" customHeight="true" outlineLevel="0" collapsed="false">
      <c r="A213" s="12" t="n">
        <v>4411024</v>
      </c>
      <c r="B213" s="12" t="str">
        <f aca="false">IFERROR(INDEX('בתי מרקחת Raw'!$B:$B,MATCH($A213,'בתי מרקחת Raw'!$F:$F,0)),"")</f>
        <v>212XL כפפות אגודל לחץ</v>
      </c>
      <c r="C213" s="12" t="n">
        <f aca="false">SUMIFS('בתי מרקחת Raw'!$D$6:$D$1616,'בתי מרקחת Raw'!$F$6:$F$1616,$A213,'בתי מרקחת Raw'!$C$6:$C$1616,2025)</f>
        <v>16</v>
      </c>
      <c r="D213" s="12" t="n">
        <f aca="false">SUMIFS('בתי מרקחת Raw'!$D$6:$D$1616,'בתי מרקחת Raw'!$F$6:$F$1616,$A213,'בתי מרקחת Raw'!$C$6:$C$1616,2026)</f>
        <v>5</v>
      </c>
      <c r="E213" s="12" t="n">
        <f aca="false">D213*$J$5</f>
        <v>6.31578947368421</v>
      </c>
      <c r="F213" s="12" t="n">
        <f aca="false">E213-C213</f>
        <v>-9.68421052631579</v>
      </c>
      <c r="G213" s="21" t="n">
        <f aca="false">IF(AND(C213=0,E213=0),0,IF(C213=0,"New",(E213-C213)/C213))</f>
        <v>-0.605263157894737</v>
      </c>
      <c r="H213" s="12" t="n">
        <f aca="false">SUMIFS('בתי מרקחת Raw'!$E$6:$E$1616,'בתי מרקחת Raw'!$F$6:$F$1616,$A213,'בתי מרקחת Raw'!$C$6:$C$1616,2025)</f>
        <v>609.4</v>
      </c>
      <c r="I213" s="12" t="n">
        <f aca="false">SUMIFS('בתי מרקחת Raw'!$E$6:$E$1616,'בתי מרקחת Raw'!$F$6:$F$1616,$A213,'בתי מרקחת Raw'!$C$6:$C$1616,2026)</f>
        <v>199</v>
      </c>
      <c r="J213" s="12" t="n">
        <f aca="false">I213*$J$5</f>
        <v>251.368421052632</v>
      </c>
      <c r="K213" s="12"/>
      <c r="L213" s="22"/>
    </row>
    <row r="214" customFormat="false" ht="15" hidden="false" customHeight="true" outlineLevel="0" collapsed="false">
      <c r="A214" s="12" t="n">
        <v>4411026</v>
      </c>
      <c r="B214" s="12" t="str">
        <f aca="false">IFERROR(INDEX('בתי מרקחת Raw'!$B:$B,MATCH($A214,'בתי מרקחת Raw'!$F:$F,0)),"")</f>
        <v>213CTSL L שמאל CTS כפפות</v>
      </c>
      <c r="C214" s="12" t="n">
        <f aca="false">SUMIFS('בתי מרקחת Raw'!$D$6:$D$1616,'בתי מרקחת Raw'!$F$6:$F$1616,$A214,'בתי מרקחת Raw'!$C$6:$C$1616,2025)</f>
        <v>0</v>
      </c>
      <c r="D214" s="12" t="n">
        <f aca="false">SUMIFS('בתי מרקחת Raw'!$D$6:$D$1616,'בתי מרקחת Raw'!$F$6:$F$1616,$A214,'בתי מרקחת Raw'!$C$6:$C$1616,2026)</f>
        <v>2</v>
      </c>
      <c r="E214" s="12" t="n">
        <f aca="false">D214*$J$5</f>
        <v>2.52631578947368</v>
      </c>
      <c r="F214" s="12" t="n">
        <f aca="false">E214-C214</f>
        <v>2.52631578947368</v>
      </c>
      <c r="G214" s="21" t="str">
        <f aca="false">IF(AND(C214=0,E214=0),0,IF(C214=0,"New",(E214-C214)/C214))</f>
        <v>New</v>
      </c>
      <c r="H214" s="12" t="n">
        <f aca="false">SUMIFS('בתי מרקחת Raw'!$E$6:$E$1616,'בתי מרקחת Raw'!$F$6:$F$1616,$A214,'בתי מרקחת Raw'!$C$6:$C$1616,2025)</f>
        <v>0</v>
      </c>
      <c r="I214" s="12" t="n">
        <f aca="false">SUMIFS('בתי מרקחת Raw'!$E$6:$E$1616,'בתי מרקחת Raw'!$F$6:$F$1616,$A214,'בתי מרקחת Raw'!$C$6:$C$1616,2026)</f>
        <v>234.3</v>
      </c>
      <c r="J214" s="12" t="n">
        <f aca="false">I214*$J$5</f>
        <v>295.957894736842</v>
      </c>
      <c r="K214" s="12"/>
      <c r="L214" s="22"/>
    </row>
    <row r="215" customFormat="false" ht="15" hidden="false" customHeight="true" outlineLevel="0" collapsed="false">
      <c r="A215" s="12" t="n">
        <v>4411027</v>
      </c>
      <c r="B215" s="12" t="str">
        <f aca="false">IFERROR(INDEX('בתי מרקחת Raw'!$B:$B,MATCH($A215,'בתי מרקחת Raw'!$F:$F,0)),"")</f>
        <v>213CTSL M שמאל CTS כפפות</v>
      </c>
      <c r="C215" s="12" t="n">
        <f aca="false">SUMIFS('בתי מרקחת Raw'!$D$6:$D$1616,'בתי מרקחת Raw'!$F$6:$F$1616,$A215,'בתי מרקחת Raw'!$C$6:$C$1616,2025)</f>
        <v>0</v>
      </c>
      <c r="D215" s="12" t="n">
        <f aca="false">SUMIFS('בתי מרקחת Raw'!$D$6:$D$1616,'בתי מרקחת Raw'!$F$6:$F$1616,$A215,'בתי מרקחת Raw'!$C$6:$C$1616,2026)</f>
        <v>1</v>
      </c>
      <c r="E215" s="12" t="n">
        <f aca="false">D215*$J$5</f>
        <v>1.26315789473684</v>
      </c>
      <c r="F215" s="12" t="n">
        <f aca="false">E215-C215</f>
        <v>1.26315789473684</v>
      </c>
      <c r="G215" s="21" t="str">
        <f aca="false">IF(AND(C215=0,E215=0),0,IF(C215=0,"New",(E215-C215)/C215))</f>
        <v>New</v>
      </c>
      <c r="H215" s="12" t="n">
        <f aca="false">SUMIFS('בתי מרקחת Raw'!$E$6:$E$1616,'בתי מרקחת Raw'!$F$6:$F$1616,$A215,'בתי מרקחת Raw'!$C$6:$C$1616,2025)</f>
        <v>0</v>
      </c>
      <c r="I215" s="12" t="n">
        <f aca="false">SUMIFS('בתי מרקחת Raw'!$E$6:$E$1616,'בתי מרקחת Raw'!$F$6:$F$1616,$A215,'בתי מרקחת Raw'!$C$6:$C$1616,2026)</f>
        <v>117.1</v>
      </c>
      <c r="J215" s="12" t="n">
        <f aca="false">I215*$J$5</f>
        <v>147.915789473684</v>
      </c>
      <c r="K215" s="12"/>
      <c r="L215" s="22"/>
    </row>
    <row r="216" customFormat="false" ht="15" hidden="false" customHeight="true" outlineLevel="0" collapsed="false">
      <c r="A216" s="12" t="n">
        <v>4411028</v>
      </c>
      <c r="B216" s="12" t="str">
        <f aca="false">IFERROR(INDEX('בתי מרקחת Raw'!$B:$B,MATCH($A216,'בתי מרקחת Raw'!$F:$F,0)),"")</f>
        <v>213CTSL S שמאל CTS כפפות</v>
      </c>
      <c r="C216" s="12" t="n">
        <f aca="false">SUMIFS('בתי מרקחת Raw'!$D$6:$D$1616,'בתי מרקחת Raw'!$F$6:$F$1616,$A216,'בתי מרקחת Raw'!$C$6:$C$1616,2025)</f>
        <v>0</v>
      </c>
      <c r="D216" s="12" t="n">
        <f aca="false">SUMIFS('בתי מרקחת Raw'!$D$6:$D$1616,'בתי מרקחת Raw'!$F$6:$F$1616,$A216,'בתי מרקחת Raw'!$C$6:$C$1616,2026)</f>
        <v>1</v>
      </c>
      <c r="E216" s="12" t="n">
        <f aca="false">D216*$J$5</f>
        <v>1.26315789473684</v>
      </c>
      <c r="F216" s="12" t="n">
        <f aca="false">E216-C216</f>
        <v>1.26315789473684</v>
      </c>
      <c r="G216" s="21" t="str">
        <f aca="false">IF(AND(C216=0,E216=0),0,IF(C216=0,"New",(E216-C216)/C216))</f>
        <v>New</v>
      </c>
      <c r="H216" s="12" t="n">
        <f aca="false">SUMIFS('בתי מרקחת Raw'!$E$6:$E$1616,'בתי מרקחת Raw'!$F$6:$F$1616,$A216,'בתי מרקחת Raw'!$C$6:$C$1616,2025)</f>
        <v>0</v>
      </c>
      <c r="I216" s="12" t="n">
        <f aca="false">SUMIFS('בתי מרקחת Raw'!$E$6:$E$1616,'בתי מרקחת Raw'!$F$6:$F$1616,$A216,'בתי מרקחת Raw'!$C$6:$C$1616,2026)</f>
        <v>117.1</v>
      </c>
      <c r="J216" s="12" t="n">
        <f aca="false">I216*$J$5</f>
        <v>147.915789473684</v>
      </c>
      <c r="K216" s="12"/>
      <c r="L216" s="22"/>
    </row>
    <row r="217" customFormat="false" ht="15" hidden="false" customHeight="true" outlineLevel="0" collapsed="false">
      <c r="A217" s="12" t="n">
        <v>4411029</v>
      </c>
      <c r="B217" s="12" t="str">
        <f aca="false">IFERROR(INDEX('בתי מרקחת Raw'!$B:$B,MATCH($A217,'בתי מרקחת Raw'!$F:$F,0)),"")</f>
        <v>213CTSR L ימין CTS כפפות</v>
      </c>
      <c r="C217" s="12" t="n">
        <f aca="false">SUMIFS('בתי מרקחת Raw'!$D$6:$D$1616,'בתי מרקחת Raw'!$F$6:$F$1616,$A217,'בתי מרקחת Raw'!$C$6:$C$1616,2025)</f>
        <v>0</v>
      </c>
      <c r="D217" s="12" t="n">
        <f aca="false">SUMIFS('בתי מרקחת Raw'!$D$6:$D$1616,'בתי מרקחת Raw'!$F$6:$F$1616,$A217,'בתי מרקחת Raw'!$C$6:$C$1616,2026)</f>
        <v>1</v>
      </c>
      <c r="E217" s="12" t="n">
        <f aca="false">D217*$J$5</f>
        <v>1.26315789473684</v>
      </c>
      <c r="F217" s="12" t="n">
        <f aca="false">E217-C217</f>
        <v>1.26315789473684</v>
      </c>
      <c r="G217" s="21" t="str">
        <f aca="false">IF(AND(C217=0,E217=0),0,IF(C217=0,"New",(E217-C217)/C217))</f>
        <v>New</v>
      </c>
      <c r="H217" s="12" t="n">
        <f aca="false">SUMIFS('בתי מרקחת Raw'!$E$6:$E$1616,'בתי מרקחת Raw'!$F$6:$F$1616,$A217,'בתי מרקחת Raw'!$C$6:$C$1616,2025)</f>
        <v>0</v>
      </c>
      <c r="I217" s="12" t="n">
        <f aca="false">SUMIFS('בתי מרקחת Raw'!$E$6:$E$1616,'בתי מרקחת Raw'!$F$6:$F$1616,$A217,'בתי מרקחת Raw'!$C$6:$C$1616,2026)</f>
        <v>117.1</v>
      </c>
      <c r="J217" s="12" t="n">
        <f aca="false">I217*$J$5</f>
        <v>147.915789473684</v>
      </c>
      <c r="K217" s="12"/>
      <c r="L217" s="22"/>
    </row>
    <row r="218" customFormat="false" ht="15" hidden="false" customHeight="true" outlineLevel="0" collapsed="false">
      <c r="A218" s="12" t="n">
        <v>4411030</v>
      </c>
      <c r="B218" s="12" t="str">
        <f aca="false">IFERROR(INDEX('בתי מרקחת Raw'!$B:$B,MATCH($A218,'בתי מרקחת Raw'!$F:$F,0)),"")</f>
        <v>213CTSR M ימין CTS כפפות</v>
      </c>
      <c r="C218" s="12" t="n">
        <f aca="false">SUMIFS('בתי מרקחת Raw'!$D$6:$D$1616,'בתי מרקחת Raw'!$F$6:$F$1616,$A218,'בתי מרקחת Raw'!$C$6:$C$1616,2025)</f>
        <v>0</v>
      </c>
      <c r="D218" s="12" t="n">
        <f aca="false">SUMIFS('בתי מרקחת Raw'!$D$6:$D$1616,'בתי מרקחת Raw'!$F$6:$F$1616,$A218,'בתי מרקחת Raw'!$C$6:$C$1616,2026)</f>
        <v>1</v>
      </c>
      <c r="E218" s="12" t="n">
        <f aca="false">D218*$J$5</f>
        <v>1.26315789473684</v>
      </c>
      <c r="F218" s="12" t="n">
        <f aca="false">E218-C218</f>
        <v>1.26315789473684</v>
      </c>
      <c r="G218" s="21" t="str">
        <f aca="false">IF(AND(C218=0,E218=0),0,IF(C218=0,"New",(E218-C218)/C218))</f>
        <v>New</v>
      </c>
      <c r="H218" s="12" t="n">
        <f aca="false">SUMIFS('בתי מרקחת Raw'!$E$6:$E$1616,'בתי מרקחת Raw'!$F$6:$F$1616,$A218,'בתי מרקחת Raw'!$C$6:$C$1616,2025)</f>
        <v>0</v>
      </c>
      <c r="I218" s="12" t="n">
        <f aca="false">SUMIFS('בתי מרקחת Raw'!$E$6:$E$1616,'בתי מרקחת Raw'!$F$6:$F$1616,$A218,'בתי מרקחת Raw'!$C$6:$C$1616,2026)</f>
        <v>117.1</v>
      </c>
      <c r="J218" s="12" t="n">
        <f aca="false">I218*$J$5</f>
        <v>147.915789473684</v>
      </c>
      <c r="K218" s="12"/>
      <c r="L218" s="22"/>
    </row>
    <row r="219" customFormat="false" ht="15" hidden="false" customHeight="true" outlineLevel="0" collapsed="false">
      <c r="A219" s="12" t="n">
        <v>4411031</v>
      </c>
      <c r="B219" s="12" t="str">
        <f aca="false">IFERROR(INDEX('בתי מרקחת Raw'!$B:$B,MATCH($A219,'בתי מרקחת Raw'!$F:$F,0)),"")</f>
        <v>213CTS  S ימין CTS כפפות</v>
      </c>
      <c r="C219" s="12" t="n">
        <f aca="false">SUMIFS('בתי מרקחת Raw'!$D$6:$D$1616,'בתי מרקחת Raw'!$F$6:$F$1616,$A219,'בתי מרקחת Raw'!$C$6:$C$1616,2025)</f>
        <v>0</v>
      </c>
      <c r="D219" s="12" t="n">
        <f aca="false">SUMIFS('בתי מרקחת Raw'!$D$6:$D$1616,'בתי מרקחת Raw'!$F$6:$F$1616,$A219,'בתי מרקחת Raw'!$C$6:$C$1616,2026)</f>
        <v>2</v>
      </c>
      <c r="E219" s="12" t="n">
        <f aca="false">D219*$J$5</f>
        <v>2.52631578947368</v>
      </c>
      <c r="F219" s="12" t="n">
        <f aca="false">E219-C219</f>
        <v>2.52631578947368</v>
      </c>
      <c r="G219" s="21" t="str">
        <f aca="false">IF(AND(C219=0,E219=0),0,IF(C219=0,"New",(E219-C219)/C219))</f>
        <v>New</v>
      </c>
      <c r="H219" s="12" t="n">
        <f aca="false">SUMIFS('בתי מרקחת Raw'!$E$6:$E$1616,'בתי מרקחת Raw'!$F$6:$F$1616,$A219,'בתי מרקחת Raw'!$C$6:$C$1616,2025)</f>
        <v>0</v>
      </c>
      <c r="I219" s="12" t="n">
        <f aca="false">SUMIFS('בתי מרקחת Raw'!$E$6:$E$1616,'בתי מרקחת Raw'!$F$6:$F$1616,$A219,'בתי מרקחת Raw'!$C$6:$C$1616,2026)</f>
        <v>234.3</v>
      </c>
      <c r="J219" s="12" t="n">
        <f aca="false">I219*$J$5</f>
        <v>295.957894736842</v>
      </c>
      <c r="K219" s="12"/>
      <c r="L219" s="22"/>
    </row>
    <row r="220" customFormat="false" ht="15" hidden="false" customHeight="true" outlineLevel="0" collapsed="false">
      <c r="A220" s="12" t="n">
        <v>4413000</v>
      </c>
      <c r="B220" s="12" t="str">
        <f aca="false">IFERROR(INDEX('בתי מרקחת Raw'!$B:$B,MATCH($A220,'בתי מרקחת Raw'!$F:$F,0)),"")</f>
        <v>30 S מגן קרסול מתכוון עם סקוטש</v>
      </c>
      <c r="C220" s="12" t="n">
        <f aca="false">SUMIFS('בתי מרקחת Raw'!$D$6:$D$1616,'בתי מרקחת Raw'!$F$6:$F$1616,$A220,'בתי מרקחת Raw'!$C$6:$C$1616,2025)</f>
        <v>6</v>
      </c>
      <c r="D220" s="12" t="n">
        <f aca="false">SUMIFS('בתי מרקחת Raw'!$D$6:$D$1616,'בתי מרקחת Raw'!$F$6:$F$1616,$A220,'בתי מרקחת Raw'!$C$6:$C$1616,2026)</f>
        <v>0</v>
      </c>
      <c r="E220" s="12" t="n">
        <f aca="false">D220*$J$5</f>
        <v>0</v>
      </c>
      <c r="F220" s="12" t="n">
        <f aca="false">E220-C220</f>
        <v>-6</v>
      </c>
      <c r="G220" s="21" t="n">
        <f aca="false">IF(AND(C220=0,E220=0),0,IF(C220=0,"New",(E220-C220)/C220))</f>
        <v>-1</v>
      </c>
      <c r="H220" s="12" t="n">
        <f aca="false">SUMIFS('בתי מרקחת Raw'!$E$6:$E$1616,'בתי מרקחת Raw'!$F$6:$F$1616,$A220,'בתי מרקחת Raw'!$C$6:$C$1616,2025)</f>
        <v>388.7</v>
      </c>
      <c r="I220" s="12" t="n">
        <f aca="false">SUMIFS('בתי מרקחת Raw'!$E$6:$E$1616,'בתי מרקחת Raw'!$F$6:$F$1616,$A220,'בתי מרקחת Raw'!$C$6:$C$1616,2026)</f>
        <v>0</v>
      </c>
      <c r="J220" s="12" t="n">
        <f aca="false">I220*$J$5</f>
        <v>0</v>
      </c>
      <c r="K220" s="12"/>
      <c r="L220" s="22"/>
    </row>
    <row r="221" customFormat="false" ht="15" hidden="false" customHeight="true" outlineLevel="0" collapsed="false">
      <c r="A221" s="12" t="n">
        <v>4413002</v>
      </c>
      <c r="B221" s="12" t="str">
        <f aca="false">IFERROR(INDEX('בתי מרקחת Raw'!$B:$B,MATCH($A221,'בתי מרקחת Raw'!$F:$F,0)),"")</f>
        <v>30 L מגן קרסול מתכוון עם סקוטש</v>
      </c>
      <c r="C221" s="12" t="n">
        <f aca="false">SUMIFS('בתי מרקחת Raw'!$D$6:$D$1616,'בתי מרקחת Raw'!$F$6:$F$1616,$A221,'בתי מרקחת Raw'!$C$6:$C$1616,2025)</f>
        <v>14</v>
      </c>
      <c r="D221" s="12" t="n">
        <f aca="false">SUMIFS('בתי מרקחת Raw'!$D$6:$D$1616,'בתי מרקחת Raw'!$F$6:$F$1616,$A221,'בתי מרקחת Raw'!$C$6:$C$1616,2026)</f>
        <v>0</v>
      </c>
      <c r="E221" s="12" t="n">
        <f aca="false">D221*$J$5</f>
        <v>0</v>
      </c>
      <c r="F221" s="12" t="n">
        <f aca="false">E221-C221</f>
        <v>-14</v>
      </c>
      <c r="G221" s="21" t="n">
        <f aca="false">IF(AND(C221=0,E221=0),0,IF(C221=0,"New",(E221-C221)/C221))</f>
        <v>-1</v>
      </c>
      <c r="H221" s="12" t="n">
        <f aca="false">SUMIFS('בתי מרקחת Raw'!$E$6:$E$1616,'בתי מרקחת Raw'!$F$6:$F$1616,$A221,'בתי מרקחת Raw'!$C$6:$C$1616,2025)</f>
        <v>917</v>
      </c>
      <c r="I221" s="12" t="n">
        <f aca="false">SUMIFS('בתי מרקחת Raw'!$E$6:$E$1616,'בתי מרקחת Raw'!$F$6:$F$1616,$A221,'בתי מרקחת Raw'!$C$6:$C$1616,2026)</f>
        <v>0</v>
      </c>
      <c r="J221" s="12" t="n">
        <f aca="false">I221*$J$5</f>
        <v>0</v>
      </c>
      <c r="K221" s="12"/>
      <c r="L221" s="22"/>
    </row>
    <row r="222" customFormat="false" ht="15" hidden="false" customHeight="true" outlineLevel="0" collapsed="false">
      <c r="A222" s="12" t="n">
        <v>4413003</v>
      </c>
      <c r="B222" s="12" t="str">
        <f aca="false">IFERROR(INDEX('בתי מרקחת Raw'!$B:$B,MATCH($A222,'בתי מרקחת Raw'!$F:$F,0)),"")</f>
        <v>30 M מגן קרסול מתכוון עם סקוטש</v>
      </c>
      <c r="C222" s="12" t="n">
        <f aca="false">SUMIFS('בתי מרקחת Raw'!$D$6:$D$1616,'בתי מרקחת Raw'!$F$6:$F$1616,$A222,'בתי מרקחת Raw'!$C$6:$C$1616,2025)</f>
        <v>6</v>
      </c>
      <c r="D222" s="12" t="n">
        <f aca="false">SUMIFS('בתי מרקחת Raw'!$D$6:$D$1616,'בתי מרקחת Raw'!$F$6:$F$1616,$A222,'בתי מרקחת Raw'!$C$6:$C$1616,2026)</f>
        <v>0</v>
      </c>
      <c r="E222" s="12" t="n">
        <f aca="false">D222*$J$5</f>
        <v>0</v>
      </c>
      <c r="F222" s="12" t="n">
        <f aca="false">E222-C222</f>
        <v>-6</v>
      </c>
      <c r="G222" s="21" t="n">
        <f aca="false">IF(AND(C222=0,E222=0),0,IF(C222=0,"New",(E222-C222)/C222))</f>
        <v>-1</v>
      </c>
      <c r="H222" s="12" t="n">
        <f aca="false">SUMIFS('בתי מרקחת Raw'!$E$6:$E$1616,'בתי מרקחת Raw'!$F$6:$F$1616,$A222,'בתי מרקחת Raw'!$C$6:$C$1616,2025)</f>
        <v>373.1</v>
      </c>
      <c r="I222" s="12" t="n">
        <f aca="false">SUMIFS('בתי מרקחת Raw'!$E$6:$E$1616,'בתי מרקחת Raw'!$F$6:$F$1616,$A222,'בתי מרקחת Raw'!$C$6:$C$1616,2026)</f>
        <v>0</v>
      </c>
      <c r="J222" s="12" t="n">
        <f aca="false">I222*$J$5</f>
        <v>0</v>
      </c>
      <c r="K222" s="12"/>
      <c r="L222" s="22"/>
    </row>
    <row r="223" customFormat="false" ht="15" hidden="false" customHeight="true" outlineLevel="0" collapsed="false">
      <c r="A223" s="12" t="n">
        <v>4413004</v>
      </c>
      <c r="B223" s="12" t="str">
        <f aca="false">IFERROR(INDEX('בתי מרקחת Raw'!$B:$B,MATCH($A223,'בתי מרקחת Raw'!$F:$F,0)),"")</f>
        <v>30 XL מגן קרסול מתכוון סקוטש</v>
      </c>
      <c r="C223" s="12" t="n">
        <f aca="false">SUMIFS('בתי מרקחת Raw'!$D$6:$D$1616,'בתי מרקחת Raw'!$F$6:$F$1616,$A223,'בתי מרקחת Raw'!$C$6:$C$1616,2025)</f>
        <v>11</v>
      </c>
      <c r="D223" s="12" t="n">
        <f aca="false">SUMIFS('בתי מרקחת Raw'!$D$6:$D$1616,'בתי מרקחת Raw'!$F$6:$F$1616,$A223,'בתי מרקחת Raw'!$C$6:$C$1616,2026)</f>
        <v>0</v>
      </c>
      <c r="E223" s="12" t="n">
        <f aca="false">D223*$J$5</f>
        <v>0</v>
      </c>
      <c r="F223" s="12" t="n">
        <f aca="false">E223-C223</f>
        <v>-11</v>
      </c>
      <c r="G223" s="21" t="n">
        <f aca="false">IF(AND(C223=0,E223=0),0,IF(C223=0,"New",(E223-C223)/C223))</f>
        <v>-1</v>
      </c>
      <c r="H223" s="12" t="n">
        <f aca="false">SUMIFS('בתי מרקחת Raw'!$E$6:$E$1616,'בתי מרקחת Raw'!$F$6:$F$1616,$A223,'בתי מרקחת Raw'!$C$6:$C$1616,2025)</f>
        <v>711.5</v>
      </c>
      <c r="I223" s="12" t="n">
        <f aca="false">SUMIFS('בתי מרקחת Raw'!$E$6:$E$1616,'בתי מרקחת Raw'!$F$6:$F$1616,$A223,'בתי מרקחת Raw'!$C$6:$C$1616,2026)</f>
        <v>0</v>
      </c>
      <c r="J223" s="12" t="n">
        <f aca="false">I223*$J$5</f>
        <v>0</v>
      </c>
      <c r="K223" s="12"/>
      <c r="L223" s="22"/>
    </row>
    <row r="224" customFormat="false" ht="15" hidden="false" customHeight="true" outlineLevel="0" collapsed="false">
      <c r="A224" s="12" t="n">
        <v>4413005</v>
      </c>
      <c r="B224" s="12" t="str">
        <f aca="false">IFERROR(INDEX('בתי מרקחת Raw'!$B:$B,MATCH($A224,'בתי מרקחת Raw'!$F:$F,0)),"")</f>
        <v>30 XXL מגן קרסול מתכוון+סקוטש</v>
      </c>
      <c r="C224" s="12" t="n">
        <f aca="false">SUMIFS('בתי מרקחת Raw'!$D$6:$D$1616,'בתי מרקחת Raw'!$F$6:$F$1616,$A224,'בתי מרקחת Raw'!$C$6:$C$1616,2025)</f>
        <v>2</v>
      </c>
      <c r="D224" s="12" t="n">
        <f aca="false">SUMIFS('בתי מרקחת Raw'!$D$6:$D$1616,'בתי מרקחת Raw'!$F$6:$F$1616,$A224,'בתי מרקחת Raw'!$C$6:$C$1616,2026)</f>
        <v>0</v>
      </c>
      <c r="E224" s="12" t="n">
        <f aca="false">D224*$J$5</f>
        <v>0</v>
      </c>
      <c r="F224" s="12" t="n">
        <f aca="false">E224-C224</f>
        <v>-2</v>
      </c>
      <c r="G224" s="21" t="n">
        <f aca="false">IF(AND(C224=0,E224=0),0,IF(C224=0,"New",(E224-C224)/C224))</f>
        <v>-1</v>
      </c>
      <c r="H224" s="12" t="n">
        <f aca="false">SUMIFS('בתי מרקחת Raw'!$E$6:$E$1616,'בתי מרקחת Raw'!$F$6:$F$1616,$A224,'בתי מרקחת Raw'!$C$6:$C$1616,2025)</f>
        <v>130.4</v>
      </c>
      <c r="I224" s="12" t="n">
        <f aca="false">SUMIFS('בתי מרקחת Raw'!$E$6:$E$1616,'בתי מרקחת Raw'!$F$6:$F$1616,$A224,'בתי מרקחת Raw'!$C$6:$C$1616,2026)</f>
        <v>0</v>
      </c>
      <c r="J224" s="12" t="n">
        <f aca="false">I224*$J$5</f>
        <v>0</v>
      </c>
      <c r="K224" s="12"/>
      <c r="L224" s="22"/>
    </row>
    <row r="225" customFormat="false" ht="15" hidden="false" customHeight="true" outlineLevel="0" collapsed="false">
      <c r="A225" s="12" t="n">
        <v>4413018</v>
      </c>
      <c r="B225" s="12" t="str">
        <f aca="false">IFERROR(INDEX('בתי מרקחת Raw'!$B:$B,MATCH($A225,'בתי מרקחת Raw'!$F:$F,0)),"")</f>
        <v>303 37-38 מדרסי סיליק.לח.סכרת</v>
      </c>
      <c r="C225" s="12" t="n">
        <f aca="false">SUMIFS('בתי מרקחת Raw'!$D$6:$D$1616,'בתי מרקחת Raw'!$F$6:$F$1616,$A225,'בתי מרקחת Raw'!$C$6:$C$1616,2025)</f>
        <v>1</v>
      </c>
      <c r="D225" s="12" t="n">
        <f aca="false">SUMIFS('בתי מרקחת Raw'!$D$6:$D$1616,'בתי מרקחת Raw'!$F$6:$F$1616,$A225,'בתי מרקחת Raw'!$C$6:$C$1616,2026)</f>
        <v>3</v>
      </c>
      <c r="E225" s="12" t="n">
        <f aca="false">D225*$J$5</f>
        <v>3.78947368421053</v>
      </c>
      <c r="F225" s="12" t="n">
        <f aca="false">E225-C225</f>
        <v>2.78947368421053</v>
      </c>
      <c r="G225" s="21" t="n">
        <f aca="false">IF(AND(C225=0,E225=0),0,IF(C225=0,"New",(E225-C225)/C225))</f>
        <v>2.78947368421053</v>
      </c>
      <c r="H225" s="12" t="n">
        <f aca="false">SUMIFS('בתי מרקחת Raw'!$E$6:$E$1616,'בתי מרקחת Raw'!$F$6:$F$1616,$A225,'בתי מרקחת Raw'!$C$6:$C$1616,2025)</f>
        <v>118.5</v>
      </c>
      <c r="I225" s="12" t="n">
        <f aca="false">SUMIFS('בתי מרקחת Raw'!$E$6:$E$1616,'בתי מרקחת Raw'!$F$6:$F$1616,$A225,'בתי מרקחת Raw'!$C$6:$C$1616,2026)</f>
        <v>355.6</v>
      </c>
      <c r="J225" s="12" t="n">
        <f aca="false">I225*$J$5</f>
        <v>449.178947368421</v>
      </c>
      <c r="K225" s="12"/>
      <c r="L225" s="22"/>
    </row>
    <row r="226" customFormat="false" ht="15" hidden="false" customHeight="true" outlineLevel="0" collapsed="false">
      <c r="A226" s="12" t="n">
        <v>4413019</v>
      </c>
      <c r="B226" s="12" t="str">
        <f aca="false">IFERROR(INDEX('בתי מרקחת Raw'!$B:$B,MATCH($A226,'בתי מרקחת Raw'!$F:$F,0)),"")</f>
        <v>303 39-40 מדרסי סיליק.לח.סכרת</v>
      </c>
      <c r="C226" s="12" t="n">
        <f aca="false">SUMIFS('בתי מרקחת Raw'!$D$6:$D$1616,'בתי מרקחת Raw'!$F$6:$F$1616,$A226,'בתי מרקחת Raw'!$C$6:$C$1616,2025)</f>
        <v>0</v>
      </c>
      <c r="D226" s="12" t="n">
        <f aca="false">SUMIFS('בתי מרקחת Raw'!$D$6:$D$1616,'בתי מרקחת Raw'!$F$6:$F$1616,$A226,'בתי מרקחת Raw'!$C$6:$C$1616,2026)</f>
        <v>-1</v>
      </c>
      <c r="E226" s="12" t="n">
        <f aca="false">D226*$J$5</f>
        <v>-1.26315789473684</v>
      </c>
      <c r="F226" s="12" t="n">
        <f aca="false">E226-C226</f>
        <v>-1.26315789473684</v>
      </c>
      <c r="G226" s="21" t="str">
        <f aca="false">IF(AND(C226=0,E226=0),0,IF(C226=0,"New",(E226-C226)/C226))</f>
        <v>New</v>
      </c>
      <c r="H226" s="12" t="n">
        <f aca="false">SUMIFS('בתי מרקחת Raw'!$E$6:$E$1616,'בתי מרקחת Raw'!$F$6:$F$1616,$A226,'בתי מרקחת Raw'!$C$6:$C$1616,2025)</f>
        <v>0</v>
      </c>
      <c r="I226" s="12" t="n">
        <f aca="false">SUMIFS('בתי מרקחת Raw'!$E$6:$E$1616,'בתי מרקחת Raw'!$F$6:$F$1616,$A226,'בתי מרקחת Raw'!$C$6:$C$1616,2026)</f>
        <v>-71.1</v>
      </c>
      <c r="J226" s="12" t="n">
        <f aca="false">I226*$J$5</f>
        <v>-89.8105263157895</v>
      </c>
      <c r="K226" s="12"/>
      <c r="L226" s="22"/>
    </row>
    <row r="227" customFormat="false" ht="15" hidden="false" customHeight="true" outlineLevel="0" collapsed="false">
      <c r="A227" s="12" t="n">
        <v>4413020</v>
      </c>
      <c r="B227" s="12" t="str">
        <f aca="false">IFERROR(INDEX('בתי מרקחת Raw'!$B:$B,MATCH($A227,'בתי מרקחת Raw'!$F:$F,0)),"")</f>
        <v>303 41-42 מדרסי סיליק.לח.סכרת</v>
      </c>
      <c r="C227" s="12" t="n">
        <f aca="false">SUMIFS('בתי מרקחת Raw'!$D$6:$D$1616,'בתי מרקחת Raw'!$F$6:$F$1616,$A227,'בתי מרקחת Raw'!$C$6:$C$1616,2025)</f>
        <v>6</v>
      </c>
      <c r="D227" s="12" t="n">
        <f aca="false">SUMIFS('בתי מרקחת Raw'!$D$6:$D$1616,'בתי מרקחת Raw'!$F$6:$F$1616,$A227,'בתי מרקחת Raw'!$C$6:$C$1616,2026)</f>
        <v>0</v>
      </c>
      <c r="E227" s="12" t="n">
        <f aca="false">D227*$J$5</f>
        <v>0</v>
      </c>
      <c r="F227" s="12" t="n">
        <f aca="false">E227-C227</f>
        <v>-6</v>
      </c>
      <c r="G227" s="21" t="n">
        <f aca="false">IF(AND(C227=0,E227=0),0,IF(C227=0,"New",(E227-C227)/C227))</f>
        <v>-1</v>
      </c>
      <c r="H227" s="12" t="n">
        <f aca="false">SUMIFS('בתי מרקחת Raw'!$E$6:$E$1616,'בתי מרקחת Raw'!$F$6:$F$1616,$A227,'בתי מרקחת Raw'!$C$6:$C$1616,2025)</f>
        <v>706.5</v>
      </c>
      <c r="I227" s="12" t="n">
        <f aca="false">SUMIFS('בתי מרקחת Raw'!$E$6:$E$1616,'בתי מרקחת Raw'!$F$6:$F$1616,$A227,'בתי מרקחת Raw'!$C$6:$C$1616,2026)</f>
        <v>23.7</v>
      </c>
      <c r="J227" s="12" t="n">
        <f aca="false">I227*$J$5</f>
        <v>29.9368421052632</v>
      </c>
      <c r="K227" s="12"/>
      <c r="L227" s="22"/>
    </row>
    <row r="228" customFormat="false" ht="15" hidden="false" customHeight="true" outlineLevel="0" collapsed="false">
      <c r="A228" s="12" t="n">
        <v>4413021</v>
      </c>
      <c r="B228" s="12" t="str">
        <f aca="false">IFERROR(INDEX('בתי מרקחת Raw'!$B:$B,MATCH($A228,'בתי מרקחת Raw'!$F:$F,0)),"")</f>
        <v>303 43-44 מדרסי סיליק.לח.סכרת</v>
      </c>
      <c r="C228" s="12" t="n">
        <f aca="false">SUMIFS('בתי מרקחת Raw'!$D$6:$D$1616,'בתי מרקחת Raw'!$F$6:$F$1616,$A228,'בתי מרקחת Raw'!$C$6:$C$1616,2025)</f>
        <v>10</v>
      </c>
      <c r="D228" s="12" t="n">
        <f aca="false">SUMIFS('בתי מרקחת Raw'!$D$6:$D$1616,'בתי מרקחת Raw'!$F$6:$F$1616,$A228,'בתי מרקחת Raw'!$C$6:$C$1616,2026)</f>
        <v>-1</v>
      </c>
      <c r="E228" s="12" t="n">
        <f aca="false">D228*$J$5</f>
        <v>-1.26315789473684</v>
      </c>
      <c r="F228" s="12" t="n">
        <f aca="false">E228-C228</f>
        <v>-11.2631578947368</v>
      </c>
      <c r="G228" s="21" t="n">
        <f aca="false">IF(AND(C228=0,E228=0),0,IF(C228=0,"New",(E228-C228)/C228))</f>
        <v>-1.12631578947368</v>
      </c>
      <c r="H228" s="12" t="n">
        <f aca="false">SUMIFS('בתי מרקחת Raw'!$E$6:$E$1616,'בתי מרקחת Raw'!$F$6:$F$1616,$A228,'בתי מרקחת Raw'!$C$6:$C$1616,2025)</f>
        <v>1109</v>
      </c>
      <c r="I228" s="12" t="n">
        <f aca="false">SUMIFS('בתי מרקחת Raw'!$E$6:$E$1616,'בתי מרקחת Raw'!$F$6:$F$1616,$A228,'בתי מרקחת Raw'!$C$6:$C$1616,2026)</f>
        <v>-94.8</v>
      </c>
      <c r="J228" s="12" t="n">
        <f aca="false">I228*$J$5</f>
        <v>-119.747368421053</v>
      </c>
      <c r="K228" s="12"/>
      <c r="L228" s="22"/>
    </row>
    <row r="229" customFormat="false" ht="15" hidden="false" customHeight="true" outlineLevel="0" collapsed="false">
      <c r="A229" s="12" t="n">
        <v>4413022</v>
      </c>
      <c r="B229" s="12" t="str">
        <f aca="false">IFERROR(INDEX('בתי מרקחת Raw'!$B:$B,MATCH($A229,'בתי מרקחת Raw'!$F:$F,0)),"")</f>
        <v>303 45-46 מדרסי סיליק.לח.סכרת</v>
      </c>
      <c r="C229" s="12" t="n">
        <f aca="false">SUMIFS('בתי מרקחת Raw'!$D$6:$D$1616,'בתי מרקחת Raw'!$F$6:$F$1616,$A229,'בתי מרקחת Raw'!$C$6:$C$1616,2025)</f>
        <v>3</v>
      </c>
      <c r="D229" s="12" t="n">
        <f aca="false">SUMIFS('בתי מרקחת Raw'!$D$6:$D$1616,'בתי מרקחת Raw'!$F$6:$F$1616,$A229,'בתי מרקחת Raw'!$C$6:$C$1616,2026)</f>
        <v>2</v>
      </c>
      <c r="E229" s="12" t="n">
        <f aca="false">D229*$J$5</f>
        <v>2.52631578947368</v>
      </c>
      <c r="F229" s="12" t="n">
        <f aca="false">E229-C229</f>
        <v>-0.473684210526316</v>
      </c>
      <c r="G229" s="21" t="n">
        <f aca="false">IF(AND(C229=0,E229=0),0,IF(C229=0,"New",(E229-C229)/C229))</f>
        <v>-0.157894736842105</v>
      </c>
      <c r="H229" s="12" t="n">
        <f aca="false">SUMIFS('בתי מרקחת Raw'!$E$6:$E$1616,'בתי מרקחת Raw'!$F$6:$F$1616,$A229,'בתי מרקחת Raw'!$C$6:$C$1616,2025)</f>
        <v>327</v>
      </c>
      <c r="I229" s="12" t="n">
        <f aca="false">SUMIFS('בתי מרקחת Raw'!$E$6:$E$1616,'בתי מרקחת Raw'!$F$6:$F$1616,$A229,'בתי מרקחת Raw'!$C$6:$C$1616,2026)</f>
        <v>237.1</v>
      </c>
      <c r="J229" s="12" t="n">
        <f aca="false">I229*$J$5</f>
        <v>299.494736842105</v>
      </c>
      <c r="K229" s="12"/>
      <c r="L229" s="22"/>
    </row>
    <row r="230" customFormat="false" ht="15" hidden="false" customHeight="true" outlineLevel="0" collapsed="false">
      <c r="A230" s="12" t="n">
        <v>4413033</v>
      </c>
      <c r="B230" s="12" t="str">
        <f aca="false">IFERROR(INDEX('בתי מרקחת Raw'!$B:$B,MATCH($A230,'בתי מרקחת Raw'!$F:$F,0)),"")</f>
        <v>311'מדב.ג'ל למניעת שפשוף 5 יח</v>
      </c>
      <c r="C230" s="12" t="n">
        <f aca="false">SUMIFS('בתי מרקחת Raw'!$D$6:$D$1616,'בתי מרקחת Raw'!$F$6:$F$1616,$A230,'בתי מרקחת Raw'!$C$6:$C$1616,2025)</f>
        <v>766</v>
      </c>
      <c r="D230" s="12" t="n">
        <f aca="false">SUMIFS('בתי מרקחת Raw'!$D$6:$D$1616,'בתי מרקחת Raw'!$F$6:$F$1616,$A230,'בתי מרקחת Raw'!$C$6:$C$1616,2026)</f>
        <v>456</v>
      </c>
      <c r="E230" s="12" t="n">
        <f aca="false">D230*$J$5</f>
        <v>576</v>
      </c>
      <c r="F230" s="12" t="n">
        <f aca="false">E230-C230</f>
        <v>-190</v>
      </c>
      <c r="G230" s="21" t="n">
        <f aca="false">IF(AND(C230=0,E230=0),0,IF(C230=0,"New",(E230-C230)/C230))</f>
        <v>-0.248041775456919</v>
      </c>
      <c r="H230" s="12" t="n">
        <f aca="false">SUMIFS('בתי מרקחת Raw'!$E$6:$E$1616,'בתי מרקחת Raw'!$F$6:$F$1616,$A230,'בתי מרקחת Raw'!$C$6:$C$1616,2025)</f>
        <v>12983.77</v>
      </c>
      <c r="I230" s="12" t="n">
        <f aca="false">SUMIFS('בתי מרקחת Raw'!$E$6:$E$1616,'בתי מרקחת Raw'!$F$6:$F$1616,$A230,'בתי מרקחת Raw'!$C$6:$C$1616,2026)</f>
        <v>8024.26</v>
      </c>
      <c r="J230" s="12" t="n">
        <f aca="false">I230*$J$5</f>
        <v>10135.9073684211</v>
      </c>
      <c r="K230" s="12"/>
      <c r="L230" s="22"/>
    </row>
    <row r="231" customFormat="false" ht="15" hidden="false" customHeight="true" outlineLevel="0" collapsed="false">
      <c r="A231" s="12" t="n">
        <v>4413034</v>
      </c>
      <c r="B231" s="12" t="str">
        <f aca="false">IFERROR(INDEX('בתי מרקחת Raw'!$B:$B,MATCH($A231,'בתי מרקחת Raw'!$F:$F,0)),"")</f>
        <v>312 9 מ""ס להתאמהX5 מדבקה גדולה</v>
      </c>
      <c r="C231" s="12" t="n">
        <f aca="false">SUMIFS('בתי מרקחת Raw'!$D$6:$D$1616,'בתי מרקחת Raw'!$F$6:$F$1616,$A231,'בתי מרקחת Raw'!$C$6:$C$1616,2025)</f>
        <v>122</v>
      </c>
      <c r="D231" s="12" t="n">
        <f aca="false">SUMIFS('בתי מרקחת Raw'!$D$6:$D$1616,'בתי מרקחת Raw'!$F$6:$F$1616,$A231,'בתי מרקחת Raw'!$C$6:$C$1616,2026)</f>
        <v>62</v>
      </c>
      <c r="E231" s="12" t="n">
        <f aca="false">D231*$J$5</f>
        <v>78.3157894736842</v>
      </c>
      <c r="F231" s="12" t="n">
        <f aca="false">E231-C231</f>
        <v>-43.6842105263158</v>
      </c>
      <c r="G231" s="21" t="n">
        <f aca="false">IF(AND(C231=0,E231=0),0,IF(C231=0,"New",(E231-C231)/C231))</f>
        <v>-0.358067299396031</v>
      </c>
      <c r="H231" s="12" t="n">
        <f aca="false">SUMIFS('בתי מרקחת Raw'!$E$6:$E$1616,'בתי מרקחת Raw'!$F$6:$F$1616,$A231,'בתי מרקחת Raw'!$C$6:$C$1616,2025)</f>
        <v>2556.89</v>
      </c>
      <c r="I231" s="12" t="n">
        <f aca="false">SUMIFS('בתי מרקחת Raw'!$E$6:$E$1616,'בתי מרקחת Raw'!$F$6:$F$1616,$A231,'בתי מרקחת Raw'!$C$6:$C$1616,2026)</f>
        <v>1272.75</v>
      </c>
      <c r="J231" s="12" t="n">
        <f aca="false">I231*$J$5</f>
        <v>1607.68421052632</v>
      </c>
      <c r="K231" s="12"/>
      <c r="L231" s="22"/>
    </row>
    <row r="232" customFormat="false" ht="15" hidden="false" customHeight="true" outlineLevel="0" collapsed="false">
      <c r="A232" s="12" t="n">
        <v>4413041</v>
      </c>
      <c r="B232" s="12" t="str">
        <f aca="false">IFERROR(INDEX('בתי מרקחת Raw'!$B:$B,MATCH($A232,'בתי מרקחת Raw'!$F:$F,0)),"")</f>
        <v>34  M מגן קרסול עקב סגור</v>
      </c>
      <c r="C232" s="12" t="n">
        <f aca="false">SUMIFS('בתי מרקחת Raw'!$D$6:$D$1616,'בתי מרקחת Raw'!$F$6:$F$1616,$A232,'בתי מרקחת Raw'!$C$6:$C$1616,2025)</f>
        <v>207</v>
      </c>
      <c r="D232" s="12" t="n">
        <f aca="false">SUMIFS('בתי מרקחת Raw'!$D$6:$D$1616,'בתי מרקחת Raw'!$F$6:$F$1616,$A232,'בתי מרקחת Raw'!$C$6:$C$1616,2026)</f>
        <v>105</v>
      </c>
      <c r="E232" s="12" t="n">
        <f aca="false">D232*$J$5</f>
        <v>132.631578947368</v>
      </c>
      <c r="F232" s="12" t="n">
        <f aca="false">E232-C232</f>
        <v>-74.3684210526316</v>
      </c>
      <c r="G232" s="21" t="n">
        <f aca="false">IF(AND(C232=0,E232=0),0,IF(C232=0,"New",(E232-C232)/C232))</f>
        <v>-0.359267734553776</v>
      </c>
      <c r="H232" s="12" t="n">
        <f aca="false">SUMIFS('בתי מרקחת Raw'!$E$6:$E$1616,'בתי מרקחת Raw'!$F$6:$F$1616,$A232,'בתי מרקחת Raw'!$C$6:$C$1616,2025)</f>
        <v>9161</v>
      </c>
      <c r="I232" s="12" t="n">
        <f aca="false">SUMIFS('בתי מרקחת Raw'!$E$6:$E$1616,'בתי מרקחת Raw'!$F$6:$F$1616,$A232,'בתי מרקחת Raw'!$C$6:$C$1616,2026)</f>
        <v>4721.84</v>
      </c>
      <c r="J232" s="12" t="n">
        <f aca="false">I232*$J$5</f>
        <v>5964.42947368421</v>
      </c>
      <c r="K232" s="12"/>
      <c r="L232" s="22"/>
    </row>
    <row r="233" customFormat="false" ht="15" hidden="false" customHeight="true" outlineLevel="0" collapsed="false">
      <c r="A233" s="12" t="n">
        <v>4413042</v>
      </c>
      <c r="B233" s="12" t="str">
        <f aca="false">IFERROR(INDEX('בתי מרקחת Raw'!$B:$B,MATCH($A233,'בתי מרקחת Raw'!$F:$F,0)),"")</f>
        <v>34  S מגן קרסול עקב סגור</v>
      </c>
      <c r="C233" s="12" t="n">
        <f aca="false">SUMIFS('בתי מרקחת Raw'!$D$6:$D$1616,'בתי מרקחת Raw'!$F$6:$F$1616,$A233,'בתי מרקחת Raw'!$C$6:$C$1616,2025)</f>
        <v>79</v>
      </c>
      <c r="D233" s="12" t="n">
        <f aca="false">SUMIFS('בתי מרקחת Raw'!$D$6:$D$1616,'בתי מרקחת Raw'!$F$6:$F$1616,$A233,'בתי מרקחת Raw'!$C$6:$C$1616,2026)</f>
        <v>51</v>
      </c>
      <c r="E233" s="12" t="n">
        <f aca="false">D233*$J$5</f>
        <v>64.421052631579</v>
      </c>
      <c r="F233" s="12" t="n">
        <f aca="false">E233-C233</f>
        <v>-14.5789473684211</v>
      </c>
      <c r="G233" s="21" t="n">
        <f aca="false">IF(AND(C233=0,E233=0),0,IF(C233=0,"New",(E233-C233)/C233))</f>
        <v>-0.18454363757495</v>
      </c>
      <c r="H233" s="12" t="n">
        <f aca="false">SUMIFS('בתי מרקחת Raw'!$E$6:$E$1616,'בתי מרקחת Raw'!$F$6:$F$1616,$A233,'בתי מרקחת Raw'!$C$6:$C$1616,2025)</f>
        <v>3456.2</v>
      </c>
      <c r="I233" s="12" t="n">
        <f aca="false">SUMIFS('בתי מרקחת Raw'!$E$6:$E$1616,'בתי מרקחת Raw'!$F$6:$F$1616,$A233,'בתי מרקחת Raw'!$C$6:$C$1616,2026)</f>
        <v>2347.25</v>
      </c>
      <c r="J233" s="12" t="n">
        <f aca="false">I233*$J$5</f>
        <v>2964.94736842105</v>
      </c>
      <c r="K233" s="12"/>
      <c r="L233" s="22"/>
    </row>
    <row r="234" customFormat="false" ht="15" hidden="false" customHeight="true" outlineLevel="0" collapsed="false">
      <c r="A234" s="12" t="n">
        <v>4413043</v>
      </c>
      <c r="B234" s="12" t="str">
        <f aca="false">IFERROR(INDEX('בתי מרקחת Raw'!$B:$B,MATCH($A234,'בתי מרקחת Raw'!$F:$F,0)),"")</f>
        <v>34  L מגן קרסול עקב סגור</v>
      </c>
      <c r="C234" s="12" t="n">
        <f aca="false">SUMIFS('בתי מרקחת Raw'!$D$6:$D$1616,'בתי מרקחת Raw'!$F$6:$F$1616,$A234,'בתי מרקחת Raw'!$C$6:$C$1616,2025)</f>
        <v>184</v>
      </c>
      <c r="D234" s="12" t="n">
        <f aca="false">SUMIFS('בתי מרקחת Raw'!$D$6:$D$1616,'בתי מרקחת Raw'!$F$6:$F$1616,$A234,'בתי מרקחת Raw'!$C$6:$C$1616,2026)</f>
        <v>119</v>
      </c>
      <c r="E234" s="12" t="n">
        <f aca="false">D234*$J$5</f>
        <v>150.315789473684</v>
      </c>
      <c r="F234" s="12" t="n">
        <f aca="false">E234-C234</f>
        <v>-33.6842105263158</v>
      </c>
      <c r="G234" s="21" t="n">
        <f aca="false">IF(AND(C234=0,E234=0),0,IF(C234=0,"New",(E234-C234)/C234))</f>
        <v>-0.183066361556064</v>
      </c>
      <c r="H234" s="12" t="n">
        <f aca="false">SUMIFS('בתי מרקחת Raw'!$E$6:$E$1616,'בתי מרקחת Raw'!$F$6:$F$1616,$A234,'בתי מרקחת Raw'!$C$6:$C$1616,2025)</f>
        <v>8273.18</v>
      </c>
      <c r="I234" s="12" t="n">
        <f aca="false">SUMIFS('בתי מרקחת Raw'!$E$6:$E$1616,'בתי מרקחת Raw'!$F$6:$F$1616,$A234,'בתי מרקחת Raw'!$C$6:$C$1616,2026)</f>
        <v>5388.62</v>
      </c>
      <c r="J234" s="12" t="n">
        <f aca="false">I234*$J$5</f>
        <v>6806.67789473684</v>
      </c>
      <c r="K234" s="12"/>
      <c r="L234" s="22"/>
    </row>
    <row r="235" customFormat="false" ht="15" hidden="false" customHeight="true" outlineLevel="0" collapsed="false">
      <c r="A235" s="12" t="n">
        <v>4413044</v>
      </c>
      <c r="B235" s="12" t="str">
        <f aca="false">IFERROR(INDEX('בתי מרקחת Raw'!$B:$B,MATCH($A235,'בתי מרקחת Raw'!$F:$F,0)),"")</f>
        <v>34 XL מגן קרסול עקב סגור</v>
      </c>
      <c r="C235" s="12" t="n">
        <f aca="false">SUMIFS('בתי מרקחת Raw'!$D$6:$D$1616,'בתי מרקחת Raw'!$F$6:$F$1616,$A235,'בתי מרקחת Raw'!$C$6:$C$1616,2025)</f>
        <v>114</v>
      </c>
      <c r="D235" s="12" t="n">
        <f aca="false">SUMIFS('בתי מרקחת Raw'!$D$6:$D$1616,'בתי מרקחת Raw'!$F$6:$F$1616,$A235,'בתי מרקחת Raw'!$C$6:$C$1616,2026)</f>
        <v>75</v>
      </c>
      <c r="E235" s="12" t="n">
        <f aca="false">D235*$J$5</f>
        <v>94.7368421052632</v>
      </c>
      <c r="F235" s="12" t="n">
        <f aca="false">E235-C235</f>
        <v>-19.2631578947369</v>
      </c>
      <c r="G235" s="21" t="n">
        <f aca="false">IF(AND(C235=0,E235=0),0,IF(C235=0,"New",(E235-C235)/C235))</f>
        <v>-0.168975069252078</v>
      </c>
      <c r="H235" s="12" t="n">
        <f aca="false">SUMIFS('בתי מרקחת Raw'!$E$6:$E$1616,'בתי מרקחת Raw'!$F$6:$F$1616,$A235,'בתי מרקחת Raw'!$C$6:$C$1616,2025)</f>
        <v>5091.82</v>
      </c>
      <c r="I235" s="12" t="n">
        <f aca="false">SUMIFS('בתי מרקחת Raw'!$E$6:$E$1616,'בתי מרקחת Raw'!$F$6:$F$1616,$A235,'בתי מרקחת Raw'!$C$6:$C$1616,2026)</f>
        <v>3417.21</v>
      </c>
      <c r="J235" s="12" t="n">
        <f aca="false">I235*$J$5</f>
        <v>4316.47578947368</v>
      </c>
      <c r="K235" s="12"/>
      <c r="L235" s="22"/>
    </row>
    <row r="236" customFormat="false" ht="15" hidden="false" customHeight="true" outlineLevel="0" collapsed="false">
      <c r="A236" s="12" t="n">
        <v>4413045</v>
      </c>
      <c r="B236" s="12" t="str">
        <f aca="false">IFERROR(INDEX('בתי מרקחת Raw'!$B:$B,MATCH($A236,'בתי מרקחת Raw'!$F:$F,0)),"")</f>
        <v>34 XS מגן קרסול עקב סגור</v>
      </c>
      <c r="C236" s="12" t="n">
        <f aca="false">SUMIFS('בתי מרקחת Raw'!$D$6:$D$1616,'בתי מרקחת Raw'!$F$6:$F$1616,$A236,'בתי מרקחת Raw'!$C$6:$C$1616,2025)</f>
        <v>10</v>
      </c>
      <c r="D236" s="12" t="n">
        <f aca="false">SUMIFS('בתי מרקחת Raw'!$D$6:$D$1616,'בתי מרקחת Raw'!$F$6:$F$1616,$A236,'בתי מרקחת Raw'!$C$6:$C$1616,2026)</f>
        <v>0</v>
      </c>
      <c r="E236" s="12" t="n">
        <f aca="false">D236*$J$5</f>
        <v>0</v>
      </c>
      <c r="F236" s="12" t="n">
        <f aca="false">E236-C236</f>
        <v>-10</v>
      </c>
      <c r="G236" s="21" t="n">
        <f aca="false">IF(AND(C236=0,E236=0),0,IF(C236=0,"New",(E236-C236)/C236))</f>
        <v>-1</v>
      </c>
      <c r="H236" s="12" t="n">
        <f aca="false">SUMIFS('בתי מרקחת Raw'!$E$6:$E$1616,'בתי מרקחת Raw'!$F$6:$F$1616,$A236,'בתי מרקחת Raw'!$C$6:$C$1616,2025)</f>
        <v>439.2</v>
      </c>
      <c r="I236" s="12" t="n">
        <f aca="false">SUMIFS('בתי מרקחת Raw'!$E$6:$E$1616,'בתי מרקחת Raw'!$F$6:$F$1616,$A236,'בתי מרקחת Raw'!$C$6:$C$1616,2026)</f>
        <v>0</v>
      </c>
      <c r="J236" s="12" t="n">
        <f aca="false">I236*$J$5</f>
        <v>0</v>
      </c>
      <c r="K236" s="12"/>
      <c r="L236" s="22"/>
    </row>
    <row r="237" customFormat="false" ht="15" hidden="false" customHeight="true" outlineLevel="0" collapsed="false">
      <c r="A237" s="12" t="n">
        <v>4413046</v>
      </c>
      <c r="B237" s="12" t="str">
        <f aca="false">IFERROR(INDEX('בתי מרקחת Raw'!$B:$B,MATCH($A237,'בתי מרקחת Raw'!$F:$F,0)),"")</f>
        <v>34 XXL מגן קרסול עקב סגור</v>
      </c>
      <c r="C237" s="12" t="n">
        <f aca="false">SUMIFS('בתי מרקחת Raw'!$D$6:$D$1616,'בתי מרקחת Raw'!$F$6:$F$1616,$A237,'בתי מרקחת Raw'!$C$6:$C$1616,2025)</f>
        <v>24</v>
      </c>
      <c r="D237" s="12" t="n">
        <f aca="false">SUMIFS('בתי מרקחת Raw'!$D$6:$D$1616,'בתי מרקחת Raw'!$F$6:$F$1616,$A237,'בתי מרקחת Raw'!$C$6:$C$1616,2026)</f>
        <v>17</v>
      </c>
      <c r="E237" s="12" t="n">
        <f aca="false">D237*$J$5</f>
        <v>21.4736842105263</v>
      </c>
      <c r="F237" s="12" t="n">
        <f aca="false">E237-C237</f>
        <v>-2.52631578947369</v>
      </c>
      <c r="G237" s="21" t="n">
        <f aca="false">IF(AND(C237=0,E237=0),0,IF(C237=0,"New",(E237-C237)/C237))</f>
        <v>-0.105263157894737</v>
      </c>
      <c r="H237" s="12" t="n">
        <f aca="false">SUMIFS('בתי מרקחת Raw'!$E$6:$E$1616,'בתי מרקחת Raw'!$F$6:$F$1616,$A237,'בתי מרקחת Raw'!$C$6:$C$1616,2025)</f>
        <v>1092</v>
      </c>
      <c r="I237" s="12" t="n">
        <f aca="false">SUMIFS('בתי מרקחת Raw'!$E$6:$E$1616,'בתי מרקחת Raw'!$F$6:$F$1616,$A237,'בתי מרקחת Raw'!$C$6:$C$1616,2026)</f>
        <v>785.9</v>
      </c>
      <c r="J237" s="12" t="n">
        <f aca="false">I237*$J$5</f>
        <v>992.715789473684</v>
      </c>
      <c r="K237" s="12"/>
      <c r="L237" s="22"/>
    </row>
    <row r="238" customFormat="false" ht="15" hidden="false" customHeight="true" outlineLevel="0" collapsed="false">
      <c r="A238" s="12" t="n">
        <v>4413047</v>
      </c>
      <c r="B238" s="12" t="str">
        <f aca="false">IFERROR(INDEX('בתי מרקחת Raw'!$B:$B,MATCH($A238,'בתי מרקחת Raw'!$F:$F,0)),"")</f>
        <v>35 S מגן קרסול לבן</v>
      </c>
      <c r="C238" s="12" t="n">
        <f aca="false">SUMIFS('בתי מרקחת Raw'!$D$6:$D$1616,'בתי מרקחת Raw'!$F$6:$F$1616,$A238,'בתי מרקחת Raw'!$C$6:$C$1616,2025)</f>
        <v>113</v>
      </c>
      <c r="D238" s="12" t="n">
        <f aca="false">SUMIFS('בתי מרקחת Raw'!$D$6:$D$1616,'בתי מרקחת Raw'!$F$6:$F$1616,$A238,'בתי מרקחת Raw'!$C$6:$C$1616,2026)</f>
        <v>50</v>
      </c>
      <c r="E238" s="12" t="n">
        <f aca="false">D238*$J$5</f>
        <v>63.1578947368421</v>
      </c>
      <c r="F238" s="12" t="n">
        <f aca="false">E238-C238</f>
        <v>-49.8421052631579</v>
      </c>
      <c r="G238" s="21" t="n">
        <f aca="false">IF(AND(C238=0,E238=0),0,IF(C238=0,"New",(E238-C238)/C238))</f>
        <v>-0.44108057755007</v>
      </c>
      <c r="H238" s="12" t="n">
        <f aca="false">SUMIFS('בתי מרקחת Raw'!$E$6:$E$1616,'בתי מרקחת Raw'!$F$6:$F$1616,$A238,'בתי מרקחת Raw'!$C$6:$C$1616,2025)</f>
        <v>3368.44</v>
      </c>
      <c r="I238" s="12" t="n">
        <f aca="false">SUMIFS('בתי מרקחת Raw'!$E$6:$E$1616,'בתי מרקחת Raw'!$F$6:$F$1616,$A238,'בתי מרקחת Raw'!$C$6:$C$1616,2026)</f>
        <v>1515.2</v>
      </c>
      <c r="J238" s="12" t="n">
        <f aca="false">I238*$J$5</f>
        <v>1913.93684210526</v>
      </c>
      <c r="K238" s="12"/>
      <c r="L238" s="22"/>
    </row>
    <row r="239" customFormat="false" ht="15" hidden="false" customHeight="true" outlineLevel="0" collapsed="false">
      <c r="A239" s="12" t="n">
        <v>4413048</v>
      </c>
      <c r="B239" s="12" t="str">
        <f aca="false">IFERROR(INDEX('בתי מרקחת Raw'!$B:$B,MATCH($A239,'בתי מרקחת Raw'!$F:$F,0)),"")</f>
        <v>35 L מגן קרסול לבן</v>
      </c>
      <c r="C239" s="12" t="n">
        <f aca="false">SUMIFS('בתי מרקחת Raw'!$D$6:$D$1616,'בתי מרקחת Raw'!$F$6:$F$1616,$A239,'בתי מרקחת Raw'!$C$6:$C$1616,2025)</f>
        <v>212</v>
      </c>
      <c r="D239" s="12" t="n">
        <f aca="false">SUMIFS('בתי מרקחת Raw'!$D$6:$D$1616,'בתי מרקחת Raw'!$F$6:$F$1616,$A239,'בתי מרקחת Raw'!$C$6:$C$1616,2026)</f>
        <v>134</v>
      </c>
      <c r="E239" s="12" t="n">
        <f aca="false">D239*$J$5</f>
        <v>169.263157894737</v>
      </c>
      <c r="F239" s="12" t="n">
        <f aca="false">E239-C239</f>
        <v>-42.7368421052632</v>
      </c>
      <c r="G239" s="21" t="n">
        <f aca="false">IF(AND(C239=0,E239=0),0,IF(C239=0,"New",(E239-C239)/C239))</f>
        <v>-0.201588877855015</v>
      </c>
      <c r="H239" s="12" t="n">
        <f aca="false">SUMIFS('בתי מרקחת Raw'!$E$6:$E$1616,'בתי מרקחת Raw'!$F$6:$F$1616,$A239,'בתי מרקחת Raw'!$C$6:$C$1616,2025)</f>
        <v>6252.65</v>
      </c>
      <c r="I239" s="12" t="n">
        <f aca="false">SUMIFS('בתי מרקחת Raw'!$E$6:$E$1616,'בתי מרקחת Raw'!$F$6:$F$1616,$A239,'בתי מרקחת Raw'!$C$6:$C$1616,2026)</f>
        <v>3963.4</v>
      </c>
      <c r="J239" s="12" t="n">
        <f aca="false">I239*$J$5</f>
        <v>5006.4</v>
      </c>
      <c r="K239" s="12"/>
      <c r="L239" s="22"/>
    </row>
    <row r="240" customFormat="false" ht="15" hidden="false" customHeight="true" outlineLevel="0" collapsed="false">
      <c r="A240" s="12" t="n">
        <v>4413049</v>
      </c>
      <c r="B240" s="12" t="str">
        <f aca="false">IFERROR(INDEX('בתי מרקחת Raw'!$B:$B,MATCH($A240,'בתי מרקחת Raw'!$F:$F,0)),"")</f>
        <v>35 M מגן קרסול לבן</v>
      </c>
      <c r="C240" s="12" t="n">
        <f aca="false">SUMIFS('בתי מרקחת Raw'!$D$6:$D$1616,'בתי מרקחת Raw'!$F$6:$F$1616,$A240,'בתי מרקחת Raw'!$C$6:$C$1616,2025)</f>
        <v>231</v>
      </c>
      <c r="D240" s="12" t="n">
        <f aca="false">SUMIFS('בתי מרקחת Raw'!$D$6:$D$1616,'בתי מרקחת Raw'!$F$6:$F$1616,$A240,'בתי מרקחת Raw'!$C$6:$C$1616,2026)</f>
        <v>134</v>
      </c>
      <c r="E240" s="12" t="n">
        <f aca="false">D240*$J$5</f>
        <v>169.263157894737</v>
      </c>
      <c r="F240" s="12" t="n">
        <f aca="false">E240-C240</f>
        <v>-61.7368421052632</v>
      </c>
      <c r="G240" s="21" t="n">
        <f aca="false">IF(AND(C240=0,E240=0),0,IF(C240=0,"New",(E240-C240)/C240))</f>
        <v>-0.267259056732741</v>
      </c>
      <c r="H240" s="12" t="n">
        <f aca="false">SUMIFS('בתי מרקחת Raw'!$E$6:$E$1616,'בתי מרקחת Raw'!$F$6:$F$1616,$A240,'בתי מרקחת Raw'!$C$6:$C$1616,2025)</f>
        <v>6775.81</v>
      </c>
      <c r="I240" s="12" t="n">
        <f aca="false">SUMIFS('בתי מרקחת Raw'!$E$6:$E$1616,'בתי מרקחת Raw'!$F$6:$F$1616,$A240,'בתי מרקחת Raw'!$C$6:$C$1616,2026)</f>
        <v>3959.1</v>
      </c>
      <c r="J240" s="12" t="n">
        <f aca="false">I240*$J$5</f>
        <v>5000.96842105263</v>
      </c>
      <c r="K240" s="12"/>
      <c r="L240" s="22"/>
    </row>
    <row r="241" customFormat="false" ht="15" hidden="false" customHeight="true" outlineLevel="0" collapsed="false">
      <c r="A241" s="12" t="n">
        <v>4413050</v>
      </c>
      <c r="B241" s="12" t="str">
        <f aca="false">IFERROR(INDEX('בתי מרקחת Raw'!$B:$B,MATCH($A241,'בתי מרקחת Raw'!$F:$F,0)),"")</f>
        <v>35 XL מגן קרסול לבן</v>
      </c>
      <c r="C241" s="12" t="n">
        <f aca="false">SUMIFS('בתי מרקחת Raw'!$D$6:$D$1616,'בתי מרקחת Raw'!$F$6:$F$1616,$A241,'בתי מרקחת Raw'!$C$6:$C$1616,2025)</f>
        <v>165</v>
      </c>
      <c r="D241" s="12" t="n">
        <f aca="false">SUMIFS('בתי מרקחת Raw'!$D$6:$D$1616,'בתי מרקחת Raw'!$F$6:$F$1616,$A241,'בתי מרקחת Raw'!$C$6:$C$1616,2026)</f>
        <v>95</v>
      </c>
      <c r="E241" s="12" t="n">
        <f aca="false">D241*$J$5</f>
        <v>120</v>
      </c>
      <c r="F241" s="12" t="n">
        <f aca="false">E241-C241</f>
        <v>-45</v>
      </c>
      <c r="G241" s="21" t="n">
        <f aca="false">IF(AND(C241=0,E241=0),0,IF(C241=0,"New",(E241-C241)/C241))</f>
        <v>-0.272727272727273</v>
      </c>
      <c r="H241" s="12" t="n">
        <f aca="false">SUMIFS('בתי מרקחת Raw'!$E$6:$E$1616,'בתי מרקחת Raw'!$F$6:$F$1616,$A241,'בתי מרקחת Raw'!$C$6:$C$1616,2025)</f>
        <v>4932.9</v>
      </c>
      <c r="I241" s="12" t="n">
        <f aca="false">SUMIFS('בתי מרקחת Raw'!$E$6:$E$1616,'בתי מרקחת Raw'!$F$6:$F$1616,$A241,'בתי מרקחת Raw'!$C$6:$C$1616,2026)</f>
        <v>2857.18</v>
      </c>
      <c r="J241" s="12" t="n">
        <f aca="false">I241*$J$5</f>
        <v>3609.06947368421</v>
      </c>
      <c r="K241" s="12"/>
      <c r="L241" s="22"/>
    </row>
    <row r="242" customFormat="false" ht="15" hidden="false" customHeight="true" outlineLevel="0" collapsed="false">
      <c r="A242" s="12" t="n">
        <v>4413051</v>
      </c>
      <c r="B242" s="12" t="str">
        <f aca="false">IFERROR(INDEX('בתי מרקחת Raw'!$B:$B,MATCH($A242,'בתי מרקחת Raw'!$F:$F,0)),"")</f>
        <v>35 XXL מגן קרסול לבן</v>
      </c>
      <c r="C242" s="12" t="n">
        <f aca="false">SUMIFS('בתי מרקחת Raw'!$D$6:$D$1616,'בתי מרקחת Raw'!$F$6:$F$1616,$A242,'בתי מרקחת Raw'!$C$6:$C$1616,2025)</f>
        <v>84</v>
      </c>
      <c r="D242" s="12" t="n">
        <f aca="false">SUMIFS('בתי מרקחת Raw'!$D$6:$D$1616,'בתי מרקחת Raw'!$F$6:$F$1616,$A242,'בתי מרקחת Raw'!$C$6:$C$1616,2026)</f>
        <v>37</v>
      </c>
      <c r="E242" s="12" t="n">
        <f aca="false">D242*$J$5</f>
        <v>46.7368421052632</v>
      </c>
      <c r="F242" s="12" t="n">
        <f aca="false">E242-C242</f>
        <v>-37.2631578947368</v>
      </c>
      <c r="G242" s="21" t="n">
        <f aca="false">IF(AND(C242=0,E242=0),0,IF(C242=0,"New",(E242-C242)/C242))</f>
        <v>-0.443609022556391</v>
      </c>
      <c r="H242" s="12" t="n">
        <f aca="false">SUMIFS('בתי מרקחת Raw'!$E$6:$E$1616,'בתי מרקחת Raw'!$F$6:$F$1616,$A242,'בתי מרקחת Raw'!$C$6:$C$1616,2025)</f>
        <v>2475.84</v>
      </c>
      <c r="I242" s="12" t="n">
        <f aca="false">SUMIFS('בתי מרקחת Raw'!$E$6:$E$1616,'בתי מרקחת Raw'!$F$6:$F$1616,$A242,'בתי מרקחת Raw'!$C$6:$C$1616,2026)</f>
        <v>1088.2</v>
      </c>
      <c r="J242" s="12" t="n">
        <f aca="false">I242*$J$5</f>
        <v>1374.56842105263</v>
      </c>
      <c r="K242" s="12"/>
      <c r="L242" s="22"/>
    </row>
    <row r="243" customFormat="false" ht="15" hidden="false" customHeight="true" outlineLevel="0" collapsed="false">
      <c r="A243" s="12" t="n">
        <v>4413052</v>
      </c>
      <c r="B243" s="12" t="str">
        <f aca="false">IFERROR(INDEX('בתי מרקחת Raw'!$B:$B,MATCH($A243,'בתי מרקחת Raw'!$F:$F,0)),"")</f>
        <v>35C S מגן קרסול חום</v>
      </c>
      <c r="C243" s="12" t="n">
        <f aca="false">SUMIFS('בתי מרקחת Raw'!$D$6:$D$1616,'בתי מרקחת Raw'!$F$6:$F$1616,$A243,'בתי מרקחת Raw'!$C$6:$C$1616,2025)</f>
        <v>234</v>
      </c>
      <c r="D243" s="12" t="n">
        <f aca="false">SUMIFS('בתי מרקחת Raw'!$D$6:$D$1616,'בתי מרקחת Raw'!$F$6:$F$1616,$A243,'בתי מרקחת Raw'!$C$6:$C$1616,2026)</f>
        <v>133</v>
      </c>
      <c r="E243" s="12" t="n">
        <f aca="false">D243*$J$5</f>
        <v>168</v>
      </c>
      <c r="F243" s="12" t="n">
        <f aca="false">E243-C243</f>
        <v>-66</v>
      </c>
      <c r="G243" s="21" t="n">
        <f aca="false">IF(AND(C243=0,E243=0),0,IF(C243=0,"New",(E243-C243)/C243))</f>
        <v>-0.282051282051282</v>
      </c>
      <c r="H243" s="12" t="n">
        <f aca="false">SUMIFS('בתי מרקחת Raw'!$E$6:$E$1616,'בתי מרקחת Raw'!$F$6:$F$1616,$A243,'בתי מרקחת Raw'!$C$6:$C$1616,2025)</f>
        <v>6960.06</v>
      </c>
      <c r="I243" s="12" t="n">
        <f aca="false">SUMIFS('בתי מרקחת Raw'!$E$6:$E$1616,'בתי מרקחת Raw'!$F$6:$F$1616,$A243,'בתי מרקחת Raw'!$C$6:$C$1616,2026)</f>
        <v>4010.32</v>
      </c>
      <c r="J243" s="12" t="n">
        <f aca="false">I243*$J$5</f>
        <v>5065.66736842105</v>
      </c>
      <c r="K243" s="12"/>
      <c r="L243" s="22"/>
    </row>
    <row r="244" customFormat="false" ht="15" hidden="false" customHeight="true" outlineLevel="0" collapsed="false">
      <c r="A244" s="12" t="n">
        <v>4413053</v>
      </c>
      <c r="B244" s="12" t="str">
        <f aca="false">IFERROR(INDEX('בתי מרקחת Raw'!$B:$B,MATCH($A244,'בתי מרקחת Raw'!$F:$F,0)),"")</f>
        <v>35C L מגן קרסול חום</v>
      </c>
      <c r="C244" s="12" t="n">
        <f aca="false">SUMIFS('בתי מרקחת Raw'!$D$6:$D$1616,'בתי מרקחת Raw'!$F$6:$F$1616,$A244,'בתי מרקחת Raw'!$C$6:$C$1616,2025)</f>
        <v>414</v>
      </c>
      <c r="D244" s="12" t="n">
        <f aca="false">SUMIFS('בתי מרקחת Raw'!$D$6:$D$1616,'בתי מרקחת Raw'!$F$6:$F$1616,$A244,'בתי מרקחת Raw'!$C$6:$C$1616,2026)</f>
        <v>299</v>
      </c>
      <c r="E244" s="12" t="n">
        <f aca="false">D244*$J$5</f>
        <v>377.684210526316</v>
      </c>
      <c r="F244" s="12" t="n">
        <f aca="false">E244-C244</f>
        <v>-36.3157894736842</v>
      </c>
      <c r="G244" s="21" t="n">
        <f aca="false">IF(AND(C244=0,E244=0),0,IF(C244=0,"New",(E244-C244)/C244))</f>
        <v>-0.0877192982456141</v>
      </c>
      <c r="H244" s="12" t="n">
        <f aca="false">SUMIFS('בתי מרקחת Raw'!$E$6:$E$1616,'בתי מרקחת Raw'!$F$6:$F$1616,$A244,'בתי מרקחת Raw'!$C$6:$C$1616,2025)</f>
        <v>12399.2</v>
      </c>
      <c r="I244" s="12" t="n">
        <f aca="false">SUMIFS('בתי מרקחת Raw'!$E$6:$E$1616,'בתי מרקחת Raw'!$F$6:$F$1616,$A244,'בתי מרקחת Raw'!$C$6:$C$1616,2026)</f>
        <v>8966.65</v>
      </c>
      <c r="J244" s="12" t="n">
        <f aca="false">I244*$J$5</f>
        <v>11326.2947368421</v>
      </c>
      <c r="K244" s="12"/>
      <c r="L244" s="22"/>
    </row>
    <row r="245" customFormat="false" ht="15" hidden="false" customHeight="true" outlineLevel="0" collapsed="false">
      <c r="A245" s="12" t="n">
        <v>4413054</v>
      </c>
      <c r="B245" s="12" t="str">
        <f aca="false">IFERROR(INDEX('בתי מרקחת Raw'!$B:$B,MATCH($A245,'בתי מרקחת Raw'!$F:$F,0)),"")</f>
        <v>35C M מגן קרסול חום</v>
      </c>
      <c r="C245" s="12" t="n">
        <f aca="false">SUMIFS('בתי מרקחת Raw'!$D$6:$D$1616,'בתי מרקחת Raw'!$F$6:$F$1616,$A245,'בתי מרקחת Raw'!$C$6:$C$1616,2025)</f>
        <v>387</v>
      </c>
      <c r="D245" s="12" t="n">
        <f aca="false">SUMIFS('בתי מרקחת Raw'!$D$6:$D$1616,'בתי מרקחת Raw'!$F$6:$F$1616,$A245,'בתי מרקחת Raw'!$C$6:$C$1616,2026)</f>
        <v>298</v>
      </c>
      <c r="E245" s="12" t="n">
        <f aca="false">D245*$J$5</f>
        <v>376.421052631579</v>
      </c>
      <c r="F245" s="12" t="n">
        <f aca="false">E245-C245</f>
        <v>-10.5789473684211</v>
      </c>
      <c r="G245" s="21" t="n">
        <f aca="false">IF(AND(C245=0,E245=0),0,IF(C245=0,"New",(E245-C245)/C245))</f>
        <v>-0.0273357813137496</v>
      </c>
      <c r="H245" s="12" t="n">
        <f aca="false">SUMIFS('בתי מרקחת Raw'!$E$6:$E$1616,'בתי מרקחת Raw'!$F$6:$F$1616,$A245,'בתי מרקחת Raw'!$C$6:$C$1616,2025)</f>
        <v>11551.64</v>
      </c>
      <c r="I245" s="12" t="n">
        <f aca="false">SUMIFS('בתי מרקחת Raw'!$E$6:$E$1616,'בתי מרקחת Raw'!$F$6:$F$1616,$A245,'בתי מרקחת Raw'!$C$6:$C$1616,2026)</f>
        <v>8916.47</v>
      </c>
      <c r="J245" s="12" t="n">
        <f aca="false">I245*$J$5</f>
        <v>11262.9094736842</v>
      </c>
      <c r="K245" s="12"/>
      <c r="L245" s="22"/>
    </row>
    <row r="246" customFormat="false" ht="15" hidden="false" customHeight="true" outlineLevel="0" collapsed="false">
      <c r="A246" s="12" t="n">
        <v>4413055</v>
      </c>
      <c r="B246" s="12" t="str">
        <f aca="false">IFERROR(INDEX('בתי מרקחת Raw'!$B:$B,MATCH($A246,'בתי מרקחת Raw'!$F:$F,0)),"")</f>
        <v>35C XL מגן קרסול חום</v>
      </c>
      <c r="C246" s="12" t="n">
        <f aca="false">SUMIFS('בתי מרקחת Raw'!$D$6:$D$1616,'בתי מרקחת Raw'!$F$6:$F$1616,$A246,'בתי מרקחת Raw'!$C$6:$C$1616,2025)</f>
        <v>245</v>
      </c>
      <c r="D246" s="12" t="n">
        <f aca="false">SUMIFS('בתי מרקחת Raw'!$D$6:$D$1616,'בתי מרקחת Raw'!$F$6:$F$1616,$A246,'בתי מרקחת Raw'!$C$6:$C$1616,2026)</f>
        <v>163</v>
      </c>
      <c r="E246" s="12" t="n">
        <f aca="false">D246*$J$5</f>
        <v>205.894736842105</v>
      </c>
      <c r="F246" s="12" t="n">
        <f aca="false">E246-C246</f>
        <v>-39.1052631578947</v>
      </c>
      <c r="G246" s="21" t="n">
        <f aca="false">IF(AND(C246=0,E246=0),0,IF(C246=0,"New",(E246-C246)/C246))</f>
        <v>-0.159613319011815</v>
      </c>
      <c r="H246" s="12" t="n">
        <f aca="false">SUMIFS('בתי מרקחת Raw'!$E$6:$E$1616,'בתי מרקחת Raw'!$F$6:$F$1616,$A246,'בתי מרקחת Raw'!$C$6:$C$1616,2025)</f>
        <v>7323.28</v>
      </c>
      <c r="I246" s="12" t="n">
        <f aca="false">SUMIFS('בתי מרקחת Raw'!$E$6:$E$1616,'בתי מרקחת Raw'!$F$6:$F$1616,$A246,'בתי מרקחת Raw'!$C$6:$C$1616,2026)</f>
        <v>4859.77</v>
      </c>
      <c r="J246" s="12" t="n">
        <f aca="false">I246*$J$5</f>
        <v>6138.65684210526</v>
      </c>
      <c r="K246" s="12"/>
      <c r="L246" s="22"/>
    </row>
    <row r="247" customFormat="false" ht="15" hidden="false" customHeight="true" outlineLevel="0" collapsed="false">
      <c r="A247" s="12" t="n">
        <v>4413056</v>
      </c>
      <c r="B247" s="12" t="str">
        <f aca="false">IFERROR(INDEX('בתי מרקחת Raw'!$B:$B,MATCH($A247,'בתי מרקחת Raw'!$F:$F,0)),"")</f>
        <v>LF360 מדרס מטטרזלי לנעלי עקב</v>
      </c>
      <c r="C247" s="12" t="n">
        <f aca="false">SUMIFS('בתי מרקחת Raw'!$D$6:$D$1616,'בתי מרקחת Raw'!$F$6:$F$1616,$A247,'בתי מרקחת Raw'!$C$6:$C$1616,2025)</f>
        <v>82</v>
      </c>
      <c r="D247" s="12" t="n">
        <f aca="false">SUMIFS('בתי מרקחת Raw'!$D$6:$D$1616,'בתי מרקחת Raw'!$F$6:$F$1616,$A247,'בתי מרקחת Raw'!$C$6:$C$1616,2026)</f>
        <v>44</v>
      </c>
      <c r="E247" s="12" t="n">
        <f aca="false">D247*$J$5</f>
        <v>55.5789473684211</v>
      </c>
      <c r="F247" s="12" t="n">
        <f aca="false">E247-C247</f>
        <v>-26.421052631579</v>
      </c>
      <c r="G247" s="21" t="n">
        <f aca="false">IF(AND(C247=0,E247=0),0,IF(C247=0,"New",(E247-C247)/C247))</f>
        <v>-0.322207958921695</v>
      </c>
      <c r="H247" s="12" t="n">
        <f aca="false">SUMIFS('בתי מרקחת Raw'!$E$6:$E$1616,'בתי מרקחת Raw'!$F$6:$F$1616,$A247,'בתי מרקחת Raw'!$C$6:$C$1616,2025)</f>
        <v>1842.72</v>
      </c>
      <c r="I247" s="12" t="n">
        <f aca="false">SUMIFS('בתי מרקחת Raw'!$E$6:$E$1616,'בתי מרקחת Raw'!$F$6:$F$1616,$A247,'בתי מרקחת Raw'!$C$6:$C$1616,2026)</f>
        <v>1003.53</v>
      </c>
      <c r="J247" s="12" t="n">
        <f aca="false">I247*$J$5</f>
        <v>1267.61684210526</v>
      </c>
      <c r="K247" s="12"/>
      <c r="L247" s="22"/>
    </row>
    <row r="248" customFormat="false" ht="15" hidden="false" customHeight="true" outlineLevel="0" collapsed="false">
      <c r="A248" s="12" t="n">
        <v>4413058</v>
      </c>
      <c r="B248" s="12" t="str">
        <f aca="false">IFERROR(INDEX('בתי מרקחת Raw'!$B:$B,MATCH($A248,'בתי מרקחת Raw'!$F:$F,0)),"")</f>
        <v>3622S מדבקה לשחרור לחץ 2 יח</v>
      </c>
      <c r="C248" s="12" t="n">
        <f aca="false">SUMIFS('בתי מרקחת Raw'!$D$6:$D$1616,'בתי מרקחת Raw'!$F$6:$F$1616,$A248,'בתי מרקחת Raw'!$C$6:$C$1616,2025)</f>
        <v>113</v>
      </c>
      <c r="D248" s="12" t="n">
        <f aca="false">SUMIFS('בתי מרקחת Raw'!$D$6:$D$1616,'בתי מרקחת Raw'!$F$6:$F$1616,$A248,'בתי מרקחת Raw'!$C$6:$C$1616,2026)</f>
        <v>87</v>
      </c>
      <c r="E248" s="12" t="n">
        <f aca="false">D248*$J$5</f>
        <v>109.894736842105</v>
      </c>
      <c r="F248" s="12" t="n">
        <f aca="false">E248-C248</f>
        <v>-3.10526315789474</v>
      </c>
      <c r="G248" s="21" t="n">
        <f aca="false">IF(AND(C248=0,E248=0),0,IF(C248=0,"New",(E248-C248)/C248))</f>
        <v>-0.0274802049371216</v>
      </c>
      <c r="H248" s="12" t="n">
        <f aca="false">SUMIFS('בתי מרקחת Raw'!$E$6:$E$1616,'בתי מרקחת Raw'!$F$6:$F$1616,$A248,'בתי מרקחת Raw'!$C$6:$C$1616,2025)</f>
        <v>3446.7</v>
      </c>
      <c r="I248" s="12" t="n">
        <f aca="false">SUMIFS('בתי מרקחת Raw'!$E$6:$E$1616,'בתי מרקחת Raw'!$F$6:$F$1616,$A248,'בתי מרקחת Raw'!$C$6:$C$1616,2026)</f>
        <v>2626.5</v>
      </c>
      <c r="J248" s="12" t="n">
        <f aca="false">I248*$J$5</f>
        <v>3317.68421052632</v>
      </c>
      <c r="K248" s="12"/>
      <c r="L248" s="22"/>
    </row>
    <row r="249" customFormat="false" ht="15" hidden="false" customHeight="true" outlineLevel="0" collapsed="false">
      <c r="A249" s="12" t="n">
        <v>4413059</v>
      </c>
      <c r="B249" s="12" t="str">
        <f aca="false">IFERROR(INDEX('בתי מרקחת Raw'!$B:$B,MATCH($A249,'בתי מרקחת Raw'!$F:$F,0)),"")</f>
        <v>364S Lמפר.אצבע סיליק. ליבל.זוג</v>
      </c>
      <c r="C249" s="12" t="n">
        <f aca="false">SUMIFS('בתי מרקחת Raw'!$D$6:$D$1616,'בתי מרקחת Raw'!$F$6:$F$1616,$A249,'בתי מרקחת Raw'!$C$6:$C$1616,2025)</f>
        <v>1065</v>
      </c>
      <c r="D249" s="12" t="n">
        <f aca="false">SUMIFS('בתי מרקחת Raw'!$D$6:$D$1616,'בתי מרקחת Raw'!$F$6:$F$1616,$A249,'בתי מרקחת Raw'!$C$6:$C$1616,2026)</f>
        <v>675</v>
      </c>
      <c r="E249" s="12" t="n">
        <f aca="false">D249*$J$5</f>
        <v>852.631578947368</v>
      </c>
      <c r="F249" s="12" t="n">
        <f aca="false">E249-C249</f>
        <v>-212.368421052632</v>
      </c>
      <c r="G249" s="21" t="n">
        <f aca="false">IF(AND(C249=0,E249=0),0,IF(C249=0,"New",(E249-C249)/C249))</f>
        <v>-0.199406968124537</v>
      </c>
      <c r="H249" s="12" t="n">
        <f aca="false">SUMIFS('בתי מרקחת Raw'!$E$6:$E$1616,'בתי מרקחת Raw'!$F$6:$F$1616,$A249,'בתי מרקחת Raw'!$C$6:$C$1616,2025)</f>
        <v>14541.58</v>
      </c>
      <c r="I249" s="12" t="n">
        <f aca="false">SUMIFS('בתי מרקחת Raw'!$E$6:$E$1616,'בתי מרקחת Raw'!$F$6:$F$1616,$A249,'בתי מרקחת Raw'!$C$6:$C$1616,2026)</f>
        <v>9257.98</v>
      </c>
      <c r="J249" s="12" t="n">
        <f aca="false">I249*$J$5</f>
        <v>11694.2905263158</v>
      </c>
      <c r="K249" s="12"/>
      <c r="L249" s="22"/>
    </row>
    <row r="250" customFormat="false" ht="15" hidden="false" customHeight="true" outlineLevel="0" collapsed="false">
      <c r="A250" s="12" t="n">
        <v>4413060</v>
      </c>
      <c r="B250" s="12" t="str">
        <f aca="false">IFERROR(INDEX('בתי מרקחת Raw'!$B:$B,MATCH($A250,'בתי מרקחת Raw'!$F:$F,0)),"")</f>
        <v>364 XLמפריד אצבע סיליקון ליבלת</v>
      </c>
      <c r="C250" s="12" t="n">
        <f aca="false">SUMIFS('בתי מרקחת Raw'!$D$6:$D$1616,'בתי מרקחת Raw'!$F$6:$F$1616,$A250,'בתי מרקחת Raw'!$C$6:$C$1616,2025)</f>
        <v>533</v>
      </c>
      <c r="D250" s="12" t="n">
        <f aca="false">SUMIFS('בתי מרקחת Raw'!$D$6:$D$1616,'בתי מרקחת Raw'!$F$6:$F$1616,$A250,'בתי מרקחת Raw'!$C$6:$C$1616,2026)</f>
        <v>447</v>
      </c>
      <c r="E250" s="12" t="n">
        <f aca="false">D250*$J$5</f>
        <v>564.631578947368</v>
      </c>
      <c r="F250" s="12" t="n">
        <f aca="false">E250-C250</f>
        <v>31.6315789473684</v>
      </c>
      <c r="G250" s="21" t="n">
        <f aca="false">IF(AND(C250=0,E250=0),0,IF(C250=0,"New",(E250-C250)/C250))</f>
        <v>0.059346301965044</v>
      </c>
      <c r="H250" s="12" t="n">
        <f aca="false">SUMIFS('בתי מרקחת Raw'!$E$6:$E$1616,'בתי מרקחת Raw'!$F$6:$F$1616,$A250,'בתי מרקחת Raw'!$C$6:$C$1616,2025)</f>
        <v>7292.18</v>
      </c>
      <c r="I250" s="12" t="n">
        <f aca="false">SUMIFS('בתי מרקחת Raw'!$E$6:$E$1616,'בתי מרקחת Raw'!$F$6:$F$1616,$A250,'בתי מרקחת Raw'!$C$6:$C$1616,2026)</f>
        <v>6118.43</v>
      </c>
      <c r="J250" s="12" t="n">
        <f aca="false">I250*$J$5</f>
        <v>7728.54315789474</v>
      </c>
      <c r="K250" s="12"/>
      <c r="L250" s="22"/>
    </row>
    <row r="251" customFormat="false" ht="15" hidden="false" customHeight="true" outlineLevel="0" collapsed="false">
      <c r="A251" s="12" t="n">
        <v>4413061</v>
      </c>
      <c r="B251" s="12" t="str">
        <f aca="false">IFERROR(INDEX('בתי מרקחת Raw'!$B:$B,MATCH($A251,'בתי מרקחת Raw'!$F:$F,0)),"")</f>
        <v>3641-מיישר בוהן סיליקון קשיח</v>
      </c>
      <c r="C251" s="12" t="n">
        <f aca="false">SUMIFS('בתי מרקחת Raw'!$D$6:$D$1616,'בתי מרקחת Raw'!$F$6:$F$1616,$A251,'בתי מרקחת Raw'!$C$6:$C$1616,2025)</f>
        <v>181</v>
      </c>
      <c r="D251" s="12" t="n">
        <f aca="false">SUMIFS('בתי מרקחת Raw'!$D$6:$D$1616,'בתי מרקחת Raw'!$F$6:$F$1616,$A251,'בתי מרקחת Raw'!$C$6:$C$1616,2026)</f>
        <v>47</v>
      </c>
      <c r="E251" s="12" t="n">
        <f aca="false">D251*$J$5</f>
        <v>59.3684210526316</v>
      </c>
      <c r="F251" s="12" t="n">
        <f aca="false">E251-C251</f>
        <v>-121.631578947368</v>
      </c>
      <c r="G251" s="21" t="n">
        <f aca="false">IF(AND(C251=0,E251=0),0,IF(C251=0,"New",(E251-C251)/C251))</f>
        <v>-0.671997673742367</v>
      </c>
      <c r="H251" s="12" t="n">
        <f aca="false">SUMIFS('בתי מרקחת Raw'!$E$6:$E$1616,'בתי מרקחת Raw'!$F$6:$F$1616,$A251,'בתי מרקחת Raw'!$C$6:$C$1616,2025)</f>
        <v>3599.6</v>
      </c>
      <c r="I251" s="12" t="n">
        <f aca="false">SUMIFS('בתי מרקחת Raw'!$E$6:$E$1616,'בתי מרקחת Raw'!$F$6:$F$1616,$A251,'בתי מרקחת Raw'!$C$6:$C$1616,2026)</f>
        <v>934.34</v>
      </c>
      <c r="J251" s="12" t="n">
        <f aca="false">I251*$J$5</f>
        <v>1180.21894736842</v>
      </c>
      <c r="K251" s="12"/>
      <c r="L251" s="22"/>
    </row>
    <row r="252" customFormat="false" ht="15" hidden="false" customHeight="true" outlineLevel="0" collapsed="false">
      <c r="A252" s="12" t="n">
        <v>4413063</v>
      </c>
      <c r="B252" s="12" t="str">
        <f aca="false">IFERROR(INDEX('בתי מרקחת Raw'!$B:$B,MATCH($A252,'בתי מרקחת Raw'!$F:$F,0)),"")</f>
        <v>366S-'מדבק.לשחרור לחץ מיבלת2יח</v>
      </c>
      <c r="C252" s="12" t="n">
        <f aca="false">SUMIFS('בתי מרקחת Raw'!$D$6:$D$1616,'בתי מרקחת Raw'!$F$6:$F$1616,$A252,'בתי מרקחת Raw'!$C$6:$C$1616,2025)</f>
        <v>260</v>
      </c>
      <c r="D252" s="12" t="n">
        <f aca="false">SUMIFS('בתי מרקחת Raw'!$D$6:$D$1616,'בתי מרקחת Raw'!$F$6:$F$1616,$A252,'בתי מרקחת Raw'!$C$6:$C$1616,2026)</f>
        <v>191</v>
      </c>
      <c r="E252" s="12" t="n">
        <f aca="false">D252*$J$5</f>
        <v>241.263157894737</v>
      </c>
      <c r="F252" s="12" t="n">
        <f aca="false">E252-C252</f>
        <v>-18.7368421052632</v>
      </c>
      <c r="G252" s="21" t="n">
        <f aca="false">IF(AND(C252=0,E252=0),0,IF(C252=0,"New",(E252-C252)/C252))</f>
        <v>-0.0720647773279353</v>
      </c>
      <c r="H252" s="12" t="n">
        <f aca="false">SUMIFS('בתי מרקחת Raw'!$E$6:$E$1616,'בתי מרקחת Raw'!$F$6:$F$1616,$A252,'בתי מרקחת Raw'!$C$6:$C$1616,2025)</f>
        <v>4077.9</v>
      </c>
      <c r="I252" s="12" t="n">
        <f aca="false">SUMIFS('בתי מרקחת Raw'!$E$6:$E$1616,'בתי מרקחת Raw'!$F$6:$F$1616,$A252,'בתי מרקחת Raw'!$C$6:$C$1616,2026)</f>
        <v>2922.63</v>
      </c>
      <c r="J252" s="12" t="n">
        <f aca="false">I252*$J$5</f>
        <v>3691.74315789474</v>
      </c>
      <c r="K252" s="12"/>
      <c r="L252" s="22"/>
    </row>
    <row r="253" customFormat="false" ht="15" hidden="false" customHeight="true" outlineLevel="0" collapsed="false">
      <c r="A253" s="12" t="n">
        <v>4413066</v>
      </c>
      <c r="B253" s="12" t="str">
        <f aca="false">IFERROR(INDEX('בתי מרקחת Raw'!$B:$B,MATCH($A253,'בתי מרקחת Raw'!$F:$F,0)),"")</f>
        <v>3677S-מד.לשחרור לחץ א.הבוניון</v>
      </c>
      <c r="C253" s="12" t="n">
        <f aca="false">SUMIFS('בתי מרקחת Raw'!$D$6:$D$1616,'בתי מרקחת Raw'!$F$6:$F$1616,$A253,'בתי מרקחת Raw'!$C$6:$C$1616,2025)</f>
        <v>156</v>
      </c>
      <c r="D253" s="12" t="n">
        <f aca="false">SUMIFS('בתי מרקחת Raw'!$D$6:$D$1616,'בתי מרקחת Raw'!$F$6:$F$1616,$A253,'בתי מרקחת Raw'!$C$6:$C$1616,2026)</f>
        <v>70</v>
      </c>
      <c r="E253" s="12" t="n">
        <f aca="false">D253*$J$5</f>
        <v>88.421052631579</v>
      </c>
      <c r="F253" s="12" t="n">
        <f aca="false">E253-C253</f>
        <v>-67.5789473684211</v>
      </c>
      <c r="G253" s="21" t="n">
        <f aca="false">IF(AND(C253=0,E253=0),0,IF(C253=0,"New",(E253-C253)/C253))</f>
        <v>-0.433198380566802</v>
      </c>
      <c r="H253" s="12" t="n">
        <f aca="false">SUMIFS('בתי מרקחת Raw'!$E$6:$E$1616,'בתי מרקחת Raw'!$F$6:$F$1616,$A253,'בתי מרקחת Raw'!$C$6:$C$1616,2025)</f>
        <v>2953.87</v>
      </c>
      <c r="I253" s="12" t="n">
        <f aca="false">SUMIFS('בתי מרקחת Raw'!$E$6:$E$1616,'בתי מרקחת Raw'!$F$6:$F$1616,$A253,'בתי מרקחת Raw'!$C$6:$C$1616,2026)</f>
        <v>1391.04</v>
      </c>
      <c r="J253" s="12" t="n">
        <f aca="false">I253*$J$5</f>
        <v>1757.10315789474</v>
      </c>
      <c r="K253" s="12"/>
      <c r="L253" s="22"/>
    </row>
    <row r="254" customFormat="false" ht="15" hidden="false" customHeight="true" outlineLevel="0" collapsed="false">
      <c r="A254" s="12" t="n">
        <v>4413069</v>
      </c>
      <c r="B254" s="12" t="str">
        <f aca="false">IFERROR(INDEX('בתי מרקחת Raw'!$B:$B,MATCH($A254,'בתי מרקחת Raw'!$F:$F,0)),"")</f>
        <v>388L סד לילה לבוהן</v>
      </c>
      <c r="C254" s="12" t="n">
        <f aca="false">SUMIFS('בתי מרקחת Raw'!$D$6:$D$1616,'בתי מרקחת Raw'!$F$6:$F$1616,$A254,'בתי מרקחת Raw'!$C$6:$C$1616,2025)</f>
        <v>-2</v>
      </c>
      <c r="D254" s="12" t="n">
        <f aca="false">SUMIFS('בתי מרקחת Raw'!$D$6:$D$1616,'בתי מרקחת Raw'!$F$6:$F$1616,$A254,'בתי מרקחת Raw'!$C$6:$C$1616,2026)</f>
        <v>0</v>
      </c>
      <c r="E254" s="12" t="n">
        <f aca="false">D254*$J$5</f>
        <v>0</v>
      </c>
      <c r="F254" s="12" t="n">
        <f aca="false">E254-C254</f>
        <v>2</v>
      </c>
      <c r="G254" s="21" t="n">
        <f aca="false">IF(AND(C254=0,E254=0),0,IF(C254=0,"New",(E254-C254)/C254))</f>
        <v>-1</v>
      </c>
      <c r="H254" s="12" t="n">
        <f aca="false">SUMIFS('בתי מרקחת Raw'!$E$6:$E$1616,'בתי מרקחת Raw'!$F$6:$F$1616,$A254,'בתי מרקחת Raw'!$C$6:$C$1616,2025)</f>
        <v>-152.1</v>
      </c>
      <c r="I254" s="12" t="n">
        <f aca="false">SUMIFS('בתי מרקחת Raw'!$E$6:$E$1616,'בתי מרקחת Raw'!$F$6:$F$1616,$A254,'בתי מרקחת Raw'!$C$6:$C$1616,2026)</f>
        <v>0</v>
      </c>
      <c r="J254" s="12" t="n">
        <f aca="false">I254*$J$5</f>
        <v>0</v>
      </c>
      <c r="K254" s="12"/>
      <c r="L254" s="22"/>
    </row>
    <row r="255" customFormat="false" ht="15" hidden="false" customHeight="true" outlineLevel="0" collapsed="false">
      <c r="A255" s="12" t="n">
        <v>4413070</v>
      </c>
      <c r="B255" s="12" t="str">
        <f aca="false">IFERROR(INDEX('בתי מרקחת Raw'!$B:$B,MATCH($A255,'בתי מרקחת Raw'!$F:$F,0)),"")</f>
        <v>388R סד לילה לבוהן</v>
      </c>
      <c r="C255" s="12" t="n">
        <f aca="false">SUMIFS('בתי מרקחת Raw'!$D$6:$D$1616,'בתי מרקחת Raw'!$F$6:$F$1616,$A255,'בתי מרקחת Raw'!$C$6:$C$1616,2025)</f>
        <v>-1</v>
      </c>
      <c r="D255" s="12" t="n">
        <f aca="false">SUMIFS('בתי מרקחת Raw'!$D$6:$D$1616,'בתי מרקחת Raw'!$F$6:$F$1616,$A255,'בתי מרקחת Raw'!$C$6:$C$1616,2026)</f>
        <v>0</v>
      </c>
      <c r="E255" s="12" t="n">
        <f aca="false">D255*$J$5</f>
        <v>0</v>
      </c>
      <c r="F255" s="12" t="n">
        <f aca="false">E255-C255</f>
        <v>1</v>
      </c>
      <c r="G255" s="21" t="n">
        <f aca="false">IF(AND(C255=0,E255=0),0,IF(C255=0,"New",(E255-C255)/C255))</f>
        <v>-1</v>
      </c>
      <c r="H255" s="12" t="n">
        <f aca="false">SUMIFS('בתי מרקחת Raw'!$E$6:$E$1616,'בתי מרקחת Raw'!$F$6:$F$1616,$A255,'בתי מרקחת Raw'!$C$6:$C$1616,2025)</f>
        <v>-74</v>
      </c>
      <c r="I255" s="12" t="n">
        <f aca="false">SUMIFS('בתי מרקחת Raw'!$E$6:$E$1616,'בתי מרקחת Raw'!$F$6:$F$1616,$A255,'בתי מרקחת Raw'!$C$6:$C$1616,2026)</f>
        <v>0</v>
      </c>
      <c r="J255" s="12" t="n">
        <f aca="false">I255*$J$5</f>
        <v>0</v>
      </c>
      <c r="K255" s="12"/>
      <c r="L255" s="22"/>
    </row>
    <row r="256" customFormat="false" ht="15" hidden="false" customHeight="true" outlineLevel="0" collapsed="false">
      <c r="A256" s="12" t="n">
        <v>4413071</v>
      </c>
      <c r="B256" s="12" t="str">
        <f aca="false">IFERROR(INDEX('בתי מרקחת Raw'!$B:$B,MATCH($A256,'בתי מרקחת Raw'!$F:$F,0)),"")</f>
        <v>41 Sמ.ברך מוצלב+ספירלות בצדדים</v>
      </c>
      <c r="C256" s="12" t="n">
        <f aca="false">SUMIFS('בתי מרקחת Raw'!$D$6:$D$1616,'בתי מרקחת Raw'!$F$6:$F$1616,$A256,'בתי מרקחת Raw'!$C$6:$C$1616,2025)</f>
        <v>1</v>
      </c>
      <c r="D256" s="12" t="n">
        <f aca="false">SUMIFS('בתי מרקחת Raw'!$D$6:$D$1616,'בתי מרקחת Raw'!$F$6:$F$1616,$A256,'בתי מרקחת Raw'!$C$6:$C$1616,2026)</f>
        <v>0</v>
      </c>
      <c r="E256" s="12" t="n">
        <f aca="false">D256*$J$5</f>
        <v>0</v>
      </c>
      <c r="F256" s="12" t="n">
        <f aca="false">E256-C256</f>
        <v>-1</v>
      </c>
      <c r="G256" s="21" t="n">
        <f aca="false">IF(AND(C256=0,E256=0),0,IF(C256=0,"New",(E256-C256)/C256))</f>
        <v>-1</v>
      </c>
      <c r="H256" s="12" t="n">
        <f aca="false">SUMIFS('בתי מרקחת Raw'!$E$6:$E$1616,'בתי מרקחת Raw'!$F$6:$F$1616,$A256,'בתי מרקחת Raw'!$C$6:$C$1616,2025)</f>
        <v>118.1</v>
      </c>
      <c r="I256" s="12" t="n">
        <f aca="false">SUMIFS('בתי מרקחת Raw'!$E$6:$E$1616,'בתי מרקחת Raw'!$F$6:$F$1616,$A256,'בתי מרקחת Raw'!$C$6:$C$1616,2026)</f>
        <v>0</v>
      </c>
      <c r="J256" s="12" t="n">
        <f aca="false">I256*$J$5</f>
        <v>0</v>
      </c>
      <c r="K256" s="12"/>
      <c r="L256" s="22"/>
    </row>
    <row r="257" customFormat="false" ht="15" hidden="false" customHeight="true" outlineLevel="0" collapsed="false">
      <c r="A257" s="12" t="n">
        <v>4413072</v>
      </c>
      <c r="B257" s="12" t="str">
        <f aca="false">IFERROR(INDEX('בתי מרקחת Raw'!$B:$B,MATCH($A257,'בתי מרקחת Raw'!$F:$F,0)),"")</f>
        <v>41 Lמ.ברך מוצלב+ספירלות בצדדים</v>
      </c>
      <c r="C257" s="12" t="n">
        <f aca="false">SUMIFS('בתי מרקחת Raw'!$D$6:$D$1616,'בתי מרקחת Raw'!$F$6:$F$1616,$A257,'בתי מרקחת Raw'!$C$6:$C$1616,2025)</f>
        <v>16</v>
      </c>
      <c r="D257" s="12" t="n">
        <f aca="false">SUMIFS('בתי מרקחת Raw'!$D$6:$D$1616,'בתי מרקחת Raw'!$F$6:$F$1616,$A257,'בתי מרקחת Raw'!$C$6:$C$1616,2026)</f>
        <v>7</v>
      </c>
      <c r="E257" s="12" t="n">
        <f aca="false">D257*$J$5</f>
        <v>8.84210526315789</v>
      </c>
      <c r="F257" s="12" t="n">
        <f aca="false">E257-C257</f>
        <v>-7.15789473684211</v>
      </c>
      <c r="G257" s="21" t="n">
        <f aca="false">IF(AND(C257=0,E257=0),0,IF(C257=0,"New",(E257-C257)/C257))</f>
        <v>-0.447368421052632</v>
      </c>
      <c r="H257" s="12" t="n">
        <f aca="false">SUMIFS('בתי מרקחת Raw'!$E$6:$E$1616,'בתי מרקחת Raw'!$F$6:$F$1616,$A257,'בתי מרקחת Raw'!$C$6:$C$1616,2025)</f>
        <v>1924.63</v>
      </c>
      <c r="I257" s="12" t="n">
        <f aca="false">SUMIFS('בתי מרקחת Raw'!$E$6:$E$1616,'בתי מרקחת Raw'!$F$6:$F$1616,$A257,'בתי מרקחת Raw'!$C$6:$C$1616,2026)</f>
        <v>834.9</v>
      </c>
      <c r="J257" s="12" t="n">
        <f aca="false">I257*$J$5</f>
        <v>1054.61052631579</v>
      </c>
      <c r="K257" s="12"/>
      <c r="L257" s="22"/>
    </row>
    <row r="258" customFormat="false" ht="15" hidden="false" customHeight="true" outlineLevel="0" collapsed="false">
      <c r="A258" s="12" t="n">
        <v>4413073</v>
      </c>
      <c r="B258" s="12" t="str">
        <f aca="false">IFERROR(INDEX('בתי מרקחת Raw'!$B:$B,MATCH($A258,'בתי מרקחת Raw'!$F:$F,0)),"")</f>
        <v>41 Mמ.ברך מוצלב+ספירלות בצדדים</v>
      </c>
      <c r="C258" s="12" t="n">
        <f aca="false">SUMIFS('בתי מרקחת Raw'!$D$6:$D$1616,'בתי מרקחת Raw'!$F$6:$F$1616,$A258,'בתי מרקחת Raw'!$C$6:$C$1616,2025)</f>
        <v>4</v>
      </c>
      <c r="D258" s="12" t="n">
        <f aca="false">SUMIFS('בתי מרקחת Raw'!$D$6:$D$1616,'בתי מרקחת Raw'!$F$6:$F$1616,$A258,'בתי מרקחת Raw'!$C$6:$C$1616,2026)</f>
        <v>7</v>
      </c>
      <c r="E258" s="12" t="n">
        <f aca="false">D258*$J$5</f>
        <v>8.84210526315789</v>
      </c>
      <c r="F258" s="12" t="n">
        <f aca="false">E258-C258</f>
        <v>4.84210526315789</v>
      </c>
      <c r="G258" s="21" t="n">
        <f aca="false">IF(AND(C258=0,E258=0),0,IF(C258=0,"New",(E258-C258)/C258))</f>
        <v>1.21052631578947</v>
      </c>
      <c r="H258" s="12" t="n">
        <f aca="false">SUMIFS('בתי מרקחת Raw'!$E$6:$E$1616,'בתי מרקחת Raw'!$F$6:$F$1616,$A258,'בתי מרקחת Raw'!$C$6:$C$1616,2025)</f>
        <v>412.1</v>
      </c>
      <c r="I258" s="12" t="n">
        <f aca="false">SUMIFS('בתי מרקחת Raw'!$E$6:$E$1616,'בתי מרקחת Raw'!$F$6:$F$1616,$A258,'בתי מרקחת Raw'!$C$6:$C$1616,2026)</f>
        <v>868.71</v>
      </c>
      <c r="J258" s="12" t="n">
        <f aca="false">I258*$J$5</f>
        <v>1097.31789473684</v>
      </c>
      <c r="K258" s="12"/>
      <c r="L258" s="22"/>
    </row>
    <row r="259" customFormat="false" ht="15" hidden="false" customHeight="true" outlineLevel="0" collapsed="false">
      <c r="A259" s="12" t="n">
        <v>4413074</v>
      </c>
      <c r="B259" s="12" t="str">
        <f aca="false">IFERROR(INDEX('בתי מרקחת Raw'!$B:$B,MATCH($A259,'בתי מרקחת Raw'!$F:$F,0)),"")</f>
        <v>41  XL.מ.ברך מוצלב+ספירלות בצד</v>
      </c>
      <c r="C259" s="12" t="n">
        <f aca="false">SUMIFS('בתי מרקחת Raw'!$D$6:$D$1616,'בתי מרקחת Raw'!$F$6:$F$1616,$A259,'בתי מרקחת Raw'!$C$6:$C$1616,2025)</f>
        <v>11</v>
      </c>
      <c r="D259" s="12" t="n">
        <f aca="false">SUMIFS('בתי מרקחת Raw'!$D$6:$D$1616,'בתי מרקחת Raw'!$F$6:$F$1616,$A259,'בתי מרקחת Raw'!$C$6:$C$1616,2026)</f>
        <v>7</v>
      </c>
      <c r="E259" s="12" t="n">
        <f aca="false">D259*$J$5</f>
        <v>8.84210526315789</v>
      </c>
      <c r="F259" s="12" t="n">
        <f aca="false">E259-C259</f>
        <v>-2.15789473684211</v>
      </c>
      <c r="G259" s="21" t="n">
        <f aca="false">IF(AND(C259=0,E259=0),0,IF(C259=0,"New",(E259-C259)/C259))</f>
        <v>-0.196172248803828</v>
      </c>
      <c r="H259" s="12" t="n">
        <f aca="false">SUMIFS('בתי מרקחת Raw'!$E$6:$E$1616,'בתי מרקחת Raw'!$F$6:$F$1616,$A259,'בתי מרקחת Raw'!$C$6:$C$1616,2025)</f>
        <v>1301.8</v>
      </c>
      <c r="I259" s="12" t="n">
        <f aca="false">SUMIFS('בתי מרקחת Raw'!$E$6:$E$1616,'בתי מרקחת Raw'!$F$6:$F$1616,$A259,'בתי מרקחת Raw'!$C$6:$C$1616,2026)</f>
        <v>775.91</v>
      </c>
      <c r="J259" s="12" t="n">
        <f aca="false">I259*$J$5</f>
        <v>980.096842105263</v>
      </c>
      <c r="K259" s="12"/>
      <c r="L259" s="22"/>
    </row>
    <row r="260" customFormat="false" ht="15" hidden="false" customHeight="true" outlineLevel="0" collapsed="false">
      <c r="A260" s="12" t="n">
        <v>4413076</v>
      </c>
      <c r="B260" s="12" t="str">
        <f aca="false">IFERROR(INDEX('בתי מרקחת Raw'!$B:$B,MATCH($A260,'בתי מרקחת Raw'!$F:$F,0)),"")</f>
        <v>41X L מגן ברך מוצלב+מוט</v>
      </c>
      <c r="C260" s="12" t="n">
        <f aca="false">SUMIFS('בתי מרקחת Raw'!$D$6:$D$1616,'בתי מרקחת Raw'!$F$6:$F$1616,$A260,'בתי מרקחת Raw'!$C$6:$C$1616,2025)</f>
        <v>9</v>
      </c>
      <c r="D260" s="12" t="n">
        <f aca="false">SUMIFS('בתי מרקחת Raw'!$D$6:$D$1616,'בתי מרקחת Raw'!$F$6:$F$1616,$A260,'בתי מרקחת Raw'!$C$6:$C$1616,2026)</f>
        <v>3</v>
      </c>
      <c r="E260" s="12" t="n">
        <f aca="false">D260*$J$5</f>
        <v>3.78947368421053</v>
      </c>
      <c r="F260" s="12" t="n">
        <f aca="false">E260-C260</f>
        <v>-5.21052631578947</v>
      </c>
      <c r="G260" s="21" t="n">
        <f aca="false">IF(AND(C260=0,E260=0),0,IF(C260=0,"New",(E260-C260)/C260))</f>
        <v>-0.578947368421053</v>
      </c>
      <c r="H260" s="12" t="n">
        <f aca="false">SUMIFS('בתי מרקחת Raw'!$E$6:$E$1616,'בתי מרקחת Raw'!$F$6:$F$1616,$A260,'בתי מרקחת Raw'!$C$6:$C$1616,2025)</f>
        <v>1213.87</v>
      </c>
      <c r="I260" s="12" t="n">
        <f aca="false">SUMIFS('בתי מרקחת Raw'!$E$6:$E$1616,'בתי מרקחת Raw'!$F$6:$F$1616,$A260,'בתי מרקחת Raw'!$C$6:$C$1616,2026)</f>
        <v>398.6</v>
      </c>
      <c r="J260" s="12" t="n">
        <f aca="false">I260*$J$5</f>
        <v>503.494736842105</v>
      </c>
      <c r="K260" s="12"/>
      <c r="L260" s="22"/>
    </row>
    <row r="261" customFormat="false" ht="15" hidden="false" customHeight="true" outlineLevel="0" collapsed="false">
      <c r="A261" s="12" t="n">
        <v>4413077</v>
      </c>
      <c r="B261" s="12" t="str">
        <f aca="false">IFERROR(INDEX('בתי מרקחת Raw'!$B:$B,MATCH($A261,'בתי מרקחת Raw'!$F:$F,0)),"")</f>
        <v>41X M מגן ברך מוצלב+מוט</v>
      </c>
      <c r="C261" s="12" t="n">
        <f aca="false">SUMIFS('בתי מרקחת Raw'!$D$6:$D$1616,'בתי מרקחת Raw'!$F$6:$F$1616,$A261,'בתי מרקחת Raw'!$C$6:$C$1616,2025)</f>
        <v>0</v>
      </c>
      <c r="D261" s="12" t="n">
        <f aca="false">SUMIFS('בתי מרקחת Raw'!$D$6:$D$1616,'בתי מרקחת Raw'!$F$6:$F$1616,$A261,'בתי מרקחת Raw'!$C$6:$C$1616,2026)</f>
        <v>1</v>
      </c>
      <c r="E261" s="12" t="n">
        <f aca="false">D261*$J$5</f>
        <v>1.26315789473684</v>
      </c>
      <c r="F261" s="12" t="n">
        <f aca="false">E261-C261</f>
        <v>1.26315789473684</v>
      </c>
      <c r="G261" s="21" t="str">
        <f aca="false">IF(AND(C261=0,E261=0),0,IF(C261=0,"New",(E261-C261)/C261))</f>
        <v>New</v>
      </c>
      <c r="H261" s="12" t="n">
        <f aca="false">SUMIFS('בתי מרקחת Raw'!$E$6:$E$1616,'בתי מרקחת Raw'!$F$6:$F$1616,$A261,'בתי מרקחת Raw'!$C$6:$C$1616,2025)</f>
        <v>0</v>
      </c>
      <c r="I261" s="12" t="n">
        <f aca="false">SUMIFS('בתי מרקחת Raw'!$E$6:$E$1616,'בתי מרקחת Raw'!$F$6:$F$1616,$A261,'בתי מרקחת Raw'!$C$6:$C$1616,2026)</f>
        <v>135.9</v>
      </c>
      <c r="J261" s="12" t="n">
        <f aca="false">I261*$J$5</f>
        <v>171.663157894737</v>
      </c>
      <c r="K261" s="12"/>
      <c r="L261" s="22"/>
    </row>
    <row r="262" customFormat="false" ht="15" hidden="false" customHeight="true" outlineLevel="0" collapsed="false">
      <c r="A262" s="12" t="n">
        <v>4413079</v>
      </c>
      <c r="B262" s="12" t="str">
        <f aca="false">IFERROR(INDEX('בתי מרקחת Raw'!$B:$B,MATCH($A262,'בתי מרקחת Raw'!$F:$F,0)),"")</f>
        <v>41X XL מגן ברך מוצלב+מוט</v>
      </c>
      <c r="C262" s="12" t="n">
        <f aca="false">SUMIFS('בתי מרקחת Raw'!$D$6:$D$1616,'בתי מרקחת Raw'!$F$6:$F$1616,$A262,'בתי מרקחת Raw'!$C$6:$C$1616,2025)</f>
        <v>1</v>
      </c>
      <c r="D262" s="12" t="n">
        <f aca="false">SUMIFS('בתי מרקחת Raw'!$D$6:$D$1616,'בתי מרקחת Raw'!$F$6:$F$1616,$A262,'בתי מרקחת Raw'!$C$6:$C$1616,2026)</f>
        <v>2</v>
      </c>
      <c r="E262" s="12" t="n">
        <f aca="false">D262*$J$5</f>
        <v>2.52631578947368</v>
      </c>
      <c r="F262" s="12" t="n">
        <f aca="false">E262-C262</f>
        <v>1.52631578947368</v>
      </c>
      <c r="G262" s="21" t="n">
        <f aca="false">IF(AND(C262=0,E262=0),0,IF(C262=0,"New",(E262-C262)/C262))</f>
        <v>1.52631578947368</v>
      </c>
      <c r="H262" s="12" t="n">
        <f aca="false">SUMIFS('בתי מרקחת Raw'!$E$6:$E$1616,'בתי מרקחת Raw'!$F$6:$F$1616,$A262,'בתי מרקחת Raw'!$C$6:$C$1616,2025)</f>
        <v>135.9</v>
      </c>
      <c r="I262" s="12" t="n">
        <f aca="false">SUMIFS('בתי מרקחת Raw'!$E$6:$E$1616,'בתי מרקחת Raw'!$F$6:$F$1616,$A262,'בתי מרקחת Raw'!$C$6:$C$1616,2026)</f>
        <v>262.7</v>
      </c>
      <c r="J262" s="12" t="n">
        <f aca="false">I262*$J$5</f>
        <v>331.831578947368</v>
      </c>
      <c r="K262" s="12"/>
      <c r="L262" s="22"/>
    </row>
    <row r="263" customFormat="false" ht="15" hidden="false" customHeight="true" outlineLevel="0" collapsed="false">
      <c r="A263" s="12" t="n">
        <v>4413087</v>
      </c>
      <c r="B263" s="12" t="str">
        <f aca="false">IFERROR(INDEX('בתי מרקחת Raw'!$B:$B,MATCH($A263,'בתי מרקחת Raw'!$F:$F,0)),"")</f>
        <v>422 Lמ.ברך+כרית סיל.סביב לפיקה</v>
      </c>
      <c r="C263" s="12" t="n">
        <f aca="false">SUMIFS('בתי מרקחת Raw'!$D$6:$D$1616,'בתי מרקחת Raw'!$F$6:$F$1616,$A263,'בתי מרקחת Raw'!$C$6:$C$1616,2025)</f>
        <v>5</v>
      </c>
      <c r="D263" s="12" t="n">
        <f aca="false">SUMIFS('בתי מרקחת Raw'!$D$6:$D$1616,'בתי מרקחת Raw'!$F$6:$F$1616,$A263,'בתי מרקחת Raw'!$C$6:$C$1616,2026)</f>
        <v>0</v>
      </c>
      <c r="E263" s="12" t="n">
        <f aca="false">D263*$J$5</f>
        <v>0</v>
      </c>
      <c r="F263" s="12" t="n">
        <f aca="false">E263-C263</f>
        <v>-5</v>
      </c>
      <c r="G263" s="21" t="n">
        <f aca="false">IF(AND(C263=0,E263=0),0,IF(C263=0,"New",(E263-C263)/C263))</f>
        <v>-1</v>
      </c>
      <c r="H263" s="12" t="n">
        <f aca="false">SUMIFS('בתי מרקחת Raw'!$E$6:$E$1616,'בתי מרקחת Raw'!$F$6:$F$1616,$A263,'בתי מרקחת Raw'!$C$6:$C$1616,2025)</f>
        <v>899.5</v>
      </c>
      <c r="I263" s="12" t="n">
        <f aca="false">SUMIFS('בתי מרקחת Raw'!$E$6:$E$1616,'בתי מרקחת Raw'!$F$6:$F$1616,$A263,'בתי מרקחת Raw'!$C$6:$C$1616,2026)</f>
        <v>0</v>
      </c>
      <c r="J263" s="12" t="n">
        <f aca="false">I263*$J$5</f>
        <v>0</v>
      </c>
      <c r="K263" s="12"/>
      <c r="L263" s="22"/>
    </row>
    <row r="264" customFormat="false" ht="15" hidden="false" customHeight="true" outlineLevel="0" collapsed="false">
      <c r="A264" s="12" t="n">
        <v>4413088</v>
      </c>
      <c r="B264" s="12" t="str">
        <f aca="false">IFERROR(INDEX('בתי מרקחת Raw'!$B:$B,MATCH($A264,'בתי מרקחת Raw'!$F:$F,0)),"")</f>
        <v>422 Mמ.ברך+כרית סיל.סביב לפיקה</v>
      </c>
      <c r="C264" s="12" t="n">
        <f aca="false">SUMIFS('בתי מרקחת Raw'!$D$6:$D$1616,'בתי מרקחת Raw'!$F$6:$F$1616,$A264,'בתי מרקחת Raw'!$C$6:$C$1616,2025)</f>
        <v>2</v>
      </c>
      <c r="D264" s="12" t="n">
        <f aca="false">SUMIFS('בתי מרקחת Raw'!$D$6:$D$1616,'בתי מרקחת Raw'!$F$6:$F$1616,$A264,'בתי מרקחת Raw'!$C$6:$C$1616,2026)</f>
        <v>0</v>
      </c>
      <c r="E264" s="12" t="n">
        <f aca="false">D264*$J$5</f>
        <v>0</v>
      </c>
      <c r="F264" s="12" t="n">
        <f aca="false">E264-C264</f>
        <v>-2</v>
      </c>
      <c r="G264" s="21" t="n">
        <f aca="false">IF(AND(C264=0,E264=0),0,IF(C264=0,"New",(E264-C264)/C264))</f>
        <v>-1</v>
      </c>
      <c r="H264" s="12" t="n">
        <f aca="false">SUMIFS('בתי מרקחת Raw'!$E$6:$E$1616,'בתי מרקחת Raw'!$F$6:$F$1616,$A264,'בתי מרקחת Raw'!$C$6:$C$1616,2025)</f>
        <v>349.7</v>
      </c>
      <c r="I264" s="12" t="n">
        <f aca="false">SUMIFS('בתי מרקחת Raw'!$E$6:$E$1616,'בתי מרקחת Raw'!$F$6:$F$1616,$A264,'בתי מרקחת Raw'!$C$6:$C$1616,2026)</f>
        <v>0</v>
      </c>
      <c r="J264" s="12" t="n">
        <f aca="false">I264*$J$5</f>
        <v>0</v>
      </c>
      <c r="K264" s="12"/>
      <c r="L264" s="22"/>
    </row>
    <row r="265" customFormat="false" ht="15" hidden="false" customHeight="true" outlineLevel="0" collapsed="false">
      <c r="A265" s="12" t="n">
        <v>4413089</v>
      </c>
      <c r="B265" s="12" t="str">
        <f aca="false">IFERROR(INDEX('בתי מרקחת Raw'!$B:$B,MATCH($A265,'בתי מרקחת Raw'!$F:$F,0)),"")</f>
        <v>422 Sמ.ברך+כרית סיל.סביב לפיקה</v>
      </c>
      <c r="C265" s="12" t="n">
        <f aca="false">SUMIFS('בתי מרקחת Raw'!$D$6:$D$1616,'בתי מרקחת Raw'!$F$6:$F$1616,$A265,'בתי מרקחת Raw'!$C$6:$C$1616,2025)</f>
        <v>0</v>
      </c>
      <c r="D265" s="12" t="n">
        <f aca="false">SUMIFS('בתי מרקחת Raw'!$D$6:$D$1616,'בתי מרקחת Raw'!$F$6:$F$1616,$A265,'בתי מרקחת Raw'!$C$6:$C$1616,2026)</f>
        <v>2</v>
      </c>
      <c r="E265" s="12" t="n">
        <f aca="false">D265*$J$5</f>
        <v>2.52631578947368</v>
      </c>
      <c r="F265" s="12" t="n">
        <f aca="false">E265-C265</f>
        <v>2.52631578947368</v>
      </c>
      <c r="G265" s="21" t="str">
        <f aca="false">IF(AND(C265=0,E265=0),0,IF(C265=0,"New",(E265-C265)/C265))</f>
        <v>New</v>
      </c>
      <c r="H265" s="12" t="n">
        <f aca="false">SUMIFS('בתי מרקחת Raw'!$E$6:$E$1616,'בתי מרקחת Raw'!$F$6:$F$1616,$A265,'בתי מרקחת Raw'!$C$6:$C$1616,2025)</f>
        <v>0</v>
      </c>
      <c r="I265" s="12" t="n">
        <f aca="false">SUMIFS('בתי מרקחת Raw'!$E$6:$E$1616,'בתי מרקחת Raw'!$F$6:$F$1616,$A265,'בתי מרקחת Raw'!$C$6:$C$1616,2026)</f>
        <v>349.9</v>
      </c>
      <c r="J265" s="12" t="n">
        <f aca="false">I265*$J$5</f>
        <v>441.978947368421</v>
      </c>
      <c r="K265" s="12"/>
      <c r="L265" s="22"/>
    </row>
    <row r="266" customFormat="false" ht="15" hidden="false" customHeight="true" outlineLevel="0" collapsed="false">
      <c r="A266" s="12" t="n">
        <v>4413090</v>
      </c>
      <c r="B266" s="12" t="str">
        <f aca="false">IFERROR(INDEX('בתי מרקחת Raw'!$B:$B,MATCH($A266,'בתי מרקחת Raw'!$F:$F,0)),"")</f>
        <v>422 XLמ.ברך+כרית סיל.סביב לפיק</v>
      </c>
      <c r="C266" s="12" t="n">
        <f aca="false">SUMIFS('בתי מרקחת Raw'!$D$6:$D$1616,'בתי מרקחת Raw'!$F$6:$F$1616,$A266,'בתי מרקחת Raw'!$C$6:$C$1616,2025)</f>
        <v>8</v>
      </c>
      <c r="D266" s="12" t="n">
        <f aca="false">SUMIFS('בתי מרקחת Raw'!$D$6:$D$1616,'בתי מרקחת Raw'!$F$6:$F$1616,$A266,'בתי מרקחת Raw'!$C$6:$C$1616,2026)</f>
        <v>0</v>
      </c>
      <c r="E266" s="12" t="n">
        <f aca="false">D266*$J$5</f>
        <v>0</v>
      </c>
      <c r="F266" s="12" t="n">
        <f aca="false">E266-C266</f>
        <v>-8</v>
      </c>
      <c r="G266" s="21" t="n">
        <f aca="false">IF(AND(C266=0,E266=0),0,IF(C266=0,"New",(E266-C266)/C266))</f>
        <v>-1</v>
      </c>
      <c r="H266" s="12" t="n">
        <f aca="false">SUMIFS('בתי מרקחת Raw'!$E$6:$E$1616,'בתי מרקחת Raw'!$F$6:$F$1616,$A266,'בתי מרקחת Raw'!$C$6:$C$1616,2025)</f>
        <v>1449.2</v>
      </c>
      <c r="I266" s="12" t="n">
        <f aca="false">SUMIFS('בתי מרקחת Raw'!$E$6:$E$1616,'בתי מרקחת Raw'!$F$6:$F$1616,$A266,'בתי מרקחת Raw'!$C$6:$C$1616,2026)</f>
        <v>0</v>
      </c>
      <c r="J266" s="12" t="n">
        <f aca="false">I266*$J$5</f>
        <v>0</v>
      </c>
      <c r="K266" s="12"/>
      <c r="L266" s="22"/>
    </row>
    <row r="267" customFormat="false" ht="15" hidden="false" customHeight="true" outlineLevel="0" collapsed="false">
      <c r="A267" s="12" t="n">
        <v>4413091</v>
      </c>
      <c r="B267" s="12" t="str">
        <f aca="false">IFERROR(INDEX('בתי מרקחת Raw'!$B:$B,MATCH($A267,'בתי מרקחת Raw'!$F:$F,0)),"")</f>
        <v>422 XXLמ.ברך+כרית סיל.סב. פיקה</v>
      </c>
      <c r="C267" s="12" t="n">
        <f aca="false">SUMIFS('בתי מרקחת Raw'!$D$6:$D$1616,'בתי מרקחת Raw'!$F$6:$F$1616,$A267,'בתי מרקחת Raw'!$C$6:$C$1616,2025)</f>
        <v>2</v>
      </c>
      <c r="D267" s="12" t="n">
        <f aca="false">SUMIFS('בתי מרקחת Raw'!$D$6:$D$1616,'בתי מרקחת Raw'!$F$6:$F$1616,$A267,'בתי מרקחת Raw'!$C$6:$C$1616,2026)</f>
        <v>0</v>
      </c>
      <c r="E267" s="12" t="n">
        <f aca="false">D267*$J$5</f>
        <v>0</v>
      </c>
      <c r="F267" s="12" t="n">
        <f aca="false">E267-C267</f>
        <v>-2</v>
      </c>
      <c r="G267" s="21" t="n">
        <f aca="false">IF(AND(C267=0,E267=0),0,IF(C267=0,"New",(E267-C267)/C267))</f>
        <v>-1</v>
      </c>
      <c r="H267" s="12" t="n">
        <f aca="false">SUMIFS('בתי מרקחת Raw'!$E$6:$E$1616,'בתי מרקחת Raw'!$F$6:$F$1616,$A267,'בתי מרקחת Raw'!$C$6:$C$1616,2025)</f>
        <v>374.9</v>
      </c>
      <c r="I267" s="12" t="n">
        <f aca="false">SUMIFS('בתי מרקחת Raw'!$E$6:$E$1616,'בתי מרקחת Raw'!$F$6:$F$1616,$A267,'בתי מרקחת Raw'!$C$6:$C$1616,2026)</f>
        <v>0</v>
      </c>
      <c r="J267" s="12" t="n">
        <f aca="false">I267*$J$5</f>
        <v>0</v>
      </c>
      <c r="K267" s="12"/>
      <c r="L267" s="22"/>
    </row>
    <row r="268" customFormat="false" ht="15" hidden="false" customHeight="true" outlineLevel="0" collapsed="false">
      <c r="A268" s="12" t="n">
        <v>4413092</v>
      </c>
      <c r="B268" s="12" t="str">
        <f aca="false">IFERROR(INDEX('בתי מרקחת Raw'!$B:$B,MATCH($A268,'בתי מרקחת Raw'!$F:$F,0)),"")</f>
        <v>45 L מגן ברך לבן</v>
      </c>
      <c r="C268" s="12" t="n">
        <f aca="false">SUMIFS('בתי מרקחת Raw'!$D$6:$D$1616,'בתי מרקחת Raw'!$F$6:$F$1616,$A268,'בתי מרקחת Raw'!$C$6:$C$1616,2025)</f>
        <v>336</v>
      </c>
      <c r="D268" s="12" t="n">
        <f aca="false">SUMIFS('בתי מרקחת Raw'!$D$6:$D$1616,'בתי מרקחת Raw'!$F$6:$F$1616,$A268,'בתי מרקחת Raw'!$C$6:$C$1616,2026)</f>
        <v>248</v>
      </c>
      <c r="E268" s="12" t="n">
        <f aca="false">D268*$J$5</f>
        <v>313.263157894737</v>
      </c>
      <c r="F268" s="12" t="n">
        <f aca="false">E268-C268</f>
        <v>-22.7368421052632</v>
      </c>
      <c r="G268" s="21" t="n">
        <f aca="false">IF(AND(C268=0,E268=0),0,IF(C268=0,"New",(E268-C268)/C268))</f>
        <v>-0.0676691729323309</v>
      </c>
      <c r="H268" s="12" t="n">
        <f aca="false">SUMIFS('בתי מרקחת Raw'!$E$6:$E$1616,'בתי מרקחת Raw'!$F$6:$F$1616,$A268,'בתי מרקחת Raw'!$C$6:$C$1616,2025)</f>
        <v>10024.49</v>
      </c>
      <c r="I268" s="12" t="n">
        <f aca="false">SUMIFS('בתי מרקחת Raw'!$E$6:$E$1616,'בתי מרקחת Raw'!$F$6:$F$1616,$A268,'בתי מרקחת Raw'!$C$6:$C$1616,2026)</f>
        <v>7417.33</v>
      </c>
      <c r="J268" s="12" t="n">
        <f aca="false">I268*$J$5</f>
        <v>9369.25894736842</v>
      </c>
      <c r="K268" s="12"/>
      <c r="L268" s="22"/>
    </row>
    <row r="269" customFormat="false" ht="15" hidden="false" customHeight="true" outlineLevel="0" collapsed="false">
      <c r="A269" s="12" t="n">
        <v>4413093</v>
      </c>
      <c r="B269" s="12" t="str">
        <f aca="false">IFERROR(INDEX('בתי מרקחת Raw'!$B:$B,MATCH($A269,'בתי מרקחת Raw'!$F:$F,0)),"")</f>
        <v>45 M מגן ברך לבן</v>
      </c>
      <c r="C269" s="12" t="n">
        <f aca="false">SUMIFS('בתי מרקחת Raw'!$D$6:$D$1616,'בתי מרקחת Raw'!$F$6:$F$1616,$A269,'בתי מרקחת Raw'!$C$6:$C$1616,2025)</f>
        <v>297</v>
      </c>
      <c r="D269" s="12" t="n">
        <f aca="false">SUMIFS('בתי מרקחת Raw'!$D$6:$D$1616,'בתי מרקחת Raw'!$F$6:$F$1616,$A269,'בתי מרקחת Raw'!$C$6:$C$1616,2026)</f>
        <v>190</v>
      </c>
      <c r="E269" s="12" t="n">
        <f aca="false">D269*$J$5</f>
        <v>240</v>
      </c>
      <c r="F269" s="12" t="n">
        <f aca="false">E269-C269</f>
        <v>-57</v>
      </c>
      <c r="G269" s="21" t="n">
        <f aca="false">IF(AND(C269=0,E269=0),0,IF(C269=0,"New",(E269-C269)/C269))</f>
        <v>-0.191919191919192</v>
      </c>
      <c r="H269" s="12" t="n">
        <f aca="false">SUMIFS('בתי מרקחת Raw'!$E$6:$E$1616,'בתי מרקחת Raw'!$F$6:$F$1616,$A269,'בתי מרקחת Raw'!$C$6:$C$1616,2025)</f>
        <v>8806.25</v>
      </c>
      <c r="I269" s="12" t="n">
        <f aca="false">SUMIFS('בתי מרקחת Raw'!$E$6:$E$1616,'בתי מרקחת Raw'!$F$6:$F$1616,$A269,'בתי מרקחת Raw'!$C$6:$C$1616,2026)</f>
        <v>5667.55</v>
      </c>
      <c r="J269" s="12" t="n">
        <f aca="false">I269*$J$5</f>
        <v>7159.01052631579</v>
      </c>
      <c r="K269" s="12"/>
      <c r="L269" s="22"/>
    </row>
    <row r="270" customFormat="false" ht="15" hidden="false" customHeight="true" outlineLevel="0" collapsed="false">
      <c r="A270" s="12" t="n">
        <v>4413094</v>
      </c>
      <c r="B270" s="12" t="str">
        <f aca="false">IFERROR(INDEX('בתי מרקחת Raw'!$B:$B,MATCH($A270,'בתי מרקחת Raw'!$F:$F,0)),"")</f>
        <v>45 S מגן ברך לבן</v>
      </c>
      <c r="C270" s="12" t="n">
        <f aca="false">SUMIFS('בתי מרקחת Raw'!$D$6:$D$1616,'בתי מרקחת Raw'!$F$6:$F$1616,$A270,'בתי מרקחת Raw'!$C$6:$C$1616,2025)</f>
        <v>123</v>
      </c>
      <c r="D270" s="12" t="n">
        <f aca="false">SUMIFS('בתי מרקחת Raw'!$D$6:$D$1616,'בתי מרקחת Raw'!$F$6:$F$1616,$A270,'בתי מרקחת Raw'!$C$6:$C$1616,2026)</f>
        <v>73</v>
      </c>
      <c r="E270" s="12" t="n">
        <f aca="false">D270*$J$5</f>
        <v>92.2105263157895</v>
      </c>
      <c r="F270" s="12" t="n">
        <f aca="false">E270-C270</f>
        <v>-30.7894736842105</v>
      </c>
      <c r="G270" s="21" t="n">
        <f aca="false">IF(AND(C270=0,E270=0),0,IF(C270=0,"New",(E270-C270)/C270))</f>
        <v>-0.250320924261874</v>
      </c>
      <c r="H270" s="12" t="n">
        <f aca="false">SUMIFS('בתי מרקחת Raw'!$E$6:$E$1616,'בתי מרקחת Raw'!$F$6:$F$1616,$A270,'בתי מרקחת Raw'!$C$6:$C$1616,2025)</f>
        <v>3624.62</v>
      </c>
      <c r="I270" s="12" t="n">
        <f aca="false">SUMIFS('בתי מרקחת Raw'!$E$6:$E$1616,'בתי מרקחת Raw'!$F$6:$F$1616,$A270,'בתי מרקחת Raw'!$C$6:$C$1616,2026)</f>
        <v>2184.99</v>
      </c>
      <c r="J270" s="12" t="n">
        <f aca="false">I270*$J$5</f>
        <v>2759.98736842105</v>
      </c>
      <c r="K270" s="12"/>
      <c r="L270" s="22"/>
    </row>
    <row r="271" customFormat="false" ht="15" hidden="false" customHeight="true" outlineLevel="0" collapsed="false">
      <c r="A271" s="12" t="n">
        <v>4413095</v>
      </c>
      <c r="B271" s="12" t="str">
        <f aca="false">IFERROR(INDEX('בתי מרקחת Raw'!$B:$B,MATCH($A271,'בתי מרקחת Raw'!$F:$F,0)),"")</f>
        <v>45 XL מגן ברך לבן</v>
      </c>
      <c r="C271" s="12" t="n">
        <f aca="false">SUMIFS('בתי מרקחת Raw'!$D$6:$D$1616,'בתי מרקחת Raw'!$F$6:$F$1616,$A271,'בתי מרקחת Raw'!$C$6:$C$1616,2025)</f>
        <v>246</v>
      </c>
      <c r="D271" s="12" t="n">
        <f aca="false">SUMIFS('בתי מרקחת Raw'!$D$6:$D$1616,'בתי מרקחת Raw'!$F$6:$F$1616,$A271,'בתי מרקחת Raw'!$C$6:$C$1616,2026)</f>
        <v>175</v>
      </c>
      <c r="E271" s="12" t="n">
        <f aca="false">D271*$J$5</f>
        <v>221.052631578947</v>
      </c>
      <c r="F271" s="12" t="n">
        <f aca="false">E271-C271</f>
        <v>-24.9473684210526</v>
      </c>
      <c r="G271" s="21" t="n">
        <f aca="false">IF(AND(C271=0,E271=0),0,IF(C271=0,"New",(E271-C271)/C271))</f>
        <v>-0.101412066752246</v>
      </c>
      <c r="H271" s="12" t="n">
        <f aca="false">SUMIFS('בתי מרקחת Raw'!$E$6:$E$1616,'בתי מרקחת Raw'!$F$6:$F$1616,$A271,'בתי מרקחת Raw'!$C$6:$C$1616,2025)</f>
        <v>7329</v>
      </c>
      <c r="I271" s="12" t="n">
        <f aca="false">SUMIFS('בתי מרקחת Raw'!$E$6:$E$1616,'בתי מרקחת Raw'!$F$6:$F$1616,$A271,'בתי מרקחת Raw'!$C$6:$C$1616,2026)</f>
        <v>5226.18</v>
      </c>
      <c r="J271" s="12" t="n">
        <f aca="false">I271*$J$5</f>
        <v>6601.49052631579</v>
      </c>
      <c r="K271" s="12"/>
      <c r="L271" s="22"/>
    </row>
    <row r="272" customFormat="false" ht="15" hidden="false" customHeight="true" outlineLevel="0" collapsed="false">
      <c r="A272" s="12" t="n">
        <v>4413096</v>
      </c>
      <c r="B272" s="12" t="str">
        <f aca="false">IFERROR(INDEX('בתי מרקחת Raw'!$B:$B,MATCH($A272,'בתי מרקחת Raw'!$F:$F,0)),"")</f>
        <v>45 XXL מגן ברך לבן</v>
      </c>
      <c r="C272" s="12" t="n">
        <f aca="false">SUMIFS('בתי מרקחת Raw'!$D$6:$D$1616,'בתי מרקחת Raw'!$F$6:$F$1616,$A272,'בתי מרקחת Raw'!$C$6:$C$1616,2025)</f>
        <v>124</v>
      </c>
      <c r="D272" s="12" t="n">
        <f aca="false">SUMIFS('בתי מרקחת Raw'!$D$6:$D$1616,'בתי מרקחת Raw'!$F$6:$F$1616,$A272,'בתי מרקחת Raw'!$C$6:$C$1616,2026)</f>
        <v>83</v>
      </c>
      <c r="E272" s="12" t="n">
        <f aca="false">D272*$J$5</f>
        <v>104.842105263158</v>
      </c>
      <c r="F272" s="12" t="n">
        <f aca="false">E272-C272</f>
        <v>-19.1578947368421</v>
      </c>
      <c r="G272" s="21" t="n">
        <f aca="false">IF(AND(C272=0,E272=0),0,IF(C272=0,"New",(E272-C272)/C272))</f>
        <v>-0.154499151103565</v>
      </c>
      <c r="H272" s="12" t="n">
        <f aca="false">SUMIFS('בתי מרקחת Raw'!$E$6:$E$1616,'בתי מרקחת Raw'!$F$6:$F$1616,$A272,'בתי מרקחת Raw'!$C$6:$C$1616,2025)</f>
        <v>3725.77</v>
      </c>
      <c r="I272" s="12" t="n">
        <f aca="false">SUMIFS('בתי מרקחת Raw'!$E$6:$E$1616,'בתי מרקחת Raw'!$F$6:$F$1616,$A272,'בתי מרקחת Raw'!$C$6:$C$1616,2026)</f>
        <v>2477.39</v>
      </c>
      <c r="J272" s="12" t="n">
        <f aca="false">I272*$J$5</f>
        <v>3129.33473684211</v>
      </c>
      <c r="K272" s="12"/>
      <c r="L272" s="22"/>
    </row>
    <row r="273" customFormat="false" ht="15" hidden="false" customHeight="true" outlineLevel="0" collapsed="false">
      <c r="A273" s="12" t="n">
        <v>4413097</v>
      </c>
      <c r="B273" s="12" t="str">
        <f aca="false">IFERROR(INDEX('בתי מרקחת Raw'!$B:$B,MATCH($A273,'בתי מרקחת Raw'!$F:$F,0)),"")</f>
        <v>45C S מגן ברך חום</v>
      </c>
      <c r="C273" s="12" t="n">
        <f aca="false">SUMIFS('בתי מרקחת Raw'!$D$6:$D$1616,'בתי מרקחת Raw'!$F$6:$F$1616,$A273,'בתי מרקחת Raw'!$C$6:$C$1616,2025)</f>
        <v>163</v>
      </c>
      <c r="D273" s="12" t="n">
        <f aca="false">SUMIFS('בתי מרקחת Raw'!$D$6:$D$1616,'בתי מרקחת Raw'!$F$6:$F$1616,$A273,'בתי מרקחת Raw'!$C$6:$C$1616,2026)</f>
        <v>107</v>
      </c>
      <c r="E273" s="12" t="n">
        <f aca="false">D273*$J$5</f>
        <v>135.157894736842</v>
      </c>
      <c r="F273" s="12" t="n">
        <f aca="false">E273-C273</f>
        <v>-27.8421052631579</v>
      </c>
      <c r="G273" s="21" t="n">
        <f aca="false">IF(AND(C273=0,E273=0),0,IF(C273=0,"New",(E273-C273)/C273))</f>
        <v>-0.170810461737165</v>
      </c>
      <c r="H273" s="12" t="n">
        <f aca="false">SUMIFS('בתי מרקחת Raw'!$E$6:$E$1616,'בתי מרקחת Raw'!$F$6:$F$1616,$A273,'בתי מרקחת Raw'!$C$6:$C$1616,2025)</f>
        <v>4891.65</v>
      </c>
      <c r="I273" s="12" t="n">
        <f aca="false">SUMIFS('בתי מרקחת Raw'!$E$6:$E$1616,'בתי מרקחת Raw'!$F$6:$F$1616,$A273,'בתי מרקחת Raw'!$C$6:$C$1616,2026)</f>
        <v>3242.16</v>
      </c>
      <c r="J273" s="12" t="n">
        <f aca="false">I273*$J$5</f>
        <v>4095.36</v>
      </c>
      <c r="K273" s="12"/>
      <c r="L273" s="22"/>
    </row>
    <row r="274" customFormat="false" ht="15" hidden="false" customHeight="true" outlineLevel="0" collapsed="false">
      <c r="A274" s="12" t="n">
        <v>4413098</v>
      </c>
      <c r="B274" s="12" t="str">
        <f aca="false">IFERROR(INDEX('בתי מרקחת Raw'!$B:$B,MATCH($A274,'בתי מרקחת Raw'!$F:$F,0)),"")</f>
        <v>45C L מגן ברך חום</v>
      </c>
      <c r="C274" s="12" t="n">
        <f aca="false">SUMIFS('בתי מרקחת Raw'!$D$6:$D$1616,'בתי מרקחת Raw'!$F$6:$F$1616,$A274,'בתי מרקחת Raw'!$C$6:$C$1616,2025)</f>
        <v>480</v>
      </c>
      <c r="D274" s="12" t="n">
        <f aca="false">SUMIFS('בתי מרקחת Raw'!$D$6:$D$1616,'בתי מרקחת Raw'!$F$6:$F$1616,$A274,'בתי מרקחת Raw'!$C$6:$C$1616,2026)</f>
        <v>294</v>
      </c>
      <c r="E274" s="12" t="n">
        <f aca="false">D274*$J$5</f>
        <v>371.368421052632</v>
      </c>
      <c r="F274" s="12" t="n">
        <f aca="false">E274-C274</f>
        <v>-108.631578947368</v>
      </c>
      <c r="G274" s="21" t="n">
        <f aca="false">IF(AND(C274=0,E274=0),0,IF(C274=0,"New",(E274-C274)/C274))</f>
        <v>-0.226315789473684</v>
      </c>
      <c r="H274" s="12" t="n">
        <f aca="false">SUMIFS('בתי מרקחת Raw'!$E$6:$E$1616,'בתי מרקחת Raw'!$F$6:$F$1616,$A274,'בתי מרקחת Raw'!$C$6:$C$1616,2025)</f>
        <v>14425.78</v>
      </c>
      <c r="I274" s="12" t="n">
        <f aca="false">SUMIFS('בתי מרקחת Raw'!$E$6:$E$1616,'בתי מרקחת Raw'!$F$6:$F$1616,$A274,'בתי מרקחת Raw'!$C$6:$C$1616,2026)</f>
        <v>8867.11</v>
      </c>
      <c r="J274" s="12" t="n">
        <f aca="false">I274*$J$5</f>
        <v>11200.56</v>
      </c>
      <c r="K274" s="12"/>
      <c r="L274" s="22"/>
    </row>
    <row r="275" customFormat="false" ht="15" hidden="false" customHeight="true" outlineLevel="0" collapsed="false">
      <c r="A275" s="12" t="n">
        <v>4413099</v>
      </c>
      <c r="B275" s="12" t="str">
        <f aca="false">IFERROR(INDEX('בתי מרקחת Raw'!$B:$B,MATCH($A275,'בתי מרקחת Raw'!$F:$F,0)),"")</f>
        <v>45C M מגן ברך חום</v>
      </c>
      <c r="C275" s="12" t="n">
        <f aca="false">SUMIFS('בתי מרקחת Raw'!$D$6:$D$1616,'בתי מרקחת Raw'!$F$6:$F$1616,$A275,'בתי מרקחת Raw'!$C$6:$C$1616,2025)</f>
        <v>374</v>
      </c>
      <c r="D275" s="12" t="n">
        <f aca="false">SUMIFS('בתי מרקחת Raw'!$D$6:$D$1616,'בתי מרקחת Raw'!$F$6:$F$1616,$A275,'בתי מרקחת Raw'!$C$6:$C$1616,2026)</f>
        <v>249</v>
      </c>
      <c r="E275" s="12" t="n">
        <f aca="false">D275*$J$5</f>
        <v>314.526315789474</v>
      </c>
      <c r="F275" s="12" t="n">
        <f aca="false">E275-C275</f>
        <v>-59.4736842105264</v>
      </c>
      <c r="G275" s="21" t="n">
        <f aca="false">IF(AND(C275=0,E275=0),0,IF(C275=0,"New",(E275-C275)/C275))</f>
        <v>-0.15902054601745</v>
      </c>
      <c r="H275" s="12" t="n">
        <f aca="false">SUMIFS('בתי מרקחת Raw'!$E$6:$E$1616,'בתי מרקחת Raw'!$F$6:$F$1616,$A275,'בתי מרקחת Raw'!$C$6:$C$1616,2025)</f>
        <v>11238.57</v>
      </c>
      <c r="I275" s="12" t="n">
        <f aca="false">SUMIFS('בתי מרקחת Raw'!$E$6:$E$1616,'בתי מרקחת Raw'!$F$6:$F$1616,$A275,'בתי מרקחת Raw'!$C$6:$C$1616,2026)</f>
        <v>7514.93</v>
      </c>
      <c r="J275" s="12" t="n">
        <f aca="false">I275*$J$5</f>
        <v>9492.54315789474</v>
      </c>
      <c r="K275" s="12"/>
      <c r="L275" s="22"/>
    </row>
    <row r="276" customFormat="false" ht="15" hidden="false" customHeight="true" outlineLevel="0" collapsed="false">
      <c r="A276" s="12" t="n">
        <v>4413100</v>
      </c>
      <c r="B276" s="12" t="str">
        <f aca="false">IFERROR(INDEX('בתי מרקחת Raw'!$B:$B,MATCH($A276,'בתי מרקחת Raw'!$F:$F,0)),"")</f>
        <v>45C XL מגן ברך חום</v>
      </c>
      <c r="C276" s="12" t="n">
        <f aca="false">SUMIFS('בתי מרקחת Raw'!$D$6:$D$1616,'בתי מרקחת Raw'!$F$6:$F$1616,$A276,'בתי מרקחת Raw'!$C$6:$C$1616,2025)</f>
        <v>332</v>
      </c>
      <c r="D276" s="12" t="n">
        <f aca="false">SUMIFS('בתי מרקחת Raw'!$D$6:$D$1616,'בתי מרקחת Raw'!$F$6:$F$1616,$A276,'בתי מרקחת Raw'!$C$6:$C$1616,2026)</f>
        <v>267</v>
      </c>
      <c r="E276" s="12" t="n">
        <f aca="false">D276*$J$5</f>
        <v>337.263157894737</v>
      </c>
      <c r="F276" s="12" t="n">
        <f aca="false">E276-C276</f>
        <v>5.26315789473682</v>
      </c>
      <c r="G276" s="21" t="n">
        <f aca="false">IF(AND(C276=0,E276=0),0,IF(C276=0,"New",(E276-C276)/C276))</f>
        <v>0.0158528852251109</v>
      </c>
      <c r="H276" s="12" t="n">
        <f aca="false">SUMIFS('בתי מרקחת Raw'!$E$6:$E$1616,'בתי מרקחת Raw'!$F$6:$F$1616,$A276,'בתי מרקחת Raw'!$C$6:$C$1616,2025)</f>
        <v>9935.69</v>
      </c>
      <c r="I276" s="12" t="n">
        <f aca="false">SUMIFS('בתי מרקחת Raw'!$E$6:$E$1616,'בתי מרקחת Raw'!$F$6:$F$1616,$A276,'בתי מרקחת Raw'!$C$6:$C$1616,2026)</f>
        <v>8084.14</v>
      </c>
      <c r="J276" s="12" t="n">
        <f aca="false">I276*$J$5</f>
        <v>10211.5452631579</v>
      </c>
      <c r="K276" s="12"/>
      <c r="L276" s="22"/>
    </row>
    <row r="277" customFormat="false" ht="15" hidden="false" customHeight="true" outlineLevel="0" collapsed="false">
      <c r="A277" s="12" t="n">
        <v>4413101</v>
      </c>
      <c r="B277" s="12" t="str">
        <f aca="false">IFERROR(INDEX('בתי מרקחת Raw'!$B:$B,MATCH($A277,'בתי מרקחת Raw'!$F:$F,0)),"")</f>
        <v>45E Sמגן ברך ארוך לבן</v>
      </c>
      <c r="C277" s="12" t="n">
        <f aca="false">SUMIFS('בתי מרקחת Raw'!$D$6:$D$1616,'בתי מרקחת Raw'!$F$6:$F$1616,$A277,'בתי מרקחת Raw'!$C$6:$C$1616,2025)</f>
        <v>36</v>
      </c>
      <c r="D277" s="12" t="n">
        <f aca="false">SUMIFS('בתי מרקחת Raw'!$D$6:$D$1616,'בתי מרקחת Raw'!$F$6:$F$1616,$A277,'בתי מרקחת Raw'!$C$6:$C$1616,2026)</f>
        <v>29</v>
      </c>
      <c r="E277" s="12" t="n">
        <f aca="false">D277*$J$5</f>
        <v>36.6315789473684</v>
      </c>
      <c r="F277" s="12" t="n">
        <f aca="false">E277-C277</f>
        <v>0.631578947368418</v>
      </c>
      <c r="G277" s="21" t="n">
        <f aca="false">IF(AND(C277=0,E277=0),0,IF(C277=0,"New",(E277-C277)/C277))</f>
        <v>0.0175438596491227</v>
      </c>
      <c r="H277" s="12" t="n">
        <f aca="false">SUMIFS('בתי מרקחת Raw'!$E$6:$E$1616,'בתי מרקחת Raw'!$F$6:$F$1616,$A277,'בתי מרקחת Raw'!$C$6:$C$1616,2025)</f>
        <v>1319.1</v>
      </c>
      <c r="I277" s="12" t="n">
        <f aca="false">SUMIFS('בתי מרקחת Raw'!$E$6:$E$1616,'בתי מרקחת Raw'!$F$6:$F$1616,$A277,'בתי מרקחת Raw'!$C$6:$C$1616,2026)</f>
        <v>1046.15</v>
      </c>
      <c r="J277" s="12" t="n">
        <f aca="false">I277*$J$5</f>
        <v>1321.45263157895</v>
      </c>
      <c r="K277" s="12"/>
      <c r="L277" s="22"/>
    </row>
    <row r="278" customFormat="false" ht="15" hidden="false" customHeight="true" outlineLevel="0" collapsed="false">
      <c r="A278" s="12" t="n">
        <v>4413102</v>
      </c>
      <c r="B278" s="12" t="str">
        <f aca="false">IFERROR(INDEX('בתי מרקחת Raw'!$B:$B,MATCH($A278,'בתי מרקחת Raw'!$F:$F,0)),"")</f>
        <v>45E  L        מגן ברך ארוך לבן</v>
      </c>
      <c r="C278" s="12" t="n">
        <f aca="false">SUMIFS('בתי מרקחת Raw'!$D$6:$D$1616,'בתי מרקחת Raw'!$F$6:$F$1616,$A278,'בתי מרקחת Raw'!$C$6:$C$1616,2025)</f>
        <v>151</v>
      </c>
      <c r="D278" s="12" t="n">
        <f aca="false">SUMIFS('בתי מרקחת Raw'!$D$6:$D$1616,'בתי מרקחת Raw'!$F$6:$F$1616,$A278,'בתי מרקחת Raw'!$C$6:$C$1616,2026)</f>
        <v>92</v>
      </c>
      <c r="E278" s="12" t="n">
        <f aca="false">D278*$J$5</f>
        <v>116.210526315789</v>
      </c>
      <c r="F278" s="12" t="n">
        <f aca="false">E278-C278</f>
        <v>-34.7894736842105</v>
      </c>
      <c r="G278" s="21" t="n">
        <f aca="false">IF(AND(C278=0,E278=0),0,IF(C278=0,"New",(E278-C278)/C278))</f>
        <v>-0.230393865458348</v>
      </c>
      <c r="H278" s="12" t="n">
        <f aca="false">SUMIFS('בתי מרקחת Raw'!$E$6:$E$1616,'בתי מרקחת Raw'!$F$6:$F$1616,$A278,'בתי מרקחת Raw'!$C$6:$C$1616,2025)</f>
        <v>5445.99</v>
      </c>
      <c r="I278" s="12" t="n">
        <f aca="false">SUMIFS('בתי מרקחת Raw'!$E$6:$E$1616,'בתי מרקחת Raw'!$F$6:$F$1616,$A278,'בתי מרקחת Raw'!$C$6:$C$1616,2026)</f>
        <v>3317.81</v>
      </c>
      <c r="J278" s="12" t="n">
        <f aca="false">I278*$J$5</f>
        <v>4190.91789473684</v>
      </c>
      <c r="K278" s="12"/>
      <c r="L278" s="22"/>
    </row>
    <row r="279" customFormat="false" ht="15" hidden="false" customHeight="true" outlineLevel="0" collapsed="false">
      <c r="A279" s="12" t="n">
        <v>4413103</v>
      </c>
      <c r="B279" s="12" t="str">
        <f aca="false">IFERROR(INDEX('בתי מרקחת Raw'!$B:$B,MATCH($A279,'בתי מרקחת Raw'!$F:$F,0)),"")</f>
        <v>45E Mמגן ברך ארוך לבן</v>
      </c>
      <c r="C279" s="12" t="n">
        <f aca="false">SUMIFS('בתי מרקחת Raw'!$D$6:$D$1616,'בתי מרקחת Raw'!$F$6:$F$1616,$A279,'בתי מרקחת Raw'!$C$6:$C$1616,2025)</f>
        <v>143</v>
      </c>
      <c r="D279" s="12" t="n">
        <f aca="false">SUMIFS('בתי מרקחת Raw'!$D$6:$D$1616,'בתי מרקחת Raw'!$F$6:$F$1616,$A279,'בתי מרקחת Raw'!$C$6:$C$1616,2026)</f>
        <v>77</v>
      </c>
      <c r="E279" s="12" t="n">
        <f aca="false">D279*$J$5</f>
        <v>97.2631578947368</v>
      </c>
      <c r="F279" s="12" t="n">
        <f aca="false">E279-C279</f>
        <v>-45.7368421052632</v>
      </c>
      <c r="G279" s="21" t="n">
        <f aca="false">IF(AND(C279=0,E279=0),0,IF(C279=0,"New",(E279-C279)/C279))</f>
        <v>-0.319838056680162</v>
      </c>
      <c r="H279" s="12" t="n">
        <f aca="false">SUMIFS('בתי מרקחת Raw'!$E$6:$E$1616,'בתי מרקחת Raw'!$F$6:$F$1616,$A279,'בתי מרקחת Raw'!$C$6:$C$1616,2025)</f>
        <v>5098.87</v>
      </c>
      <c r="I279" s="12" t="n">
        <f aca="false">SUMIFS('בתי מרקחת Raw'!$E$6:$E$1616,'בתי מרקחת Raw'!$F$6:$F$1616,$A279,'בתי מרקחת Raw'!$C$6:$C$1616,2026)</f>
        <v>2744.05</v>
      </c>
      <c r="J279" s="12" t="n">
        <f aca="false">I279*$J$5</f>
        <v>3466.16842105263</v>
      </c>
      <c r="K279" s="12"/>
      <c r="L279" s="22"/>
    </row>
    <row r="280" customFormat="false" ht="15" hidden="false" customHeight="true" outlineLevel="0" collapsed="false">
      <c r="A280" s="12" t="n">
        <v>4413104</v>
      </c>
      <c r="B280" s="12" t="str">
        <f aca="false">IFERROR(INDEX('בתי מרקחת Raw'!$B:$B,MATCH($A280,'בתי מרקחת Raw'!$F:$F,0)),"")</f>
        <v>45E XLמגן ברך ארוך לבן</v>
      </c>
      <c r="C280" s="12" t="n">
        <f aca="false">SUMIFS('בתי מרקחת Raw'!$D$6:$D$1616,'בתי מרקחת Raw'!$F$6:$F$1616,$A280,'בתי מרקחת Raw'!$C$6:$C$1616,2025)</f>
        <v>126</v>
      </c>
      <c r="D280" s="12" t="n">
        <f aca="false">SUMIFS('בתי מרקחת Raw'!$D$6:$D$1616,'בתי מרקחת Raw'!$F$6:$F$1616,$A280,'בתי מרקחת Raw'!$C$6:$C$1616,2026)</f>
        <v>71</v>
      </c>
      <c r="E280" s="12" t="n">
        <f aca="false">D280*$J$5</f>
        <v>89.6842105263158</v>
      </c>
      <c r="F280" s="12" t="n">
        <f aca="false">E280-C280</f>
        <v>-36.3157894736842</v>
      </c>
      <c r="G280" s="21" t="n">
        <f aca="false">IF(AND(C280=0,E280=0),0,IF(C280=0,"New",(E280-C280)/C280))</f>
        <v>-0.288220551378446</v>
      </c>
      <c r="H280" s="12" t="n">
        <f aca="false">SUMIFS('בתי מרקחת Raw'!$E$6:$E$1616,'בתי מרקחת Raw'!$F$6:$F$1616,$A280,'בתי מרקחת Raw'!$C$6:$C$1616,2025)</f>
        <v>4549.1</v>
      </c>
      <c r="I280" s="12" t="n">
        <f aca="false">SUMIFS('בתי מרקחת Raw'!$E$6:$E$1616,'בתי מרקחת Raw'!$F$6:$F$1616,$A280,'בתי מרקחת Raw'!$C$6:$C$1616,2026)</f>
        <v>2588.73</v>
      </c>
      <c r="J280" s="12" t="n">
        <f aca="false">I280*$J$5</f>
        <v>3269.97473684211</v>
      </c>
      <c r="K280" s="12"/>
      <c r="L280" s="22"/>
    </row>
    <row r="281" customFormat="false" ht="15" hidden="false" customHeight="true" outlineLevel="0" collapsed="false">
      <c r="A281" s="12" t="n">
        <v>4413105</v>
      </c>
      <c r="B281" s="12" t="str">
        <f aca="false">IFERROR(INDEX('בתי מרקחת Raw'!$B:$B,MATCH($A281,'בתי מרקחת Raw'!$F:$F,0)),"")</f>
        <v>45E XXLמגן ברך ארוך לבן</v>
      </c>
      <c r="C281" s="12" t="n">
        <f aca="false">SUMIFS('בתי מרקחת Raw'!$D$6:$D$1616,'בתי מרקחת Raw'!$F$6:$F$1616,$A281,'בתי מרקחת Raw'!$C$6:$C$1616,2025)</f>
        <v>50</v>
      </c>
      <c r="D281" s="12" t="n">
        <f aca="false">SUMIFS('בתי מרקחת Raw'!$D$6:$D$1616,'בתי מרקחת Raw'!$F$6:$F$1616,$A281,'בתי מרקחת Raw'!$C$6:$C$1616,2026)</f>
        <v>31</v>
      </c>
      <c r="E281" s="12" t="n">
        <f aca="false">D281*$J$5</f>
        <v>39.1578947368421</v>
      </c>
      <c r="F281" s="12" t="n">
        <f aca="false">E281-C281</f>
        <v>-10.8421052631579</v>
      </c>
      <c r="G281" s="21" t="n">
        <f aca="false">IF(AND(C281=0,E281=0),0,IF(C281=0,"New",(E281-C281)/C281))</f>
        <v>-0.216842105263158</v>
      </c>
      <c r="H281" s="12" t="n">
        <f aca="false">SUMIFS('בתי מרקחת Raw'!$E$6:$E$1616,'בתי מרקחת Raw'!$F$6:$F$1616,$A281,'בתי מרקחת Raw'!$C$6:$C$1616,2025)</f>
        <v>1802.16</v>
      </c>
      <c r="I281" s="12" t="n">
        <f aca="false">SUMIFS('בתי מרקחת Raw'!$E$6:$E$1616,'בתי מרקחת Raw'!$F$6:$F$1616,$A281,'בתי מרקחת Raw'!$C$6:$C$1616,2026)</f>
        <v>1131.1</v>
      </c>
      <c r="J281" s="12" t="n">
        <f aca="false">I281*$J$5</f>
        <v>1428.75789473684</v>
      </c>
      <c r="K281" s="12"/>
      <c r="L281" s="22"/>
    </row>
    <row r="282" customFormat="false" ht="15" hidden="false" customHeight="true" outlineLevel="0" collapsed="false">
      <c r="A282" s="12" t="n">
        <v>4413106</v>
      </c>
      <c r="B282" s="12" t="str">
        <f aca="false">IFERROR(INDEX('בתי מרקחת Raw'!$B:$B,MATCH($A282,'בתי מרקחת Raw'!$F:$F,0)),"")</f>
        <v>48 S מגן ברך מחמם</v>
      </c>
      <c r="C282" s="12" t="n">
        <f aca="false">SUMIFS('בתי מרקחת Raw'!$D$6:$D$1616,'בתי מרקחת Raw'!$F$6:$F$1616,$A282,'בתי מרקחת Raw'!$C$6:$C$1616,2025)</f>
        <v>3</v>
      </c>
      <c r="D282" s="12" t="n">
        <f aca="false">SUMIFS('בתי מרקחת Raw'!$D$6:$D$1616,'בתי מרקחת Raw'!$F$6:$F$1616,$A282,'בתי מרקחת Raw'!$C$6:$C$1616,2026)</f>
        <v>1</v>
      </c>
      <c r="E282" s="12" t="n">
        <f aca="false">D282*$J$5</f>
        <v>1.26315789473684</v>
      </c>
      <c r="F282" s="12" t="n">
        <f aca="false">E282-C282</f>
        <v>-1.73684210526316</v>
      </c>
      <c r="G282" s="21" t="n">
        <f aca="false">IF(AND(C282=0,E282=0),0,IF(C282=0,"New",(E282-C282)/C282))</f>
        <v>-0.578947368421053</v>
      </c>
      <c r="H282" s="12" t="n">
        <f aca="false">SUMIFS('בתי מרקחת Raw'!$E$6:$E$1616,'בתי מרקחת Raw'!$F$6:$F$1616,$A282,'בתי מרקחת Raw'!$C$6:$C$1616,2025)</f>
        <v>170</v>
      </c>
      <c r="I282" s="12" t="n">
        <f aca="false">SUMIFS('בתי מרקחת Raw'!$E$6:$E$1616,'בתי מרקחת Raw'!$F$6:$F$1616,$A282,'בתי מרקחת Raw'!$C$6:$C$1616,2026)</f>
        <v>56.7</v>
      </c>
      <c r="J282" s="12" t="n">
        <f aca="false">I282*$J$5</f>
        <v>71.621052631579</v>
      </c>
      <c r="K282" s="12"/>
      <c r="L282" s="22"/>
    </row>
    <row r="283" customFormat="false" ht="15" hidden="false" customHeight="true" outlineLevel="0" collapsed="false">
      <c r="A283" s="12" t="n">
        <v>4413107</v>
      </c>
      <c r="B283" s="12" t="str">
        <f aca="false">IFERROR(INDEX('בתי מרקחת Raw'!$B:$B,MATCH($A283,'בתי מרקחת Raw'!$F:$F,0)),"")</f>
        <v>48 L מגן ברך מחמם</v>
      </c>
      <c r="C283" s="12" t="n">
        <f aca="false">SUMIFS('בתי מרקחת Raw'!$D$6:$D$1616,'בתי מרקחת Raw'!$F$6:$F$1616,$A283,'בתי מרקחת Raw'!$C$6:$C$1616,2025)</f>
        <v>17</v>
      </c>
      <c r="D283" s="12" t="n">
        <f aca="false">SUMIFS('בתי מרקחת Raw'!$D$6:$D$1616,'בתי מרקחת Raw'!$F$6:$F$1616,$A283,'בתי מרקחת Raw'!$C$6:$C$1616,2026)</f>
        <v>4</v>
      </c>
      <c r="E283" s="12" t="n">
        <f aca="false">D283*$J$5</f>
        <v>5.05263157894737</v>
      </c>
      <c r="F283" s="12" t="n">
        <f aca="false">E283-C283</f>
        <v>-11.9473684210526</v>
      </c>
      <c r="G283" s="21" t="n">
        <f aca="false">IF(AND(C283=0,E283=0),0,IF(C283=0,"New",(E283-C283)/C283))</f>
        <v>-0.702786377708978</v>
      </c>
      <c r="H283" s="12" t="n">
        <f aca="false">SUMIFS('בתי מרקחת Raw'!$E$6:$E$1616,'בתי מרקחת Raw'!$F$6:$F$1616,$A283,'בתי מרקחת Raw'!$C$6:$C$1616,2025)</f>
        <v>940.75</v>
      </c>
      <c r="I283" s="12" t="n">
        <f aca="false">SUMIFS('בתי מרקחת Raw'!$E$6:$E$1616,'בתי מרקחת Raw'!$F$6:$F$1616,$A283,'בתי מרקחת Raw'!$C$6:$C$1616,2026)</f>
        <v>226.67</v>
      </c>
      <c r="J283" s="12" t="n">
        <f aca="false">I283*$J$5</f>
        <v>286.32</v>
      </c>
      <c r="K283" s="12"/>
      <c r="L283" s="22"/>
    </row>
    <row r="284" customFormat="false" ht="15" hidden="false" customHeight="true" outlineLevel="0" collapsed="false">
      <c r="A284" s="12" t="n">
        <v>4413108</v>
      </c>
      <c r="B284" s="12" t="str">
        <f aca="false">IFERROR(INDEX('בתי מרקחת Raw'!$B:$B,MATCH($A284,'בתי מרקחת Raw'!$F:$F,0)),"")</f>
        <v>48 M מגן ברך מחמם</v>
      </c>
      <c r="C284" s="12" t="n">
        <f aca="false">SUMIFS('בתי מרקחת Raw'!$D$6:$D$1616,'בתי מרקחת Raw'!$F$6:$F$1616,$A284,'בתי מרקחת Raw'!$C$6:$C$1616,2025)</f>
        <v>14</v>
      </c>
      <c r="D284" s="12" t="n">
        <f aca="false">SUMIFS('בתי מרקחת Raw'!$D$6:$D$1616,'בתי מרקחת Raw'!$F$6:$F$1616,$A284,'בתי מרקחת Raw'!$C$6:$C$1616,2026)</f>
        <v>2</v>
      </c>
      <c r="E284" s="12" t="n">
        <f aca="false">D284*$J$5</f>
        <v>2.52631578947368</v>
      </c>
      <c r="F284" s="12" t="n">
        <f aca="false">E284-C284</f>
        <v>-11.4736842105263</v>
      </c>
      <c r="G284" s="21" t="n">
        <f aca="false">IF(AND(C284=0,E284=0),0,IF(C284=0,"New",(E284-C284)/C284))</f>
        <v>-0.819548872180451</v>
      </c>
      <c r="H284" s="12" t="n">
        <f aca="false">SUMIFS('בתי מרקחת Raw'!$E$6:$E$1616,'בתי מרקחת Raw'!$F$6:$F$1616,$A284,'בתי מרקחת Raw'!$C$6:$C$1616,2025)</f>
        <v>778.27</v>
      </c>
      <c r="I284" s="12" t="n">
        <f aca="false">SUMIFS('בתי מרקחת Raw'!$E$6:$E$1616,'בתי מרקחת Raw'!$F$6:$F$1616,$A284,'בתי מרקחת Raw'!$C$6:$C$1616,2026)</f>
        <v>113.3</v>
      </c>
      <c r="J284" s="12" t="n">
        <f aca="false">I284*$J$5</f>
        <v>143.115789473684</v>
      </c>
      <c r="K284" s="12"/>
      <c r="L284" s="22"/>
    </row>
    <row r="285" customFormat="false" ht="15" hidden="false" customHeight="true" outlineLevel="0" collapsed="false">
      <c r="A285" s="12" t="n">
        <v>4413109</v>
      </c>
      <c r="B285" s="12" t="str">
        <f aca="false">IFERROR(INDEX('בתי מרקחת Raw'!$B:$B,MATCH($A285,'בתי מרקחת Raw'!$F:$F,0)),"")</f>
        <v>48 XL מגן ברך מחמם</v>
      </c>
      <c r="C285" s="12" t="n">
        <f aca="false">SUMIFS('בתי מרקחת Raw'!$D$6:$D$1616,'בתי מרקחת Raw'!$F$6:$F$1616,$A285,'בתי מרקחת Raw'!$C$6:$C$1616,2025)</f>
        <v>3</v>
      </c>
      <c r="D285" s="12" t="n">
        <f aca="false">SUMIFS('בתי מרקחת Raw'!$D$6:$D$1616,'בתי מרקחת Raw'!$F$6:$F$1616,$A285,'בתי מרקחת Raw'!$C$6:$C$1616,2026)</f>
        <v>1</v>
      </c>
      <c r="E285" s="12" t="n">
        <f aca="false">D285*$J$5</f>
        <v>1.26315789473684</v>
      </c>
      <c r="F285" s="12" t="n">
        <f aca="false">E285-C285</f>
        <v>-1.73684210526316</v>
      </c>
      <c r="G285" s="21" t="n">
        <f aca="false">IF(AND(C285=0,E285=0),0,IF(C285=0,"New",(E285-C285)/C285))</f>
        <v>-0.578947368421053</v>
      </c>
      <c r="H285" s="12" t="n">
        <f aca="false">SUMIFS('בתי מרקחת Raw'!$E$6:$E$1616,'בתי מרקחת Raw'!$F$6:$F$1616,$A285,'בתי מרקחת Raw'!$C$6:$C$1616,2025)</f>
        <v>162.5</v>
      </c>
      <c r="I285" s="12" t="n">
        <f aca="false">SUMIFS('בתי מרקחת Raw'!$E$6:$E$1616,'בתי מרקחת Raw'!$F$6:$F$1616,$A285,'בתי מרקחת Raw'!$C$6:$C$1616,2026)</f>
        <v>56.7</v>
      </c>
      <c r="J285" s="12" t="n">
        <f aca="false">I285*$J$5</f>
        <v>71.621052631579</v>
      </c>
      <c r="K285" s="12"/>
      <c r="L285" s="22"/>
    </row>
    <row r="286" customFormat="false" ht="15" hidden="false" customHeight="true" outlineLevel="0" collapsed="false">
      <c r="A286" s="12" t="n">
        <v>4413110</v>
      </c>
      <c r="B286" s="12" t="str">
        <f aca="false">IFERROR(INDEX('בתי מרקחת Raw'!$B:$B,MATCH($A286,'בתי מרקחת Raw'!$F:$F,0)),"")</f>
        <v>48 XXL מגן ברך מחמם</v>
      </c>
      <c r="C286" s="12" t="n">
        <f aca="false">SUMIFS('בתי מרקחת Raw'!$D$6:$D$1616,'בתי מרקחת Raw'!$F$6:$F$1616,$A286,'בתי מרקחת Raw'!$C$6:$C$1616,2025)</f>
        <v>2</v>
      </c>
      <c r="D286" s="12" t="n">
        <f aca="false">SUMIFS('בתי מרקחת Raw'!$D$6:$D$1616,'בתי מרקחת Raw'!$F$6:$F$1616,$A286,'בתי מרקחת Raw'!$C$6:$C$1616,2026)</f>
        <v>0</v>
      </c>
      <c r="E286" s="12" t="n">
        <f aca="false">D286*$J$5</f>
        <v>0</v>
      </c>
      <c r="F286" s="12" t="n">
        <f aca="false">E286-C286</f>
        <v>-2</v>
      </c>
      <c r="G286" s="21" t="n">
        <f aca="false">IF(AND(C286=0,E286=0),0,IF(C286=0,"New",(E286-C286)/C286))</f>
        <v>-1</v>
      </c>
      <c r="H286" s="12" t="n">
        <f aca="false">SUMIFS('בתי מרקחת Raw'!$E$6:$E$1616,'בתי מרקחת Raw'!$F$6:$F$1616,$A286,'בתי מרקחת Raw'!$C$6:$C$1616,2025)</f>
        <v>105.8</v>
      </c>
      <c r="I286" s="12" t="n">
        <f aca="false">SUMIFS('בתי מרקחת Raw'!$E$6:$E$1616,'בתי מרקחת Raw'!$F$6:$F$1616,$A286,'בתי מרקחת Raw'!$C$6:$C$1616,2026)</f>
        <v>0</v>
      </c>
      <c r="J286" s="12" t="n">
        <f aca="false">I286*$J$5</f>
        <v>0</v>
      </c>
      <c r="K286" s="12"/>
      <c r="L286" s="22"/>
    </row>
    <row r="287" customFormat="false" ht="15" hidden="false" customHeight="true" outlineLevel="0" collapsed="false">
      <c r="A287" s="12" t="n">
        <v>4413111</v>
      </c>
      <c r="B287" s="12" t="str">
        <f aca="false">IFERROR(INDEX('בתי מרקחת Raw'!$B:$B,MATCH($A287,'בתי מרקחת Raw'!$F:$F,0)),"")</f>
        <v>49  S מגן ירך</v>
      </c>
      <c r="C287" s="12" t="n">
        <f aca="false">SUMIFS('בתי מרקחת Raw'!$D$6:$D$1616,'בתי מרקחת Raw'!$F$6:$F$1616,$A287,'בתי מרקחת Raw'!$C$6:$C$1616,2025)</f>
        <v>22</v>
      </c>
      <c r="D287" s="12" t="n">
        <f aca="false">SUMIFS('בתי מרקחת Raw'!$D$6:$D$1616,'בתי מרקחת Raw'!$F$6:$F$1616,$A287,'בתי מרקחת Raw'!$C$6:$C$1616,2026)</f>
        <v>6</v>
      </c>
      <c r="E287" s="12" t="n">
        <f aca="false">D287*$J$5</f>
        <v>7.57894736842105</v>
      </c>
      <c r="F287" s="12" t="n">
        <f aca="false">E287-C287</f>
        <v>-14.4210526315789</v>
      </c>
      <c r="G287" s="21" t="n">
        <f aca="false">IF(AND(C287=0,E287=0),0,IF(C287=0,"New",(E287-C287)/C287))</f>
        <v>-0.655502392344498</v>
      </c>
      <c r="H287" s="12" t="n">
        <f aca="false">SUMIFS('בתי מרקחת Raw'!$E$6:$E$1616,'בתי מרקחת Raw'!$F$6:$F$1616,$A287,'בתי מרקחת Raw'!$C$6:$C$1616,2025)</f>
        <v>749.4</v>
      </c>
      <c r="I287" s="12" t="n">
        <f aca="false">SUMIFS('בתי מרקחת Raw'!$E$6:$E$1616,'בתי מרקחת Raw'!$F$6:$F$1616,$A287,'בתי מרקחת Raw'!$C$6:$C$1616,2026)</f>
        <v>194.6</v>
      </c>
      <c r="J287" s="12" t="n">
        <f aca="false">I287*$J$5</f>
        <v>245.810526315789</v>
      </c>
      <c r="K287" s="12"/>
      <c r="L287" s="22"/>
    </row>
    <row r="288" customFormat="false" ht="15" hidden="false" customHeight="true" outlineLevel="0" collapsed="false">
      <c r="A288" s="12" t="n">
        <v>4413112</v>
      </c>
      <c r="B288" s="12" t="str">
        <f aca="false">IFERROR(INDEX('בתי מרקחת Raw'!$B:$B,MATCH($A288,'בתי מרקחת Raw'!$F:$F,0)),"")</f>
        <v>49  L מגן ירך</v>
      </c>
      <c r="C288" s="12" t="n">
        <f aca="false">SUMIFS('בתי מרקחת Raw'!$D$6:$D$1616,'בתי מרקחת Raw'!$F$6:$F$1616,$A288,'בתי מרקחת Raw'!$C$6:$C$1616,2025)</f>
        <v>35</v>
      </c>
      <c r="D288" s="12" t="n">
        <f aca="false">SUMIFS('בתי מרקחת Raw'!$D$6:$D$1616,'בתי מרקחת Raw'!$F$6:$F$1616,$A288,'בתי מרקחת Raw'!$C$6:$C$1616,2026)</f>
        <v>26</v>
      </c>
      <c r="E288" s="12" t="n">
        <f aca="false">D288*$J$5</f>
        <v>32.8421052631579</v>
      </c>
      <c r="F288" s="12" t="n">
        <f aca="false">E288-C288</f>
        <v>-2.15789473684211</v>
      </c>
      <c r="G288" s="21" t="n">
        <f aca="false">IF(AND(C288=0,E288=0),0,IF(C288=0,"New",(E288-C288)/C288))</f>
        <v>-0.061654135338346</v>
      </c>
      <c r="H288" s="12" t="n">
        <f aca="false">SUMIFS('בתי מרקחת Raw'!$E$6:$E$1616,'בתי מרקחת Raw'!$F$6:$F$1616,$A288,'בתי מרקחת Raw'!$C$6:$C$1616,2025)</f>
        <v>1129.3</v>
      </c>
      <c r="I288" s="12" t="n">
        <f aca="false">SUMIFS('בתי מרקחת Raw'!$E$6:$E$1616,'בתי מרקחת Raw'!$F$6:$F$1616,$A288,'בתי מרקחת Raw'!$C$6:$C$1616,2026)</f>
        <v>903.32</v>
      </c>
      <c r="J288" s="12" t="n">
        <f aca="false">I288*$J$5</f>
        <v>1141.03578947368</v>
      </c>
      <c r="K288" s="12"/>
      <c r="L288" s="22"/>
    </row>
    <row r="289" customFormat="false" ht="15" hidden="false" customHeight="true" outlineLevel="0" collapsed="false">
      <c r="A289" s="12" t="n">
        <v>4413113</v>
      </c>
      <c r="B289" s="12" t="str">
        <f aca="false">IFERROR(INDEX('בתי מרקחת Raw'!$B:$B,MATCH($A289,'בתי מרקחת Raw'!$F:$F,0)),"")</f>
        <v>49  M מגן ירך</v>
      </c>
      <c r="C289" s="12" t="n">
        <f aca="false">SUMIFS('בתי מרקחת Raw'!$D$6:$D$1616,'בתי מרקחת Raw'!$F$6:$F$1616,$A289,'בתי מרקחת Raw'!$C$6:$C$1616,2025)</f>
        <v>25</v>
      </c>
      <c r="D289" s="12" t="n">
        <f aca="false">SUMIFS('בתי מרקחת Raw'!$D$6:$D$1616,'בתי מרקחת Raw'!$F$6:$F$1616,$A289,'בתי מרקחת Raw'!$C$6:$C$1616,2026)</f>
        <v>7</v>
      </c>
      <c r="E289" s="12" t="n">
        <f aca="false">D289*$J$5</f>
        <v>8.84210526315789</v>
      </c>
      <c r="F289" s="12" t="n">
        <f aca="false">E289-C289</f>
        <v>-16.1578947368421</v>
      </c>
      <c r="G289" s="21" t="n">
        <f aca="false">IF(AND(C289=0,E289=0),0,IF(C289=0,"New",(E289-C289)/C289))</f>
        <v>-0.646315789473684</v>
      </c>
      <c r="H289" s="12" t="n">
        <f aca="false">SUMIFS('בתי מרקחת Raw'!$E$6:$E$1616,'בתי מרקחת Raw'!$F$6:$F$1616,$A289,'בתי מרקחת Raw'!$C$6:$C$1616,2025)</f>
        <v>826.3</v>
      </c>
      <c r="I289" s="12" t="n">
        <f aca="false">SUMIFS('בתי מרקחת Raw'!$E$6:$E$1616,'בתי מרקחת Raw'!$F$6:$F$1616,$A289,'בתי מרקחת Raw'!$C$6:$C$1616,2026)</f>
        <v>242.6</v>
      </c>
      <c r="J289" s="12" t="n">
        <f aca="false">I289*$J$5</f>
        <v>306.442105263158</v>
      </c>
      <c r="K289" s="12"/>
      <c r="L289" s="22"/>
    </row>
    <row r="290" customFormat="false" ht="15" hidden="false" customHeight="true" outlineLevel="0" collapsed="false">
      <c r="A290" s="12" t="n">
        <v>4413114</v>
      </c>
      <c r="B290" s="12" t="str">
        <f aca="false">IFERROR(INDEX('בתי מרקחת Raw'!$B:$B,MATCH($A290,'בתי מרקחת Raw'!$F:$F,0)),"")</f>
        <v>49 XL מגן ירך</v>
      </c>
      <c r="C290" s="12" t="n">
        <f aca="false">SUMIFS('בתי מרקחת Raw'!$D$6:$D$1616,'בתי מרקחת Raw'!$F$6:$F$1616,$A290,'בתי מרקחת Raw'!$C$6:$C$1616,2025)</f>
        <v>36</v>
      </c>
      <c r="D290" s="12" t="n">
        <f aca="false">SUMIFS('בתי מרקחת Raw'!$D$6:$D$1616,'בתי מרקחת Raw'!$F$6:$F$1616,$A290,'בתי מרקחת Raw'!$C$6:$C$1616,2026)</f>
        <v>12</v>
      </c>
      <c r="E290" s="12" t="n">
        <f aca="false">D290*$J$5</f>
        <v>15.1578947368421</v>
      </c>
      <c r="F290" s="12" t="n">
        <f aca="false">E290-C290</f>
        <v>-20.8421052631579</v>
      </c>
      <c r="G290" s="21" t="n">
        <f aca="false">IF(AND(C290=0,E290=0),0,IF(C290=0,"New",(E290-C290)/C290))</f>
        <v>-0.578947368421053</v>
      </c>
      <c r="H290" s="12" t="n">
        <f aca="false">SUMIFS('בתי מרקחת Raw'!$E$6:$E$1616,'בתי מרקחת Raw'!$F$6:$F$1616,$A290,'בתי מרקחת Raw'!$C$6:$C$1616,2025)</f>
        <v>1195.3</v>
      </c>
      <c r="I290" s="12" t="n">
        <f aca="false">SUMIFS('בתי מרקחת Raw'!$E$6:$E$1616,'בתי מרקחת Raw'!$F$6:$F$1616,$A290,'בתי מרקחת Raw'!$C$6:$C$1616,2026)</f>
        <v>416.9</v>
      </c>
      <c r="J290" s="12" t="n">
        <f aca="false">I290*$J$5</f>
        <v>526.61052631579</v>
      </c>
      <c r="K290" s="12"/>
      <c r="L290" s="22"/>
    </row>
    <row r="291" customFormat="false" ht="15" hidden="false" customHeight="true" outlineLevel="0" collapsed="false">
      <c r="A291" s="12" t="n">
        <v>4413115</v>
      </c>
      <c r="B291" s="12" t="str">
        <f aca="false">IFERROR(INDEX('בתי מרקחת Raw'!$B:$B,MATCH($A291,'בתי מרקחת Raw'!$F:$F,0)),"")</f>
        <v>49 XXL מגן ירך</v>
      </c>
      <c r="C291" s="12" t="n">
        <f aca="false">SUMIFS('בתי מרקחת Raw'!$D$6:$D$1616,'בתי מרקחת Raw'!$F$6:$F$1616,$A291,'בתי מרקחת Raw'!$C$6:$C$1616,2025)</f>
        <v>4</v>
      </c>
      <c r="D291" s="12" t="n">
        <f aca="false">SUMIFS('בתי מרקחת Raw'!$D$6:$D$1616,'בתי מרקחת Raw'!$F$6:$F$1616,$A291,'בתי מרקחת Raw'!$C$6:$C$1616,2026)</f>
        <v>5</v>
      </c>
      <c r="E291" s="12" t="n">
        <f aca="false">D291*$J$5</f>
        <v>6.31578947368421</v>
      </c>
      <c r="F291" s="12" t="n">
        <f aca="false">E291-C291</f>
        <v>2.31578947368421</v>
      </c>
      <c r="G291" s="21" t="n">
        <f aca="false">IF(AND(C291=0,E291=0),0,IF(C291=0,"New",(E291-C291)/C291))</f>
        <v>0.578947368421053</v>
      </c>
      <c r="H291" s="12" t="n">
        <f aca="false">SUMIFS('בתי מרקחת Raw'!$E$6:$E$1616,'בתי מרקחת Raw'!$F$6:$F$1616,$A291,'בתי מרקחת Raw'!$C$6:$C$1616,2025)</f>
        <v>138.3</v>
      </c>
      <c r="I291" s="12" t="n">
        <f aca="false">SUMIFS('בתי מרקחת Raw'!$E$6:$E$1616,'בתי מרקחת Raw'!$F$6:$F$1616,$A291,'בתי מרקחת Raw'!$C$6:$C$1616,2026)</f>
        <v>175.5</v>
      </c>
      <c r="J291" s="12" t="n">
        <f aca="false">I291*$J$5</f>
        <v>221.684210526316</v>
      </c>
      <c r="K291" s="12"/>
      <c r="L291" s="22"/>
    </row>
    <row r="292" customFormat="false" ht="15" hidden="false" customHeight="true" outlineLevel="0" collapsed="false">
      <c r="A292" s="12" t="n">
        <v>4413116</v>
      </c>
      <c r="B292" s="12" t="str">
        <f aca="false">IFERROR(INDEX('בתי מרקחת Raw'!$B:$B,MATCH($A292,'בתי מרקחת Raw'!$F:$F,0)),"")</f>
        <v>50 S מתלה אשכים לאחר ניתוח</v>
      </c>
      <c r="C292" s="12" t="n">
        <f aca="false">SUMIFS('בתי מרקחת Raw'!$D$6:$D$1616,'בתי מרקחת Raw'!$F$6:$F$1616,$A292,'בתי מרקחת Raw'!$C$6:$C$1616,2025)</f>
        <v>0</v>
      </c>
      <c r="D292" s="12" t="n">
        <f aca="false">SUMIFS('בתי מרקחת Raw'!$D$6:$D$1616,'בתי מרקחת Raw'!$F$6:$F$1616,$A292,'בתי מרקחת Raw'!$C$6:$C$1616,2026)</f>
        <v>-1</v>
      </c>
      <c r="E292" s="12" t="n">
        <f aca="false">D292*$J$5</f>
        <v>-1.26315789473684</v>
      </c>
      <c r="F292" s="12" t="n">
        <f aca="false">E292-C292</f>
        <v>-1.26315789473684</v>
      </c>
      <c r="G292" s="21" t="str">
        <f aca="false">IF(AND(C292=0,E292=0),0,IF(C292=0,"New",(E292-C292)/C292))</f>
        <v>New</v>
      </c>
      <c r="H292" s="12" t="n">
        <f aca="false">SUMIFS('בתי מרקחת Raw'!$E$6:$E$1616,'בתי מרקחת Raw'!$F$6:$F$1616,$A292,'בתי מרקחת Raw'!$C$6:$C$1616,2025)</f>
        <v>0</v>
      </c>
      <c r="I292" s="12" t="n">
        <f aca="false">SUMIFS('בתי מרקחת Raw'!$E$6:$E$1616,'בתי מרקחת Raw'!$F$6:$F$1616,$A292,'בתי מרקחת Raw'!$C$6:$C$1616,2026)</f>
        <v>-88.8</v>
      </c>
      <c r="J292" s="12" t="n">
        <f aca="false">I292*$J$5</f>
        <v>-112.168421052632</v>
      </c>
    </row>
    <row r="293" customFormat="false" ht="15" hidden="false" customHeight="true" outlineLevel="0" collapsed="false">
      <c r="A293" s="23" t="n">
        <v>4413117</v>
      </c>
      <c r="B293" s="23" t="str">
        <f aca="false">IFERROR(INDEX('בתי מרקחת Raw'!$B:$B,MATCH($A293,'בתי מרקחת Raw'!$F:$F,0)),"")</f>
        <v>50 L מתלה אשכים לאחר ניתוח</v>
      </c>
      <c r="C293" s="23" t="n">
        <f aca="false">SUMIFS('בתי מרקחת Raw'!$D$6:$D$1616,'בתי מרקחת Raw'!$F$6:$F$1616,$A293,'בתי מרקחת Raw'!$C$6:$C$1616,2025)</f>
        <v>16</v>
      </c>
      <c r="D293" s="23" t="n">
        <f aca="false">SUMIFS('בתי מרקחת Raw'!$D$6:$D$1616,'בתי מרקחת Raw'!$F$6:$F$1616,$A293,'בתי מרקחת Raw'!$C$6:$C$1616,2026)</f>
        <v>18</v>
      </c>
      <c r="E293" s="23" t="n">
        <f aca="false">D293*$J$5</f>
        <v>22.7368421052632</v>
      </c>
      <c r="F293" s="23" t="n">
        <f aca="false">E293-C293</f>
        <v>6.73684210526316</v>
      </c>
      <c r="G293" s="24" t="n">
        <f aca="false">IF(AND(C293=0,E293=0),0,IF(C293=0,"New",(E293-C293)/C293))</f>
        <v>0.421052631578947</v>
      </c>
      <c r="H293" s="23" t="n">
        <f aca="false">SUMIFS('בתי מרקחת Raw'!$E$6:$E$1616,'בתי מרקחת Raw'!$F$6:$F$1616,$A293,'בתי מרקחת Raw'!$C$6:$C$1616,2025)</f>
        <v>1536.76</v>
      </c>
      <c r="I293" s="23" t="n">
        <f aca="false">SUMIFS('בתי מרקחת Raw'!$E$6:$E$1616,'בתי מרקחת Raw'!$F$6:$F$1616,$A293,'בתי מרקחת Raw'!$C$6:$C$1616,2026)</f>
        <v>1998.62</v>
      </c>
      <c r="J293" s="23" t="n">
        <f aca="false">I293*$J$5</f>
        <v>2524.57263157895</v>
      </c>
      <c r="K293" s="25"/>
      <c r="L293" s="26"/>
    </row>
    <row r="294" customFormat="false" ht="15" hidden="false" customHeight="true" outlineLevel="0" collapsed="false">
      <c r="A294" s="12" t="n">
        <v>4413118</v>
      </c>
      <c r="B294" s="12" t="str">
        <f aca="false">IFERROR(INDEX('בתי מרקחת Raw'!$B:$B,MATCH($A294,'בתי מרקחת Raw'!$F:$F,0)),"")</f>
        <v>50 M מתלה אשכים לאחר ניתוח</v>
      </c>
      <c r="C294" s="12" t="n">
        <f aca="false">SUMIFS('בתי מרקחת Raw'!$D$6:$D$1616,'בתי מרקחת Raw'!$F$6:$F$1616,$A294,'בתי מרקחת Raw'!$C$6:$C$1616,2025)</f>
        <v>10</v>
      </c>
      <c r="D294" s="12" t="n">
        <f aca="false">SUMIFS('בתי מרקחת Raw'!$D$6:$D$1616,'בתי מרקחת Raw'!$F$6:$F$1616,$A294,'בתי מרקחת Raw'!$C$6:$C$1616,2026)</f>
        <v>7</v>
      </c>
      <c r="E294" s="12" t="n">
        <f aca="false">D294*$J$5</f>
        <v>8.84210526315789</v>
      </c>
      <c r="F294" s="12" t="n">
        <f aca="false">E294-C294</f>
        <v>-1.15789473684211</v>
      </c>
      <c r="G294" s="21" t="n">
        <f aca="false">IF(AND(C294=0,E294=0),0,IF(C294=0,"New",(E294-C294)/C294))</f>
        <v>-0.115789473684211</v>
      </c>
      <c r="H294" s="12" t="n">
        <f aca="false">SUMIFS('בתי מרקחת Raw'!$E$6:$E$1616,'בתי מרקחת Raw'!$F$6:$F$1616,$A294,'בתי מרקחת Raw'!$C$6:$C$1616,2025)</f>
        <v>969.38</v>
      </c>
      <c r="I294" s="12" t="n">
        <f aca="false">SUMIFS('בתי מרקחת Raw'!$E$6:$E$1616,'בתי מרקחת Raw'!$F$6:$F$1616,$A294,'בתי מרקחת Raw'!$C$6:$C$1616,2026)</f>
        <v>777.23</v>
      </c>
      <c r="J294" s="12" t="n">
        <f aca="false">I294*$J$5</f>
        <v>981.764210526316</v>
      </c>
    </row>
    <row r="295" customFormat="false" ht="15" hidden="false" customHeight="true" outlineLevel="0" collapsed="false">
      <c r="A295" s="12" t="n">
        <v>4413119</v>
      </c>
      <c r="B295" s="12" t="str">
        <f aca="false">IFERROR(INDEX('בתי מרקחת Raw'!$B:$B,MATCH($A295,'בתי מרקחת Raw'!$F:$F,0)),"")</f>
        <v>50 XL מתלה אשכים לאחר ניתוח</v>
      </c>
      <c r="C295" s="12" t="n">
        <f aca="false">SUMIFS('בתי מרקחת Raw'!$D$6:$D$1616,'בתי מרקחת Raw'!$F$6:$F$1616,$A295,'בתי מרקחת Raw'!$C$6:$C$1616,2025)</f>
        <v>12</v>
      </c>
      <c r="D295" s="12" t="n">
        <f aca="false">SUMIFS('בתי מרקחת Raw'!$D$6:$D$1616,'בתי מרקחת Raw'!$F$6:$F$1616,$A295,'בתי מרקחת Raw'!$C$6:$C$1616,2026)</f>
        <v>14</v>
      </c>
      <c r="E295" s="12" t="n">
        <f aca="false">D295*$J$5</f>
        <v>17.6842105263158</v>
      </c>
      <c r="F295" s="12" t="n">
        <f aca="false">E295-C295</f>
        <v>5.68421052631579</v>
      </c>
      <c r="G295" s="21" t="n">
        <f aca="false">IF(AND(C295=0,E295=0),0,IF(C295=0,"New",(E295-C295)/C295))</f>
        <v>0.473684210526316</v>
      </c>
      <c r="H295" s="12" t="n">
        <f aca="false">SUMIFS('בתי מרקחת Raw'!$E$6:$E$1616,'בתי מרקחת Raw'!$F$6:$F$1616,$A295,'בתי מרקחת Raw'!$C$6:$C$1616,2025)</f>
        <v>1191.52</v>
      </c>
      <c r="I295" s="12" t="n">
        <f aca="false">SUMIFS('בתי מרקחת Raw'!$E$6:$E$1616,'בתי מרקחת Raw'!$F$6:$F$1616,$A295,'בתי מרקחת Raw'!$C$6:$C$1616,2026)</f>
        <v>1554.48</v>
      </c>
      <c r="J295" s="12" t="n">
        <f aca="false">I295*$J$5</f>
        <v>1963.55368421053</v>
      </c>
    </row>
    <row r="296" customFormat="false" ht="15" hidden="false" customHeight="true" outlineLevel="0" collapsed="false">
      <c r="A296" s="12" t="n">
        <v>4413120</v>
      </c>
      <c r="B296" s="12" t="str">
        <f aca="false">IFERROR(INDEX('בתי מרקחת Raw'!$B:$B,MATCH($A296,'בתי מרקחת Raw'!$F:$F,0)),"")</f>
        <v>50 XXL מתלה אשכים לאחר ניתוח</v>
      </c>
      <c r="C296" s="12" t="n">
        <f aca="false">SUMIFS('בתי מרקחת Raw'!$D$6:$D$1616,'בתי מרקחת Raw'!$F$6:$F$1616,$A296,'בתי מרקחת Raw'!$C$6:$C$1616,2025)</f>
        <v>5</v>
      </c>
      <c r="D296" s="12" t="n">
        <f aca="false">SUMIFS('בתי מרקחת Raw'!$D$6:$D$1616,'בתי מרקחת Raw'!$F$6:$F$1616,$A296,'בתי מרקחת Raw'!$C$6:$C$1616,2026)</f>
        <v>0</v>
      </c>
      <c r="E296" s="12" t="n">
        <f aca="false">D296*$J$5</f>
        <v>0</v>
      </c>
      <c r="F296" s="12" t="n">
        <f aca="false">E296-C296</f>
        <v>-5</v>
      </c>
      <c r="G296" s="21" t="n">
        <f aca="false">IF(AND(C296=0,E296=0),0,IF(C296=0,"New",(E296-C296)/C296))</f>
        <v>-1</v>
      </c>
      <c r="H296" s="12" t="n">
        <f aca="false">SUMIFS('בתי מרקחת Raw'!$E$6:$E$1616,'בתי מרקחת Raw'!$F$6:$F$1616,$A296,'בתי מרקחת Raw'!$C$6:$C$1616,2025)</f>
        <v>488.6</v>
      </c>
      <c r="I296" s="12" t="n">
        <f aca="false">SUMIFS('בתי מרקחת Raw'!$E$6:$E$1616,'בתי מרקחת Raw'!$F$6:$F$1616,$A296,'בתי מרקחת Raw'!$C$6:$C$1616,2026)</f>
        <v>0</v>
      </c>
      <c r="J296" s="12" t="n">
        <f aca="false">I296*$J$5</f>
        <v>0</v>
      </c>
    </row>
    <row r="297" customFormat="false" ht="15" hidden="false" customHeight="true" outlineLevel="0" collapsed="false">
      <c r="A297" s="12" t="n">
        <v>4413122</v>
      </c>
      <c r="B297" s="12" t="str">
        <f aca="false">IFERROR(INDEX('בתי מרקחת Raw'!$B:$B,MATCH($A297,'בתי מרקחת Raw'!$F:$F,0)),"")</f>
        <v>55 L מתלה אשכים לספורטאים</v>
      </c>
      <c r="C297" s="12" t="n">
        <f aca="false">SUMIFS('בתי מרקחת Raw'!$D$6:$D$1616,'בתי מרקחת Raw'!$F$6:$F$1616,$A297,'בתי מרקחת Raw'!$C$6:$C$1616,2025)</f>
        <v>4</v>
      </c>
      <c r="D297" s="12" t="n">
        <f aca="false">SUMIFS('בתי מרקחת Raw'!$D$6:$D$1616,'בתי מרקחת Raw'!$F$6:$F$1616,$A297,'בתי מרקחת Raw'!$C$6:$C$1616,2026)</f>
        <v>7</v>
      </c>
      <c r="E297" s="12" t="n">
        <f aca="false">D297*$J$5</f>
        <v>8.84210526315789</v>
      </c>
      <c r="F297" s="12" t="n">
        <f aca="false">E297-C297</f>
        <v>4.84210526315789</v>
      </c>
      <c r="G297" s="21" t="n">
        <f aca="false">IF(AND(C297=0,E297=0),0,IF(C297=0,"New",(E297-C297)/C297))</f>
        <v>1.21052631578947</v>
      </c>
      <c r="H297" s="12" t="n">
        <f aca="false">SUMIFS('בתי מרקחת Raw'!$E$6:$E$1616,'בתי מרקחת Raw'!$F$6:$F$1616,$A297,'בתי מרקחת Raw'!$C$6:$C$1616,2025)</f>
        <v>326.02</v>
      </c>
      <c r="I297" s="12" t="n">
        <f aca="false">SUMIFS('בתי מרקחת Raw'!$E$6:$E$1616,'בתי מרקחת Raw'!$F$6:$F$1616,$A297,'בתי מרקחת Raw'!$C$6:$C$1616,2026)</f>
        <v>578.99</v>
      </c>
      <c r="J297" s="12" t="n">
        <f aca="false">I297*$J$5</f>
        <v>731.355789473684</v>
      </c>
    </row>
    <row r="298" customFormat="false" ht="15" hidden="false" customHeight="true" outlineLevel="0" collapsed="false">
      <c r="A298" s="12" t="n">
        <v>4413123</v>
      </c>
      <c r="B298" s="12" t="str">
        <f aca="false">IFERROR(INDEX('בתי מרקחת Raw'!$B:$B,MATCH($A298,'בתי מרקחת Raw'!$F:$F,0)),"")</f>
        <v>55 M מתלה אשכים לספורטאים</v>
      </c>
      <c r="C298" s="12" t="n">
        <f aca="false">SUMIFS('בתי מרקחת Raw'!$D$6:$D$1616,'בתי מרקחת Raw'!$F$6:$F$1616,$A298,'בתי מרקחת Raw'!$C$6:$C$1616,2025)</f>
        <v>2</v>
      </c>
      <c r="D298" s="12" t="n">
        <f aca="false">SUMIFS('בתי מרקחת Raw'!$D$6:$D$1616,'בתי מרקחת Raw'!$F$6:$F$1616,$A298,'בתי מרקחת Raw'!$C$6:$C$1616,2026)</f>
        <v>-1</v>
      </c>
      <c r="E298" s="12" t="n">
        <f aca="false">D298*$J$5</f>
        <v>-1.26315789473684</v>
      </c>
      <c r="F298" s="12" t="n">
        <f aca="false">E298-C298</f>
        <v>-3.26315789473684</v>
      </c>
      <c r="G298" s="21" t="n">
        <f aca="false">IF(AND(C298=0,E298=0),0,IF(C298=0,"New",(E298-C298)/C298))</f>
        <v>-1.63157894736842</v>
      </c>
      <c r="H298" s="12" t="n">
        <f aca="false">SUMIFS('בתי מרקחת Raw'!$E$6:$E$1616,'בתי מרקחת Raw'!$F$6:$F$1616,$A298,'בתי מרקחת Raw'!$C$6:$C$1616,2025)</f>
        <v>160.6</v>
      </c>
      <c r="I298" s="12" t="n">
        <f aca="false">SUMIFS('בתי מרקחת Raw'!$E$6:$E$1616,'בתי מרקחת Raw'!$F$6:$F$1616,$A298,'בתי מרקחת Raw'!$C$6:$C$1616,2026)</f>
        <v>-80.3</v>
      </c>
      <c r="J298" s="12" t="n">
        <f aca="false">I298*$J$5</f>
        <v>-101.431578947368</v>
      </c>
    </row>
    <row r="299" customFormat="false" ht="15" hidden="false" customHeight="true" outlineLevel="0" collapsed="false">
      <c r="A299" s="12" t="n">
        <v>4413124</v>
      </c>
      <c r="B299" s="12" t="str">
        <f aca="false">IFERROR(INDEX('בתי מרקחת Raw'!$B:$B,MATCH($A299,'בתי מרקחת Raw'!$F:$F,0)),"")</f>
        <v>55 XL מתלה אשכים לספורטאים</v>
      </c>
      <c r="C299" s="12" t="n">
        <f aca="false">SUMIFS('בתי מרקחת Raw'!$D$6:$D$1616,'בתי מרקחת Raw'!$F$6:$F$1616,$A299,'בתי מרקחת Raw'!$C$6:$C$1616,2025)</f>
        <v>1</v>
      </c>
      <c r="D299" s="12" t="n">
        <f aca="false">SUMIFS('בתי מרקחת Raw'!$D$6:$D$1616,'בתי מרקחת Raw'!$F$6:$F$1616,$A299,'בתי מרקחת Raw'!$C$6:$C$1616,2026)</f>
        <v>2</v>
      </c>
      <c r="E299" s="12" t="n">
        <f aca="false">D299*$J$5</f>
        <v>2.52631578947368</v>
      </c>
      <c r="F299" s="12" t="n">
        <f aca="false">E299-C299</f>
        <v>1.52631578947368</v>
      </c>
      <c r="G299" s="21" t="n">
        <f aca="false">IF(AND(C299=0,E299=0),0,IF(C299=0,"New",(E299-C299)/C299))</f>
        <v>1.52631578947368</v>
      </c>
      <c r="H299" s="12" t="n">
        <f aca="false">SUMIFS('בתי מרקחת Raw'!$E$6:$E$1616,'בתי מרקחת Raw'!$F$6:$F$1616,$A299,'בתי מרקחת Raw'!$C$6:$C$1616,2025)</f>
        <v>84.32</v>
      </c>
      <c r="I299" s="12" t="n">
        <f aca="false">SUMIFS('בתי מרקחת Raw'!$E$6:$E$1616,'בתי מרקחת Raw'!$F$6:$F$1616,$A299,'בתי מרקחת Raw'!$C$6:$C$1616,2026)</f>
        <v>168.62</v>
      </c>
      <c r="J299" s="12" t="n">
        <f aca="false">I299*$J$5</f>
        <v>212.993684210526</v>
      </c>
    </row>
    <row r="300" customFormat="false" ht="15" hidden="false" customHeight="true" outlineLevel="0" collapsed="false">
      <c r="A300" s="12" t="n">
        <v>4413126</v>
      </c>
      <c r="B300" s="12" t="str">
        <f aca="false">IFERROR(INDEX('בתי מרקחת Raw'!$B:$B,MATCH($A300,'בתי מרקחת Raw'!$F:$F,0)),"")</f>
        <v>75 Sמיישר כתף יציב יישור גב צר</v>
      </c>
      <c r="C300" s="12" t="n">
        <f aca="false">SUMIFS('בתי מרקחת Raw'!$D$6:$D$1616,'בתי מרקחת Raw'!$F$6:$F$1616,$A300,'בתי מרקחת Raw'!$C$6:$C$1616,2025)</f>
        <v>4</v>
      </c>
      <c r="D300" s="12" t="n">
        <f aca="false">SUMIFS('בתי מרקחת Raw'!$D$6:$D$1616,'בתי מרקחת Raw'!$F$6:$F$1616,$A300,'בתי מרקחת Raw'!$C$6:$C$1616,2026)</f>
        <v>5</v>
      </c>
      <c r="E300" s="12" t="n">
        <f aca="false">D300*$J$5</f>
        <v>6.31578947368421</v>
      </c>
      <c r="F300" s="12" t="n">
        <f aca="false">E300-C300</f>
        <v>2.31578947368421</v>
      </c>
      <c r="G300" s="21" t="n">
        <f aca="false">IF(AND(C300=0,E300=0),0,IF(C300=0,"New",(E300-C300)/C300))</f>
        <v>0.578947368421053</v>
      </c>
      <c r="H300" s="12" t="n">
        <f aca="false">SUMIFS('בתי מרקחת Raw'!$E$6:$E$1616,'בתי מרקחת Raw'!$F$6:$F$1616,$A300,'בתי מרקחת Raw'!$C$6:$C$1616,2025)</f>
        <v>701.8</v>
      </c>
      <c r="I300" s="12" t="n">
        <f aca="false">SUMIFS('בתי מרקחת Raw'!$E$6:$E$1616,'בתי מרקחת Raw'!$F$6:$F$1616,$A300,'בתי מרקחת Raw'!$C$6:$C$1616,2026)</f>
        <v>820.1</v>
      </c>
      <c r="J300" s="12" t="n">
        <f aca="false">I300*$J$5</f>
        <v>1035.91578947368</v>
      </c>
    </row>
    <row r="301" customFormat="false" ht="15" hidden="false" customHeight="true" outlineLevel="0" collapsed="false">
      <c r="A301" s="12" t="n">
        <v>4413127</v>
      </c>
      <c r="B301" s="12" t="str">
        <f aca="false">IFERROR(INDEX('בתי מרקחת Raw'!$B:$B,MATCH($A301,'בתי מרקחת Raw'!$F:$F,0)),"")</f>
        <v>75 Lמיישר כתף יציב יישור גב צר</v>
      </c>
      <c r="C301" s="12" t="n">
        <f aca="false">SUMIFS('בתי מרקחת Raw'!$D$6:$D$1616,'בתי מרקחת Raw'!$F$6:$F$1616,$A301,'בתי מרקחת Raw'!$C$6:$C$1616,2025)</f>
        <v>19</v>
      </c>
      <c r="D301" s="12" t="n">
        <f aca="false">SUMIFS('בתי מרקחת Raw'!$D$6:$D$1616,'בתי מרקחת Raw'!$F$6:$F$1616,$A301,'בתי מרקחת Raw'!$C$6:$C$1616,2026)</f>
        <v>17</v>
      </c>
      <c r="E301" s="12" t="n">
        <f aca="false">D301*$J$5</f>
        <v>21.4736842105263</v>
      </c>
      <c r="F301" s="12" t="n">
        <f aca="false">E301-C301</f>
        <v>2.47368421052632</v>
      </c>
      <c r="G301" s="21" t="n">
        <f aca="false">IF(AND(C301=0,E301=0),0,IF(C301=0,"New",(E301-C301)/C301))</f>
        <v>0.130193905817174</v>
      </c>
      <c r="H301" s="12" t="n">
        <f aca="false">SUMIFS('בתי מרקחת Raw'!$E$6:$E$1616,'בתי מרקחת Raw'!$F$6:$F$1616,$A301,'בתי מרקחת Raw'!$C$6:$C$1616,2025)</f>
        <v>3000.5</v>
      </c>
      <c r="I301" s="12" t="n">
        <f aca="false">SUMIFS('בתי מרקחת Raw'!$E$6:$E$1616,'בתי מרקחת Raw'!$F$6:$F$1616,$A301,'בתי מרקחת Raw'!$C$6:$C$1616,2026)</f>
        <v>2711.61</v>
      </c>
      <c r="J301" s="12" t="n">
        <f aca="false">I301*$J$5</f>
        <v>3425.19157894737</v>
      </c>
    </row>
    <row r="302" customFormat="false" ht="15" hidden="false" customHeight="true" outlineLevel="0" collapsed="false">
      <c r="A302" s="12" t="n">
        <v>4413128</v>
      </c>
      <c r="B302" s="12" t="str">
        <f aca="false">IFERROR(INDEX('בתי מרקחת Raw'!$B:$B,MATCH($A302,'בתי מרקחת Raw'!$F:$F,0)),"")</f>
        <v>75 Mמיישר כתף יציב יישור גב צר</v>
      </c>
      <c r="C302" s="12" t="n">
        <f aca="false">SUMIFS('בתי מרקחת Raw'!$D$6:$D$1616,'בתי מרקחת Raw'!$F$6:$F$1616,$A302,'בתי מרקחת Raw'!$C$6:$C$1616,2025)</f>
        <v>21</v>
      </c>
      <c r="D302" s="12" t="n">
        <f aca="false">SUMIFS('בתי מרקחת Raw'!$D$6:$D$1616,'בתי מרקחת Raw'!$F$6:$F$1616,$A302,'בתי מרקחת Raw'!$C$6:$C$1616,2026)</f>
        <v>7</v>
      </c>
      <c r="E302" s="12" t="n">
        <f aca="false">D302*$J$5</f>
        <v>8.84210526315789</v>
      </c>
      <c r="F302" s="12" t="n">
        <f aca="false">E302-C302</f>
        <v>-12.1578947368421</v>
      </c>
      <c r="G302" s="21" t="n">
        <f aca="false">IF(AND(C302=0,E302=0),0,IF(C302=0,"New",(E302-C302)/C302))</f>
        <v>-0.578947368421053</v>
      </c>
      <c r="H302" s="12" t="n">
        <f aca="false">SUMIFS('בתי מרקחת Raw'!$E$6:$E$1616,'בתי מרקחת Raw'!$F$6:$F$1616,$A302,'בתי מרקחת Raw'!$C$6:$C$1616,2025)</f>
        <v>3344.9</v>
      </c>
      <c r="I302" s="12" t="n">
        <f aca="false">SUMIFS('בתי מרקחת Raw'!$E$6:$E$1616,'בתי מרקחת Raw'!$F$6:$F$1616,$A302,'בתי מרקחת Raw'!$C$6:$C$1616,2026)</f>
        <v>1060.5</v>
      </c>
      <c r="J302" s="12" t="n">
        <f aca="false">I302*$J$5</f>
        <v>1339.57894736842</v>
      </c>
    </row>
    <row r="303" customFormat="false" ht="15" hidden="false" customHeight="true" outlineLevel="0" collapsed="false">
      <c r="A303" s="12" t="n">
        <v>4413129</v>
      </c>
      <c r="B303" s="12" t="str">
        <f aca="false">IFERROR(INDEX('בתי מרקחת Raw'!$B:$B,MATCH($A303,'בתי מרקחת Raw'!$F:$F,0)),"")</f>
        <v>75 XLמיישר כתף יציב יישור ג.צר</v>
      </c>
      <c r="C303" s="12" t="n">
        <f aca="false">SUMIFS('בתי מרקחת Raw'!$D$6:$D$1616,'בתי מרקחת Raw'!$F$6:$F$1616,$A303,'בתי מרקחת Raw'!$C$6:$C$1616,2025)</f>
        <v>15</v>
      </c>
      <c r="D303" s="12" t="n">
        <f aca="false">SUMIFS('בתי מרקחת Raw'!$D$6:$D$1616,'בתי מרקחת Raw'!$F$6:$F$1616,$A303,'בתי מרקחת Raw'!$C$6:$C$1616,2026)</f>
        <v>2</v>
      </c>
      <c r="E303" s="12" t="n">
        <f aca="false">D303*$J$5</f>
        <v>2.52631578947368</v>
      </c>
      <c r="F303" s="12" t="n">
        <f aca="false">E303-C303</f>
        <v>-12.4736842105263</v>
      </c>
      <c r="G303" s="21" t="n">
        <f aca="false">IF(AND(C303=0,E303=0),0,IF(C303=0,"New",(E303-C303)/C303))</f>
        <v>-0.831578947368421</v>
      </c>
      <c r="H303" s="12" t="n">
        <f aca="false">SUMIFS('בתי מרקחת Raw'!$E$6:$E$1616,'בתי מרקחת Raw'!$F$6:$F$1616,$A303,'בתי מרקחת Raw'!$C$6:$C$1616,2025)</f>
        <v>2465.8</v>
      </c>
      <c r="I303" s="12" t="n">
        <f aca="false">SUMIFS('בתי מרקחת Raw'!$E$6:$E$1616,'בתי מרקחת Raw'!$F$6:$F$1616,$A303,'בתי מרקחת Raw'!$C$6:$C$1616,2026)</f>
        <v>320.8</v>
      </c>
      <c r="J303" s="12" t="n">
        <f aca="false">I303*$J$5</f>
        <v>405.221052631579</v>
      </c>
    </row>
    <row r="304" customFormat="false" ht="15" hidden="false" customHeight="true" outlineLevel="0" collapsed="false">
      <c r="A304" s="12" t="n">
        <v>4413130</v>
      </c>
      <c r="B304" s="12" t="str">
        <f aca="false">IFERROR(INDEX('בתי מרקחת Raw'!$B:$B,MATCH($A304,'בתי מרקחת Raw'!$F:$F,0)),"")</f>
        <v>75  XXL מיישר כתף יציב ישור צר</v>
      </c>
      <c r="C304" s="12" t="n">
        <f aca="false">SUMIFS('בתי מרקחת Raw'!$D$6:$D$1616,'בתי מרקחת Raw'!$F$6:$F$1616,$A304,'בתי מרקחת Raw'!$C$6:$C$1616,2025)</f>
        <v>10</v>
      </c>
      <c r="D304" s="12" t="n">
        <f aca="false">SUMIFS('בתי מרקחת Raw'!$D$6:$D$1616,'בתי מרקחת Raw'!$F$6:$F$1616,$A304,'בתי מרקחת Raw'!$C$6:$C$1616,2026)</f>
        <v>2</v>
      </c>
      <c r="E304" s="12" t="n">
        <f aca="false">D304*$J$5</f>
        <v>2.52631578947368</v>
      </c>
      <c r="F304" s="12" t="n">
        <f aca="false">E304-C304</f>
        <v>-7.47368421052632</v>
      </c>
      <c r="G304" s="21" t="n">
        <f aca="false">IF(AND(C304=0,E304=0),0,IF(C304=0,"New",(E304-C304)/C304))</f>
        <v>-0.747368421052632</v>
      </c>
      <c r="H304" s="12" t="n">
        <f aca="false">SUMIFS('בתי מרקחת Raw'!$E$6:$E$1616,'בתי מרקחת Raw'!$F$6:$F$1616,$A304,'בתי מרקחת Raw'!$C$6:$C$1616,2025)</f>
        <v>1530.51</v>
      </c>
      <c r="I304" s="12" t="n">
        <f aca="false">SUMIFS('בתי מרקחת Raw'!$E$6:$E$1616,'בתי מרקחת Raw'!$F$6:$F$1616,$A304,'בתי מרקחת Raw'!$C$6:$C$1616,2026)</f>
        <v>371.8</v>
      </c>
      <c r="J304" s="12" t="n">
        <f aca="false">I304*$J$5</f>
        <v>469.642105263158</v>
      </c>
    </row>
    <row r="305" customFormat="false" ht="15" hidden="false" customHeight="true" outlineLevel="0" collapsed="false">
      <c r="A305" s="12" t="n">
        <v>4413131</v>
      </c>
      <c r="B305" s="12" t="str">
        <f aca="false">IFERROR(INDEX('בתי מרקחת Raw'!$B:$B,MATCH($A305,'בתי מרקחת Raw'!$F:$F,0)),"")</f>
        <v>76 Sמיישר כתף יציב יישור ג.רחב</v>
      </c>
      <c r="C305" s="12" t="n">
        <f aca="false">SUMIFS('בתי מרקחת Raw'!$D$6:$D$1616,'בתי מרקחת Raw'!$F$6:$F$1616,$A305,'בתי מרקחת Raw'!$C$6:$C$1616,2025)</f>
        <v>9</v>
      </c>
      <c r="D305" s="12" t="n">
        <f aca="false">SUMIFS('בתי מרקחת Raw'!$D$6:$D$1616,'בתי מרקחת Raw'!$F$6:$F$1616,$A305,'בתי מרקחת Raw'!$C$6:$C$1616,2026)</f>
        <v>10</v>
      </c>
      <c r="E305" s="12" t="n">
        <f aca="false">D305*$J$5</f>
        <v>12.6315789473684</v>
      </c>
      <c r="F305" s="12" t="n">
        <f aca="false">E305-C305</f>
        <v>3.63157894736842</v>
      </c>
      <c r="G305" s="21" t="n">
        <f aca="false">IF(AND(C305=0,E305=0),0,IF(C305=0,"New",(E305-C305)/C305))</f>
        <v>0.403508771929825</v>
      </c>
      <c r="H305" s="12" t="n">
        <f aca="false">SUMIFS('בתי מרקחת Raw'!$E$6:$E$1616,'בתי מרקחת Raw'!$F$6:$F$1616,$A305,'בתי מרקחת Raw'!$C$6:$C$1616,2025)</f>
        <v>1841.6</v>
      </c>
      <c r="I305" s="12" t="n">
        <f aca="false">SUMIFS('בתי מרקחת Raw'!$E$6:$E$1616,'בתי מרקחת Raw'!$F$6:$F$1616,$A305,'בתי מרקחת Raw'!$C$6:$C$1616,2026)</f>
        <v>2080.58</v>
      </c>
      <c r="J305" s="12" t="n">
        <f aca="false">I305*$J$5</f>
        <v>2628.10105263158</v>
      </c>
    </row>
    <row r="306" customFormat="false" ht="15" hidden="false" customHeight="true" outlineLevel="0" collapsed="false">
      <c r="A306" s="12" t="n">
        <v>4413132</v>
      </c>
      <c r="B306" s="12" t="str">
        <f aca="false">IFERROR(INDEX('בתי מרקחת Raw'!$B:$B,MATCH($A306,'בתי מרקחת Raw'!$F:$F,0)),"")</f>
        <v>76 Lמיישר כתף יציב יישור רחב</v>
      </c>
      <c r="C306" s="12" t="n">
        <f aca="false">SUMIFS('בתי מרקחת Raw'!$D$6:$D$1616,'בתי מרקחת Raw'!$F$6:$F$1616,$A306,'בתי מרקחת Raw'!$C$6:$C$1616,2025)</f>
        <v>28</v>
      </c>
      <c r="D306" s="12" t="n">
        <f aca="false">SUMIFS('בתי מרקחת Raw'!$D$6:$D$1616,'בתי מרקחת Raw'!$F$6:$F$1616,$A306,'בתי מרקחת Raw'!$C$6:$C$1616,2026)</f>
        <v>22</v>
      </c>
      <c r="E306" s="12" t="n">
        <f aca="false">D306*$J$5</f>
        <v>27.7894736842105</v>
      </c>
      <c r="F306" s="12" t="n">
        <f aca="false">E306-C306</f>
        <v>-0.210526315789476</v>
      </c>
      <c r="G306" s="21" t="n">
        <f aca="false">IF(AND(C306=0,E306=0),0,IF(C306=0,"New",(E306-C306)/C306))</f>
        <v>-0.00751879699248129</v>
      </c>
      <c r="H306" s="12" t="n">
        <f aca="false">SUMIFS('בתי מרקחת Raw'!$E$6:$E$1616,'בתי מרקחת Raw'!$F$6:$F$1616,$A306,'בתי מרקחת Raw'!$C$6:$C$1616,2025)</f>
        <v>5586.3</v>
      </c>
      <c r="I306" s="12" t="n">
        <f aca="false">SUMIFS('בתי מרקחת Raw'!$E$6:$E$1616,'בתי מרקחת Raw'!$F$6:$F$1616,$A306,'בתי מרקחת Raw'!$C$6:$C$1616,2026)</f>
        <v>4517.18</v>
      </c>
      <c r="J306" s="12" t="n">
        <f aca="false">I306*$J$5</f>
        <v>5705.91157894737</v>
      </c>
    </row>
    <row r="307" customFormat="false" ht="15" hidden="false" customHeight="true" outlineLevel="0" collapsed="false">
      <c r="A307" s="12" t="n">
        <v>4413133</v>
      </c>
      <c r="B307" s="12" t="str">
        <f aca="false">IFERROR(INDEX('בתי מרקחת Raw'!$B:$B,MATCH($A307,'בתי מרקחת Raw'!$F:$F,0)),"")</f>
        <v>76 Mמיישר כתף יציב,יישור רחב</v>
      </c>
      <c r="C307" s="12" t="n">
        <f aca="false">SUMIFS('בתי מרקחת Raw'!$D$6:$D$1616,'בתי מרקחת Raw'!$F$6:$F$1616,$A307,'בתי מרקחת Raw'!$C$6:$C$1616,2025)</f>
        <v>31</v>
      </c>
      <c r="D307" s="12" t="n">
        <f aca="false">SUMIFS('בתי מרקחת Raw'!$D$6:$D$1616,'בתי מרקחת Raw'!$F$6:$F$1616,$A307,'בתי מרקחת Raw'!$C$6:$C$1616,2026)</f>
        <v>18</v>
      </c>
      <c r="E307" s="12" t="n">
        <f aca="false">D307*$J$5</f>
        <v>22.7368421052632</v>
      </c>
      <c r="F307" s="12" t="n">
        <f aca="false">E307-C307</f>
        <v>-8.26315789473684</v>
      </c>
      <c r="G307" s="21" t="n">
        <f aca="false">IF(AND(C307=0,E307=0),0,IF(C307=0,"New",(E307-C307)/C307))</f>
        <v>-0.266553480475382</v>
      </c>
      <c r="H307" s="12" t="n">
        <f aca="false">SUMIFS('בתי מרקחת Raw'!$E$6:$E$1616,'בתי מרקחת Raw'!$F$6:$F$1616,$A307,'בתי מרקחת Raw'!$C$6:$C$1616,2025)</f>
        <v>6250.48</v>
      </c>
      <c r="I307" s="12" t="n">
        <f aca="false">SUMIFS('בתי מרקחת Raw'!$E$6:$E$1616,'בתי מרקחת Raw'!$F$6:$F$1616,$A307,'בתי מרקחת Raw'!$C$6:$C$1616,2026)</f>
        <v>3674.6</v>
      </c>
      <c r="J307" s="12" t="n">
        <f aca="false">I307*$J$5</f>
        <v>4641.6</v>
      </c>
    </row>
    <row r="308" customFormat="false" ht="15" hidden="false" customHeight="true" outlineLevel="0" collapsed="false">
      <c r="A308" s="12" t="n">
        <v>4413134</v>
      </c>
      <c r="B308" s="12" t="str">
        <f aca="false">IFERROR(INDEX('בתי מרקחת Raw'!$B:$B,MATCH($A308,'בתי מרקחת Raw'!$F:$F,0)),"")</f>
        <v>76 XLמיישר כתף יציב יישור רחב</v>
      </c>
      <c r="C308" s="12" t="n">
        <f aca="false">SUMIFS('בתי מרקחת Raw'!$D$6:$D$1616,'בתי מרקחת Raw'!$F$6:$F$1616,$A308,'בתי מרקחת Raw'!$C$6:$C$1616,2025)</f>
        <v>22</v>
      </c>
      <c r="D308" s="12" t="n">
        <f aca="false">SUMIFS('בתי מרקחת Raw'!$D$6:$D$1616,'בתי מרקחת Raw'!$F$6:$F$1616,$A308,'בתי מרקחת Raw'!$C$6:$C$1616,2026)</f>
        <v>15</v>
      </c>
      <c r="E308" s="12" t="n">
        <f aca="false">D308*$J$5</f>
        <v>18.9473684210526</v>
      </c>
      <c r="F308" s="12" t="n">
        <f aca="false">E308-C308</f>
        <v>-3.05263157894737</v>
      </c>
      <c r="G308" s="21" t="n">
        <f aca="false">IF(AND(C308=0,E308=0),0,IF(C308=0,"New",(E308-C308)/C308))</f>
        <v>-0.138755980861244</v>
      </c>
      <c r="H308" s="12" t="n">
        <f aca="false">SUMIFS('בתי מרקחת Raw'!$E$6:$E$1616,'בתי מרקחת Raw'!$F$6:$F$1616,$A308,'בתי מרקחת Raw'!$C$6:$C$1616,2025)</f>
        <v>4426</v>
      </c>
      <c r="I308" s="12" t="n">
        <f aca="false">SUMIFS('בתי מרקחת Raw'!$E$6:$E$1616,'בתי מרקחת Raw'!$F$6:$F$1616,$A308,'בתי מרקחת Raw'!$C$6:$C$1616,2026)</f>
        <v>3070</v>
      </c>
      <c r="J308" s="12" t="n">
        <f aca="false">I308*$J$5</f>
        <v>3877.89473684211</v>
      </c>
    </row>
    <row r="309" customFormat="false" ht="15" hidden="false" customHeight="true" outlineLevel="0" collapsed="false">
      <c r="A309" s="12" t="n">
        <v>4413135</v>
      </c>
      <c r="B309" s="12" t="str">
        <f aca="false">IFERROR(INDEX('בתי מרקחת Raw'!$B:$B,MATCH($A309,'בתי מרקחת Raw'!$F:$F,0)),"")</f>
        <v>85 L (מתלה ליד )כיס</v>
      </c>
      <c r="C309" s="12" t="n">
        <f aca="false">SUMIFS('בתי מרקחת Raw'!$D$6:$D$1616,'בתי מרקחת Raw'!$F$6:$F$1616,$A309,'בתי מרקחת Raw'!$C$6:$C$1616,2025)</f>
        <v>220</v>
      </c>
      <c r="D309" s="12" t="n">
        <f aca="false">SUMIFS('בתי מרקחת Raw'!$D$6:$D$1616,'בתי מרקחת Raw'!$F$6:$F$1616,$A309,'בתי מרקחת Raw'!$C$6:$C$1616,2026)</f>
        <v>150</v>
      </c>
      <c r="E309" s="12" t="n">
        <f aca="false">D309*$J$5</f>
        <v>189.473684210526</v>
      </c>
      <c r="F309" s="12" t="n">
        <f aca="false">E309-C309</f>
        <v>-30.5263157894737</v>
      </c>
      <c r="G309" s="21" t="n">
        <f aca="false">IF(AND(C309=0,E309=0),0,IF(C309=0,"New",(E309-C309)/C309))</f>
        <v>-0.138755980861244</v>
      </c>
      <c r="H309" s="12" t="n">
        <f aca="false">SUMIFS('בתי מרקחת Raw'!$E$6:$E$1616,'בתי מרקחת Raw'!$F$6:$F$1616,$A309,'בתי מרקחת Raw'!$C$6:$C$1616,2025)</f>
        <v>11956.51</v>
      </c>
      <c r="I309" s="12" t="n">
        <f aca="false">SUMIFS('בתי מרקחת Raw'!$E$6:$E$1616,'בתי מרקחת Raw'!$F$6:$F$1616,$A309,'בתי מרקחת Raw'!$C$6:$C$1616,2026)</f>
        <v>8254.6</v>
      </c>
      <c r="J309" s="12" t="n">
        <f aca="false">I309*$J$5</f>
        <v>10426.8631578947</v>
      </c>
    </row>
    <row r="310" customFormat="false" ht="15" hidden="false" customHeight="true" outlineLevel="0" collapsed="false">
      <c r="A310" s="12" t="n">
        <v>4413136</v>
      </c>
      <c r="B310" s="12" t="str">
        <f aca="false">IFERROR(INDEX('בתי מרקחת Raw'!$B:$B,MATCH($A310,'בתי מרקחת Raw'!$F:$F,0)),"")</f>
        <v>85 M (מתלה ליד )כיס</v>
      </c>
      <c r="C310" s="12" t="n">
        <f aca="false">SUMIFS('בתי מרקחת Raw'!$D$6:$D$1616,'בתי מרקחת Raw'!$F$6:$F$1616,$A310,'בתי מרקחת Raw'!$C$6:$C$1616,2025)</f>
        <v>206</v>
      </c>
      <c r="D310" s="12" t="n">
        <f aca="false">SUMIFS('בתי מרקחת Raw'!$D$6:$D$1616,'בתי מרקחת Raw'!$F$6:$F$1616,$A310,'בתי מרקחת Raw'!$C$6:$C$1616,2026)</f>
        <v>115</v>
      </c>
      <c r="E310" s="12" t="n">
        <f aca="false">D310*$J$5</f>
        <v>145.263157894737</v>
      </c>
      <c r="F310" s="12" t="n">
        <f aca="false">E310-C310</f>
        <v>-60.7368421052632</v>
      </c>
      <c r="G310" s="21" t="n">
        <f aca="false">IF(AND(C310=0,E310=0),0,IF(C310=0,"New",(E310-C310)/C310))</f>
        <v>-0.294839039345938</v>
      </c>
      <c r="H310" s="12" t="n">
        <f aca="false">SUMIFS('בתי מרקחת Raw'!$E$6:$E$1616,'בתי מרקחת Raw'!$F$6:$F$1616,$A310,'בתי מרקחת Raw'!$C$6:$C$1616,2025)</f>
        <v>11210.21</v>
      </c>
      <c r="I310" s="12" t="n">
        <f aca="false">SUMIFS('בתי מרקחת Raw'!$E$6:$E$1616,'בתי מרקחת Raw'!$F$6:$F$1616,$A310,'בתי מרקחת Raw'!$C$6:$C$1616,2026)</f>
        <v>6293.9</v>
      </c>
      <c r="J310" s="12" t="n">
        <f aca="false">I310*$J$5</f>
        <v>7950.18947368421</v>
      </c>
    </row>
    <row r="311" customFormat="false" ht="15" hidden="false" customHeight="true" outlineLevel="0" collapsed="false">
      <c r="A311" s="12" t="n">
        <v>4413137</v>
      </c>
      <c r="B311" s="12" t="str">
        <f aca="false">IFERROR(INDEX('בתי מרקחת Raw'!$B:$B,MATCH($A311,'בתי מרקחת Raw'!$F:$F,0)),"")</f>
        <v>85 S (מתלה ליד )כיס</v>
      </c>
      <c r="C311" s="12" t="n">
        <f aca="false">SUMIFS('בתי מרקחת Raw'!$D$6:$D$1616,'בתי מרקחת Raw'!$F$6:$F$1616,$A311,'בתי מרקחת Raw'!$C$6:$C$1616,2025)</f>
        <v>79</v>
      </c>
      <c r="D311" s="12" t="n">
        <f aca="false">SUMIFS('בתי מרקחת Raw'!$D$6:$D$1616,'בתי מרקחת Raw'!$F$6:$F$1616,$A311,'בתי מרקחת Raw'!$C$6:$C$1616,2026)</f>
        <v>45</v>
      </c>
      <c r="E311" s="12" t="n">
        <f aca="false">D311*$J$5</f>
        <v>56.8421052631579</v>
      </c>
      <c r="F311" s="12" t="n">
        <f aca="false">E311-C311</f>
        <v>-22.1578947368421</v>
      </c>
      <c r="G311" s="21" t="n">
        <f aca="false">IF(AND(C311=0,E311=0),0,IF(C311=0,"New",(E311-C311)/C311))</f>
        <v>-0.280479680213191</v>
      </c>
      <c r="H311" s="12" t="n">
        <f aca="false">SUMIFS('בתי מרקחת Raw'!$E$6:$E$1616,'בתי מרקחת Raw'!$F$6:$F$1616,$A311,'בתי מרקחת Raw'!$C$6:$C$1616,2025)</f>
        <v>4361.8</v>
      </c>
      <c r="I311" s="12" t="n">
        <f aca="false">SUMIFS('בתי מרקחת Raw'!$E$6:$E$1616,'בתי מרקחת Raw'!$F$6:$F$1616,$A311,'בתי מרקחת Raw'!$C$6:$C$1616,2026)</f>
        <v>2392.86</v>
      </c>
      <c r="J311" s="12" t="n">
        <f aca="false">I311*$J$5</f>
        <v>3022.56</v>
      </c>
    </row>
    <row r="312" customFormat="false" ht="15" hidden="false" customHeight="true" outlineLevel="0" collapsed="false">
      <c r="A312" s="12" t="n">
        <v>4413138</v>
      </c>
      <c r="B312" s="12" t="str">
        <f aca="false">IFERROR(INDEX('בתי מרקחת Raw'!$B:$B,MATCH($A312,'בתי מרקחת Raw'!$F:$F,0)),"")</f>
        <v>85 XL (מתלה ליד )כיס</v>
      </c>
      <c r="C312" s="12" t="n">
        <f aca="false">SUMIFS('בתי מרקחת Raw'!$D$6:$D$1616,'בתי מרקחת Raw'!$F$6:$F$1616,$A312,'בתי מרקחת Raw'!$C$6:$C$1616,2025)</f>
        <v>95</v>
      </c>
      <c r="D312" s="12" t="n">
        <f aca="false">SUMIFS('בתי מרקחת Raw'!$D$6:$D$1616,'בתי מרקחת Raw'!$F$6:$F$1616,$A312,'בתי מרקחת Raw'!$C$6:$C$1616,2026)</f>
        <v>75</v>
      </c>
      <c r="E312" s="12" t="n">
        <f aca="false">D312*$J$5</f>
        <v>94.7368421052632</v>
      </c>
      <c r="F312" s="12" t="n">
        <f aca="false">E312-C312</f>
        <v>-0.26315789473685</v>
      </c>
      <c r="G312" s="21" t="n">
        <f aca="false">IF(AND(C312=0,E312=0),0,IF(C312=0,"New",(E312-C312)/C312))</f>
        <v>-0.00277008310249315</v>
      </c>
      <c r="H312" s="12" t="n">
        <f aca="false">SUMIFS('בתי מרקחת Raw'!$E$6:$E$1616,'בתי מרקחת Raw'!$F$6:$F$1616,$A312,'בתי מרקחת Raw'!$C$6:$C$1616,2025)</f>
        <v>5172.87</v>
      </c>
      <c r="I312" s="12" t="n">
        <f aca="false">SUMIFS('בתי מרקחת Raw'!$E$6:$E$1616,'בתי מרקחת Raw'!$F$6:$F$1616,$A312,'בתי מרקחת Raw'!$C$6:$C$1616,2026)</f>
        <v>4117.87</v>
      </c>
      <c r="J312" s="12" t="n">
        <f aca="false">I312*$J$5</f>
        <v>5201.52</v>
      </c>
    </row>
    <row r="313" customFormat="false" ht="15" hidden="false" customHeight="true" outlineLevel="0" collapsed="false">
      <c r="A313" s="12" t="n">
        <v>4413139</v>
      </c>
      <c r="B313" s="12" t="str">
        <f aca="false">IFERROR(INDEX('בתי מרקחת Raw'!$B:$B,MATCH($A313,'בתי מרקחת Raw'!$F:$F,0)),"")</f>
        <v>95 L מגן מרפק רגיל לבן</v>
      </c>
      <c r="C313" s="12" t="n">
        <f aca="false">SUMIFS('בתי מרקחת Raw'!$D$6:$D$1616,'בתי מרקחת Raw'!$F$6:$F$1616,$A313,'בתי מרקחת Raw'!$C$6:$C$1616,2025)</f>
        <v>112</v>
      </c>
      <c r="D313" s="12" t="n">
        <f aca="false">SUMIFS('בתי מרקחת Raw'!$D$6:$D$1616,'בתי מרקחת Raw'!$F$6:$F$1616,$A313,'בתי מרקחת Raw'!$C$6:$C$1616,2026)</f>
        <v>99</v>
      </c>
      <c r="E313" s="12" t="n">
        <f aca="false">D313*$J$5</f>
        <v>125.052631578947</v>
      </c>
      <c r="F313" s="12" t="n">
        <f aca="false">E313-C313</f>
        <v>13.0526315789474</v>
      </c>
      <c r="G313" s="21" t="n">
        <f aca="false">IF(AND(C313=0,E313=0),0,IF(C313=0,"New",(E313-C313)/C313))</f>
        <v>0.116541353383459</v>
      </c>
      <c r="H313" s="12" t="n">
        <f aca="false">SUMIFS('בתי מרקחת Raw'!$E$6:$E$1616,'בתי מרקחת Raw'!$F$6:$F$1616,$A313,'בתי מרקחת Raw'!$C$6:$C$1616,2025)</f>
        <v>3348.09</v>
      </c>
      <c r="I313" s="12" t="n">
        <f aca="false">SUMIFS('בתי מרקחת Raw'!$E$6:$E$1616,'בתי מרקחת Raw'!$F$6:$F$1616,$A313,'בתי מרקחת Raw'!$C$6:$C$1616,2026)</f>
        <v>2971.68</v>
      </c>
      <c r="J313" s="12" t="n">
        <f aca="false">I313*$J$5</f>
        <v>3753.70105263158</v>
      </c>
    </row>
    <row r="314" customFormat="false" ht="15" hidden="false" customHeight="true" outlineLevel="0" collapsed="false">
      <c r="A314" s="12" t="n">
        <v>4413140</v>
      </c>
      <c r="B314" s="12" t="str">
        <f aca="false">IFERROR(INDEX('בתי מרקחת Raw'!$B:$B,MATCH($A314,'בתי מרקחת Raw'!$F:$F,0)),"")</f>
        <v>95 M מגן מרפק רגיל לבן</v>
      </c>
      <c r="C314" s="12" t="n">
        <f aca="false">SUMIFS('בתי מרקחת Raw'!$D$6:$D$1616,'בתי מרקחת Raw'!$F$6:$F$1616,$A314,'בתי מרקחת Raw'!$C$6:$C$1616,2025)</f>
        <v>157</v>
      </c>
      <c r="D314" s="12" t="n">
        <f aca="false">SUMIFS('בתי מרקחת Raw'!$D$6:$D$1616,'בתי מרקחת Raw'!$F$6:$F$1616,$A314,'בתי מרקחת Raw'!$C$6:$C$1616,2026)</f>
        <v>112</v>
      </c>
      <c r="E314" s="12" t="n">
        <f aca="false">D314*$J$5</f>
        <v>141.473684210526</v>
      </c>
      <c r="F314" s="12" t="n">
        <f aca="false">E314-C314</f>
        <v>-15.5263157894737</v>
      </c>
      <c r="G314" s="21" t="n">
        <f aca="false">IF(AND(C314=0,E314=0),0,IF(C314=0,"New",(E314-C314)/C314))</f>
        <v>-0.0988937311431446</v>
      </c>
      <c r="H314" s="12" t="n">
        <f aca="false">SUMIFS('בתי מרקחת Raw'!$E$6:$E$1616,'בתי מרקחת Raw'!$F$6:$F$1616,$A314,'בתי מרקחת Raw'!$C$6:$C$1616,2025)</f>
        <v>4651.3</v>
      </c>
      <c r="I314" s="12" t="n">
        <f aca="false">SUMIFS('בתי מרקחת Raw'!$E$6:$E$1616,'בתי מרקחת Raw'!$F$6:$F$1616,$A314,'בתי מרקחת Raw'!$C$6:$C$1616,2026)</f>
        <v>3326.66</v>
      </c>
      <c r="J314" s="12" t="n">
        <f aca="false">I314*$J$5</f>
        <v>4202.09684210526</v>
      </c>
    </row>
    <row r="315" customFormat="false" ht="15" hidden="false" customHeight="true" outlineLevel="0" collapsed="false">
      <c r="A315" s="12" t="n">
        <v>4413141</v>
      </c>
      <c r="B315" s="12" t="str">
        <f aca="false">IFERROR(INDEX('בתי מרקחת Raw'!$B:$B,MATCH($A315,'בתי מרקחת Raw'!$F:$F,0)),"")</f>
        <v>95 S מגן מרפק רגיל לבן</v>
      </c>
      <c r="C315" s="12" t="n">
        <f aca="false">SUMIFS('בתי מרקחת Raw'!$D$6:$D$1616,'בתי מרקחת Raw'!$F$6:$F$1616,$A315,'בתי מרקחת Raw'!$C$6:$C$1616,2025)</f>
        <v>134</v>
      </c>
      <c r="D315" s="12" t="n">
        <f aca="false">SUMIFS('בתי מרקחת Raw'!$D$6:$D$1616,'בתי מרקחת Raw'!$F$6:$F$1616,$A315,'בתי מרקחת Raw'!$C$6:$C$1616,2026)</f>
        <v>64</v>
      </c>
      <c r="E315" s="12" t="n">
        <f aca="false">D315*$J$5</f>
        <v>80.8421052631579</v>
      </c>
      <c r="F315" s="12" t="n">
        <f aca="false">E315-C315</f>
        <v>-53.1578947368421</v>
      </c>
      <c r="G315" s="21" t="n">
        <f aca="false">IF(AND(C315=0,E315=0),0,IF(C315=0,"New",(E315-C315)/C315))</f>
        <v>-0.396700706991359</v>
      </c>
      <c r="H315" s="12" t="n">
        <f aca="false">SUMIFS('בתי מרקחת Raw'!$E$6:$E$1616,'בתי מרקחת Raw'!$F$6:$F$1616,$A315,'בתי מרקחת Raw'!$C$6:$C$1616,2025)</f>
        <v>3972.6</v>
      </c>
      <c r="I315" s="12" t="n">
        <f aca="false">SUMIFS('בתי מרקחת Raw'!$E$6:$E$1616,'בתי מרקחת Raw'!$F$6:$F$1616,$A315,'בתי מרקחת Raw'!$C$6:$C$1616,2026)</f>
        <v>1701.8</v>
      </c>
      <c r="J315" s="12" t="n">
        <f aca="false">I315*$J$5</f>
        <v>2149.64210526316</v>
      </c>
    </row>
    <row r="316" customFormat="false" ht="15" hidden="false" customHeight="true" outlineLevel="0" collapsed="false">
      <c r="A316" s="12" t="n">
        <v>4413142</v>
      </c>
      <c r="B316" s="12" t="str">
        <f aca="false">IFERROR(INDEX('בתי מרקחת Raw'!$B:$B,MATCH($A316,'בתי מרקחת Raw'!$F:$F,0)),"")</f>
        <v>95 XL מגן מרפק רגיל לבן</v>
      </c>
      <c r="C316" s="12" t="n">
        <f aca="false">SUMIFS('בתי מרקחת Raw'!$D$6:$D$1616,'בתי מרקחת Raw'!$F$6:$F$1616,$A316,'בתי מרקחת Raw'!$C$6:$C$1616,2025)</f>
        <v>50</v>
      </c>
      <c r="D316" s="12" t="n">
        <f aca="false">SUMIFS('בתי מרקחת Raw'!$D$6:$D$1616,'בתי מרקחת Raw'!$F$6:$F$1616,$A316,'בתי מרקחת Raw'!$C$6:$C$1616,2026)</f>
        <v>32</v>
      </c>
      <c r="E316" s="12" t="n">
        <f aca="false">D316*$J$5</f>
        <v>40.4210526315789</v>
      </c>
      <c r="F316" s="12" t="n">
        <f aca="false">E316-C316</f>
        <v>-9.57894736842106</v>
      </c>
      <c r="G316" s="21" t="n">
        <f aca="false">IF(AND(C316=0,E316=0),0,IF(C316=0,"New",(E316-C316)/C316))</f>
        <v>-0.191578947368421</v>
      </c>
      <c r="H316" s="12" t="n">
        <f aca="false">SUMIFS('בתי מרקחת Raw'!$E$6:$E$1616,'בתי מרקחת Raw'!$F$6:$F$1616,$A316,'בתי מרקחת Raw'!$C$6:$C$1616,2025)</f>
        <v>1470.99</v>
      </c>
      <c r="I316" s="12" t="n">
        <f aca="false">SUMIFS('בתי מרקחת Raw'!$E$6:$E$1616,'בתי מרקחת Raw'!$F$6:$F$1616,$A316,'בתי מרקחת Raw'!$C$6:$C$1616,2026)</f>
        <v>953.5</v>
      </c>
      <c r="J316" s="12" t="n">
        <f aca="false">I316*$J$5</f>
        <v>1204.42105263158</v>
      </c>
    </row>
    <row r="317" customFormat="false" ht="15" hidden="false" customHeight="true" outlineLevel="0" collapsed="false">
      <c r="A317" s="12" t="n">
        <v>4413143</v>
      </c>
      <c r="B317" s="12" t="str">
        <f aca="false">IFERROR(INDEX('בתי מרקחת Raw'!$B:$B,MATCH($A317,'בתי מרקחת Raw'!$F:$F,0)),"")</f>
        <v>95 XS מגן מרפק רגיל לבן</v>
      </c>
      <c r="C317" s="12" t="n">
        <f aca="false">SUMIFS('בתי מרקחת Raw'!$D$6:$D$1616,'בתי מרקחת Raw'!$F$6:$F$1616,$A317,'בתי מרקחת Raw'!$C$6:$C$1616,2025)</f>
        <v>25</v>
      </c>
      <c r="D317" s="12" t="n">
        <f aca="false">SUMIFS('בתי מרקחת Raw'!$D$6:$D$1616,'בתי מרקחת Raw'!$F$6:$F$1616,$A317,'בתי מרקחת Raw'!$C$6:$C$1616,2026)</f>
        <v>26</v>
      </c>
      <c r="E317" s="12" t="n">
        <f aca="false">D317*$J$5</f>
        <v>32.8421052631579</v>
      </c>
      <c r="F317" s="12" t="n">
        <f aca="false">E317-C317</f>
        <v>7.84210526315789</v>
      </c>
      <c r="G317" s="21" t="n">
        <f aca="false">IF(AND(C317=0,E317=0),0,IF(C317=0,"New",(E317-C317)/C317))</f>
        <v>0.313684210526316</v>
      </c>
      <c r="H317" s="12" t="n">
        <f aca="false">SUMIFS('בתי מרקחת Raw'!$E$6:$E$1616,'בתי מרקחת Raw'!$F$6:$F$1616,$A317,'בתי מרקחת Raw'!$C$6:$C$1616,2025)</f>
        <v>753.5</v>
      </c>
      <c r="I317" s="12" t="n">
        <f aca="false">SUMIFS('בתי מרקחת Raw'!$E$6:$E$1616,'בתי מרקחת Raw'!$F$6:$F$1616,$A317,'בתי מרקחת Raw'!$C$6:$C$1616,2026)</f>
        <v>784.57</v>
      </c>
      <c r="J317" s="12" t="n">
        <f aca="false">I317*$J$5</f>
        <v>991.035789473684</v>
      </c>
    </row>
    <row r="318" customFormat="false" ht="15" hidden="false" customHeight="true" outlineLevel="0" collapsed="false">
      <c r="A318" s="12" t="n">
        <v>4413144</v>
      </c>
      <c r="B318" s="12" t="str">
        <f aca="false">IFERROR(INDEX('בתי מרקחת Raw'!$B:$B,MATCH($A318,'בתי מרקחת Raw'!$F:$F,0)),"")</f>
        <v>95 XXL מגן מרפק רגיל לבן</v>
      </c>
      <c r="C318" s="12" t="n">
        <f aca="false">SUMIFS('בתי מרקחת Raw'!$D$6:$D$1616,'בתי מרקחת Raw'!$F$6:$F$1616,$A318,'בתי מרקחת Raw'!$C$6:$C$1616,2025)</f>
        <v>2</v>
      </c>
      <c r="D318" s="12" t="n">
        <f aca="false">SUMIFS('בתי מרקחת Raw'!$D$6:$D$1616,'בתי מרקחת Raw'!$F$6:$F$1616,$A318,'בתי מרקחת Raw'!$C$6:$C$1616,2026)</f>
        <v>5</v>
      </c>
      <c r="E318" s="12" t="n">
        <f aca="false">D318*$J$5</f>
        <v>6.31578947368421</v>
      </c>
      <c r="F318" s="12" t="n">
        <f aca="false">E318-C318</f>
        <v>4.31578947368421</v>
      </c>
      <c r="G318" s="21" t="n">
        <f aca="false">IF(AND(C318=0,E318=0),0,IF(C318=0,"New",(E318-C318)/C318))</f>
        <v>2.15789473684211</v>
      </c>
      <c r="H318" s="12" t="n">
        <f aca="false">SUMIFS('בתי מרקחת Raw'!$E$6:$E$1616,'בתי מרקחת Raw'!$F$6:$F$1616,$A318,'בתי מרקחת Raw'!$C$6:$C$1616,2025)</f>
        <v>61.8</v>
      </c>
      <c r="I318" s="12" t="n">
        <f aca="false">SUMIFS('בתי מרקחת Raw'!$E$6:$E$1616,'בתי מרקחת Raw'!$F$6:$F$1616,$A318,'בתי מרקחת Raw'!$C$6:$C$1616,2026)</f>
        <v>146.2</v>
      </c>
      <c r="J318" s="12" t="n">
        <f aca="false">I318*$J$5</f>
        <v>184.673684210526</v>
      </c>
    </row>
    <row r="319" customFormat="false" ht="15" hidden="false" customHeight="true" outlineLevel="0" collapsed="false">
      <c r="A319" s="12" t="n">
        <v>4413149</v>
      </c>
      <c r="B319" s="12" t="str">
        <f aca="false">IFERROR(INDEX('בתי מרקחת Raw'!$B:$B,MATCH($A319,'בתי מרקחת Raw'!$F:$F,0)),"")</f>
        <v>FC321-מלח אמבט לכף הרגל</v>
      </c>
      <c r="C319" s="12" t="n">
        <f aca="false">SUMIFS('בתי מרקחת Raw'!$D$6:$D$1616,'בתי מרקחת Raw'!$F$6:$F$1616,$A319,'בתי מרקחת Raw'!$C$6:$C$1616,2025)</f>
        <v>395</v>
      </c>
      <c r="D319" s="12" t="n">
        <f aca="false">SUMIFS('בתי מרקחת Raw'!$D$6:$D$1616,'בתי מרקחת Raw'!$F$6:$F$1616,$A319,'בתי מרקחת Raw'!$C$6:$C$1616,2026)</f>
        <v>99</v>
      </c>
      <c r="E319" s="12" t="n">
        <f aca="false">D319*$J$5</f>
        <v>125.052631578947</v>
      </c>
      <c r="F319" s="12" t="n">
        <f aca="false">E319-C319</f>
        <v>-269.947368421053</v>
      </c>
      <c r="G319" s="21" t="n">
        <f aca="false">IF(AND(C319=0,E319=0),0,IF(C319=0,"New",(E319-C319)/C319))</f>
        <v>-0.683411059293804</v>
      </c>
      <c r="H319" s="12" t="n">
        <f aca="false">SUMIFS('בתי מרקחת Raw'!$E$6:$E$1616,'בתי מרקחת Raw'!$F$6:$F$1616,$A319,'בתי מרקחת Raw'!$C$6:$C$1616,2025)</f>
        <v>5204.59</v>
      </c>
      <c r="I319" s="12" t="n">
        <f aca="false">SUMIFS('בתי מרקחת Raw'!$E$6:$E$1616,'בתי מרקחת Raw'!$F$6:$F$1616,$A319,'בתי מרקחת Raw'!$C$6:$C$1616,2026)</f>
        <v>1348.38</v>
      </c>
      <c r="J319" s="12" t="n">
        <f aca="false">I319*$J$5</f>
        <v>1703.21684210526</v>
      </c>
    </row>
    <row r="320" customFormat="false" ht="15" hidden="false" customHeight="true" outlineLevel="0" collapsed="false">
      <c r="A320" s="12" t="n">
        <v>4413150</v>
      </c>
      <c r="B320" s="12" t="str">
        <f aca="false">IFERROR(INDEX('בתי מרקחת Raw'!$B:$B,MATCH($A320,'בתי מרקחת Raw'!$F:$F,0)),"")</f>
        <v>PD341-מקצוע להסרת עור קשה</v>
      </c>
      <c r="C320" s="12" t="n">
        <f aca="false">SUMIFS('בתי מרקחת Raw'!$D$6:$D$1616,'בתי מרקחת Raw'!$F$6:$F$1616,$A320,'בתי מרקחת Raw'!$C$6:$C$1616,2025)</f>
        <v>53</v>
      </c>
      <c r="D320" s="12" t="n">
        <f aca="false">SUMIFS('בתי מרקחת Raw'!$D$6:$D$1616,'בתי מרקחת Raw'!$F$6:$F$1616,$A320,'בתי מרקחת Raw'!$C$6:$C$1616,2026)</f>
        <v>78</v>
      </c>
      <c r="E320" s="12" t="n">
        <f aca="false">D320*$J$5</f>
        <v>98.5263157894737</v>
      </c>
      <c r="F320" s="12" t="n">
        <f aca="false">E320-C320</f>
        <v>45.5263157894737</v>
      </c>
      <c r="G320" s="21" t="n">
        <f aca="false">IF(AND(C320=0,E320=0),0,IF(C320=0,"New",(E320-C320)/C320))</f>
        <v>0.858987090367428</v>
      </c>
      <c r="H320" s="12" t="n">
        <f aca="false">SUMIFS('בתי מרקחת Raw'!$E$6:$E$1616,'בתי מרקחת Raw'!$F$6:$F$1616,$A320,'בתי מרקחת Raw'!$C$6:$C$1616,2025)</f>
        <v>1501.72</v>
      </c>
      <c r="I320" s="12" t="n">
        <f aca="false">SUMIFS('בתי מרקחת Raw'!$E$6:$E$1616,'בתי מרקחת Raw'!$F$6:$F$1616,$A320,'בתי מרקחת Raw'!$C$6:$C$1616,2026)</f>
        <v>2244.51</v>
      </c>
      <c r="J320" s="12" t="n">
        <f aca="false">I320*$J$5</f>
        <v>2835.17052631579</v>
      </c>
    </row>
    <row r="321" customFormat="false" ht="15" hidden="false" customHeight="true" outlineLevel="0" collapsed="false">
      <c r="A321" s="12" t="n">
        <v>4413153</v>
      </c>
      <c r="B321" s="12" t="str">
        <f aca="false">IFERROR(INDEX('בתי מרקחת Raw'!$B:$B,MATCH($A321,'בתי מרקחת Raw'!$F:$F,0)),"")</f>
        <v>305GA מדרס אורטופ.מתכוון35-36</v>
      </c>
      <c r="C321" s="12" t="n">
        <f aca="false">SUMIFS('בתי מרקחת Raw'!$D$6:$D$1616,'בתי מרקחת Raw'!$F$6:$F$1616,$A321,'בתי מרקחת Raw'!$C$6:$C$1616,2025)</f>
        <v>6</v>
      </c>
      <c r="D321" s="12" t="n">
        <f aca="false">SUMIFS('בתי מרקחת Raw'!$D$6:$D$1616,'בתי מרקחת Raw'!$F$6:$F$1616,$A321,'בתי מרקחת Raw'!$C$6:$C$1616,2026)</f>
        <v>-2</v>
      </c>
      <c r="E321" s="12" t="n">
        <f aca="false">D321*$J$5</f>
        <v>-2.52631578947368</v>
      </c>
      <c r="F321" s="12" t="n">
        <f aca="false">E321-C321</f>
        <v>-8.52631578947369</v>
      </c>
      <c r="G321" s="21" t="n">
        <f aca="false">IF(AND(C321=0,E321=0),0,IF(C321=0,"New",(E321-C321)/C321))</f>
        <v>-1.42105263157895</v>
      </c>
      <c r="H321" s="12" t="n">
        <f aca="false">SUMIFS('בתי מרקחת Raw'!$E$6:$E$1616,'בתי מרקחת Raw'!$F$6:$F$1616,$A321,'בתי מרקחת Raw'!$C$6:$C$1616,2025)</f>
        <v>418.7</v>
      </c>
      <c r="I321" s="12" t="n">
        <f aca="false">SUMIFS('בתי מרקחת Raw'!$E$6:$E$1616,'בתי מרקחת Raw'!$F$6:$F$1616,$A321,'בתי מרקחת Raw'!$C$6:$C$1616,2026)</f>
        <v>-184.3</v>
      </c>
      <c r="J321" s="12" t="n">
        <f aca="false">I321*$J$5</f>
        <v>-232.8</v>
      </c>
    </row>
    <row r="322" customFormat="false" ht="15" hidden="false" customHeight="true" outlineLevel="0" collapsed="false">
      <c r="A322" s="12" t="n">
        <v>4413154</v>
      </c>
      <c r="B322" s="12" t="str">
        <f aca="false">IFERROR(INDEX('בתי מרקחת Raw'!$B:$B,MATCH($A322,'בתי מרקחת Raw'!$F:$F,0)),"")</f>
        <v>305GA מדרס אורטופ.מתכוון37-38</v>
      </c>
      <c r="C322" s="12" t="n">
        <f aca="false">SUMIFS('בתי מרקחת Raw'!$D$6:$D$1616,'בתי מרקחת Raw'!$F$6:$F$1616,$A322,'בתי מרקחת Raw'!$C$6:$C$1616,2025)</f>
        <v>6</v>
      </c>
      <c r="D322" s="12" t="n">
        <f aca="false">SUMIFS('בתי מרקחת Raw'!$D$6:$D$1616,'בתי מרקחת Raw'!$F$6:$F$1616,$A322,'בתי מרקחת Raw'!$C$6:$C$1616,2026)</f>
        <v>3</v>
      </c>
      <c r="E322" s="12" t="n">
        <f aca="false">D322*$J$5</f>
        <v>3.78947368421053</v>
      </c>
      <c r="F322" s="12" t="n">
        <f aca="false">E322-C322</f>
        <v>-2.21052631578947</v>
      </c>
      <c r="G322" s="21" t="n">
        <f aca="false">IF(AND(C322=0,E322=0),0,IF(C322=0,"New",(E322-C322)/C322))</f>
        <v>-0.368421052631579</v>
      </c>
      <c r="H322" s="12" t="n">
        <f aca="false">SUMIFS('בתי מרקחת Raw'!$E$6:$E$1616,'בתי מרקחת Raw'!$F$6:$F$1616,$A322,'בתי מרקחת Raw'!$C$6:$C$1616,2025)</f>
        <v>542.6</v>
      </c>
      <c r="I322" s="12" t="n">
        <f aca="false">SUMIFS('בתי מרקחת Raw'!$E$6:$E$1616,'בתי מרקחת Raw'!$F$6:$F$1616,$A322,'בתי מרקחת Raw'!$C$6:$C$1616,2026)</f>
        <v>281.1</v>
      </c>
      <c r="J322" s="12" t="n">
        <f aca="false">I322*$J$5</f>
        <v>355.073684210526</v>
      </c>
    </row>
    <row r="323" customFormat="false" ht="15" hidden="false" customHeight="true" outlineLevel="0" collapsed="false">
      <c r="A323" s="12" t="n">
        <v>4413155</v>
      </c>
      <c r="B323" s="12" t="str">
        <f aca="false">IFERROR(INDEX('בתי מרקחת Raw'!$B:$B,MATCH($A323,'בתי מרקחת Raw'!$F:$F,0)),"")</f>
        <v>305GA מדרס אורטופ.מתכוון39-40</v>
      </c>
      <c r="C323" s="12" t="n">
        <f aca="false">SUMIFS('בתי מרקחת Raw'!$D$6:$D$1616,'בתי מרקחת Raw'!$F$6:$F$1616,$A323,'בתי מרקחת Raw'!$C$6:$C$1616,2025)</f>
        <v>19</v>
      </c>
      <c r="D323" s="12" t="n">
        <f aca="false">SUMIFS('בתי מרקחת Raw'!$D$6:$D$1616,'בתי מרקחת Raw'!$F$6:$F$1616,$A323,'בתי מרקחת Raw'!$C$6:$C$1616,2026)</f>
        <v>5</v>
      </c>
      <c r="E323" s="12" t="n">
        <f aca="false">D323*$J$5</f>
        <v>6.31578947368421</v>
      </c>
      <c r="F323" s="12" t="n">
        <f aca="false">E323-C323</f>
        <v>-12.6842105263158</v>
      </c>
      <c r="G323" s="21" t="n">
        <f aca="false">IF(AND(C323=0,E323=0),0,IF(C323=0,"New",(E323-C323)/C323))</f>
        <v>-0.667590027700831</v>
      </c>
      <c r="H323" s="12" t="n">
        <f aca="false">SUMIFS('בתי מרקחת Raw'!$E$6:$E$1616,'בתי מרקחת Raw'!$F$6:$F$1616,$A323,'בתי מרקחת Raw'!$C$6:$C$1616,2025)</f>
        <v>1616.2</v>
      </c>
      <c r="I323" s="12" t="n">
        <f aca="false">SUMIFS('בתי מרקחת Raw'!$E$6:$E$1616,'בתי מרקחת Raw'!$F$6:$F$1616,$A323,'בתי מרקחת Raw'!$C$6:$C$1616,2026)</f>
        <v>468.49</v>
      </c>
      <c r="J323" s="12" t="n">
        <f aca="false">I323*$J$5</f>
        <v>591.776842105263</v>
      </c>
    </row>
    <row r="324" customFormat="false" ht="15" hidden="false" customHeight="true" outlineLevel="0" collapsed="false">
      <c r="A324" s="12" t="n">
        <v>4413156</v>
      </c>
      <c r="B324" s="12" t="str">
        <f aca="false">IFERROR(INDEX('בתי מרקחת Raw'!$B:$B,MATCH($A324,'בתי מרקחת Raw'!$F:$F,0)),"")</f>
        <v>305GA מדרס אורטופ.מתכוון41-42</v>
      </c>
      <c r="C324" s="12" t="n">
        <f aca="false">SUMIFS('בתי מרקחת Raw'!$D$6:$D$1616,'בתי מרקחת Raw'!$F$6:$F$1616,$A324,'בתי מרקחת Raw'!$C$6:$C$1616,2025)</f>
        <v>44</v>
      </c>
      <c r="D324" s="12" t="n">
        <f aca="false">SUMIFS('בתי מרקחת Raw'!$D$6:$D$1616,'בתי מרקחת Raw'!$F$6:$F$1616,$A324,'בתי מרקחת Raw'!$C$6:$C$1616,2026)</f>
        <v>16</v>
      </c>
      <c r="E324" s="12" t="n">
        <f aca="false">D324*$J$5</f>
        <v>20.2105263157895</v>
      </c>
      <c r="F324" s="12" t="n">
        <f aca="false">E324-C324</f>
        <v>-23.7894736842105</v>
      </c>
      <c r="G324" s="21" t="n">
        <f aca="false">IF(AND(C324=0,E324=0),0,IF(C324=0,"New",(E324-C324)/C324))</f>
        <v>-0.54066985645933</v>
      </c>
      <c r="H324" s="12" t="n">
        <f aca="false">SUMIFS('בתי מרקחת Raw'!$E$6:$E$1616,'בתי מרקחת Raw'!$F$6:$F$1616,$A324,'בתי מרקחת Raw'!$C$6:$C$1616,2025)</f>
        <v>3821.89</v>
      </c>
      <c r="I324" s="12" t="n">
        <f aca="false">SUMIFS('בתי מרקחת Raw'!$E$6:$E$1616,'בתי מרקחת Raw'!$F$6:$F$1616,$A324,'בתי מרקחת Raw'!$C$6:$C$1616,2026)</f>
        <v>1554</v>
      </c>
      <c r="J324" s="12" t="n">
        <f aca="false">I324*$J$5</f>
        <v>1962.94736842105</v>
      </c>
    </row>
    <row r="325" customFormat="false" ht="15" hidden="false" customHeight="true" outlineLevel="0" collapsed="false">
      <c r="A325" s="12" t="n">
        <v>4413157</v>
      </c>
      <c r="B325" s="12" t="str">
        <f aca="false">IFERROR(INDEX('בתי מרקחת Raw'!$B:$B,MATCH($A325,'בתי מרקחת Raw'!$F:$F,0)),"")</f>
        <v>305GA מדרס אורטופ.מתכוון43-44</v>
      </c>
      <c r="C325" s="12" t="n">
        <f aca="false">SUMIFS('בתי מרקחת Raw'!$D$6:$D$1616,'בתי מרקחת Raw'!$F$6:$F$1616,$A325,'בתי מרקחת Raw'!$C$6:$C$1616,2025)</f>
        <v>60</v>
      </c>
      <c r="D325" s="12" t="n">
        <f aca="false">SUMIFS('בתי מרקחת Raw'!$D$6:$D$1616,'בתי מרקחת Raw'!$F$6:$F$1616,$A325,'בתי מרקחת Raw'!$C$6:$C$1616,2026)</f>
        <v>18</v>
      </c>
      <c r="E325" s="12" t="n">
        <f aca="false">D325*$J$5</f>
        <v>22.7368421052632</v>
      </c>
      <c r="F325" s="12" t="n">
        <f aca="false">E325-C325</f>
        <v>-37.2631578947368</v>
      </c>
      <c r="G325" s="21" t="n">
        <f aca="false">IF(AND(C325=0,E325=0),0,IF(C325=0,"New",(E325-C325)/C325))</f>
        <v>-0.621052631578947</v>
      </c>
      <c r="H325" s="12" t="n">
        <f aca="false">SUMIFS('בתי מרקחת Raw'!$E$6:$E$1616,'בתי מרקחת Raw'!$F$6:$F$1616,$A325,'בתי מרקחת Raw'!$C$6:$C$1616,2025)</f>
        <v>5213.43</v>
      </c>
      <c r="I325" s="12" t="n">
        <f aca="false">SUMIFS('בתי מרקחת Raw'!$E$6:$E$1616,'בתי מרקחת Raw'!$F$6:$F$1616,$A325,'בתי מרקחת Raw'!$C$6:$C$1616,2026)</f>
        <v>1770</v>
      </c>
      <c r="J325" s="12" t="n">
        <f aca="false">I325*$J$5</f>
        <v>2235.78947368421</v>
      </c>
    </row>
    <row r="326" customFormat="false" ht="15" hidden="false" customHeight="true" outlineLevel="0" collapsed="false">
      <c r="A326" s="12" t="n">
        <v>4413158</v>
      </c>
      <c r="B326" s="12" t="str">
        <f aca="false">IFERROR(INDEX('בתי מרקחת Raw'!$B:$B,MATCH($A326,'בתי מרקחת Raw'!$F:$F,0)),"")</f>
        <v>305GA מדרס אורטופ.מתכוון45-46</v>
      </c>
      <c r="C326" s="12" t="n">
        <f aca="false">SUMIFS('בתי מרקחת Raw'!$D$6:$D$1616,'בתי מרקחת Raw'!$F$6:$F$1616,$A326,'בתי מרקחת Raw'!$C$6:$C$1616,2025)</f>
        <v>33</v>
      </c>
      <c r="D326" s="12" t="n">
        <f aca="false">SUMIFS('בתי מרקחת Raw'!$D$6:$D$1616,'בתי מרקחת Raw'!$F$6:$F$1616,$A326,'בתי מרקחת Raw'!$C$6:$C$1616,2026)</f>
        <v>21</v>
      </c>
      <c r="E326" s="12" t="n">
        <f aca="false">D326*$J$5</f>
        <v>26.5263157894737</v>
      </c>
      <c r="F326" s="12" t="n">
        <f aca="false">E326-C326</f>
        <v>-6.47368421052632</v>
      </c>
      <c r="G326" s="21" t="n">
        <f aca="false">IF(AND(C326=0,E326=0),0,IF(C326=0,"New",(E326-C326)/C326))</f>
        <v>-0.196172248803828</v>
      </c>
      <c r="H326" s="12" t="n">
        <f aca="false">SUMIFS('בתי מרקחת Raw'!$E$6:$E$1616,'בתי מרקחת Raw'!$F$6:$F$1616,$A326,'בתי מרקחת Raw'!$C$6:$C$1616,2025)</f>
        <v>2838.9</v>
      </c>
      <c r="I326" s="12" t="n">
        <f aca="false">SUMIFS('בתי מרקחת Raw'!$E$6:$E$1616,'בתי מרקחת Raw'!$F$6:$F$1616,$A326,'בתי מרקחת Raw'!$C$6:$C$1616,2026)</f>
        <v>1948.8</v>
      </c>
      <c r="J326" s="12" t="n">
        <f aca="false">I326*$J$5</f>
        <v>2461.64210526316</v>
      </c>
    </row>
    <row r="327" customFormat="false" ht="15" hidden="false" customHeight="true" outlineLevel="0" collapsed="false">
      <c r="A327" s="12" t="n">
        <v>4413159</v>
      </c>
      <c r="B327" s="12" t="str">
        <f aca="false">IFERROR(INDEX('בתי מרקחת Raw'!$B:$B,MATCH($A327,'בתי מרקחת Raw'!$F:$F,0)),"")</f>
        <v>34+ S מגן קרסול עקב סגור+רצוע</v>
      </c>
      <c r="C327" s="12" t="n">
        <f aca="false">SUMIFS('בתי מרקחת Raw'!$D$6:$D$1616,'בתי מרקחת Raw'!$F$6:$F$1616,$A327,'בתי מרקחת Raw'!$C$6:$C$1616,2025)</f>
        <v>29</v>
      </c>
      <c r="D327" s="12" t="n">
        <f aca="false">SUMIFS('בתי מרקחת Raw'!$D$6:$D$1616,'בתי מרקחת Raw'!$F$6:$F$1616,$A327,'בתי מרקחת Raw'!$C$6:$C$1616,2026)</f>
        <v>12</v>
      </c>
      <c r="E327" s="12" t="n">
        <f aca="false">D327*$J$5</f>
        <v>15.1578947368421</v>
      </c>
      <c r="F327" s="12" t="n">
        <f aca="false">E327-C327</f>
        <v>-13.8421052631579</v>
      </c>
      <c r="G327" s="21" t="n">
        <f aca="false">IF(AND(C327=0,E327=0),0,IF(C327=0,"New",(E327-C327)/C327))</f>
        <v>-0.477313974591652</v>
      </c>
      <c r="H327" s="12" t="n">
        <f aca="false">SUMIFS('בתי מרקחת Raw'!$E$6:$E$1616,'בתי מרקחת Raw'!$F$6:$F$1616,$A327,'בתי מרקחת Raw'!$C$6:$C$1616,2025)</f>
        <v>1987.6</v>
      </c>
      <c r="I327" s="12" t="n">
        <f aca="false">SUMIFS('בתי מרקחת Raw'!$E$6:$E$1616,'בתי מרקחת Raw'!$F$6:$F$1616,$A327,'בתי מרקחת Raw'!$C$6:$C$1616,2026)</f>
        <v>796.2</v>
      </c>
      <c r="J327" s="12" t="n">
        <f aca="false">I327*$J$5</f>
        <v>1005.72631578947</v>
      </c>
    </row>
    <row r="328" customFormat="false" ht="15" hidden="false" customHeight="true" outlineLevel="0" collapsed="false">
      <c r="A328" s="12" t="n">
        <v>4413160</v>
      </c>
      <c r="B328" s="12" t="str">
        <f aca="false">IFERROR(INDEX('בתי מרקחת Raw'!$B:$B,MATCH($A328,'בתי מרקחת Raw'!$F:$F,0)),"")</f>
        <v>34+ M מגן קרסול עקב סגור+רצוע</v>
      </c>
      <c r="C328" s="12" t="n">
        <f aca="false">SUMIFS('בתי מרקחת Raw'!$D$6:$D$1616,'בתי מרקחת Raw'!$F$6:$F$1616,$A328,'בתי מרקחת Raw'!$C$6:$C$1616,2025)</f>
        <v>63</v>
      </c>
      <c r="D328" s="12" t="n">
        <f aca="false">SUMIFS('בתי מרקחת Raw'!$D$6:$D$1616,'בתי מרקחת Raw'!$F$6:$F$1616,$A328,'בתי מרקחת Raw'!$C$6:$C$1616,2026)</f>
        <v>28</v>
      </c>
      <c r="E328" s="12" t="n">
        <f aca="false">D328*$J$5</f>
        <v>35.3684210526316</v>
      </c>
      <c r="F328" s="12" t="n">
        <f aca="false">E328-C328</f>
        <v>-27.6315789473684</v>
      </c>
      <c r="G328" s="21" t="n">
        <f aca="false">IF(AND(C328=0,E328=0),0,IF(C328=0,"New",(E328-C328)/C328))</f>
        <v>-0.43859649122807</v>
      </c>
      <c r="H328" s="12" t="n">
        <f aca="false">SUMIFS('בתי מרקחת Raw'!$E$6:$E$1616,'בתי מרקחת Raw'!$F$6:$F$1616,$A328,'בתי מרקחת Raw'!$C$6:$C$1616,2025)</f>
        <v>4139.56</v>
      </c>
      <c r="I328" s="12" t="n">
        <f aca="false">SUMIFS('בתי מרקחת Raw'!$E$6:$E$1616,'בתי מרקחת Raw'!$F$6:$F$1616,$A328,'בתי מרקחת Raw'!$C$6:$C$1616,2026)</f>
        <v>1897</v>
      </c>
      <c r="J328" s="12" t="n">
        <f aca="false">I328*$J$5</f>
        <v>2396.21052631579</v>
      </c>
    </row>
    <row r="329" customFormat="false" ht="15" hidden="false" customHeight="true" outlineLevel="0" collapsed="false">
      <c r="A329" s="12" t="n">
        <v>4413161</v>
      </c>
      <c r="B329" s="12" t="str">
        <f aca="false">IFERROR(INDEX('בתי מרקחת Raw'!$B:$B,MATCH($A329,'בתי מרקחת Raw'!$F:$F,0)),"")</f>
        <v>34+ L מגן קרסול עקב סגור+רצוע</v>
      </c>
      <c r="C329" s="12" t="n">
        <f aca="false">SUMIFS('בתי מרקחת Raw'!$D$6:$D$1616,'בתי מרקחת Raw'!$F$6:$F$1616,$A329,'בתי מרקחת Raw'!$C$6:$C$1616,2025)</f>
        <v>74</v>
      </c>
      <c r="D329" s="12" t="n">
        <f aca="false">SUMIFS('בתי מרקחת Raw'!$D$6:$D$1616,'בתי מרקחת Raw'!$F$6:$F$1616,$A329,'בתי מרקחת Raw'!$C$6:$C$1616,2026)</f>
        <v>60</v>
      </c>
      <c r="E329" s="12" t="n">
        <f aca="false">D329*$J$5</f>
        <v>75.7894736842105</v>
      </c>
      <c r="F329" s="12" t="n">
        <f aca="false">E329-C329</f>
        <v>1.78947368421052</v>
      </c>
      <c r="G329" s="21" t="n">
        <f aca="false">IF(AND(C329=0,E329=0),0,IF(C329=0,"New",(E329-C329)/C329))</f>
        <v>0.0241820768136557</v>
      </c>
      <c r="H329" s="12" t="n">
        <f aca="false">SUMIFS('בתי מרקחת Raw'!$E$6:$E$1616,'בתי מרקחת Raw'!$F$6:$F$1616,$A329,'בתי מרקחת Raw'!$C$6:$C$1616,2025)</f>
        <v>4840.76</v>
      </c>
      <c r="I329" s="12" t="n">
        <f aca="false">SUMIFS('בתי מרקחת Raw'!$E$6:$E$1616,'בתי מרקחת Raw'!$F$6:$F$1616,$A329,'בתי מרקחת Raw'!$C$6:$C$1616,2026)</f>
        <v>3929.76</v>
      </c>
      <c r="J329" s="12" t="n">
        <f aca="false">I329*$J$5</f>
        <v>4963.90736842105</v>
      </c>
    </row>
    <row r="330" customFormat="false" ht="15" hidden="false" customHeight="true" outlineLevel="0" collapsed="false">
      <c r="A330" s="12" t="n">
        <v>4413162</v>
      </c>
      <c r="B330" s="12" t="str">
        <f aca="false">IFERROR(INDEX('בתי מרקחת Raw'!$B:$B,MATCH($A330,'בתי מרקחת Raw'!$F:$F,0)),"")</f>
        <v>34+XL מגן קרסול עקב סגור+רצוע</v>
      </c>
      <c r="C330" s="12" t="n">
        <f aca="false">SUMIFS('בתי מרקחת Raw'!$D$6:$D$1616,'בתי מרקחת Raw'!$F$6:$F$1616,$A330,'בתי מרקחת Raw'!$C$6:$C$1616,2025)</f>
        <v>47</v>
      </c>
      <c r="D330" s="12" t="n">
        <f aca="false">SUMIFS('בתי מרקחת Raw'!$D$6:$D$1616,'בתי מרקחת Raw'!$F$6:$F$1616,$A330,'בתי מרקחת Raw'!$C$6:$C$1616,2026)</f>
        <v>24</v>
      </c>
      <c r="E330" s="12" t="n">
        <f aca="false">D330*$J$5</f>
        <v>30.3157894736842</v>
      </c>
      <c r="F330" s="12" t="n">
        <f aca="false">E330-C330</f>
        <v>-16.6842105263158</v>
      </c>
      <c r="G330" s="21" t="n">
        <f aca="false">IF(AND(C330=0,E330=0),0,IF(C330=0,"New",(E330-C330)/C330))</f>
        <v>-0.35498320268757</v>
      </c>
      <c r="H330" s="12" t="n">
        <f aca="false">SUMIFS('בתי מרקחת Raw'!$E$6:$E$1616,'בתי מרקחת Raw'!$F$6:$F$1616,$A330,'בתי מרקחת Raw'!$C$6:$C$1616,2025)</f>
        <v>3176.36</v>
      </c>
      <c r="I330" s="12" t="n">
        <f aca="false">SUMIFS('בתי מרקחת Raw'!$E$6:$E$1616,'בתי מרקחת Raw'!$F$6:$F$1616,$A330,'בתי מרקחת Raw'!$C$6:$C$1616,2026)</f>
        <v>1601.9</v>
      </c>
      <c r="J330" s="12" t="n">
        <f aca="false">I330*$J$5</f>
        <v>2023.45263157895</v>
      </c>
    </row>
    <row r="331" customFormat="false" ht="15" hidden="false" customHeight="true" outlineLevel="0" collapsed="false">
      <c r="A331" s="12" t="n">
        <v>4413165</v>
      </c>
      <c r="B331" s="12" t="str">
        <f aca="false">IFERROR(INDEX('בתי מרקחת Raw'!$B:$B,MATCH($A331,'בתי מרקחת Raw'!$F:$F,0)),"")</f>
        <v>74 L-XL מיצב כתפיים</v>
      </c>
      <c r="C331" s="12" t="n">
        <f aca="false">SUMIFS('בתי מרקחת Raw'!$D$6:$D$1616,'בתי מרקחת Raw'!$F$6:$F$1616,$A331,'בתי מרקחת Raw'!$C$6:$C$1616,2025)</f>
        <v>1</v>
      </c>
      <c r="D331" s="12" t="n">
        <f aca="false">SUMIFS('בתי מרקחת Raw'!$D$6:$D$1616,'בתי מרקחת Raw'!$F$6:$F$1616,$A331,'בתי מרקחת Raw'!$C$6:$C$1616,2026)</f>
        <v>1</v>
      </c>
      <c r="E331" s="12" t="n">
        <f aca="false">D331*$J$5</f>
        <v>1.26315789473684</v>
      </c>
      <c r="F331" s="12" t="n">
        <f aca="false">E331-C331</f>
        <v>0.263157894736842</v>
      </c>
      <c r="G331" s="21" t="n">
        <f aca="false">IF(AND(C331=0,E331=0),0,IF(C331=0,"New",(E331-C331)/C331))</f>
        <v>0.263157894736842</v>
      </c>
      <c r="H331" s="12" t="n">
        <f aca="false">SUMIFS('בתי מרקחת Raw'!$E$6:$E$1616,'בתי מרקחת Raw'!$F$6:$F$1616,$A331,'בתי מרקחת Raw'!$C$6:$C$1616,2025)</f>
        <v>130</v>
      </c>
      <c r="I331" s="12" t="n">
        <f aca="false">SUMIFS('בתי מרקחת Raw'!$E$6:$E$1616,'בתי מרקחת Raw'!$F$6:$F$1616,$A331,'בתי מרקחת Raw'!$C$6:$C$1616,2026)</f>
        <v>168.5</v>
      </c>
      <c r="J331" s="12" t="n">
        <f aca="false">I331*$J$5</f>
        <v>212.842105263158</v>
      </c>
    </row>
    <row r="332" customFormat="false" ht="15" hidden="false" customHeight="true" outlineLevel="0" collapsed="false">
      <c r="A332" s="12" t="n">
        <v>4413166</v>
      </c>
      <c r="B332" s="12" t="str">
        <f aca="false">IFERROR(INDEX('בתי מרקחת Raw'!$B:$B,MATCH($A332,'בתי מרקחת Raw'!$F:$F,0)),"")</f>
        <v>80 S תתמתלה ליד רצועה</v>
      </c>
      <c r="C332" s="12" t="n">
        <f aca="false">SUMIFS('בתי מרקחת Raw'!$D$6:$D$1616,'בתי מרקחת Raw'!$F$6:$F$1616,$A332,'בתי מרקחת Raw'!$C$6:$C$1616,2025)</f>
        <v>-1</v>
      </c>
      <c r="D332" s="12" t="n">
        <f aca="false">SUMIFS('בתי מרקחת Raw'!$D$6:$D$1616,'בתי מרקחת Raw'!$F$6:$F$1616,$A332,'בתי מרקחת Raw'!$C$6:$C$1616,2026)</f>
        <v>0</v>
      </c>
      <c r="E332" s="12" t="n">
        <f aca="false">D332*$J$5</f>
        <v>0</v>
      </c>
      <c r="F332" s="12" t="n">
        <f aca="false">E332-C332</f>
        <v>1</v>
      </c>
      <c r="G332" s="21" t="n">
        <f aca="false">IF(AND(C332=0,E332=0),0,IF(C332=0,"New",(E332-C332)/C332))</f>
        <v>-1</v>
      </c>
      <c r="H332" s="12" t="n">
        <f aca="false">SUMIFS('בתי מרקחת Raw'!$E$6:$E$1616,'בתי מרקחת Raw'!$F$6:$F$1616,$A332,'בתי מרקחת Raw'!$C$6:$C$1616,2025)</f>
        <v>-37.8</v>
      </c>
      <c r="I332" s="12" t="n">
        <f aca="false">SUMIFS('בתי מרקחת Raw'!$E$6:$E$1616,'בתי מרקחת Raw'!$F$6:$F$1616,$A332,'בתי מרקחת Raw'!$C$6:$C$1616,2026)</f>
        <v>0</v>
      </c>
      <c r="J332" s="12" t="n">
        <f aca="false">I332*$J$5</f>
        <v>0</v>
      </c>
    </row>
    <row r="333" customFormat="false" ht="15" hidden="false" customHeight="true" outlineLevel="0" collapsed="false">
      <c r="A333" s="12" t="n">
        <v>4413169</v>
      </c>
      <c r="B333" s="12" t="str">
        <f aca="false">IFERROR(INDEX('בתי מרקחת Raw'!$B:$B,MATCH($A333,'בתי מרקחת Raw'!$F:$F,0)),"")</f>
        <v>T402 S מיצב פיקה</v>
      </c>
      <c r="C333" s="12" t="n">
        <f aca="false">SUMIFS('בתי מרקחת Raw'!$D$6:$D$1616,'בתי מרקחת Raw'!$F$6:$F$1616,$A333,'בתי מרקחת Raw'!$C$6:$C$1616,2025)</f>
        <v>1</v>
      </c>
      <c r="D333" s="12" t="n">
        <f aca="false">SUMIFS('בתי מרקחת Raw'!$D$6:$D$1616,'בתי מרקחת Raw'!$F$6:$F$1616,$A333,'בתי מרקחת Raw'!$C$6:$C$1616,2026)</f>
        <v>0</v>
      </c>
      <c r="E333" s="12" t="n">
        <f aca="false">D333*$J$5</f>
        <v>0</v>
      </c>
      <c r="F333" s="12" t="n">
        <f aca="false">E333-C333</f>
        <v>-1</v>
      </c>
      <c r="G333" s="21" t="n">
        <f aca="false">IF(AND(C333=0,E333=0),0,IF(C333=0,"New",(E333-C333)/C333))</f>
        <v>-1</v>
      </c>
      <c r="H333" s="12" t="n">
        <f aca="false">SUMIFS('בתי מרקחת Raw'!$E$6:$E$1616,'בתי מרקחת Raw'!$F$6:$F$1616,$A333,'בתי מרקחת Raw'!$C$6:$C$1616,2025)</f>
        <v>94.6</v>
      </c>
      <c r="I333" s="12" t="n">
        <f aca="false">SUMIFS('בתי מרקחת Raw'!$E$6:$E$1616,'בתי מרקחת Raw'!$F$6:$F$1616,$A333,'בתי מרקחת Raw'!$C$6:$C$1616,2026)</f>
        <v>0</v>
      </c>
      <c r="J333" s="12" t="n">
        <f aca="false">I333*$J$5</f>
        <v>0</v>
      </c>
    </row>
    <row r="334" customFormat="false" ht="15" hidden="false" customHeight="true" outlineLevel="0" collapsed="false">
      <c r="A334" s="12" t="n">
        <v>4413170</v>
      </c>
      <c r="B334" s="12" t="str">
        <f aca="false">IFERROR(INDEX('בתי מרקחת Raw'!$B:$B,MATCH($A334,'בתי מרקחת Raw'!$F:$F,0)),"")</f>
        <v>T402 M מיצב פיקה</v>
      </c>
      <c r="C334" s="12" t="n">
        <f aca="false">SUMIFS('בתי מרקחת Raw'!$D$6:$D$1616,'בתי מרקחת Raw'!$F$6:$F$1616,$A334,'בתי מרקחת Raw'!$C$6:$C$1616,2025)</f>
        <v>1</v>
      </c>
      <c r="D334" s="12" t="n">
        <f aca="false">SUMIFS('בתי מרקחת Raw'!$D$6:$D$1616,'בתי מרקחת Raw'!$F$6:$F$1616,$A334,'בתי מרקחת Raw'!$C$6:$C$1616,2026)</f>
        <v>0</v>
      </c>
      <c r="E334" s="12" t="n">
        <f aca="false">D334*$J$5</f>
        <v>0</v>
      </c>
      <c r="F334" s="12" t="n">
        <f aca="false">E334-C334</f>
        <v>-1</v>
      </c>
      <c r="G334" s="21" t="n">
        <f aca="false">IF(AND(C334=0,E334=0),0,IF(C334=0,"New",(E334-C334)/C334))</f>
        <v>-1</v>
      </c>
      <c r="H334" s="12" t="n">
        <f aca="false">SUMIFS('בתי מרקחת Raw'!$E$6:$E$1616,'בתי מרקחת Raw'!$F$6:$F$1616,$A334,'בתי מרקחת Raw'!$C$6:$C$1616,2025)</f>
        <v>94.5</v>
      </c>
      <c r="I334" s="12" t="n">
        <f aca="false">SUMIFS('בתי מרקחת Raw'!$E$6:$E$1616,'בתי מרקחת Raw'!$F$6:$F$1616,$A334,'בתי מרקחת Raw'!$C$6:$C$1616,2026)</f>
        <v>0</v>
      </c>
      <c r="J334" s="12" t="n">
        <f aca="false">I334*$J$5</f>
        <v>0</v>
      </c>
    </row>
    <row r="335" customFormat="false" ht="15" hidden="false" customHeight="true" outlineLevel="0" collapsed="false">
      <c r="A335" s="12" t="n">
        <v>4413171</v>
      </c>
      <c r="B335" s="12" t="str">
        <f aca="false">IFERROR(INDEX('בתי מרקחת Raw'!$B:$B,MATCH($A335,'בתי מרקחת Raw'!$F:$F,0)),"")</f>
        <v>T402 L מיצב פיקה</v>
      </c>
      <c r="C335" s="12" t="n">
        <f aca="false">SUMIFS('בתי מרקחת Raw'!$D$6:$D$1616,'בתי מרקחת Raw'!$F$6:$F$1616,$A335,'בתי מרקחת Raw'!$C$6:$C$1616,2025)</f>
        <v>3</v>
      </c>
      <c r="D335" s="12" t="n">
        <f aca="false">SUMIFS('בתי מרקחת Raw'!$D$6:$D$1616,'בתי מרקחת Raw'!$F$6:$F$1616,$A335,'בתי מרקחת Raw'!$C$6:$C$1616,2026)</f>
        <v>0</v>
      </c>
      <c r="E335" s="12" t="n">
        <f aca="false">D335*$J$5</f>
        <v>0</v>
      </c>
      <c r="F335" s="12" t="n">
        <f aca="false">E335-C335</f>
        <v>-3</v>
      </c>
      <c r="G335" s="21" t="n">
        <f aca="false">IF(AND(C335=0,E335=0),0,IF(C335=0,"New",(E335-C335)/C335))</f>
        <v>-1</v>
      </c>
      <c r="H335" s="12" t="n">
        <f aca="false">SUMIFS('בתי מרקחת Raw'!$E$6:$E$1616,'בתי מרקחת Raw'!$F$6:$F$1616,$A335,'בתי מרקחת Raw'!$C$6:$C$1616,2025)</f>
        <v>271.1</v>
      </c>
      <c r="I335" s="12" t="n">
        <f aca="false">SUMIFS('בתי מרקחת Raw'!$E$6:$E$1616,'בתי מרקחת Raw'!$F$6:$F$1616,$A335,'בתי מרקחת Raw'!$C$6:$C$1616,2026)</f>
        <v>0</v>
      </c>
      <c r="J335" s="12" t="n">
        <f aca="false">I335*$J$5</f>
        <v>0</v>
      </c>
    </row>
    <row r="336" customFormat="false" ht="15" hidden="false" customHeight="true" outlineLevel="0" collapsed="false">
      <c r="A336" s="12" t="n">
        <v>4413172</v>
      </c>
      <c r="B336" s="12" t="str">
        <f aca="false">IFERROR(INDEX('בתי מרקחת Raw'!$B:$B,MATCH($A336,'בתי מרקחת Raw'!$F:$F,0)),"")</f>
        <v>T402 XL מיצב פיקה</v>
      </c>
      <c r="C336" s="12" t="n">
        <f aca="false">SUMIFS('בתי מרקחת Raw'!$D$6:$D$1616,'בתי מרקחת Raw'!$F$6:$F$1616,$A336,'בתי מרקחת Raw'!$C$6:$C$1616,2025)</f>
        <v>4</v>
      </c>
      <c r="D336" s="12" t="n">
        <f aca="false">SUMIFS('בתי מרקחת Raw'!$D$6:$D$1616,'בתי מרקחת Raw'!$F$6:$F$1616,$A336,'בתי מרקחת Raw'!$C$6:$C$1616,2026)</f>
        <v>0</v>
      </c>
      <c r="E336" s="12" t="n">
        <f aca="false">D336*$J$5</f>
        <v>0</v>
      </c>
      <c r="F336" s="12" t="n">
        <f aca="false">E336-C336</f>
        <v>-4</v>
      </c>
      <c r="G336" s="21" t="n">
        <f aca="false">IF(AND(C336=0,E336=0),0,IF(C336=0,"New",(E336-C336)/C336))</f>
        <v>-1</v>
      </c>
      <c r="H336" s="12" t="n">
        <f aca="false">SUMIFS('בתי מרקחת Raw'!$E$6:$E$1616,'בתי מרקחת Raw'!$F$6:$F$1616,$A336,'בתי מרקחת Raw'!$C$6:$C$1616,2025)</f>
        <v>365.6</v>
      </c>
      <c r="I336" s="12" t="n">
        <f aca="false">SUMIFS('בתי מרקחת Raw'!$E$6:$E$1616,'בתי מרקחת Raw'!$F$6:$F$1616,$A336,'בתי מרקחת Raw'!$C$6:$C$1616,2026)</f>
        <v>0</v>
      </c>
      <c r="J336" s="12" t="n">
        <f aca="false">I336*$J$5</f>
        <v>0</v>
      </c>
    </row>
    <row r="337" customFormat="false" ht="15" hidden="false" customHeight="true" outlineLevel="0" collapsed="false">
      <c r="A337" s="12" t="n">
        <v>4413173</v>
      </c>
      <c r="B337" s="12" t="str">
        <f aca="false">IFERROR(INDEX('בתי מרקחת Raw'!$B:$B,MATCH($A337,'בתי מרקחת Raw'!$F:$F,0)),"")</f>
        <v>T402 XXL מיצב פיקה</v>
      </c>
      <c r="C337" s="12" t="n">
        <f aca="false">SUMIFS('בתי מרקחת Raw'!$D$6:$D$1616,'בתי מרקחת Raw'!$F$6:$F$1616,$A337,'בתי מרקחת Raw'!$C$6:$C$1616,2025)</f>
        <v>1</v>
      </c>
      <c r="D337" s="12" t="n">
        <f aca="false">SUMIFS('בתי מרקחת Raw'!$D$6:$D$1616,'בתי מרקחת Raw'!$F$6:$F$1616,$A337,'בתי מרקחת Raw'!$C$6:$C$1616,2026)</f>
        <v>0</v>
      </c>
      <c r="E337" s="12" t="n">
        <f aca="false">D337*$J$5</f>
        <v>0</v>
      </c>
      <c r="F337" s="12" t="n">
        <f aca="false">E337-C337</f>
        <v>-1</v>
      </c>
      <c r="G337" s="21" t="n">
        <f aca="false">IF(AND(C337=0,E337=0),0,IF(C337=0,"New",(E337-C337)/C337))</f>
        <v>-1</v>
      </c>
      <c r="H337" s="12" t="n">
        <f aca="false">SUMIFS('בתי מרקחת Raw'!$E$6:$E$1616,'בתי מרקחת Raw'!$F$6:$F$1616,$A337,'בתי מרקחת Raw'!$C$6:$C$1616,2025)</f>
        <v>82</v>
      </c>
      <c r="I337" s="12" t="n">
        <f aca="false">SUMIFS('בתי מרקחת Raw'!$E$6:$E$1616,'בתי מרקחת Raw'!$F$6:$F$1616,$A337,'בתי מרקחת Raw'!$C$6:$C$1616,2026)</f>
        <v>0</v>
      </c>
      <c r="J337" s="12" t="n">
        <f aca="false">I337*$J$5</f>
        <v>0</v>
      </c>
    </row>
    <row r="338" customFormat="false" ht="15" hidden="false" customHeight="true" outlineLevel="0" collapsed="false">
      <c r="A338" s="12" t="n">
        <v>4413174</v>
      </c>
      <c r="B338" s="12" t="str">
        <f aca="false">IFERROR(INDEX('בתי מרקחת Raw'!$B:$B,MATCH($A338,'בתי מרקחת Raw'!$F:$F,0)),"")</f>
        <v>85+ Sמתלה ליד)כיס(+רצועת חיזוק</v>
      </c>
      <c r="C338" s="12" t="n">
        <f aca="false">SUMIFS('בתי מרקחת Raw'!$D$6:$D$1616,'בתי מרקחת Raw'!$F$6:$F$1616,$A338,'בתי מרקחת Raw'!$C$6:$C$1616,2025)</f>
        <v>1</v>
      </c>
      <c r="D338" s="12" t="n">
        <f aca="false">SUMIFS('בתי מרקחת Raw'!$D$6:$D$1616,'בתי מרקחת Raw'!$F$6:$F$1616,$A338,'בתי מרקחת Raw'!$C$6:$C$1616,2026)</f>
        <v>0</v>
      </c>
      <c r="E338" s="12" t="n">
        <f aca="false">D338*$J$5</f>
        <v>0</v>
      </c>
      <c r="F338" s="12" t="n">
        <f aca="false">E338-C338</f>
        <v>-1</v>
      </c>
      <c r="G338" s="21" t="n">
        <f aca="false">IF(AND(C338=0,E338=0),0,IF(C338=0,"New",(E338-C338)/C338))</f>
        <v>-1</v>
      </c>
      <c r="H338" s="12" t="n">
        <f aca="false">SUMIFS('בתי מרקחת Raw'!$E$6:$E$1616,'בתי מרקחת Raw'!$F$6:$F$1616,$A338,'בתי מרקחת Raw'!$C$6:$C$1616,2025)</f>
        <v>94.5</v>
      </c>
      <c r="I338" s="12" t="n">
        <f aca="false">SUMIFS('בתי מרקחת Raw'!$E$6:$E$1616,'בתי מרקחת Raw'!$F$6:$F$1616,$A338,'בתי מרקחת Raw'!$C$6:$C$1616,2026)</f>
        <v>0</v>
      </c>
      <c r="J338" s="12" t="n">
        <f aca="false">I338*$J$5</f>
        <v>0</v>
      </c>
    </row>
    <row r="339" customFormat="false" ht="15" hidden="false" customHeight="true" outlineLevel="0" collapsed="false">
      <c r="A339" s="12" t="n">
        <v>4413175</v>
      </c>
      <c r="B339" s="12" t="str">
        <f aca="false">IFERROR(INDEX('בתי מרקחת Raw'!$B:$B,MATCH($A339,'בתי מרקחת Raw'!$F:$F,0)),"")</f>
        <v>85+ Mמתלה ליד)כיס(+רצועת חיזוק</v>
      </c>
      <c r="C339" s="12" t="n">
        <f aca="false">SUMIFS('בתי מרקחת Raw'!$D$6:$D$1616,'בתי מרקחת Raw'!$F$6:$F$1616,$A339,'בתי מרקחת Raw'!$C$6:$C$1616,2025)</f>
        <v>2</v>
      </c>
      <c r="D339" s="12" t="n">
        <f aca="false">SUMIFS('בתי מרקחת Raw'!$D$6:$D$1616,'בתי מרקחת Raw'!$F$6:$F$1616,$A339,'בתי מרקחת Raw'!$C$6:$C$1616,2026)</f>
        <v>1</v>
      </c>
      <c r="E339" s="12" t="n">
        <f aca="false">D339*$J$5</f>
        <v>1.26315789473684</v>
      </c>
      <c r="F339" s="12" t="n">
        <f aca="false">E339-C339</f>
        <v>-0.736842105263158</v>
      </c>
      <c r="G339" s="21" t="n">
        <f aca="false">IF(AND(C339=0,E339=0),0,IF(C339=0,"New",(E339-C339)/C339))</f>
        <v>-0.368421052631579</v>
      </c>
      <c r="H339" s="12" t="n">
        <f aca="false">SUMIFS('בתי מרקחת Raw'!$E$6:$E$1616,'בתי מרקחת Raw'!$F$6:$F$1616,$A339,'בתי מרקחת Raw'!$C$6:$C$1616,2025)</f>
        <v>189.1</v>
      </c>
      <c r="I339" s="12" t="n">
        <f aca="false">SUMIFS('בתי מרקחת Raw'!$E$6:$E$1616,'בתי מרקחת Raw'!$F$6:$F$1616,$A339,'בתי מרקחת Raw'!$C$6:$C$1616,2026)</f>
        <v>94.6</v>
      </c>
      <c r="J339" s="12" t="n">
        <f aca="false">I339*$J$5</f>
        <v>119.494736842105</v>
      </c>
    </row>
    <row r="340" customFormat="false" ht="15" hidden="false" customHeight="true" outlineLevel="0" collapsed="false">
      <c r="A340" s="12" t="n">
        <v>4413176</v>
      </c>
      <c r="B340" s="12" t="str">
        <f aca="false">IFERROR(INDEX('בתי מרקחת Raw'!$B:$B,MATCH($A340,'בתי מרקחת Raw'!$F:$F,0)),"")</f>
        <v>85+ Lמתלה ליד)כיס(+רצועת חיזוק</v>
      </c>
      <c r="C340" s="12" t="n">
        <f aca="false">SUMIFS('בתי מרקחת Raw'!$D$6:$D$1616,'בתי מרקחת Raw'!$F$6:$F$1616,$A340,'בתי מרקחת Raw'!$C$6:$C$1616,2025)</f>
        <v>5</v>
      </c>
      <c r="D340" s="12" t="n">
        <f aca="false">SUMIFS('בתי מרקחת Raw'!$D$6:$D$1616,'בתי מרקחת Raw'!$F$6:$F$1616,$A340,'בתי מרקחת Raw'!$C$6:$C$1616,2026)</f>
        <v>1</v>
      </c>
      <c r="E340" s="12" t="n">
        <f aca="false">D340*$J$5</f>
        <v>1.26315789473684</v>
      </c>
      <c r="F340" s="12" t="n">
        <f aca="false">E340-C340</f>
        <v>-3.73684210526316</v>
      </c>
      <c r="G340" s="21" t="n">
        <f aca="false">IF(AND(C340=0,E340=0),0,IF(C340=0,"New",(E340-C340)/C340))</f>
        <v>-0.747368421052632</v>
      </c>
      <c r="H340" s="12" t="n">
        <f aca="false">SUMIFS('בתי מרקחת Raw'!$E$6:$E$1616,'בתי מרקחת Raw'!$F$6:$F$1616,$A340,'בתי מרקחת Raw'!$C$6:$C$1616,2025)</f>
        <v>423.81</v>
      </c>
      <c r="I340" s="12" t="n">
        <f aca="false">SUMIFS('בתי מרקחת Raw'!$E$6:$E$1616,'בתי מרקחת Raw'!$F$6:$F$1616,$A340,'בתי מרקחת Raw'!$C$6:$C$1616,2026)</f>
        <v>94.6</v>
      </c>
      <c r="J340" s="12" t="n">
        <f aca="false">I340*$J$5</f>
        <v>119.494736842105</v>
      </c>
    </row>
    <row r="341" customFormat="false" ht="15" hidden="false" customHeight="true" outlineLevel="0" collapsed="false">
      <c r="A341" s="12" t="n">
        <v>4413177</v>
      </c>
      <c r="B341" s="12" t="str">
        <f aca="false">IFERROR(INDEX('בתי מרקחת Raw'!$B:$B,MATCH($A341,'בתי מרקחת Raw'!$F:$F,0)),"")</f>
        <v>85+ XLמתלה ליד)כיס(רצועת חיזוק</v>
      </c>
      <c r="C341" s="12" t="n">
        <f aca="false">SUMIFS('בתי מרקחת Raw'!$D$6:$D$1616,'בתי מרקחת Raw'!$F$6:$F$1616,$A341,'בתי מרקחת Raw'!$C$6:$C$1616,2025)</f>
        <v>4</v>
      </c>
      <c r="D341" s="12" t="n">
        <f aca="false">SUMIFS('בתי מרקחת Raw'!$D$6:$D$1616,'בתי מרקחת Raw'!$F$6:$F$1616,$A341,'בתי מרקחת Raw'!$C$6:$C$1616,2026)</f>
        <v>2</v>
      </c>
      <c r="E341" s="12" t="n">
        <f aca="false">D341*$J$5</f>
        <v>2.52631578947368</v>
      </c>
      <c r="F341" s="12" t="n">
        <f aca="false">E341-C341</f>
        <v>-1.47368421052632</v>
      </c>
      <c r="G341" s="21" t="n">
        <f aca="false">IF(AND(C341=0,E341=0),0,IF(C341=0,"New",(E341-C341)/C341))</f>
        <v>-0.368421052631579</v>
      </c>
      <c r="H341" s="12" t="n">
        <f aca="false">SUMIFS('בתי מרקחת Raw'!$E$6:$E$1616,'בתי מרקחת Raw'!$F$6:$F$1616,$A341,'בתי מרקחת Raw'!$C$6:$C$1616,2025)</f>
        <v>304.59</v>
      </c>
      <c r="I341" s="12" t="n">
        <f aca="false">SUMIFS('בתי מרקחת Raw'!$E$6:$E$1616,'בתי מרקחת Raw'!$F$6:$F$1616,$A341,'בתי מרקחת Raw'!$C$6:$C$1616,2026)</f>
        <v>189.3</v>
      </c>
      <c r="J341" s="12" t="n">
        <f aca="false">I341*$J$5</f>
        <v>239.115789473684</v>
      </c>
    </row>
    <row r="342" customFormat="false" ht="15" hidden="false" customHeight="true" outlineLevel="0" collapsed="false">
      <c r="A342" s="12" t="n">
        <v>4413178</v>
      </c>
      <c r="B342" s="12" t="str">
        <f aca="false">IFERROR(INDEX('בתי מרקחת Raw'!$B:$B,MATCH($A342,'בתי מרקחת Raw'!$F:$F,0)),"")</f>
        <v>T39 XL מגן שוק</v>
      </c>
      <c r="C342" s="12" t="n">
        <f aca="false">SUMIFS('בתי מרקחת Raw'!$D$6:$D$1616,'בתי מרקחת Raw'!$F$6:$F$1616,$A342,'בתי מרקחת Raw'!$C$6:$C$1616,2025)</f>
        <v>1</v>
      </c>
      <c r="D342" s="12" t="n">
        <f aca="false">SUMIFS('בתי מרקחת Raw'!$D$6:$D$1616,'בתי מרקחת Raw'!$F$6:$F$1616,$A342,'בתי מרקחת Raw'!$C$6:$C$1616,2026)</f>
        <v>0</v>
      </c>
      <c r="E342" s="12" t="n">
        <f aca="false">D342*$J$5</f>
        <v>0</v>
      </c>
      <c r="F342" s="12" t="n">
        <f aca="false">E342-C342</f>
        <v>-1</v>
      </c>
      <c r="G342" s="21" t="n">
        <f aca="false">IF(AND(C342=0,E342=0),0,IF(C342=0,"New",(E342-C342)/C342))</f>
        <v>-1</v>
      </c>
      <c r="H342" s="12" t="n">
        <f aca="false">SUMIFS('בתי מרקחת Raw'!$E$6:$E$1616,'בתי מרקחת Raw'!$F$6:$F$1616,$A342,'בתי מרקחת Raw'!$C$6:$C$1616,2025)</f>
        <v>93.4</v>
      </c>
      <c r="I342" s="12" t="n">
        <f aca="false">SUMIFS('בתי מרקחת Raw'!$E$6:$E$1616,'בתי מרקחת Raw'!$F$6:$F$1616,$A342,'בתי מרקחת Raw'!$C$6:$C$1616,2026)</f>
        <v>0</v>
      </c>
      <c r="J342" s="12" t="n">
        <f aca="false">I342*$J$5</f>
        <v>0</v>
      </c>
    </row>
    <row r="343" customFormat="false" ht="15" hidden="false" customHeight="true" outlineLevel="0" collapsed="false">
      <c r="A343" s="12" t="n">
        <v>4413179</v>
      </c>
      <c r="B343" s="12" t="str">
        <f aca="false">IFERROR(INDEX('בתי מרקחת Raw'!$B:$B,MATCH($A343,'בתי מרקחת Raw'!$F:$F,0)),"")</f>
        <v>T39  M מגן שוק</v>
      </c>
      <c r="C343" s="12" t="n">
        <f aca="false">SUMIFS('בתי מרקחת Raw'!$D$6:$D$1616,'בתי מרקחת Raw'!$F$6:$F$1616,$A343,'בתי מרקחת Raw'!$C$6:$C$1616,2025)</f>
        <v>4</v>
      </c>
      <c r="D343" s="12" t="n">
        <f aca="false">SUMIFS('בתי מרקחת Raw'!$D$6:$D$1616,'בתי מרקחת Raw'!$F$6:$F$1616,$A343,'בתי מרקחת Raw'!$C$6:$C$1616,2026)</f>
        <v>0</v>
      </c>
      <c r="E343" s="12" t="n">
        <f aca="false">D343*$J$5</f>
        <v>0</v>
      </c>
      <c r="F343" s="12" t="n">
        <f aca="false">E343-C343</f>
        <v>-4</v>
      </c>
      <c r="G343" s="21" t="n">
        <f aca="false">IF(AND(C343=0,E343=0),0,IF(C343=0,"New",(E343-C343)/C343))</f>
        <v>-1</v>
      </c>
      <c r="H343" s="12" t="n">
        <f aca="false">SUMIFS('בתי מרקחת Raw'!$E$6:$E$1616,'בתי מרקחת Raw'!$F$6:$F$1616,$A343,'בתי מרקחת Raw'!$C$6:$C$1616,2025)</f>
        <v>402.3</v>
      </c>
      <c r="I343" s="12" t="n">
        <f aca="false">SUMIFS('בתי מרקחת Raw'!$E$6:$E$1616,'בתי מרקחת Raw'!$F$6:$F$1616,$A343,'בתי מרקחת Raw'!$C$6:$C$1616,2026)</f>
        <v>0</v>
      </c>
      <c r="J343" s="12" t="n">
        <f aca="false">I343*$J$5</f>
        <v>0</v>
      </c>
    </row>
    <row r="344" customFormat="false" ht="15" hidden="false" customHeight="true" outlineLevel="0" collapsed="false">
      <c r="A344" s="12" t="n">
        <v>4413180</v>
      </c>
      <c r="B344" s="12" t="str">
        <f aca="false">IFERROR(INDEX('בתי מרקחת Raw'!$B:$B,MATCH($A344,'בתי מרקחת Raw'!$F:$F,0)),"")</f>
        <v>T39 S</v>
      </c>
      <c r="C344" s="12" t="n">
        <f aca="false">SUMIFS('בתי מרקחת Raw'!$D$6:$D$1616,'בתי מרקחת Raw'!$F$6:$F$1616,$A344,'בתי מרקחת Raw'!$C$6:$C$1616,2025)</f>
        <v>2</v>
      </c>
      <c r="D344" s="12" t="n">
        <f aca="false">SUMIFS('בתי מרקחת Raw'!$D$6:$D$1616,'בתי מרקחת Raw'!$F$6:$F$1616,$A344,'בתי מרקחת Raw'!$C$6:$C$1616,2026)</f>
        <v>0</v>
      </c>
      <c r="E344" s="12" t="n">
        <f aca="false">D344*$J$5</f>
        <v>0</v>
      </c>
      <c r="F344" s="12" t="n">
        <f aca="false">E344-C344</f>
        <v>-2</v>
      </c>
      <c r="G344" s="21" t="n">
        <f aca="false">IF(AND(C344=0,E344=0),0,IF(C344=0,"New",(E344-C344)/C344))</f>
        <v>-1</v>
      </c>
      <c r="H344" s="12" t="n">
        <f aca="false">SUMIFS('בתי מרקחת Raw'!$E$6:$E$1616,'בתי מרקחת Raw'!$F$6:$F$1616,$A344,'בתי מרקחת Raw'!$C$6:$C$1616,2025)</f>
        <v>207.91</v>
      </c>
      <c r="I344" s="12" t="n">
        <f aca="false">SUMIFS('בתי מרקחת Raw'!$E$6:$E$1616,'בתי מרקחת Raw'!$F$6:$F$1616,$A344,'בתי מרקחת Raw'!$C$6:$C$1616,2026)</f>
        <v>0</v>
      </c>
      <c r="J344" s="12" t="n">
        <f aca="false">I344*$J$5</f>
        <v>0</v>
      </c>
    </row>
    <row r="345" customFormat="false" ht="15" hidden="false" customHeight="true" outlineLevel="0" collapsed="false">
      <c r="A345" s="12" t="n">
        <v>4413181</v>
      </c>
      <c r="B345" s="12" t="str">
        <f aca="false">IFERROR(INDEX('בתי מרקחת Raw'!$B:$B,MATCH($A345,'בתי מרקחת Raw'!$F:$F,0)),"")</f>
        <v>T39  L מגן שוק</v>
      </c>
      <c r="C345" s="12" t="n">
        <f aca="false">SUMIFS('בתי מרקחת Raw'!$D$6:$D$1616,'בתי מרקחת Raw'!$F$6:$F$1616,$A345,'בתי מרקחת Raw'!$C$6:$C$1616,2025)</f>
        <v>3</v>
      </c>
      <c r="D345" s="12" t="n">
        <f aca="false">SUMIFS('בתי מרקחת Raw'!$D$6:$D$1616,'בתי מרקחת Raw'!$F$6:$F$1616,$A345,'בתי מרקחת Raw'!$C$6:$C$1616,2026)</f>
        <v>0</v>
      </c>
      <c r="E345" s="12" t="n">
        <f aca="false">D345*$J$5</f>
        <v>0</v>
      </c>
      <c r="F345" s="12" t="n">
        <f aca="false">E345-C345</f>
        <v>-3</v>
      </c>
      <c r="G345" s="21" t="n">
        <f aca="false">IF(AND(C345=0,E345=0),0,IF(C345=0,"New",(E345-C345)/C345))</f>
        <v>-1</v>
      </c>
      <c r="H345" s="12" t="n">
        <f aca="false">SUMIFS('בתי מרקחת Raw'!$E$6:$E$1616,'בתי מרקחת Raw'!$F$6:$F$1616,$A345,'בתי מרקחת Raw'!$C$6:$C$1616,2025)</f>
        <v>308.9</v>
      </c>
      <c r="I345" s="12" t="n">
        <f aca="false">SUMIFS('בתי מרקחת Raw'!$E$6:$E$1616,'בתי מרקחת Raw'!$F$6:$F$1616,$A345,'בתי מרקחת Raw'!$C$6:$C$1616,2026)</f>
        <v>0</v>
      </c>
      <c r="J345" s="12" t="n">
        <f aca="false">I345*$J$5</f>
        <v>0</v>
      </c>
    </row>
    <row r="346" customFormat="false" ht="15" hidden="false" customHeight="true" outlineLevel="0" collapsed="false">
      <c r="A346" s="12" t="n">
        <v>4413183</v>
      </c>
      <c r="B346" s="12" t="str">
        <f aca="false">IFERROR(INDEX('בתי מרקחת Raw'!$B:$B,MATCH($A346,'בתי מרקחת Raw'!$F:$F,0)),"")</f>
        <v>T 45 M מגן ברך רגיל</v>
      </c>
      <c r="C346" s="12" t="n">
        <f aca="false">SUMIFS('בתי מרקחת Raw'!$D$6:$D$1616,'בתי מרקחת Raw'!$F$6:$F$1616,$A346,'בתי מרקחת Raw'!$C$6:$C$1616,2025)</f>
        <v>1</v>
      </c>
      <c r="D346" s="12" t="n">
        <f aca="false">SUMIFS('בתי מרקחת Raw'!$D$6:$D$1616,'בתי מרקחת Raw'!$F$6:$F$1616,$A346,'בתי מרקחת Raw'!$C$6:$C$1616,2026)</f>
        <v>2</v>
      </c>
      <c r="E346" s="12" t="n">
        <f aca="false">D346*$J$5</f>
        <v>2.52631578947368</v>
      </c>
      <c r="F346" s="12" t="n">
        <f aca="false">E346-C346</f>
        <v>1.52631578947368</v>
      </c>
      <c r="G346" s="21" t="n">
        <f aca="false">IF(AND(C346=0,E346=0),0,IF(C346=0,"New",(E346-C346)/C346))</f>
        <v>1.52631578947368</v>
      </c>
      <c r="H346" s="12" t="n">
        <f aca="false">SUMIFS('בתי מרקחת Raw'!$E$6:$E$1616,'בתי מרקחת Raw'!$F$6:$F$1616,$A346,'בתי מרקחת Raw'!$C$6:$C$1616,2025)</f>
        <v>104</v>
      </c>
      <c r="I346" s="12" t="n">
        <f aca="false">SUMIFS('בתי מרקחת Raw'!$E$6:$E$1616,'בתי מרקחת Raw'!$F$6:$F$1616,$A346,'בתי מרקחת Raw'!$C$6:$C$1616,2026)</f>
        <v>210.8</v>
      </c>
      <c r="J346" s="12" t="n">
        <f aca="false">I346*$J$5</f>
        <v>266.273684210526</v>
      </c>
    </row>
    <row r="347" customFormat="false" ht="15" hidden="false" customHeight="true" outlineLevel="0" collapsed="false">
      <c r="A347" s="12" t="n">
        <v>4413184</v>
      </c>
      <c r="B347" s="12" t="str">
        <f aca="false">IFERROR(INDEX('בתי מרקחת Raw'!$B:$B,MATCH($A347,'בתי מרקחת Raw'!$F:$F,0)),"")</f>
        <v>T 45 L מגן ברך רגיל</v>
      </c>
      <c r="C347" s="12" t="n">
        <f aca="false">SUMIFS('בתי מרקחת Raw'!$D$6:$D$1616,'בתי מרקחת Raw'!$F$6:$F$1616,$A347,'בתי מרקחת Raw'!$C$6:$C$1616,2025)</f>
        <v>5</v>
      </c>
      <c r="D347" s="12" t="n">
        <f aca="false">SUMIFS('בתי מרקחת Raw'!$D$6:$D$1616,'בתי מרקחת Raw'!$F$6:$F$1616,$A347,'בתי מרקחת Raw'!$C$6:$C$1616,2026)</f>
        <v>1</v>
      </c>
      <c r="E347" s="12" t="n">
        <f aca="false">D347*$J$5</f>
        <v>1.26315789473684</v>
      </c>
      <c r="F347" s="12" t="n">
        <f aca="false">E347-C347</f>
        <v>-3.73684210526316</v>
      </c>
      <c r="G347" s="21" t="n">
        <f aca="false">IF(AND(C347=0,E347=0),0,IF(C347=0,"New",(E347-C347)/C347))</f>
        <v>-0.747368421052632</v>
      </c>
      <c r="H347" s="12" t="n">
        <f aca="false">SUMIFS('בתי מרקחת Raw'!$E$6:$E$1616,'בתי מרקחת Raw'!$F$6:$F$1616,$A347,'בתי מרקחת Raw'!$C$6:$C$1616,2025)</f>
        <v>522.92</v>
      </c>
      <c r="I347" s="12" t="n">
        <f aca="false">SUMIFS('בתי מרקחת Raw'!$E$6:$E$1616,'בתי מרקחת Raw'!$F$6:$F$1616,$A347,'בתי מרקחת Raw'!$C$6:$C$1616,2026)</f>
        <v>105.4</v>
      </c>
      <c r="J347" s="12" t="n">
        <f aca="false">I347*$J$5</f>
        <v>133.136842105263</v>
      </c>
    </row>
    <row r="348" customFormat="false" ht="15" hidden="false" customHeight="true" outlineLevel="0" collapsed="false">
      <c r="A348" s="12" t="n">
        <v>4413185</v>
      </c>
      <c r="B348" s="12" t="str">
        <f aca="false">IFERROR(INDEX('בתי מרקחת Raw'!$B:$B,MATCH($A348,'בתי מרקחת Raw'!$F:$F,0)),"")</f>
        <v>T 45XL מגן ברך רגיל</v>
      </c>
      <c r="C348" s="12" t="n">
        <f aca="false">SUMIFS('בתי מרקחת Raw'!$D$6:$D$1616,'בתי מרקחת Raw'!$F$6:$F$1616,$A348,'בתי מרקחת Raw'!$C$6:$C$1616,2025)</f>
        <v>5</v>
      </c>
      <c r="D348" s="12" t="n">
        <f aca="false">SUMIFS('בתי מרקחת Raw'!$D$6:$D$1616,'בתי מרקחת Raw'!$F$6:$F$1616,$A348,'בתי מרקחת Raw'!$C$6:$C$1616,2026)</f>
        <v>2</v>
      </c>
      <c r="E348" s="12" t="n">
        <f aca="false">D348*$J$5</f>
        <v>2.52631578947368</v>
      </c>
      <c r="F348" s="12" t="n">
        <f aca="false">E348-C348</f>
        <v>-2.47368421052632</v>
      </c>
      <c r="G348" s="21" t="n">
        <f aca="false">IF(AND(C348=0,E348=0),0,IF(C348=0,"New",(E348-C348)/C348))</f>
        <v>-0.494736842105263</v>
      </c>
      <c r="H348" s="12" t="n">
        <f aca="false">SUMIFS('בתי מרקחת Raw'!$E$6:$E$1616,'בתי מרקחת Raw'!$F$6:$F$1616,$A348,'בתי מרקחת Raw'!$C$6:$C$1616,2025)</f>
        <v>525.6</v>
      </c>
      <c r="I348" s="12" t="n">
        <f aca="false">SUMIFS('בתי מרקחת Raw'!$E$6:$E$1616,'בתי מרקחת Raw'!$F$6:$F$1616,$A348,'בתי מרקחת Raw'!$C$6:$C$1616,2026)</f>
        <v>210.8</v>
      </c>
      <c r="J348" s="12" t="n">
        <f aca="false">I348*$J$5</f>
        <v>266.273684210526</v>
      </c>
    </row>
    <row r="349" customFormat="false" ht="15" hidden="false" customHeight="true" outlineLevel="0" collapsed="false">
      <c r="A349" s="12" t="n">
        <v>4413195</v>
      </c>
      <c r="B349" s="12" t="str">
        <f aca="false">IFERROR(INDEX('בתי מרקחת Raw'!$B:$B,MATCH($A349,'בתי מרקחת Raw'!$F:$F,0)),"")</f>
        <v>87 S מקבע כתף ויד</v>
      </c>
      <c r="C349" s="12" t="n">
        <f aca="false">SUMIFS('בתי מרקחת Raw'!$D$6:$D$1616,'בתי מרקחת Raw'!$F$6:$F$1616,$A349,'בתי מרקחת Raw'!$C$6:$C$1616,2025)</f>
        <v>6</v>
      </c>
      <c r="D349" s="12" t="n">
        <f aca="false">SUMIFS('בתי מרקחת Raw'!$D$6:$D$1616,'בתי מרקחת Raw'!$F$6:$F$1616,$A349,'בתי מרקחת Raw'!$C$6:$C$1616,2026)</f>
        <v>5</v>
      </c>
      <c r="E349" s="12" t="n">
        <f aca="false">D349*$J$5</f>
        <v>6.31578947368421</v>
      </c>
      <c r="F349" s="12" t="n">
        <f aca="false">E349-C349</f>
        <v>0.315789473684211</v>
      </c>
      <c r="G349" s="21" t="n">
        <f aca="false">IF(AND(C349=0,E349=0),0,IF(C349=0,"New",(E349-C349)/C349))</f>
        <v>0.0526315789473684</v>
      </c>
      <c r="H349" s="12" t="n">
        <f aca="false">SUMIFS('בתי מרקחת Raw'!$E$6:$E$1616,'בתי מרקחת Raw'!$F$6:$F$1616,$A349,'בתי מרקחת Raw'!$C$6:$C$1616,2025)</f>
        <v>1084.4</v>
      </c>
      <c r="I349" s="12" t="n">
        <f aca="false">SUMIFS('בתי מרקחת Raw'!$E$6:$E$1616,'בתי מרקחת Raw'!$F$6:$F$1616,$A349,'בתי מרקחת Raw'!$C$6:$C$1616,2026)</f>
        <v>946</v>
      </c>
      <c r="J349" s="12" t="n">
        <f aca="false">I349*$J$5</f>
        <v>1194.94736842105</v>
      </c>
    </row>
    <row r="350" customFormat="false" ht="15" hidden="false" customHeight="true" outlineLevel="0" collapsed="false">
      <c r="A350" s="12" t="n">
        <v>4413196</v>
      </c>
      <c r="B350" s="12" t="str">
        <f aca="false">IFERROR(INDEX('בתי מרקחת Raw'!$B:$B,MATCH($A350,'בתי מרקחת Raw'!$F:$F,0)),"")</f>
        <v>87 M מקבע כתף ויד</v>
      </c>
      <c r="C350" s="12" t="n">
        <f aca="false">SUMIFS('בתי מרקחת Raw'!$D$6:$D$1616,'בתי מרקחת Raw'!$F$6:$F$1616,$A350,'בתי מרקחת Raw'!$C$6:$C$1616,2025)</f>
        <v>26</v>
      </c>
      <c r="D350" s="12" t="n">
        <f aca="false">SUMIFS('בתי מרקחת Raw'!$D$6:$D$1616,'בתי מרקחת Raw'!$F$6:$F$1616,$A350,'בתי מרקחת Raw'!$C$6:$C$1616,2026)</f>
        <v>13</v>
      </c>
      <c r="E350" s="12" t="n">
        <f aca="false">D350*$J$5</f>
        <v>16.4210526315789</v>
      </c>
      <c r="F350" s="12" t="n">
        <f aca="false">E350-C350</f>
        <v>-9.57894736842106</v>
      </c>
      <c r="G350" s="21" t="n">
        <f aca="false">IF(AND(C350=0,E350=0),0,IF(C350=0,"New",(E350-C350)/C350))</f>
        <v>-0.368421052631579</v>
      </c>
      <c r="H350" s="12" t="n">
        <f aca="false">SUMIFS('בתי מרקחת Raw'!$E$6:$E$1616,'בתי מרקחת Raw'!$F$6:$F$1616,$A350,'בתי מרקחת Raw'!$C$6:$C$1616,2025)</f>
        <v>4618.63</v>
      </c>
      <c r="I350" s="12" t="n">
        <f aca="false">SUMIFS('בתי מרקחת Raw'!$E$6:$E$1616,'בתי מרקחת Raw'!$F$6:$F$1616,$A350,'בתי מרקחת Raw'!$C$6:$C$1616,2026)</f>
        <v>2496.52</v>
      </c>
      <c r="J350" s="12" t="n">
        <f aca="false">I350*$J$5</f>
        <v>3153.49894736842</v>
      </c>
    </row>
    <row r="351" customFormat="false" ht="15" hidden="false" customHeight="true" outlineLevel="0" collapsed="false">
      <c r="A351" s="12" t="n">
        <v>4413197</v>
      </c>
      <c r="B351" s="12" t="str">
        <f aca="false">IFERROR(INDEX('בתי מרקחת Raw'!$B:$B,MATCH($A351,'בתי מרקחת Raw'!$F:$F,0)),"")</f>
        <v>87 L מקבע כתף ויד</v>
      </c>
      <c r="C351" s="12" t="n">
        <f aca="false">SUMIFS('בתי מרקחת Raw'!$D$6:$D$1616,'בתי מרקחת Raw'!$F$6:$F$1616,$A351,'בתי מרקחת Raw'!$C$6:$C$1616,2025)</f>
        <v>44</v>
      </c>
      <c r="D351" s="12" t="n">
        <f aca="false">SUMIFS('בתי מרקחת Raw'!$D$6:$D$1616,'בתי מרקחת Raw'!$F$6:$F$1616,$A351,'בתי מרקחת Raw'!$C$6:$C$1616,2026)</f>
        <v>38</v>
      </c>
      <c r="E351" s="12" t="n">
        <f aca="false">D351*$J$5</f>
        <v>48</v>
      </c>
      <c r="F351" s="12" t="n">
        <f aca="false">E351-C351</f>
        <v>4</v>
      </c>
      <c r="G351" s="21" t="n">
        <f aca="false">IF(AND(C351=0,E351=0),0,IF(C351=0,"New",(E351-C351)/C351))</f>
        <v>0.0909090909090909</v>
      </c>
      <c r="H351" s="12" t="n">
        <f aca="false">SUMIFS('בתי מרקחת Raw'!$E$6:$E$1616,'בתי מרקחת Raw'!$F$6:$F$1616,$A351,'בתי מרקחת Raw'!$C$6:$C$1616,2025)</f>
        <v>8009.25</v>
      </c>
      <c r="I351" s="12" t="n">
        <f aca="false">SUMIFS('בתי מרקחת Raw'!$E$6:$E$1616,'בתי מרקחת Raw'!$F$6:$F$1616,$A351,'בתי מרקחת Raw'!$C$6:$C$1616,2026)</f>
        <v>6947.92</v>
      </c>
      <c r="J351" s="12" t="n">
        <f aca="false">I351*$J$5</f>
        <v>8776.32</v>
      </c>
    </row>
    <row r="352" customFormat="false" ht="15" hidden="false" customHeight="true" outlineLevel="0" collapsed="false">
      <c r="A352" s="12" t="n">
        <v>4413198</v>
      </c>
      <c r="B352" s="12" t="str">
        <f aca="false">IFERROR(INDEX('בתי מרקחת Raw'!$B:$B,MATCH($A352,'בתי מרקחת Raw'!$F:$F,0)),"")</f>
        <v>87 XL מקבע כתף ויד</v>
      </c>
      <c r="C352" s="12" t="n">
        <f aca="false">SUMIFS('בתי מרקחת Raw'!$D$6:$D$1616,'בתי מרקחת Raw'!$F$6:$F$1616,$A352,'בתי מרקחת Raw'!$C$6:$C$1616,2025)</f>
        <v>34</v>
      </c>
      <c r="D352" s="12" t="n">
        <f aca="false">SUMIFS('בתי מרקחת Raw'!$D$6:$D$1616,'בתי מרקחת Raw'!$F$6:$F$1616,$A352,'בתי מרקחת Raw'!$C$6:$C$1616,2026)</f>
        <v>25</v>
      </c>
      <c r="E352" s="12" t="n">
        <f aca="false">D352*$J$5</f>
        <v>31.5789473684211</v>
      </c>
      <c r="F352" s="12" t="n">
        <f aca="false">E352-C352</f>
        <v>-2.42105263157895</v>
      </c>
      <c r="G352" s="21" t="n">
        <f aca="false">IF(AND(C352=0,E352=0),0,IF(C352=0,"New",(E352-C352)/C352))</f>
        <v>-0.0712074303405573</v>
      </c>
      <c r="H352" s="12" t="n">
        <f aca="false">SUMIFS('בתי מרקחת Raw'!$E$6:$E$1616,'בתי מרקחת Raw'!$F$6:$F$1616,$A352,'בתי מרקחת Raw'!$C$6:$C$1616,2025)</f>
        <v>5830.71</v>
      </c>
      <c r="I352" s="12" t="n">
        <f aca="false">SUMIFS('בתי מרקחת Raw'!$E$6:$E$1616,'בתי מרקחת Raw'!$F$6:$F$1616,$A352,'בתי מרקחת Raw'!$C$6:$C$1616,2026)</f>
        <v>4517.7</v>
      </c>
      <c r="J352" s="12" t="n">
        <f aca="false">I352*$J$5</f>
        <v>5706.56842105263</v>
      </c>
    </row>
    <row r="353" customFormat="false" ht="15" hidden="false" customHeight="true" outlineLevel="0" collapsed="false">
      <c r="A353" s="12" t="n">
        <v>4413204</v>
      </c>
      <c r="B353" s="12" t="str">
        <f aca="false">IFERROR(INDEX('בתי מרקחת Raw'!$B:$B,MATCH($A353,'בתי מרקחת Raw'!$F:$F,0)),"")</f>
        <v>87 XXL מקבע כתף ויד</v>
      </c>
      <c r="C353" s="12" t="n">
        <f aca="false">SUMIFS('בתי מרקחת Raw'!$D$6:$D$1616,'בתי מרקחת Raw'!$F$6:$F$1616,$A353,'בתי מרקחת Raw'!$C$6:$C$1616,2025)</f>
        <v>13</v>
      </c>
      <c r="D353" s="12" t="n">
        <f aca="false">SUMIFS('בתי מרקחת Raw'!$D$6:$D$1616,'בתי מרקחת Raw'!$F$6:$F$1616,$A353,'בתי מרקחת Raw'!$C$6:$C$1616,2026)</f>
        <v>15</v>
      </c>
      <c r="E353" s="12" t="n">
        <f aca="false">D353*$J$5</f>
        <v>18.9473684210526</v>
      </c>
      <c r="F353" s="12" t="n">
        <f aca="false">E353-C353</f>
        <v>5.94736842105263</v>
      </c>
      <c r="G353" s="21" t="n">
        <f aca="false">IF(AND(C353=0,E353=0),0,IF(C353=0,"New",(E353-C353)/C353))</f>
        <v>0.45748987854251</v>
      </c>
      <c r="H353" s="12" t="n">
        <f aca="false">SUMIFS('בתי מרקחת Raw'!$E$6:$E$1616,'בתי מרקחת Raw'!$F$6:$F$1616,$A353,'בתי מרקחת Raw'!$C$6:$C$1616,2025)</f>
        <v>2001.55</v>
      </c>
      <c r="I353" s="12" t="n">
        <f aca="false">SUMIFS('בתי מרקחת Raw'!$E$6:$E$1616,'בתי מרקחת Raw'!$F$6:$F$1616,$A353,'בתי מרקחת Raw'!$C$6:$C$1616,2026)</f>
        <v>2592.01</v>
      </c>
      <c r="J353" s="12" t="n">
        <f aca="false">I353*$J$5</f>
        <v>3274.11789473684</v>
      </c>
    </row>
    <row r="354" customFormat="false" ht="15" hidden="false" customHeight="true" outlineLevel="0" collapsed="false">
      <c r="A354" s="12" t="n">
        <v>4413210</v>
      </c>
      <c r="B354" s="12" t="str">
        <f aca="false">IFERROR(INDEX('בתי מרקחת Raw'!$B:$B,MATCH($A354,'בתי מרקחת Raw'!$F:$F,0)),"")</f>
        <v>T95 S מגן מרפק רגיל</v>
      </c>
      <c r="C354" s="12" t="n">
        <f aca="false">SUMIFS('בתי מרקחת Raw'!$D$6:$D$1616,'בתי מרקחת Raw'!$F$6:$F$1616,$A354,'בתי מרקחת Raw'!$C$6:$C$1616,2025)</f>
        <v>0</v>
      </c>
      <c r="D354" s="12" t="n">
        <f aca="false">SUMIFS('בתי מרקחת Raw'!$D$6:$D$1616,'בתי מרקחת Raw'!$F$6:$F$1616,$A354,'בתי מרקחת Raw'!$C$6:$C$1616,2026)</f>
        <v>1</v>
      </c>
      <c r="E354" s="12" t="n">
        <f aca="false">D354*$J$5</f>
        <v>1.26315789473684</v>
      </c>
      <c r="F354" s="12" t="n">
        <f aca="false">E354-C354</f>
        <v>1.26315789473684</v>
      </c>
      <c r="G354" s="21" t="str">
        <f aca="false">IF(AND(C354=0,E354=0),0,IF(C354=0,"New",(E354-C354)/C354))</f>
        <v>New</v>
      </c>
      <c r="H354" s="12" t="n">
        <f aca="false">SUMIFS('בתי מרקחת Raw'!$E$6:$E$1616,'בתי מרקחת Raw'!$F$6:$F$1616,$A354,'בתי מרקחת Raw'!$C$6:$C$1616,2025)</f>
        <v>0</v>
      </c>
      <c r="I354" s="12" t="n">
        <f aca="false">SUMIFS('בתי מרקחת Raw'!$E$6:$E$1616,'בתי מרקחת Raw'!$F$6:$F$1616,$A354,'בתי מרקחת Raw'!$C$6:$C$1616,2026)</f>
        <v>94.5</v>
      </c>
      <c r="J354" s="12" t="n">
        <f aca="false">I354*$J$5</f>
        <v>119.368421052632</v>
      </c>
    </row>
    <row r="355" customFormat="false" ht="15" hidden="false" customHeight="true" outlineLevel="0" collapsed="false">
      <c r="A355" s="12" t="n">
        <v>4413224</v>
      </c>
      <c r="B355" s="12" t="str">
        <f aca="false">IFERROR(INDEX('בתי מרקחת Raw'!$B:$B,MATCH($A355,'בתי מרקחת Raw'!$F:$F,0)),"")</f>
        <v>T45X XL מגן ברך רגיל</v>
      </c>
      <c r="C355" s="12" t="n">
        <f aca="false">SUMIFS('בתי מרקחת Raw'!$D$6:$D$1616,'בתי מרקחת Raw'!$F$6:$F$1616,$A355,'בתי מרקחת Raw'!$C$6:$C$1616,2025)</f>
        <v>2</v>
      </c>
      <c r="D355" s="12" t="n">
        <f aca="false">SUMIFS('בתי מרקחת Raw'!$D$6:$D$1616,'בתי מרקחת Raw'!$F$6:$F$1616,$A355,'בתי מרקחת Raw'!$C$6:$C$1616,2026)</f>
        <v>2</v>
      </c>
      <c r="E355" s="12" t="n">
        <f aca="false">D355*$J$5</f>
        <v>2.52631578947368</v>
      </c>
      <c r="F355" s="12" t="n">
        <f aca="false">E355-C355</f>
        <v>0.526315789473684</v>
      </c>
      <c r="G355" s="21" t="n">
        <f aca="false">IF(AND(C355=0,E355=0),0,IF(C355=0,"New",(E355-C355)/C355))</f>
        <v>0.263157894736842</v>
      </c>
      <c r="H355" s="12" t="n">
        <f aca="false">SUMIFS('בתי מרקחת Raw'!$E$6:$E$1616,'בתי מרקחת Raw'!$F$6:$F$1616,$A355,'בתי מרקחת Raw'!$C$6:$C$1616,2025)</f>
        <v>237.1</v>
      </c>
      <c r="I355" s="12" t="n">
        <f aca="false">SUMIFS('בתי מרקחת Raw'!$E$6:$E$1616,'בתי מרקחת Raw'!$F$6:$F$1616,$A355,'בתי מרקחת Raw'!$C$6:$C$1616,2026)</f>
        <v>236.73</v>
      </c>
      <c r="J355" s="12" t="n">
        <f aca="false">I355*$J$5</f>
        <v>299.027368421053</v>
      </c>
    </row>
    <row r="356" customFormat="false" ht="15" hidden="false" customHeight="true" outlineLevel="0" collapsed="false">
      <c r="A356" s="12" t="n">
        <v>4413225</v>
      </c>
      <c r="B356" s="12" t="str">
        <f aca="false">IFERROR(INDEX('בתי מרקחת Raw'!$B:$B,MATCH($A356,'בתי מרקחת Raw'!$F:$F,0)),"")</f>
        <v>T45X M מגן ברך רגיל</v>
      </c>
      <c r="C356" s="12" t="n">
        <f aca="false">SUMIFS('בתי מרקחת Raw'!$D$6:$D$1616,'בתי מרקחת Raw'!$F$6:$F$1616,$A356,'בתי מרקחת Raw'!$C$6:$C$1616,2025)</f>
        <v>1</v>
      </c>
      <c r="D356" s="12" t="n">
        <f aca="false">SUMIFS('בתי מרקחת Raw'!$D$6:$D$1616,'בתי מרקחת Raw'!$F$6:$F$1616,$A356,'בתי מרקחת Raw'!$C$6:$C$1616,2026)</f>
        <v>0</v>
      </c>
      <c r="E356" s="12" t="n">
        <f aca="false">D356*$J$5</f>
        <v>0</v>
      </c>
      <c r="F356" s="12" t="n">
        <f aca="false">E356-C356</f>
        <v>-1</v>
      </c>
      <c r="G356" s="21" t="n">
        <f aca="false">IF(AND(C356=0,E356=0),0,IF(C356=0,"New",(E356-C356)/C356))</f>
        <v>-1</v>
      </c>
      <c r="H356" s="12" t="n">
        <f aca="false">SUMIFS('בתי מרקחת Raw'!$E$6:$E$1616,'בתי מרקחת Raw'!$F$6:$F$1616,$A356,'בתי מרקחת Raw'!$C$6:$C$1616,2025)</f>
        <v>118.6</v>
      </c>
      <c r="I356" s="12" t="n">
        <f aca="false">SUMIFS('בתי מרקחת Raw'!$E$6:$E$1616,'בתי מרקחת Raw'!$F$6:$F$1616,$A356,'בתי מרקחת Raw'!$C$6:$C$1616,2026)</f>
        <v>0</v>
      </c>
      <c r="J356" s="12" t="n">
        <f aca="false">I356*$J$5</f>
        <v>0</v>
      </c>
    </row>
    <row r="357" customFormat="false" ht="15" hidden="false" customHeight="true" outlineLevel="0" collapsed="false">
      <c r="A357" s="12" t="n">
        <v>4413226</v>
      </c>
      <c r="B357" s="12" t="str">
        <f aca="false">IFERROR(INDEX('בתי מרקחת Raw'!$B:$B,MATCH($A357,'בתי מרקחת Raw'!$F:$F,0)),"")</f>
        <v>T45X L מגן ברך רגיל</v>
      </c>
      <c r="C357" s="12" t="n">
        <f aca="false">SUMIFS('בתי מרקחת Raw'!$D$6:$D$1616,'בתי מרקחת Raw'!$F$6:$F$1616,$A357,'בתי מרקחת Raw'!$C$6:$C$1616,2025)</f>
        <v>2</v>
      </c>
      <c r="D357" s="12" t="n">
        <f aca="false">SUMIFS('בתי מרקחת Raw'!$D$6:$D$1616,'בתי מרקחת Raw'!$F$6:$F$1616,$A357,'בתי מרקחת Raw'!$C$6:$C$1616,2026)</f>
        <v>0</v>
      </c>
      <c r="E357" s="12" t="n">
        <f aca="false">D357*$J$5</f>
        <v>0</v>
      </c>
      <c r="F357" s="12" t="n">
        <f aca="false">E357-C357</f>
        <v>-2</v>
      </c>
      <c r="G357" s="21" t="n">
        <f aca="false">IF(AND(C357=0,E357=0),0,IF(C357=0,"New",(E357-C357)/C357))</f>
        <v>-1</v>
      </c>
      <c r="H357" s="12" t="n">
        <f aca="false">SUMIFS('בתי מרקחת Raw'!$E$6:$E$1616,'בתי מרקחת Raw'!$F$6:$F$1616,$A357,'בתי מרקחת Raw'!$C$6:$C$1616,2025)</f>
        <v>237.1</v>
      </c>
      <c r="I357" s="12" t="n">
        <f aca="false">SUMIFS('בתי מרקחת Raw'!$E$6:$E$1616,'בתי מרקחת Raw'!$F$6:$F$1616,$A357,'בתי מרקחת Raw'!$C$6:$C$1616,2026)</f>
        <v>0</v>
      </c>
      <c r="J357" s="12" t="n">
        <f aca="false">I357*$J$5</f>
        <v>0</v>
      </c>
    </row>
    <row r="358" customFormat="false" ht="15" hidden="false" customHeight="true" outlineLevel="0" collapsed="false">
      <c r="A358" s="12" t="n">
        <v>4413260</v>
      </c>
      <c r="B358" s="12" t="str">
        <f aca="false">IFERROR(INDEX('בתי מרקחת Raw'!$B:$B,MATCH($A358,'בתי מרקחת Raw'!$F:$F,0)),"")</f>
        <v>T45X-XXLמגן ברך רגיל</v>
      </c>
      <c r="C358" s="12" t="n">
        <f aca="false">SUMIFS('בתי מרקחת Raw'!$D$6:$D$1616,'בתי מרקחת Raw'!$F$6:$F$1616,$A358,'בתי מרקחת Raw'!$C$6:$C$1616,2025)</f>
        <v>0</v>
      </c>
      <c r="D358" s="12" t="n">
        <f aca="false">SUMIFS('בתי מרקחת Raw'!$D$6:$D$1616,'בתי מרקחת Raw'!$F$6:$F$1616,$A358,'בתי מרקחת Raw'!$C$6:$C$1616,2026)</f>
        <v>3</v>
      </c>
      <c r="E358" s="12" t="n">
        <f aca="false">D358*$J$5</f>
        <v>3.78947368421053</v>
      </c>
      <c r="F358" s="12" t="n">
        <f aca="false">E358-C358</f>
        <v>3.78947368421053</v>
      </c>
      <c r="G358" s="21" t="str">
        <f aca="false">IF(AND(C358=0,E358=0),0,IF(C358=0,"New",(E358-C358)/C358))</f>
        <v>New</v>
      </c>
      <c r="H358" s="12" t="n">
        <f aca="false">SUMIFS('בתי מרקחת Raw'!$E$6:$E$1616,'בתי מרקחת Raw'!$F$6:$F$1616,$A358,'בתי מרקחת Raw'!$C$6:$C$1616,2025)</f>
        <v>0</v>
      </c>
      <c r="I358" s="12" t="n">
        <f aca="false">SUMIFS('בתי מרקחת Raw'!$E$6:$E$1616,'בתי מרקחת Raw'!$F$6:$F$1616,$A358,'בתי מרקחת Raw'!$C$6:$C$1616,2026)</f>
        <v>354.86</v>
      </c>
      <c r="J358" s="12" t="n">
        <f aca="false">I358*$J$5</f>
        <v>448.244210526316</v>
      </c>
    </row>
    <row r="359" customFormat="false" ht="15" hidden="false" customHeight="true" outlineLevel="0" collapsed="false">
      <c r="A359" s="12" t="n">
        <v>4413262</v>
      </c>
      <c r="B359" s="12" t="str">
        <f aca="false">IFERROR(INDEX('בתי מרקחת Raw'!$B:$B,MATCH($A359,'בתי מרקחת Raw'!$F:$F,0)),"")</f>
        <v>76 XXL מישר כתפיים רחב</v>
      </c>
      <c r="C359" s="12" t="n">
        <f aca="false">SUMIFS('בתי מרקחת Raw'!$D$6:$D$1616,'בתי מרקחת Raw'!$F$6:$F$1616,$A359,'בתי מרקחת Raw'!$C$6:$C$1616,2025)</f>
        <v>2</v>
      </c>
      <c r="D359" s="12" t="n">
        <f aca="false">SUMIFS('בתי מרקחת Raw'!$D$6:$D$1616,'בתי מרקחת Raw'!$F$6:$F$1616,$A359,'בתי מרקחת Raw'!$C$6:$C$1616,2026)</f>
        <v>0</v>
      </c>
      <c r="E359" s="12" t="n">
        <f aca="false">D359*$J$5</f>
        <v>0</v>
      </c>
      <c r="F359" s="12" t="n">
        <f aca="false">E359-C359</f>
        <v>-2</v>
      </c>
      <c r="G359" s="21" t="n">
        <f aca="false">IF(AND(C359=0,E359=0),0,IF(C359=0,"New",(E359-C359)/C359))</f>
        <v>-1</v>
      </c>
      <c r="H359" s="12" t="n">
        <f aca="false">SUMIFS('בתי מרקחת Raw'!$E$6:$E$1616,'בתי מרקחת Raw'!$F$6:$F$1616,$A359,'בתי מרקחת Raw'!$C$6:$C$1616,2025)</f>
        <v>409.4</v>
      </c>
      <c r="I359" s="12" t="n">
        <f aca="false">SUMIFS('בתי מרקחת Raw'!$E$6:$E$1616,'בתי מרקחת Raw'!$F$6:$F$1616,$A359,'בתי מרקחת Raw'!$C$6:$C$1616,2026)</f>
        <v>0</v>
      </c>
      <c r="J359" s="12" t="n">
        <f aca="false">I359*$J$5</f>
        <v>0</v>
      </c>
    </row>
    <row r="360" customFormat="false" ht="15" hidden="false" customHeight="true" outlineLevel="0" collapsed="false">
      <c r="A360" s="12" t="n">
        <v>4413276</v>
      </c>
      <c r="B360" s="12" t="str">
        <f aca="false">IFERROR(INDEX('בתי מרקחת Raw'!$B:$B,MATCH($A360,'בתי מרקחת Raw'!$F:$F,0)),"")</f>
        <v>LF377 L-מדרס סיליקון לנעלי עקב</v>
      </c>
      <c r="C360" s="12" t="n">
        <f aca="false">SUMIFS('בתי מרקחת Raw'!$D$6:$D$1616,'בתי מרקחת Raw'!$F$6:$F$1616,$A360,'בתי מרקחת Raw'!$C$6:$C$1616,2025)</f>
        <v>2</v>
      </c>
      <c r="D360" s="12" t="n">
        <f aca="false">SUMIFS('בתי מרקחת Raw'!$D$6:$D$1616,'בתי מרקחת Raw'!$F$6:$F$1616,$A360,'בתי מרקחת Raw'!$C$6:$C$1616,2026)</f>
        <v>4</v>
      </c>
      <c r="E360" s="12" t="n">
        <f aca="false">D360*$J$5</f>
        <v>5.05263157894737</v>
      </c>
      <c r="F360" s="12" t="n">
        <f aca="false">E360-C360</f>
        <v>3.05263157894737</v>
      </c>
      <c r="G360" s="21" t="n">
        <f aca="false">IF(AND(C360=0,E360=0),0,IF(C360=0,"New",(E360-C360)/C360))</f>
        <v>1.52631578947368</v>
      </c>
      <c r="H360" s="12" t="n">
        <f aca="false">SUMIFS('בתי מרקחת Raw'!$E$6:$E$1616,'בתי מרקחת Raw'!$F$6:$F$1616,$A360,'בתי מרקחת Raw'!$C$6:$C$1616,2025)</f>
        <v>47.4</v>
      </c>
      <c r="I360" s="12" t="n">
        <f aca="false">SUMIFS('בתי מרקחת Raw'!$E$6:$E$1616,'בתי מרקחת Raw'!$F$6:$F$1616,$A360,'בתי מרקחת Raw'!$C$6:$C$1616,2026)</f>
        <v>182.9</v>
      </c>
      <c r="J360" s="12" t="n">
        <f aca="false">I360*$J$5</f>
        <v>231.031578947368</v>
      </c>
    </row>
    <row r="361" customFormat="false" ht="15" hidden="false" customHeight="true" outlineLevel="0" collapsed="false">
      <c r="A361" s="12" t="n">
        <v>4413277</v>
      </c>
      <c r="B361" s="12" t="str">
        <f aca="false">IFERROR(INDEX('בתי מרקחת Raw'!$B:$B,MATCH($A361,'בתי מרקחת Raw'!$F:$F,0)),"")</f>
        <v>LF377 M-מדרס סיליקון לנעלי עקב</v>
      </c>
      <c r="C361" s="12" t="n">
        <f aca="false">SUMIFS('בתי מרקחת Raw'!$D$6:$D$1616,'בתי מרקחת Raw'!$F$6:$F$1616,$A361,'בתי מרקחת Raw'!$C$6:$C$1616,2025)</f>
        <v>4</v>
      </c>
      <c r="D361" s="12" t="n">
        <f aca="false">SUMIFS('בתי מרקחת Raw'!$D$6:$D$1616,'בתי מרקחת Raw'!$F$6:$F$1616,$A361,'בתי מרקחת Raw'!$C$6:$C$1616,2026)</f>
        <v>2</v>
      </c>
      <c r="E361" s="12" t="n">
        <f aca="false">D361*$J$5</f>
        <v>2.52631578947368</v>
      </c>
      <c r="F361" s="12" t="n">
        <f aca="false">E361-C361</f>
        <v>-1.47368421052632</v>
      </c>
      <c r="G361" s="21" t="n">
        <f aca="false">IF(AND(C361=0,E361=0),0,IF(C361=0,"New",(E361-C361)/C361))</f>
        <v>-0.368421052631579</v>
      </c>
      <c r="H361" s="12" t="n">
        <f aca="false">SUMIFS('בתי מרקחת Raw'!$E$6:$E$1616,'בתי מרקחת Raw'!$F$6:$F$1616,$A361,'בתי מרקחת Raw'!$C$6:$C$1616,2025)</f>
        <v>186</v>
      </c>
      <c r="I361" s="12" t="n">
        <f aca="false">SUMIFS('בתי מרקחת Raw'!$E$6:$E$1616,'בתי מרקחת Raw'!$F$6:$F$1616,$A361,'בתי מרקחת Raw'!$C$6:$C$1616,2026)</f>
        <v>75.7</v>
      </c>
      <c r="J361" s="12" t="n">
        <f aca="false">I361*$J$5</f>
        <v>95.621052631579</v>
      </c>
    </row>
    <row r="362" customFormat="false" ht="15" hidden="false" customHeight="true" outlineLevel="0" collapsed="false">
      <c r="A362" s="12" t="n">
        <v>4413278</v>
      </c>
      <c r="B362" s="12" t="str">
        <f aca="false">IFERROR(INDEX('בתי מרקחת Raw'!$B:$B,MATCH($A362,'בתי מרקחת Raw'!$F:$F,0)),"")</f>
        <v>LF377 S-מדרס סיליקון לנעלי עקב</v>
      </c>
      <c r="C362" s="12" t="n">
        <f aca="false">SUMIFS('בתי מרקחת Raw'!$D$6:$D$1616,'בתי מרקחת Raw'!$F$6:$F$1616,$A362,'בתי מרקחת Raw'!$C$6:$C$1616,2025)</f>
        <v>5</v>
      </c>
      <c r="D362" s="12" t="n">
        <f aca="false">SUMIFS('בתי מרקחת Raw'!$D$6:$D$1616,'בתי מרקחת Raw'!$F$6:$F$1616,$A362,'בתי מרקחת Raw'!$C$6:$C$1616,2026)</f>
        <v>1</v>
      </c>
      <c r="E362" s="12" t="n">
        <f aca="false">D362*$J$5</f>
        <v>1.26315789473684</v>
      </c>
      <c r="F362" s="12" t="n">
        <f aca="false">E362-C362</f>
        <v>-3.73684210526316</v>
      </c>
      <c r="G362" s="21" t="n">
        <f aca="false">IF(AND(C362=0,E362=0),0,IF(C362=0,"New",(E362-C362)/C362))</f>
        <v>-0.747368421052632</v>
      </c>
      <c r="H362" s="12" t="n">
        <f aca="false">SUMIFS('בתי מרקחת Raw'!$E$6:$E$1616,'בתי מרקחת Raw'!$F$6:$F$1616,$A362,'בתי מרקחת Raw'!$C$6:$C$1616,2025)</f>
        <v>217.5</v>
      </c>
      <c r="I362" s="12" t="n">
        <f aca="false">SUMIFS('בתי מרקחת Raw'!$E$6:$E$1616,'בתי מרקחת Raw'!$F$6:$F$1616,$A362,'בתי מרקחת Raw'!$C$6:$C$1616,2026)</f>
        <v>34.8</v>
      </c>
      <c r="J362" s="12" t="n">
        <f aca="false">I362*$J$5</f>
        <v>43.9578947368421</v>
      </c>
    </row>
    <row r="363" customFormat="false" ht="15" hidden="false" customHeight="true" outlineLevel="0" collapsed="false">
      <c r="A363" s="12" t="n">
        <v>4413282</v>
      </c>
      <c r="B363" s="12" t="str">
        <f aca="false">IFERROR(INDEX('בתי מרקחת Raw'!$B:$B,MATCH($A363,'בתי מרקחת Raw'!$F:$F,0)),"")</f>
        <v>422E XL מגן ברך ארוך עם כרית</v>
      </c>
      <c r="C363" s="12" t="n">
        <f aca="false">SUMIFS('בתי מרקחת Raw'!$D$6:$D$1616,'בתי מרקחת Raw'!$F$6:$F$1616,$A363,'בתי מרקחת Raw'!$C$6:$C$1616,2025)</f>
        <v>0</v>
      </c>
      <c r="D363" s="12" t="n">
        <f aca="false">SUMIFS('בתי מרקחת Raw'!$D$6:$D$1616,'בתי מרקחת Raw'!$F$6:$F$1616,$A363,'בתי מרקחת Raw'!$C$6:$C$1616,2026)</f>
        <v>0</v>
      </c>
      <c r="E363" s="12" t="n">
        <f aca="false">D363*$J$5</f>
        <v>0</v>
      </c>
      <c r="F363" s="12" t="n">
        <f aca="false">E363-C363</f>
        <v>0</v>
      </c>
      <c r="G363" s="21" t="n">
        <f aca="false">IF(AND(C363=0,E363=0),0,IF(C363=0,"New",(E363-C363)/C363))</f>
        <v>0</v>
      </c>
      <c r="H363" s="12" t="n">
        <f aca="false">SUMIFS('בתי מרקחת Raw'!$E$6:$E$1616,'בתי מרקחת Raw'!$F$6:$F$1616,$A363,'בתי מרקחת Raw'!$C$6:$C$1616,2025)</f>
        <v>-13.5</v>
      </c>
      <c r="I363" s="12" t="n">
        <f aca="false">SUMIFS('בתי מרקחת Raw'!$E$6:$E$1616,'בתי מרקחת Raw'!$F$6:$F$1616,$A363,'בתי מרקחת Raw'!$C$6:$C$1616,2026)</f>
        <v>0</v>
      </c>
      <c r="J363" s="12" t="n">
        <f aca="false">I363*$J$5</f>
        <v>0</v>
      </c>
    </row>
    <row r="364" customFormat="false" ht="15" hidden="false" customHeight="true" outlineLevel="0" collapsed="false">
      <c r="A364" s="12" t="n">
        <v>4413283</v>
      </c>
      <c r="B364" s="12" t="str">
        <f aca="false">IFERROR(INDEX('בתי מרקחת Raw'!$B:$B,MATCH($A364,'בתי מרקחת Raw'!$F:$F,0)),"")</f>
        <v>422E XXL מגן ברך ארוך עם כרית</v>
      </c>
      <c r="C364" s="12" t="n">
        <f aca="false">SUMIFS('בתי מרקחת Raw'!$D$6:$D$1616,'בתי מרקחת Raw'!$F$6:$F$1616,$A364,'בתי מרקחת Raw'!$C$6:$C$1616,2025)</f>
        <v>1</v>
      </c>
      <c r="D364" s="12" t="n">
        <f aca="false">SUMIFS('בתי מרקחת Raw'!$D$6:$D$1616,'בתי מרקחת Raw'!$F$6:$F$1616,$A364,'בתי מרקחת Raw'!$C$6:$C$1616,2026)</f>
        <v>0</v>
      </c>
      <c r="E364" s="12" t="n">
        <f aca="false">D364*$J$5</f>
        <v>0</v>
      </c>
      <c r="F364" s="12" t="n">
        <f aca="false">E364-C364</f>
        <v>-1</v>
      </c>
      <c r="G364" s="21" t="n">
        <f aca="false">IF(AND(C364=0,E364=0),0,IF(C364=0,"New",(E364-C364)/C364))</f>
        <v>-1</v>
      </c>
      <c r="H364" s="12" t="n">
        <f aca="false">SUMIFS('בתי מרקחת Raw'!$E$6:$E$1616,'בתי מרקחת Raw'!$F$6:$F$1616,$A364,'בתי מרקחת Raw'!$C$6:$C$1616,2025)</f>
        <v>189.8</v>
      </c>
      <c r="I364" s="12" t="n">
        <f aca="false">SUMIFS('בתי מרקחת Raw'!$E$6:$E$1616,'בתי מרקחת Raw'!$F$6:$F$1616,$A364,'בתי מרקחת Raw'!$C$6:$C$1616,2026)</f>
        <v>0</v>
      </c>
      <c r="J364" s="12" t="n">
        <f aca="false">I364*$J$5</f>
        <v>0</v>
      </c>
    </row>
    <row r="365" customFormat="false" ht="15" hidden="false" customHeight="true" outlineLevel="0" collapsed="false">
      <c r="A365" s="12" t="n">
        <v>4413284</v>
      </c>
      <c r="B365" s="12" t="str">
        <f aca="false">IFERROR(INDEX('בתי מרקחת Raw'!$B:$B,MATCH($A365,'בתי מרקחת Raw'!$F:$F,0)),"")</f>
        <v>422E XXXL מגן ברך ארוך עם כרית</v>
      </c>
      <c r="C365" s="12" t="n">
        <f aca="false">SUMIFS('בתי מרקחת Raw'!$D$6:$D$1616,'בתי מרקחת Raw'!$F$6:$F$1616,$A365,'בתי מרקחת Raw'!$C$6:$C$1616,2025)</f>
        <v>1</v>
      </c>
      <c r="D365" s="12" t="n">
        <f aca="false">SUMIFS('בתי מרקחת Raw'!$D$6:$D$1616,'בתי מרקחת Raw'!$F$6:$F$1616,$A365,'בתי מרקחת Raw'!$C$6:$C$1616,2026)</f>
        <v>2</v>
      </c>
      <c r="E365" s="12" t="n">
        <f aca="false">D365*$J$5</f>
        <v>2.52631578947368</v>
      </c>
      <c r="F365" s="12" t="n">
        <f aca="false">E365-C365</f>
        <v>1.52631578947368</v>
      </c>
      <c r="G365" s="21" t="n">
        <f aca="false">IF(AND(C365=0,E365=0),0,IF(C365=0,"New",(E365-C365)/C365))</f>
        <v>1.52631578947368</v>
      </c>
      <c r="H365" s="12" t="n">
        <f aca="false">SUMIFS('בתי מרקחת Raw'!$E$6:$E$1616,'בתי מרקחת Raw'!$F$6:$F$1616,$A365,'בתי מרקחת Raw'!$C$6:$C$1616,2025)</f>
        <v>203.4</v>
      </c>
      <c r="I365" s="12" t="n">
        <f aca="false">SUMIFS('בתי מרקחת Raw'!$E$6:$E$1616,'בתי מרקחת Raw'!$F$6:$F$1616,$A365,'בתי מרקחת Raw'!$C$6:$C$1616,2026)</f>
        <v>406.8</v>
      </c>
      <c r="J365" s="12" t="n">
        <f aca="false">I365*$J$5</f>
        <v>513.852631578947</v>
      </c>
    </row>
    <row r="366" customFormat="false" ht="15" hidden="false" customHeight="true" outlineLevel="0" collapsed="false">
      <c r="A366" s="12" t="n">
        <v>4413286</v>
      </c>
      <c r="B366" s="12" t="str">
        <f aca="false">IFERROR(INDEX('בתי מרקחת Raw'!$B:$B,MATCH($A366,'בתי מרקחת Raw'!$F:$F,0)),"")</f>
        <v>T45 XXL מגן ברך רגיל</v>
      </c>
      <c r="C366" s="12" t="n">
        <f aca="false">SUMIFS('בתי מרקחת Raw'!$D$6:$D$1616,'בתי מרקחת Raw'!$F$6:$F$1616,$A366,'בתי מרקחת Raw'!$C$6:$C$1616,2025)</f>
        <v>1</v>
      </c>
      <c r="D366" s="12" t="n">
        <f aca="false">SUMIFS('בתי מרקחת Raw'!$D$6:$D$1616,'בתי מרקחת Raw'!$F$6:$F$1616,$A366,'בתי מרקחת Raw'!$C$6:$C$1616,2026)</f>
        <v>3</v>
      </c>
      <c r="E366" s="12" t="n">
        <f aca="false">D366*$J$5</f>
        <v>3.78947368421053</v>
      </c>
      <c r="F366" s="12" t="n">
        <f aca="false">E366-C366</f>
        <v>2.78947368421053</v>
      </c>
      <c r="G366" s="21" t="n">
        <f aca="false">IF(AND(C366=0,E366=0),0,IF(C366=0,"New",(E366-C366)/C366))</f>
        <v>2.78947368421053</v>
      </c>
      <c r="H366" s="12" t="n">
        <f aca="false">SUMIFS('בתי מרקחת Raw'!$E$6:$E$1616,'בתי מרקחת Raw'!$F$6:$F$1616,$A366,'בתי מרקחת Raw'!$C$6:$C$1616,2025)</f>
        <v>103.96</v>
      </c>
      <c r="I366" s="12" t="n">
        <f aca="false">SUMIFS('בתי מרקחת Raw'!$E$6:$E$1616,'בתי מרקחת Raw'!$F$6:$F$1616,$A366,'בתי מרקחת Raw'!$C$6:$C$1616,2026)</f>
        <v>312</v>
      </c>
      <c r="J366" s="12" t="n">
        <f aca="false">I366*$J$5</f>
        <v>394.105263157895</v>
      </c>
    </row>
    <row r="367" customFormat="false" ht="15" hidden="false" customHeight="true" outlineLevel="0" collapsed="false">
      <c r="A367" s="12" t="n">
        <v>4413303</v>
      </c>
      <c r="B367" s="12" t="str">
        <f aca="false">IFERROR(INDEX('בתי מרקחת Raw'!$B:$B,MATCH($A367,'בתי מרקחת Raw'!$F:$F,0)),"")</f>
        <v>34+XXL מ.קרסול+עכב סגור+רצועות</v>
      </c>
      <c r="C367" s="12" t="n">
        <f aca="false">SUMIFS('בתי מרקחת Raw'!$D$6:$D$1616,'בתי מרקחת Raw'!$F$6:$F$1616,$A367,'בתי מרקחת Raw'!$C$6:$C$1616,2025)</f>
        <v>5</v>
      </c>
      <c r="D367" s="12" t="n">
        <f aca="false">SUMIFS('בתי מרקחת Raw'!$D$6:$D$1616,'בתי מרקחת Raw'!$F$6:$F$1616,$A367,'בתי מרקחת Raw'!$C$6:$C$1616,2026)</f>
        <v>0</v>
      </c>
      <c r="E367" s="12" t="n">
        <f aca="false">D367*$J$5</f>
        <v>0</v>
      </c>
      <c r="F367" s="12" t="n">
        <f aca="false">E367-C367</f>
        <v>-5</v>
      </c>
      <c r="G367" s="21" t="n">
        <f aca="false">IF(AND(C367=0,E367=0),0,IF(C367=0,"New",(E367-C367)/C367))</f>
        <v>-1</v>
      </c>
      <c r="H367" s="12" t="n">
        <f aca="false">SUMIFS('בתי מרקחת Raw'!$E$6:$E$1616,'בתי מרקחת Raw'!$F$6:$F$1616,$A367,'בתי מרקחת Raw'!$C$6:$C$1616,2025)</f>
        <v>346.6</v>
      </c>
      <c r="I367" s="12" t="n">
        <f aca="false">SUMIFS('בתי מרקחת Raw'!$E$6:$E$1616,'בתי מרקחת Raw'!$F$6:$F$1616,$A367,'בתי מרקחת Raw'!$C$6:$C$1616,2026)</f>
        <v>0</v>
      </c>
      <c r="J367" s="12" t="n">
        <f aca="false">I367*$J$5</f>
        <v>0</v>
      </c>
    </row>
    <row r="368" customFormat="false" ht="15" hidden="false" customHeight="true" outlineLevel="0" collapsed="false">
      <c r="A368" s="12" t="n">
        <v>4413307</v>
      </c>
      <c r="B368" s="12" t="str">
        <f aca="false">IFERROR(INDEX('בתי מרקחת Raw'!$B:$B,MATCH($A368,'בתי מרקחת Raw'!$F:$F,0)),"")</f>
        <v>URI 3667 מגן בוניון</v>
      </c>
      <c r="C368" s="12" t="n">
        <f aca="false">SUMIFS('בתי מרקחת Raw'!$D$6:$D$1616,'בתי מרקחת Raw'!$F$6:$F$1616,$A368,'בתי מרקחת Raw'!$C$6:$C$1616,2025)</f>
        <v>157</v>
      </c>
      <c r="D368" s="12" t="n">
        <f aca="false">SUMIFS('בתי מרקחת Raw'!$D$6:$D$1616,'בתי מרקחת Raw'!$F$6:$F$1616,$A368,'בתי מרקחת Raw'!$C$6:$C$1616,2026)</f>
        <v>85</v>
      </c>
      <c r="E368" s="12" t="n">
        <f aca="false">D368*$J$5</f>
        <v>107.368421052632</v>
      </c>
      <c r="F368" s="12" t="n">
        <f aca="false">E368-C368</f>
        <v>-49.6315789473684</v>
      </c>
      <c r="G368" s="21" t="n">
        <f aca="false">IF(AND(C368=0,E368=0),0,IF(C368=0,"New",(E368-C368)/C368))</f>
        <v>-0.316124706671136</v>
      </c>
      <c r="H368" s="12" t="n">
        <f aca="false">SUMIFS('בתי מרקחת Raw'!$E$6:$E$1616,'בתי מרקחת Raw'!$F$6:$F$1616,$A368,'בתי מרקחת Raw'!$C$6:$C$1616,2025)</f>
        <v>4856.68</v>
      </c>
      <c r="I368" s="12" t="n">
        <f aca="false">SUMIFS('בתי מרקחת Raw'!$E$6:$E$1616,'בתי מרקחת Raw'!$F$6:$F$1616,$A368,'בתי מרקחת Raw'!$C$6:$C$1616,2026)</f>
        <v>2653.87</v>
      </c>
      <c r="J368" s="12" t="n">
        <f aca="false">I368*$J$5</f>
        <v>3352.25684210526</v>
      </c>
    </row>
    <row r="369" customFormat="false" ht="15" hidden="false" customHeight="true" outlineLevel="0" collapsed="false">
      <c r="A369" s="12" t="n">
        <v>4413324</v>
      </c>
      <c r="B369" s="12" t="str">
        <f aca="false">IFERROR(INDEX('בתי מרקחת Raw'!$B:$B,MATCH($A369,'בתי מרקחת Raw'!$F:$F,0)),"")</f>
        <v>35 XS מגן קרסול לבן</v>
      </c>
      <c r="C369" s="12" t="n">
        <f aca="false">SUMIFS('בתי מרקחת Raw'!$D$6:$D$1616,'בתי מרקחת Raw'!$F$6:$F$1616,$A369,'בתי מרקחת Raw'!$C$6:$C$1616,2025)</f>
        <v>8</v>
      </c>
      <c r="D369" s="12" t="n">
        <f aca="false">SUMIFS('בתי מרקחת Raw'!$D$6:$D$1616,'בתי מרקחת Raw'!$F$6:$F$1616,$A369,'בתי מרקחת Raw'!$C$6:$C$1616,2026)</f>
        <v>0</v>
      </c>
      <c r="E369" s="12" t="n">
        <f aca="false">D369*$J$5</f>
        <v>0</v>
      </c>
      <c r="F369" s="12" t="n">
        <f aca="false">E369-C369</f>
        <v>-8</v>
      </c>
      <c r="G369" s="21" t="n">
        <f aca="false">IF(AND(C369=0,E369=0),0,IF(C369=0,"New",(E369-C369)/C369))</f>
        <v>-1</v>
      </c>
      <c r="H369" s="12" t="n">
        <f aca="false">SUMIFS('בתי מרקחת Raw'!$E$6:$E$1616,'בתי מרקחת Raw'!$F$6:$F$1616,$A369,'בתי מרקחת Raw'!$C$6:$C$1616,2025)</f>
        <v>240.9</v>
      </c>
      <c r="I369" s="12" t="n">
        <f aca="false">SUMIFS('בתי מרקחת Raw'!$E$6:$E$1616,'בתי מרקחת Raw'!$F$6:$F$1616,$A369,'בתי מרקחת Raw'!$C$6:$C$1616,2026)</f>
        <v>0</v>
      </c>
      <c r="J369" s="12" t="n">
        <f aca="false">I369*$J$5</f>
        <v>0</v>
      </c>
    </row>
    <row r="370" customFormat="false" ht="15" hidden="false" customHeight="true" outlineLevel="0" collapsed="false">
      <c r="A370" s="12" t="n">
        <v>4413326</v>
      </c>
      <c r="B370" s="12" t="str">
        <f aca="false">IFERROR(INDEX('בתי מרקחת Raw'!$B:$B,MATCH($A370,'בתי מרקחת Raw'!$F:$F,0)),"")</f>
        <v>AC37 מגן קרסול נושם</v>
      </c>
      <c r="C370" s="12" t="n">
        <f aca="false">SUMIFS('בתי מרקחת Raw'!$D$6:$D$1616,'בתי מרקחת Raw'!$F$6:$F$1616,$A370,'בתי מרקחת Raw'!$C$6:$C$1616,2025)</f>
        <v>381</v>
      </c>
      <c r="D370" s="12" t="n">
        <f aca="false">SUMIFS('בתי מרקחת Raw'!$D$6:$D$1616,'בתי מרקחת Raw'!$F$6:$F$1616,$A370,'בתי מרקחת Raw'!$C$6:$C$1616,2026)</f>
        <v>343</v>
      </c>
      <c r="E370" s="12" t="n">
        <f aca="false">D370*$J$5</f>
        <v>433.263157894737</v>
      </c>
      <c r="F370" s="12" t="n">
        <f aca="false">E370-C370</f>
        <v>52.2631578947368</v>
      </c>
      <c r="G370" s="21" t="n">
        <f aca="false">IF(AND(C370=0,E370=0),0,IF(C370=0,"New",(E370-C370)/C370))</f>
        <v>0.137173642768338</v>
      </c>
      <c r="H370" s="12" t="n">
        <f aca="false">SUMIFS('בתי מרקחת Raw'!$E$6:$E$1616,'בתי מרקחת Raw'!$F$6:$F$1616,$A370,'בתי מרקחת Raw'!$C$6:$C$1616,2025)</f>
        <v>12047.46</v>
      </c>
      <c r="I370" s="12" t="n">
        <f aca="false">SUMIFS('בתי מרקחת Raw'!$E$6:$E$1616,'בתי מרקחת Raw'!$F$6:$F$1616,$A370,'בתי מרקחת Raw'!$C$6:$C$1616,2026)</f>
        <v>11398.63</v>
      </c>
      <c r="J370" s="12" t="n">
        <f aca="false">I370*$J$5</f>
        <v>14398.2694736842</v>
      </c>
    </row>
    <row r="371" customFormat="false" ht="15" hidden="false" customHeight="true" outlineLevel="0" collapsed="false">
      <c r="A371" s="12" t="n">
        <v>4413328</v>
      </c>
      <c r="B371" s="12" t="str">
        <f aca="false">IFERROR(INDEX('בתי מרקחת Raw'!$B:$B,MATCH($A371,'בתי מרקחת Raw'!$F:$F,0)),"")</f>
        <v>AC43D מגן ברך + צירים</v>
      </c>
      <c r="C371" s="12" t="n">
        <f aca="false">SUMIFS('בתי מרקחת Raw'!$D$6:$D$1616,'בתי מרקחת Raw'!$F$6:$F$1616,$A371,'בתי מרקחת Raw'!$C$6:$C$1616,2025)</f>
        <v>118</v>
      </c>
      <c r="D371" s="12" t="n">
        <f aca="false">SUMIFS('בתי מרקחת Raw'!$D$6:$D$1616,'בתי מרקחת Raw'!$F$6:$F$1616,$A371,'בתי מרקחת Raw'!$C$6:$C$1616,2026)</f>
        <v>81</v>
      </c>
      <c r="E371" s="12" t="n">
        <f aca="false">D371*$J$5</f>
        <v>102.315789473684</v>
      </c>
      <c r="F371" s="12" t="n">
        <f aca="false">E371-C371</f>
        <v>-15.6842105263158</v>
      </c>
      <c r="G371" s="21" t="n">
        <f aca="false">IF(AND(C371=0,E371=0),0,IF(C371=0,"New",(E371-C371)/C371))</f>
        <v>-0.132917038358608</v>
      </c>
      <c r="H371" s="12" t="n">
        <f aca="false">SUMIFS('בתי מרקחת Raw'!$E$6:$E$1616,'בתי מרקחת Raw'!$F$6:$F$1616,$A371,'בתי מרקחת Raw'!$C$6:$C$1616,2025)</f>
        <v>11108.54</v>
      </c>
      <c r="I371" s="12" t="n">
        <f aca="false">SUMIFS('בתי מרקחת Raw'!$E$6:$E$1616,'בתי מרקחת Raw'!$F$6:$F$1616,$A371,'בתי מרקחת Raw'!$C$6:$C$1616,2026)</f>
        <v>7847.17</v>
      </c>
      <c r="J371" s="12" t="n">
        <f aca="false">I371*$J$5</f>
        <v>9912.21473684211</v>
      </c>
    </row>
    <row r="372" customFormat="false" ht="15" hidden="false" customHeight="true" outlineLevel="0" collapsed="false">
      <c r="A372" s="12" t="n">
        <v>4413329</v>
      </c>
      <c r="B372" s="12" t="str">
        <f aca="false">IFERROR(INDEX('בתי מרקחת Raw'!$B:$B,MATCH($A372,'בתי מרקחת Raw'!$F:$F,0)),"")</f>
        <v>AC45X מגן ברך עם תמיכות</v>
      </c>
      <c r="C372" s="12" t="n">
        <f aca="false">SUMIFS('בתי מרקחת Raw'!$D$6:$D$1616,'בתי מרקחת Raw'!$F$6:$F$1616,$A372,'בתי מרקחת Raw'!$C$6:$C$1616,2025)</f>
        <v>560</v>
      </c>
      <c r="D372" s="12" t="n">
        <f aca="false">SUMIFS('בתי מרקחת Raw'!$D$6:$D$1616,'בתי מרקחת Raw'!$F$6:$F$1616,$A372,'בתי מרקחת Raw'!$C$6:$C$1616,2026)</f>
        <v>499</v>
      </c>
      <c r="E372" s="12" t="n">
        <f aca="false">D372*$J$5</f>
        <v>630.315789473684</v>
      </c>
      <c r="F372" s="12" t="n">
        <f aca="false">E372-C372</f>
        <v>70.3157894736842</v>
      </c>
      <c r="G372" s="21" t="n">
        <f aca="false">IF(AND(C372=0,E372=0),0,IF(C372=0,"New",(E372-C372)/C372))</f>
        <v>0.125563909774436</v>
      </c>
      <c r="H372" s="12" t="n">
        <f aca="false">SUMIFS('בתי מרקחת Raw'!$E$6:$E$1616,'בתי מרקחת Raw'!$F$6:$F$1616,$A372,'בתי מרקחת Raw'!$C$6:$C$1616,2025)</f>
        <v>37357.66</v>
      </c>
      <c r="I372" s="12" t="n">
        <f aca="false">SUMIFS('בתי מרקחת Raw'!$E$6:$E$1616,'בתי מרקחת Raw'!$F$6:$F$1616,$A372,'בתי מרקחת Raw'!$C$6:$C$1616,2026)</f>
        <v>33745.35</v>
      </c>
      <c r="J372" s="12" t="n">
        <f aca="false">I372*$J$5</f>
        <v>42625.7052631579</v>
      </c>
    </row>
    <row r="373" customFormat="false" ht="15" hidden="false" customHeight="true" outlineLevel="0" collapsed="false">
      <c r="A373" s="12" t="n">
        <v>4413330</v>
      </c>
      <c r="B373" s="12" t="str">
        <f aca="false">IFERROR(INDEX('בתי מרקחת Raw'!$B:$B,MATCH($A373,'בתי מרקחת Raw'!$F:$F,0)),"")</f>
        <v>AC49 מגן ירך</v>
      </c>
      <c r="C373" s="12" t="n">
        <f aca="false">SUMIFS('בתי מרקחת Raw'!$D$6:$D$1616,'בתי מרקחת Raw'!$F$6:$F$1616,$A373,'בתי מרקחת Raw'!$C$6:$C$1616,2025)</f>
        <v>22</v>
      </c>
      <c r="D373" s="12" t="n">
        <f aca="false">SUMIFS('בתי מרקחת Raw'!$D$6:$D$1616,'בתי מרקחת Raw'!$F$6:$F$1616,$A373,'בתי מרקחת Raw'!$C$6:$C$1616,2026)</f>
        <v>26</v>
      </c>
      <c r="E373" s="12" t="n">
        <f aca="false">D373*$J$5</f>
        <v>32.8421052631579</v>
      </c>
      <c r="F373" s="12" t="n">
        <f aca="false">E373-C373</f>
        <v>10.8421052631579</v>
      </c>
      <c r="G373" s="21" t="n">
        <f aca="false">IF(AND(C373=0,E373=0),0,IF(C373=0,"New",(E373-C373)/C373))</f>
        <v>0.492822966507177</v>
      </c>
      <c r="H373" s="12" t="n">
        <f aca="false">SUMIFS('בתי מרקחת Raw'!$E$6:$E$1616,'בתי מרקחת Raw'!$F$6:$F$1616,$A373,'בתי מרקחת Raw'!$C$6:$C$1616,2025)</f>
        <v>1263.22</v>
      </c>
      <c r="I373" s="12" t="n">
        <f aca="false">SUMIFS('בתי מרקחת Raw'!$E$6:$E$1616,'בתי מרקחת Raw'!$F$6:$F$1616,$A373,'בתי מרקחת Raw'!$C$6:$C$1616,2026)</f>
        <v>1582.58</v>
      </c>
      <c r="J373" s="12" t="n">
        <f aca="false">I373*$J$5</f>
        <v>1999.04842105263</v>
      </c>
    </row>
    <row r="374" customFormat="false" ht="15" hidden="false" customHeight="true" outlineLevel="0" collapsed="false">
      <c r="A374" s="12" t="n">
        <v>4413331</v>
      </c>
      <c r="B374" s="12" t="str">
        <f aca="false">IFERROR(INDEX('בתי מרקחת Raw'!$B:$B,MATCH($A374,'בתי מרקחת Raw'!$F:$F,0)),"")</f>
        <v>AC95 מגן מרפק</v>
      </c>
      <c r="C374" s="12" t="n">
        <f aca="false">SUMIFS('בתי מרקחת Raw'!$D$6:$D$1616,'בתי מרקחת Raw'!$F$6:$F$1616,$A374,'בתי מרקחת Raw'!$C$6:$C$1616,2025)</f>
        <v>246</v>
      </c>
      <c r="D374" s="12" t="n">
        <f aca="false">SUMIFS('בתי מרקחת Raw'!$D$6:$D$1616,'בתי מרקחת Raw'!$F$6:$F$1616,$A374,'בתי מרקחת Raw'!$C$6:$C$1616,2026)</f>
        <v>160</v>
      </c>
      <c r="E374" s="12" t="n">
        <f aca="false">D374*$J$5</f>
        <v>202.105263157895</v>
      </c>
      <c r="F374" s="12" t="n">
        <f aca="false">E374-C374</f>
        <v>-43.8947368421053</v>
      </c>
      <c r="G374" s="21" t="n">
        <f aca="false">IF(AND(C374=0,E374=0),0,IF(C374=0,"New",(E374-C374)/C374))</f>
        <v>-0.178433889602054</v>
      </c>
      <c r="H374" s="12" t="n">
        <f aca="false">SUMIFS('בתי מרקחת Raw'!$E$6:$E$1616,'בתי מרקחת Raw'!$F$6:$F$1616,$A374,'בתי מרקחת Raw'!$C$6:$C$1616,2025)</f>
        <v>8978.27</v>
      </c>
      <c r="I374" s="12" t="n">
        <f aca="false">SUMIFS('בתי מרקחת Raw'!$E$6:$E$1616,'בתי מרקחת Raw'!$F$6:$F$1616,$A374,'בתי מרקחת Raw'!$C$6:$C$1616,2026)</f>
        <v>6055.96</v>
      </c>
      <c r="J374" s="12" t="n">
        <f aca="false">I374*$J$5</f>
        <v>7649.63368421053</v>
      </c>
    </row>
    <row r="375" customFormat="false" ht="15" hidden="false" customHeight="true" outlineLevel="0" collapsed="false">
      <c r="A375" s="12" t="n">
        <v>4413332</v>
      </c>
      <c r="B375" s="12" t="str">
        <f aca="false">IFERROR(INDEX('בתי מרקחת Raw'!$B:$B,MATCH($A375,'בתי מרקחת Raw'!$F:$F,0)),"")</f>
        <v>45  XS מגן ברך רגיל לבן</v>
      </c>
      <c r="C375" s="12" t="n">
        <f aca="false">SUMIFS('בתי מרקחת Raw'!$D$6:$D$1616,'בתי מרקחת Raw'!$F$6:$F$1616,$A375,'בתי מרקחת Raw'!$C$6:$C$1616,2025)</f>
        <v>6</v>
      </c>
      <c r="D375" s="12" t="n">
        <f aca="false">SUMIFS('בתי מרקחת Raw'!$D$6:$D$1616,'בתי מרקחת Raw'!$F$6:$F$1616,$A375,'בתי מרקחת Raw'!$C$6:$C$1616,2026)</f>
        <v>8</v>
      </c>
      <c r="E375" s="12" t="n">
        <f aca="false">D375*$J$5</f>
        <v>10.1052631578947</v>
      </c>
      <c r="F375" s="12" t="n">
        <f aca="false">E375-C375</f>
        <v>4.10526315789474</v>
      </c>
      <c r="G375" s="21" t="n">
        <f aca="false">IF(AND(C375=0,E375=0),0,IF(C375=0,"New",(E375-C375)/C375))</f>
        <v>0.684210526315789</v>
      </c>
      <c r="H375" s="12" t="n">
        <f aca="false">SUMIFS('בתי מרקחת Raw'!$E$6:$E$1616,'בתי מרקחת Raw'!$F$6:$F$1616,$A375,'בתי מרקחת Raw'!$C$6:$C$1616,2025)</f>
        <v>175.94</v>
      </c>
      <c r="I375" s="12" t="n">
        <f aca="false">SUMIFS('בתי מרקחת Raw'!$E$6:$E$1616,'בתי מרקחת Raw'!$F$6:$F$1616,$A375,'בתי מרקחת Raw'!$C$6:$C$1616,2026)</f>
        <v>226.49</v>
      </c>
      <c r="J375" s="12" t="n">
        <f aca="false">I375*$J$5</f>
        <v>286.092631578947</v>
      </c>
    </row>
    <row r="376" customFormat="false" ht="15" hidden="false" customHeight="true" outlineLevel="0" collapsed="false">
      <c r="A376" s="12" t="n">
        <v>4413335</v>
      </c>
      <c r="B376" s="12" t="str">
        <f aca="false">IFERROR(INDEX('בתי מרקחת Raw'!$B:$B,MATCH($A376,'בתי מרקחת Raw'!$F:$F,0)),"")</f>
        <v>322-S מגן קרסול+כרית סילקון</v>
      </c>
      <c r="C376" s="12" t="n">
        <f aca="false">SUMIFS('בתי מרקחת Raw'!$D$6:$D$1616,'בתי מרקחת Raw'!$F$6:$F$1616,$A376,'בתי מרקחת Raw'!$C$6:$C$1616,2025)</f>
        <v>2</v>
      </c>
      <c r="D376" s="12" t="n">
        <f aca="false">SUMIFS('בתי מרקחת Raw'!$D$6:$D$1616,'בתי מרקחת Raw'!$F$6:$F$1616,$A376,'בתי מרקחת Raw'!$C$6:$C$1616,2026)</f>
        <v>0</v>
      </c>
      <c r="E376" s="12" t="n">
        <f aca="false">D376*$J$5</f>
        <v>0</v>
      </c>
      <c r="F376" s="12" t="n">
        <f aca="false">E376-C376</f>
        <v>-2</v>
      </c>
      <c r="G376" s="21" t="n">
        <f aca="false">IF(AND(C376=0,E376=0),0,IF(C376=0,"New",(E376-C376)/C376))</f>
        <v>-1</v>
      </c>
      <c r="H376" s="12" t="n">
        <f aca="false">SUMIFS('בתי מרקחת Raw'!$E$6:$E$1616,'בתי מרקחת Raw'!$F$6:$F$1616,$A376,'בתי מרקחת Raw'!$C$6:$C$1616,2025)</f>
        <v>255.5</v>
      </c>
      <c r="I376" s="12" t="n">
        <f aca="false">SUMIFS('בתי מרקחת Raw'!$E$6:$E$1616,'בתי מרקחת Raw'!$F$6:$F$1616,$A376,'בתי מרקחת Raw'!$C$6:$C$1616,2026)</f>
        <v>0</v>
      </c>
      <c r="J376" s="12" t="n">
        <f aca="false">I376*$J$5</f>
        <v>0</v>
      </c>
    </row>
    <row r="377" customFormat="false" ht="15" hidden="false" customHeight="true" outlineLevel="0" collapsed="false">
      <c r="A377" s="12" t="n">
        <v>4413336</v>
      </c>
      <c r="B377" s="12" t="str">
        <f aca="false">IFERROR(INDEX('בתי מרקחת Raw'!$B:$B,MATCH($A377,'בתי מרקחת Raw'!$F:$F,0)),"")</f>
        <v>322-M מגן קרסול+כרית סילקון</v>
      </c>
      <c r="C377" s="12" t="n">
        <f aca="false">SUMIFS('בתי מרקחת Raw'!$D$6:$D$1616,'בתי מרקחת Raw'!$F$6:$F$1616,$A377,'בתי מרקחת Raw'!$C$6:$C$1616,2025)</f>
        <v>1</v>
      </c>
      <c r="D377" s="12" t="n">
        <f aca="false">SUMIFS('בתי מרקחת Raw'!$D$6:$D$1616,'בתי מרקחת Raw'!$F$6:$F$1616,$A377,'בתי מרקחת Raw'!$C$6:$C$1616,2026)</f>
        <v>0</v>
      </c>
      <c r="E377" s="12" t="n">
        <f aca="false">D377*$J$5</f>
        <v>0</v>
      </c>
      <c r="F377" s="12" t="n">
        <f aca="false">E377-C377</f>
        <v>-1</v>
      </c>
      <c r="G377" s="21" t="n">
        <f aca="false">IF(AND(C377=0,E377=0),0,IF(C377=0,"New",(E377-C377)/C377))</f>
        <v>-1</v>
      </c>
      <c r="H377" s="12" t="n">
        <f aca="false">SUMIFS('בתי מרקחת Raw'!$E$6:$E$1616,'בתי מרקחת Raw'!$F$6:$F$1616,$A377,'בתי מרקחת Raw'!$C$6:$C$1616,2025)</f>
        <v>127.9</v>
      </c>
      <c r="I377" s="12" t="n">
        <f aca="false">SUMIFS('בתי מרקחת Raw'!$E$6:$E$1616,'בתי מרקחת Raw'!$F$6:$F$1616,$A377,'בתי מרקחת Raw'!$C$6:$C$1616,2026)</f>
        <v>0</v>
      </c>
      <c r="J377" s="12" t="n">
        <f aca="false">I377*$J$5</f>
        <v>0</v>
      </c>
    </row>
    <row r="378" customFormat="false" ht="15" hidden="false" customHeight="true" outlineLevel="0" collapsed="false">
      <c r="A378" s="12" t="n">
        <v>4413337</v>
      </c>
      <c r="B378" s="12" t="str">
        <f aca="false">IFERROR(INDEX('בתי מרקחת Raw'!$B:$B,MATCH($A378,'בתי מרקחת Raw'!$F:$F,0)),"")</f>
        <v>322XL מגן קרסול+כרית סילקון</v>
      </c>
      <c r="C378" s="12" t="n">
        <f aca="false">SUMIFS('בתי מרקחת Raw'!$D$6:$D$1616,'בתי מרקחת Raw'!$F$6:$F$1616,$A378,'בתי מרקחת Raw'!$C$6:$C$1616,2025)</f>
        <v>0</v>
      </c>
      <c r="D378" s="12" t="n">
        <f aca="false">SUMIFS('בתי מרקחת Raw'!$D$6:$D$1616,'בתי מרקחת Raw'!$F$6:$F$1616,$A378,'בתי מרקחת Raw'!$C$6:$C$1616,2026)</f>
        <v>5</v>
      </c>
      <c r="E378" s="12" t="n">
        <f aca="false">D378*$J$5</f>
        <v>6.31578947368421</v>
      </c>
      <c r="F378" s="12" t="n">
        <f aca="false">E378-C378</f>
        <v>6.31578947368421</v>
      </c>
      <c r="G378" s="21" t="str">
        <f aca="false">IF(AND(C378=0,E378=0),0,IF(C378=0,"New",(E378-C378)/C378))</f>
        <v>New</v>
      </c>
      <c r="H378" s="12" t="n">
        <f aca="false">SUMIFS('בתי מרקחת Raw'!$E$6:$E$1616,'בתי מרקחת Raw'!$F$6:$F$1616,$A378,'בתי מרקחת Raw'!$C$6:$C$1616,2025)</f>
        <v>0</v>
      </c>
      <c r="I378" s="12" t="n">
        <f aca="false">SUMIFS('בתי מרקחת Raw'!$E$6:$E$1616,'בתי מרקחת Raw'!$F$6:$F$1616,$A378,'בתי מרקחת Raw'!$C$6:$C$1616,2026)</f>
        <v>639.6</v>
      </c>
      <c r="J378" s="12" t="n">
        <f aca="false">I378*$J$5</f>
        <v>807.915789473684</v>
      </c>
    </row>
    <row r="379" customFormat="false" ht="15" hidden="false" customHeight="true" outlineLevel="0" collapsed="false">
      <c r="A379" s="12" t="n">
        <v>4413338</v>
      </c>
      <c r="B379" s="12" t="str">
        <f aca="false">IFERROR(INDEX('בתי מרקחת Raw'!$B:$B,MATCH($A379,'בתי מרקחת Raw'!$F:$F,0)),"")</f>
        <v>322XXLמגן קרסול+כרית סילקון</v>
      </c>
      <c r="C379" s="12" t="n">
        <f aca="false">SUMIFS('בתי מרקחת Raw'!$D$6:$D$1616,'בתי מרקחת Raw'!$F$6:$F$1616,$A379,'בתי מרקחת Raw'!$C$6:$C$1616,2025)</f>
        <v>1</v>
      </c>
      <c r="D379" s="12" t="n">
        <f aca="false">SUMIFS('בתי מרקחת Raw'!$D$6:$D$1616,'בתי מרקחת Raw'!$F$6:$F$1616,$A379,'בתי מרקחת Raw'!$C$6:$C$1616,2026)</f>
        <v>0</v>
      </c>
      <c r="E379" s="12" t="n">
        <f aca="false">D379*$J$5</f>
        <v>0</v>
      </c>
      <c r="F379" s="12" t="n">
        <f aca="false">E379-C379</f>
        <v>-1</v>
      </c>
      <c r="G379" s="21" t="n">
        <f aca="false">IF(AND(C379=0,E379=0),0,IF(C379=0,"New",(E379-C379)/C379))</f>
        <v>-1</v>
      </c>
      <c r="H379" s="12" t="n">
        <f aca="false">SUMIFS('בתי מרקחת Raw'!$E$6:$E$1616,'בתי מרקחת Raw'!$F$6:$F$1616,$A379,'בתי מרקחת Raw'!$C$6:$C$1616,2025)</f>
        <v>127.6</v>
      </c>
      <c r="I379" s="12" t="n">
        <f aca="false">SUMIFS('בתי מרקחת Raw'!$E$6:$E$1616,'בתי מרקחת Raw'!$F$6:$F$1616,$A379,'בתי מרקחת Raw'!$C$6:$C$1616,2026)</f>
        <v>0</v>
      </c>
      <c r="J379" s="12" t="n">
        <f aca="false">I379*$J$5</f>
        <v>0</v>
      </c>
    </row>
    <row r="380" customFormat="false" ht="15" hidden="false" customHeight="true" outlineLevel="0" collapsed="false">
      <c r="A380" s="12" t="n">
        <v>4413339</v>
      </c>
      <c r="B380" s="12" t="str">
        <f aca="false">IFERROR(INDEX('בתי מרקחת Raw'!$B:$B,MATCH($A380,'בתי מרקחת Raw'!$F:$F,0)),"")</f>
        <v>922XXLמגן מרפק+כרית סילקון</v>
      </c>
      <c r="C380" s="12" t="n">
        <f aca="false">SUMIFS('בתי מרקחת Raw'!$D$6:$D$1616,'בתי מרקחת Raw'!$F$6:$F$1616,$A380,'בתי מרקחת Raw'!$C$6:$C$1616,2025)</f>
        <v>0</v>
      </c>
      <c r="D380" s="12" t="n">
        <f aca="false">SUMIFS('בתי מרקחת Raw'!$D$6:$D$1616,'בתי מרקחת Raw'!$F$6:$F$1616,$A380,'בתי מרקחת Raw'!$C$6:$C$1616,2026)</f>
        <v>-2</v>
      </c>
      <c r="E380" s="12" t="n">
        <f aca="false">D380*$J$5</f>
        <v>-2.52631578947368</v>
      </c>
      <c r="F380" s="12" t="n">
        <f aca="false">E380-C380</f>
        <v>-2.52631578947368</v>
      </c>
      <c r="G380" s="21" t="str">
        <f aca="false">IF(AND(C380=0,E380=0),0,IF(C380=0,"New",(E380-C380)/C380))</f>
        <v>New</v>
      </c>
      <c r="H380" s="12" t="n">
        <f aca="false">SUMIFS('בתי מרקחת Raw'!$E$6:$E$1616,'בתי מרקחת Raw'!$F$6:$F$1616,$A380,'בתי מרקחת Raw'!$C$6:$C$1616,2025)</f>
        <v>0</v>
      </c>
      <c r="I380" s="12" t="n">
        <f aca="false">SUMIFS('בתי מרקחת Raw'!$E$6:$E$1616,'בתי מרקחת Raw'!$F$6:$F$1616,$A380,'בתי מרקחת Raw'!$C$6:$C$1616,2026)</f>
        <v>-283.5</v>
      </c>
      <c r="J380" s="12" t="n">
        <f aca="false">I380*$J$5</f>
        <v>-358.105263157895</v>
      </c>
    </row>
    <row r="381" customFormat="false" ht="15" hidden="false" customHeight="true" outlineLevel="0" collapsed="false">
      <c r="A381" s="12" t="n">
        <v>4413340</v>
      </c>
      <c r="B381" s="12" t="str">
        <f aca="false">IFERROR(INDEX('בתי מרקחת Raw'!$B:$B,MATCH($A381,'בתי מרקחת Raw'!$F:$F,0)),"")</f>
        <v>3666 מפריד הלוקס</v>
      </c>
      <c r="C381" s="12" t="n">
        <f aca="false">SUMIFS('בתי מרקחת Raw'!$D$6:$D$1616,'בתי מרקחת Raw'!$F$6:$F$1616,$A381,'בתי מרקחת Raw'!$C$6:$C$1616,2025)</f>
        <v>14</v>
      </c>
      <c r="D381" s="12" t="n">
        <f aca="false">SUMIFS('בתי מרקחת Raw'!$D$6:$D$1616,'בתי מרקחת Raw'!$F$6:$F$1616,$A381,'בתי מרקחת Raw'!$C$6:$C$1616,2026)</f>
        <v>20</v>
      </c>
      <c r="E381" s="12" t="n">
        <f aca="false">D381*$J$5</f>
        <v>25.2631578947368</v>
      </c>
      <c r="F381" s="12" t="n">
        <f aca="false">E381-C381</f>
        <v>11.2631578947368</v>
      </c>
      <c r="G381" s="21" t="n">
        <f aca="false">IF(AND(C381=0,E381=0),0,IF(C381=0,"New",(E381-C381)/C381))</f>
        <v>0.804511278195489</v>
      </c>
      <c r="H381" s="12" t="n">
        <f aca="false">SUMIFS('בתי מרקחת Raw'!$E$6:$E$1616,'בתי מרקחת Raw'!$F$6:$F$1616,$A381,'בתי מרקחת Raw'!$C$6:$C$1616,2025)</f>
        <v>714.2</v>
      </c>
      <c r="I381" s="12" t="n">
        <f aca="false">SUMIFS('בתי מרקחת Raw'!$E$6:$E$1616,'בתי מרקחת Raw'!$F$6:$F$1616,$A381,'בתי מרקחת Raw'!$C$6:$C$1616,2026)</f>
        <v>1261.5</v>
      </c>
      <c r="J381" s="12" t="n">
        <f aca="false">I381*$J$5</f>
        <v>1593.47368421053</v>
      </c>
    </row>
    <row r="382" customFormat="false" ht="15" hidden="false" customHeight="true" outlineLevel="0" collapsed="false">
      <c r="A382" s="12" t="n">
        <v>4413341</v>
      </c>
      <c r="B382" s="12" t="str">
        <f aca="false">IFERROR(INDEX('בתי מרקחת Raw'!$B:$B,MATCH($A382,'בתי מרקחת Raw'!$F:$F,0)),"")</f>
        <v>422N L מ.ברך אפור+כרית סיליקון</v>
      </c>
      <c r="C382" s="12" t="n">
        <f aca="false">SUMIFS('בתי מרקחת Raw'!$D$6:$D$1616,'בתי מרקחת Raw'!$F$6:$F$1616,$A382,'בתי מרקחת Raw'!$C$6:$C$1616,2025)</f>
        <v>3</v>
      </c>
      <c r="D382" s="12" t="n">
        <f aca="false">SUMIFS('בתי מרקחת Raw'!$D$6:$D$1616,'בתי מרקחת Raw'!$F$6:$F$1616,$A382,'בתי מרקחת Raw'!$C$6:$C$1616,2026)</f>
        <v>0</v>
      </c>
      <c r="E382" s="12" t="n">
        <f aca="false">D382*$J$5</f>
        <v>0</v>
      </c>
      <c r="F382" s="12" t="n">
        <f aca="false">E382-C382</f>
        <v>-3</v>
      </c>
      <c r="G382" s="21" t="n">
        <f aca="false">IF(AND(C382=0,E382=0),0,IF(C382=0,"New",(E382-C382)/C382))</f>
        <v>-1</v>
      </c>
      <c r="H382" s="12" t="n">
        <f aca="false">SUMIFS('בתי מרקחת Raw'!$E$6:$E$1616,'בתי מרקחת Raw'!$F$6:$F$1616,$A382,'בתי מרקחת Raw'!$C$6:$C$1616,2025)</f>
        <v>512.4</v>
      </c>
      <c r="I382" s="12" t="n">
        <f aca="false">SUMIFS('בתי מרקחת Raw'!$E$6:$E$1616,'בתי מרקחת Raw'!$F$6:$F$1616,$A382,'בתי מרקחת Raw'!$C$6:$C$1616,2026)</f>
        <v>0</v>
      </c>
      <c r="J382" s="12" t="n">
        <f aca="false">I382*$J$5</f>
        <v>0</v>
      </c>
    </row>
    <row r="383" customFormat="false" ht="15" hidden="false" customHeight="true" outlineLevel="0" collapsed="false">
      <c r="A383" s="12" t="n">
        <v>4413342</v>
      </c>
      <c r="B383" s="12" t="str">
        <f aca="false">IFERROR(INDEX('בתי מרקחת Raw'!$B:$B,MATCH($A383,'בתי מרקחת Raw'!$F:$F,0)),"")</f>
        <v>422N M מ.ברך אפור+כרית סיליקון</v>
      </c>
      <c r="C383" s="12" t="n">
        <f aca="false">SUMIFS('בתי מרקחת Raw'!$D$6:$D$1616,'בתי מרקחת Raw'!$F$6:$F$1616,$A383,'בתי מרקחת Raw'!$C$6:$C$1616,2025)</f>
        <v>4</v>
      </c>
      <c r="D383" s="12" t="n">
        <f aca="false">SUMIFS('בתי מרקחת Raw'!$D$6:$D$1616,'בתי מרקחת Raw'!$F$6:$F$1616,$A383,'בתי מרקחת Raw'!$C$6:$C$1616,2026)</f>
        <v>0</v>
      </c>
      <c r="E383" s="12" t="n">
        <f aca="false">D383*$J$5</f>
        <v>0</v>
      </c>
      <c r="F383" s="12" t="n">
        <f aca="false">E383-C383</f>
        <v>-4</v>
      </c>
      <c r="G383" s="21" t="n">
        <f aca="false">IF(AND(C383=0,E383=0),0,IF(C383=0,"New",(E383-C383)/C383))</f>
        <v>-1</v>
      </c>
      <c r="H383" s="12" t="n">
        <f aca="false">SUMIFS('בתי מרקחת Raw'!$E$6:$E$1616,'בתי מרקחת Raw'!$F$6:$F$1616,$A383,'בתי מרקחת Raw'!$C$6:$C$1616,2025)</f>
        <v>685.1</v>
      </c>
      <c r="I383" s="12" t="n">
        <f aca="false">SUMIFS('בתי מרקחת Raw'!$E$6:$E$1616,'בתי מרקחת Raw'!$F$6:$F$1616,$A383,'בתי מרקחת Raw'!$C$6:$C$1616,2026)</f>
        <v>0</v>
      </c>
      <c r="J383" s="12" t="n">
        <f aca="false">I383*$J$5</f>
        <v>0</v>
      </c>
    </row>
    <row r="384" customFormat="false" ht="15" hidden="false" customHeight="true" outlineLevel="0" collapsed="false">
      <c r="A384" s="12" t="n">
        <v>4413344</v>
      </c>
      <c r="B384" s="12" t="str">
        <f aca="false">IFERROR(INDEX('בתי מרקחת Raw'!$B:$B,MATCH($A384,'בתי מרקחת Raw'!$F:$F,0)),"")</f>
        <v>422N XLמ.ברך אפור+כרית סיליקון</v>
      </c>
      <c r="C384" s="12" t="n">
        <f aca="false">SUMIFS('בתי מרקחת Raw'!$D$6:$D$1616,'בתי מרקחת Raw'!$F$6:$F$1616,$A384,'בתי מרקחת Raw'!$C$6:$C$1616,2025)</f>
        <v>1</v>
      </c>
      <c r="D384" s="12" t="n">
        <f aca="false">SUMIFS('בתי מרקחת Raw'!$D$6:$D$1616,'בתי מרקחת Raw'!$F$6:$F$1616,$A384,'בתי מרקחת Raw'!$C$6:$C$1616,2026)</f>
        <v>0</v>
      </c>
      <c r="E384" s="12" t="n">
        <f aca="false">D384*$J$5</f>
        <v>0</v>
      </c>
      <c r="F384" s="12" t="n">
        <f aca="false">E384-C384</f>
        <v>-1</v>
      </c>
      <c r="G384" s="21" t="n">
        <f aca="false">IF(AND(C384=0,E384=0),0,IF(C384=0,"New",(E384-C384)/C384))</f>
        <v>-1</v>
      </c>
      <c r="H384" s="12" t="n">
        <f aca="false">SUMIFS('בתי מרקחת Raw'!$E$6:$E$1616,'בתי מרקחת Raw'!$F$6:$F$1616,$A384,'בתי מרקחת Raw'!$C$6:$C$1616,2025)</f>
        <v>175</v>
      </c>
      <c r="I384" s="12" t="n">
        <f aca="false">SUMIFS('בתי מרקחת Raw'!$E$6:$E$1616,'בתי מרקחת Raw'!$F$6:$F$1616,$A384,'בתי מרקחת Raw'!$C$6:$C$1616,2026)</f>
        <v>0</v>
      </c>
      <c r="J384" s="12" t="n">
        <f aca="false">I384*$J$5</f>
        <v>0</v>
      </c>
    </row>
    <row r="385" customFormat="false" ht="15" hidden="false" customHeight="true" outlineLevel="0" collapsed="false">
      <c r="A385" s="12" t="n">
        <v>4413345</v>
      </c>
      <c r="B385" s="12" t="str">
        <f aca="false">IFERROR(INDEX('בתי מרקחת Raw'!$B:$B,MATCH($A385,'בתי מרקחת Raw'!$F:$F,0)),"")</f>
        <v>422N XXL.מ.ברך אפור+כרית סיליק</v>
      </c>
      <c r="C385" s="12" t="n">
        <f aca="false">SUMIFS('בתי מרקחת Raw'!$D$6:$D$1616,'בתי מרקחת Raw'!$F$6:$F$1616,$A385,'בתי מרקחת Raw'!$C$6:$C$1616,2025)</f>
        <v>3</v>
      </c>
      <c r="D385" s="12" t="n">
        <f aca="false">SUMIFS('בתי מרקחת Raw'!$D$6:$D$1616,'בתי מרקחת Raw'!$F$6:$F$1616,$A385,'בתי מרקחת Raw'!$C$6:$C$1616,2026)</f>
        <v>0</v>
      </c>
      <c r="E385" s="12" t="n">
        <f aca="false">D385*$J$5</f>
        <v>0</v>
      </c>
      <c r="F385" s="12" t="n">
        <f aca="false">E385-C385</f>
        <v>-3</v>
      </c>
      <c r="G385" s="21" t="n">
        <f aca="false">IF(AND(C385=0,E385=0),0,IF(C385=0,"New",(E385-C385)/C385))</f>
        <v>-1</v>
      </c>
      <c r="H385" s="12" t="n">
        <f aca="false">SUMIFS('בתי מרקחת Raw'!$E$6:$E$1616,'בתי מרקחת Raw'!$F$6:$F$1616,$A385,'בתי מרקחת Raw'!$C$6:$C$1616,2025)</f>
        <v>524.8</v>
      </c>
      <c r="I385" s="12" t="n">
        <f aca="false">SUMIFS('בתי מרקחת Raw'!$E$6:$E$1616,'בתי מרקחת Raw'!$F$6:$F$1616,$A385,'בתי מרקחת Raw'!$C$6:$C$1616,2026)</f>
        <v>0</v>
      </c>
      <c r="J385" s="12" t="n">
        <f aca="false">I385*$J$5</f>
        <v>0</v>
      </c>
    </row>
    <row r="386" customFormat="false" ht="15" hidden="false" customHeight="true" outlineLevel="0" collapsed="false">
      <c r="A386" s="12" t="n">
        <v>4413347</v>
      </c>
      <c r="B386" s="12" t="str">
        <f aca="false">IFERROR(INDEX('בתי מרקחת Raw'!$B:$B,MATCH($A386,'בתי מרקחת Raw'!$F:$F,0)),"")</f>
        <v>322-L מגן קרסול+כרית סילקון</v>
      </c>
      <c r="C386" s="12" t="n">
        <f aca="false">SUMIFS('בתי מרקחת Raw'!$D$6:$D$1616,'בתי מרקחת Raw'!$F$6:$F$1616,$A386,'בתי מרקחת Raw'!$C$6:$C$1616,2025)</f>
        <v>1</v>
      </c>
      <c r="D386" s="12" t="n">
        <f aca="false">SUMIFS('בתי מרקחת Raw'!$D$6:$D$1616,'בתי מרקחת Raw'!$F$6:$F$1616,$A386,'בתי מרקחת Raw'!$C$6:$C$1616,2026)</f>
        <v>2</v>
      </c>
      <c r="E386" s="12" t="n">
        <f aca="false">D386*$J$5</f>
        <v>2.52631578947368</v>
      </c>
      <c r="F386" s="12" t="n">
        <f aca="false">E386-C386</f>
        <v>1.52631578947368</v>
      </c>
      <c r="G386" s="21" t="n">
        <f aca="false">IF(AND(C386=0,E386=0),0,IF(C386=0,"New",(E386-C386)/C386))</f>
        <v>1.52631578947368</v>
      </c>
      <c r="H386" s="12" t="n">
        <f aca="false">SUMIFS('בתי מרקחת Raw'!$E$6:$E$1616,'בתי מרקחת Raw'!$F$6:$F$1616,$A386,'בתי מרקחת Raw'!$C$6:$C$1616,2025)</f>
        <v>127.9</v>
      </c>
      <c r="I386" s="12" t="n">
        <f aca="false">SUMIFS('בתי מרקחת Raw'!$E$6:$E$1616,'בתי מרקחת Raw'!$F$6:$F$1616,$A386,'בתי מרקחת Raw'!$C$6:$C$1616,2026)</f>
        <v>255.8</v>
      </c>
      <c r="J386" s="12" t="n">
        <f aca="false">I386*$J$5</f>
        <v>323.115789473684</v>
      </c>
    </row>
    <row r="387" customFormat="false" ht="15" hidden="false" customHeight="true" outlineLevel="0" collapsed="false">
      <c r="A387" s="12" t="n">
        <v>4413348</v>
      </c>
      <c r="B387" s="12" t="str">
        <f aca="false">IFERROR(INDEX('בתי מרקחת Raw'!$B:$B,MATCH($A387,'בתי מרקחת Raw'!$F:$F,0)),"")</f>
        <v>302 מדרס ג'ל לגבר</v>
      </c>
      <c r="C387" s="12" t="n">
        <f aca="false">SUMIFS('בתי מרקחת Raw'!$D$6:$D$1616,'בתי מרקחת Raw'!$F$6:$F$1616,$A387,'בתי מרקחת Raw'!$C$6:$C$1616,2025)</f>
        <v>576</v>
      </c>
      <c r="D387" s="12" t="n">
        <f aca="false">SUMIFS('בתי מרקחת Raw'!$D$6:$D$1616,'בתי מרקחת Raw'!$F$6:$F$1616,$A387,'בתי מרקחת Raw'!$C$6:$C$1616,2026)</f>
        <v>261</v>
      </c>
      <c r="E387" s="12" t="n">
        <f aca="false">D387*$J$5</f>
        <v>329.684210526316</v>
      </c>
      <c r="F387" s="12" t="n">
        <f aca="false">E387-C387</f>
        <v>-246.315789473684</v>
      </c>
      <c r="G387" s="21" t="n">
        <f aca="false">IF(AND(C387=0,E387=0),0,IF(C387=0,"New",(E387-C387)/C387))</f>
        <v>-0.427631578947368</v>
      </c>
      <c r="H387" s="12" t="n">
        <f aca="false">SUMIFS('בתי מרקחת Raw'!$E$6:$E$1616,'בתי מרקחת Raw'!$F$6:$F$1616,$A387,'בתי מרקחת Raw'!$C$6:$C$1616,2025)</f>
        <v>34294.24</v>
      </c>
      <c r="I387" s="12" t="n">
        <f aca="false">SUMIFS('בתי מרקחת Raw'!$E$6:$E$1616,'בתי מרקחת Raw'!$F$6:$F$1616,$A387,'בתי מרקחת Raw'!$C$6:$C$1616,2026)</f>
        <v>16711.61</v>
      </c>
      <c r="J387" s="12" t="n">
        <f aca="false">I387*$J$5</f>
        <v>21109.4021052632</v>
      </c>
    </row>
    <row r="388" customFormat="false" ht="15" hidden="false" customHeight="true" outlineLevel="0" collapsed="false">
      <c r="A388" s="12" t="n">
        <v>4413364</v>
      </c>
      <c r="B388" s="12" t="str">
        <f aca="false">IFERROR(INDEX('בתי מרקחת Raw'!$B:$B,MATCH($A388,'בתי מרקחת Raw'!$F:$F,0)),"")</f>
        <v>95C M 'מגן מרפק בז</v>
      </c>
      <c r="C388" s="12" t="n">
        <f aca="false">SUMIFS('בתי מרקחת Raw'!$D$6:$D$1616,'בתי מרקחת Raw'!$F$6:$F$1616,$A388,'בתי מרקחת Raw'!$C$6:$C$1616,2025)</f>
        <v>227</v>
      </c>
      <c r="D388" s="12" t="n">
        <f aca="false">SUMIFS('בתי מרקחת Raw'!$D$6:$D$1616,'בתי מרקחת Raw'!$F$6:$F$1616,$A388,'בתי מרקחת Raw'!$C$6:$C$1616,2026)</f>
        <v>132</v>
      </c>
      <c r="E388" s="12" t="n">
        <f aca="false">D388*$J$5</f>
        <v>166.736842105263</v>
      </c>
      <c r="F388" s="12" t="n">
        <f aca="false">E388-C388</f>
        <v>-60.2631578947369</v>
      </c>
      <c r="G388" s="21" t="n">
        <f aca="false">IF(AND(C388=0,E388=0),0,IF(C388=0,"New",(E388-C388)/C388))</f>
        <v>-0.265476466496638</v>
      </c>
      <c r="H388" s="12" t="n">
        <f aca="false">SUMIFS('בתי מרקחת Raw'!$E$6:$E$1616,'בתי מרקחת Raw'!$F$6:$F$1616,$A388,'בתי מרקחת Raw'!$C$6:$C$1616,2025)</f>
        <v>6772.09</v>
      </c>
      <c r="I388" s="12" t="n">
        <f aca="false">SUMIFS('בתי מרקחת Raw'!$E$6:$E$1616,'בתי מרקחת Raw'!$F$6:$F$1616,$A388,'בתי מרקחת Raw'!$C$6:$C$1616,2026)</f>
        <v>3950.57</v>
      </c>
      <c r="J388" s="12" t="n">
        <f aca="false">I388*$J$5</f>
        <v>4990.19368421053</v>
      </c>
    </row>
    <row r="389" customFormat="false" ht="15" hidden="false" customHeight="true" outlineLevel="0" collapsed="false">
      <c r="A389" s="12" t="n">
        <v>4413365</v>
      </c>
      <c r="B389" s="12" t="str">
        <f aca="false">IFERROR(INDEX('בתי מרקחת Raw'!$B:$B,MATCH($A389,'בתי מרקחת Raw'!$F:$F,0)),"")</f>
        <v>95C L 'מגן מרפק בז</v>
      </c>
      <c r="C389" s="12" t="n">
        <f aca="false">SUMIFS('בתי מרקחת Raw'!$D$6:$D$1616,'בתי מרקחת Raw'!$F$6:$F$1616,$A389,'בתי מרקחת Raw'!$C$6:$C$1616,2025)</f>
        <v>148</v>
      </c>
      <c r="D389" s="12" t="n">
        <f aca="false">SUMIFS('בתי מרקחת Raw'!$D$6:$D$1616,'בתי מרקחת Raw'!$F$6:$F$1616,$A389,'בתי מרקחת Raw'!$C$6:$C$1616,2026)</f>
        <v>84</v>
      </c>
      <c r="E389" s="12" t="n">
        <f aca="false">D389*$J$5</f>
        <v>106.105263157895</v>
      </c>
      <c r="F389" s="12" t="n">
        <f aca="false">E389-C389</f>
        <v>-41.8947368421053</v>
      </c>
      <c r="G389" s="21" t="n">
        <f aca="false">IF(AND(C389=0,E389=0),0,IF(C389=0,"New",(E389-C389)/C389))</f>
        <v>-0.283072546230441</v>
      </c>
      <c r="H389" s="12" t="n">
        <f aca="false">SUMIFS('בתי מרקחת Raw'!$E$6:$E$1616,'בתי מרקחת Raw'!$F$6:$F$1616,$A389,'בתי מרקחת Raw'!$C$6:$C$1616,2025)</f>
        <v>4405.68</v>
      </c>
      <c r="I389" s="12" t="n">
        <f aca="false">SUMIFS('בתי מרקחת Raw'!$E$6:$E$1616,'בתי מרקחת Raw'!$F$6:$F$1616,$A389,'בתי מרקחת Raw'!$C$6:$C$1616,2026)</f>
        <v>2415.6</v>
      </c>
      <c r="J389" s="12" t="n">
        <f aca="false">I389*$J$5</f>
        <v>3051.28421052632</v>
      </c>
    </row>
    <row r="390" customFormat="false" ht="15" hidden="false" customHeight="true" outlineLevel="0" collapsed="false">
      <c r="A390" s="12" t="n">
        <v>4413366</v>
      </c>
      <c r="B390" s="12" t="str">
        <f aca="false">IFERROR(INDEX('בתי מרקחת Raw'!$B:$B,MATCH($A390,'בתי מרקחת Raw'!$F:$F,0)),"")</f>
        <v>95C S 'מגן מרפק בז</v>
      </c>
      <c r="C390" s="12" t="n">
        <f aca="false">SUMIFS('בתי מרקחת Raw'!$D$6:$D$1616,'בתי מרקחת Raw'!$F$6:$F$1616,$A390,'בתי מרקחת Raw'!$C$6:$C$1616,2025)</f>
        <v>155</v>
      </c>
      <c r="D390" s="12" t="n">
        <f aca="false">SUMIFS('בתי מרקחת Raw'!$D$6:$D$1616,'בתי מרקחת Raw'!$F$6:$F$1616,$A390,'בתי מרקחת Raw'!$C$6:$C$1616,2026)</f>
        <v>81</v>
      </c>
      <c r="E390" s="12" t="n">
        <f aca="false">D390*$J$5</f>
        <v>102.315789473684</v>
      </c>
      <c r="F390" s="12" t="n">
        <f aca="false">E390-C390</f>
        <v>-52.6842105263158</v>
      </c>
      <c r="G390" s="21" t="n">
        <f aca="false">IF(AND(C390=0,E390=0),0,IF(C390=0,"New",(E390-C390)/C390))</f>
        <v>-0.339898132427844</v>
      </c>
      <c r="H390" s="12" t="n">
        <f aca="false">SUMIFS('בתי מרקחת Raw'!$E$6:$E$1616,'בתי מרקחת Raw'!$F$6:$F$1616,$A390,'בתי מרקחת Raw'!$C$6:$C$1616,2025)</f>
        <v>4633.6</v>
      </c>
      <c r="I390" s="12" t="n">
        <f aca="false">SUMIFS('בתי מרקחת Raw'!$E$6:$E$1616,'בתי מרקחת Raw'!$F$6:$F$1616,$A390,'בתי מרקחת Raw'!$C$6:$C$1616,2026)</f>
        <v>2418.5</v>
      </c>
      <c r="J390" s="12" t="n">
        <f aca="false">I390*$J$5</f>
        <v>3054.94736842105</v>
      </c>
    </row>
    <row r="391" customFormat="false" ht="15" hidden="false" customHeight="true" outlineLevel="0" collapsed="false">
      <c r="A391" s="12" t="n">
        <v>4413367</v>
      </c>
      <c r="B391" s="12" t="str">
        <f aca="false">IFERROR(INDEX('בתי מרקחת Raw'!$B:$B,MATCH($A391,'בתי מרקחת Raw'!$F:$F,0)),"")</f>
        <v>95C XL'מגן מרפק בז</v>
      </c>
      <c r="C391" s="12" t="n">
        <f aca="false">SUMIFS('בתי מרקחת Raw'!$D$6:$D$1616,'בתי מרקחת Raw'!$F$6:$F$1616,$A391,'בתי מרקחת Raw'!$C$6:$C$1616,2025)</f>
        <v>51</v>
      </c>
      <c r="D391" s="12" t="n">
        <f aca="false">SUMIFS('בתי מרקחת Raw'!$D$6:$D$1616,'בתי מרקחת Raw'!$F$6:$F$1616,$A391,'בתי מרקחת Raw'!$C$6:$C$1616,2026)</f>
        <v>35</v>
      </c>
      <c r="E391" s="12" t="n">
        <f aca="false">D391*$J$5</f>
        <v>44.2105263157895</v>
      </c>
      <c r="F391" s="12" t="n">
        <f aca="false">E391-C391</f>
        <v>-6.78947368421053</v>
      </c>
      <c r="G391" s="21" t="n">
        <f aca="false">IF(AND(C391=0,E391=0),0,IF(C391=0,"New",(E391-C391)/C391))</f>
        <v>-0.13312693498452</v>
      </c>
      <c r="H391" s="12" t="n">
        <f aca="false">SUMIFS('בתי מרקחת Raw'!$E$6:$E$1616,'בתי מרקחת Raw'!$F$6:$F$1616,$A391,'בתי מרקחת Raw'!$C$6:$C$1616,2025)</f>
        <v>1537.98</v>
      </c>
      <c r="I391" s="12" t="n">
        <f aca="false">SUMIFS('בתי מרקחת Raw'!$E$6:$E$1616,'בתי מרקחת Raw'!$F$6:$F$1616,$A391,'בתי מרקחת Raw'!$C$6:$C$1616,2026)</f>
        <v>1052.2</v>
      </c>
      <c r="J391" s="12" t="n">
        <f aca="false">I391*$J$5</f>
        <v>1329.09473684211</v>
      </c>
    </row>
    <row r="392" customFormat="false" ht="15" hidden="false" customHeight="true" outlineLevel="0" collapsed="false">
      <c r="A392" s="12" t="n">
        <v>4413368</v>
      </c>
      <c r="B392" s="12" t="str">
        <f aca="false">IFERROR(INDEX('בתי מרקחת Raw'!$B:$B,MATCH($A392,'בתי מרקחת Raw'!$F:$F,0)),"")</f>
        <v>95C XS'מגן מרפק בז</v>
      </c>
      <c r="C392" s="12" t="n">
        <f aca="false">SUMIFS('בתי מרקחת Raw'!$D$6:$D$1616,'בתי מרקחת Raw'!$F$6:$F$1616,$A392,'בתי מרקחת Raw'!$C$6:$C$1616,2025)</f>
        <v>12</v>
      </c>
      <c r="D392" s="12" t="n">
        <f aca="false">SUMIFS('בתי מרקחת Raw'!$D$6:$D$1616,'בתי מרקחת Raw'!$F$6:$F$1616,$A392,'בתי מרקחת Raw'!$C$6:$C$1616,2026)</f>
        <v>10</v>
      </c>
      <c r="E392" s="12" t="n">
        <f aca="false">D392*$J$5</f>
        <v>12.6315789473684</v>
      </c>
      <c r="F392" s="12" t="n">
        <f aca="false">E392-C392</f>
        <v>0.631578947368421</v>
      </c>
      <c r="G392" s="21" t="n">
        <f aca="false">IF(AND(C392=0,E392=0),0,IF(C392=0,"New",(E392-C392)/C392))</f>
        <v>0.0526315789473684</v>
      </c>
      <c r="H392" s="12" t="n">
        <f aca="false">SUMIFS('בתי מרקחת Raw'!$E$6:$E$1616,'בתי מרקחת Raw'!$F$6:$F$1616,$A392,'בתי מרקחת Raw'!$C$6:$C$1616,2025)</f>
        <v>351.9</v>
      </c>
      <c r="I392" s="12" t="n">
        <f aca="false">SUMIFS('בתי מרקחת Raw'!$E$6:$E$1616,'בתי מרקחת Raw'!$F$6:$F$1616,$A392,'בתי מרקחת Raw'!$C$6:$C$1616,2026)</f>
        <v>303.8</v>
      </c>
      <c r="J392" s="12" t="n">
        <f aca="false">I392*$J$5</f>
        <v>383.747368421053</v>
      </c>
    </row>
    <row r="393" customFormat="false" ht="15" hidden="false" customHeight="true" outlineLevel="0" collapsed="false">
      <c r="A393" s="12" t="n">
        <v>4413369</v>
      </c>
      <c r="B393" s="12" t="str">
        <f aca="false">IFERROR(INDEX('בתי מרקחת Raw'!$B:$B,MATCH($A393,'בתי מרקחת Raw'!$F:$F,0)),"")</f>
        <v>95C XXL'מגן מרפק בז</v>
      </c>
      <c r="C393" s="12" t="n">
        <f aca="false">SUMIFS('בתי מרקחת Raw'!$D$6:$D$1616,'בתי מרקחת Raw'!$F$6:$F$1616,$A393,'בתי מרקחת Raw'!$C$6:$C$1616,2025)</f>
        <v>6</v>
      </c>
      <c r="D393" s="12" t="n">
        <f aca="false">SUMIFS('בתי מרקחת Raw'!$D$6:$D$1616,'בתי מרקחת Raw'!$F$6:$F$1616,$A393,'בתי מרקחת Raw'!$C$6:$C$1616,2026)</f>
        <v>7</v>
      </c>
      <c r="E393" s="12" t="n">
        <f aca="false">D393*$J$5</f>
        <v>8.84210526315789</v>
      </c>
      <c r="F393" s="12" t="n">
        <f aca="false">E393-C393</f>
        <v>2.84210526315789</v>
      </c>
      <c r="G393" s="21" t="n">
        <f aca="false">IF(AND(C393=0,E393=0),0,IF(C393=0,"New",(E393-C393)/C393))</f>
        <v>0.473684210526316</v>
      </c>
      <c r="H393" s="12" t="n">
        <f aca="false">SUMIFS('בתי מרקחת Raw'!$E$6:$E$1616,'בתי מרקחת Raw'!$F$6:$F$1616,$A393,'בתי מרקחת Raw'!$C$6:$C$1616,2025)</f>
        <v>179.2</v>
      </c>
      <c r="I393" s="12" t="n">
        <f aca="false">SUMIFS('בתי מרקחת Raw'!$E$6:$E$1616,'בתי מרקחת Raw'!$F$6:$F$1616,$A393,'בתי מרקחת Raw'!$C$6:$C$1616,2026)</f>
        <v>203.9</v>
      </c>
      <c r="J393" s="12" t="n">
        <f aca="false">I393*$J$5</f>
        <v>257.557894736842</v>
      </c>
    </row>
    <row r="394" customFormat="false" ht="15" hidden="false" customHeight="true" outlineLevel="0" collapsed="false">
      <c r="A394" s="12" t="n">
        <v>4413370</v>
      </c>
      <c r="B394" s="12" t="str">
        <f aca="false">IFERROR(INDEX('בתי מרקחת Raw'!$B:$B,MATCH($A394,'בתי מרקחת Raw'!$F:$F,0)),"")</f>
        <v>3674 0 מ.בוניון+מפריד אצבע</v>
      </c>
      <c r="C394" s="12" t="n">
        <f aca="false">SUMIFS('בתי מרקחת Raw'!$D$6:$D$1616,'בתי מרקחת Raw'!$F$6:$F$1616,$A394,'בתי מרקחת Raw'!$C$6:$C$1616,2025)</f>
        <v>351</v>
      </c>
      <c r="D394" s="12" t="n">
        <f aca="false">SUMIFS('בתי מרקחת Raw'!$D$6:$D$1616,'בתי מרקחת Raw'!$F$6:$F$1616,$A394,'בתי מרקחת Raw'!$C$6:$C$1616,2026)</f>
        <v>191</v>
      </c>
      <c r="E394" s="12" t="n">
        <f aca="false">D394*$J$5</f>
        <v>241.263157894737</v>
      </c>
      <c r="F394" s="12" t="n">
        <f aca="false">E394-C394</f>
        <v>-109.736842105263</v>
      </c>
      <c r="G394" s="21" t="n">
        <f aca="false">IF(AND(C394=0,E394=0),0,IF(C394=0,"New",(E394-C394)/C394))</f>
        <v>-0.312640575798471</v>
      </c>
      <c r="H394" s="12" t="n">
        <f aca="false">SUMIFS('בתי מרקחת Raw'!$E$6:$E$1616,'בתי מרקחת Raw'!$F$6:$F$1616,$A394,'בתי מרקחת Raw'!$C$6:$C$1616,2025)</f>
        <v>13331.11</v>
      </c>
      <c r="I394" s="12" t="n">
        <f aca="false">SUMIFS('בתי מרקחת Raw'!$E$6:$E$1616,'בתי מרקחת Raw'!$F$6:$F$1616,$A394,'בתי מרקחת Raw'!$C$6:$C$1616,2026)</f>
        <v>7375.04</v>
      </c>
      <c r="J394" s="12" t="n">
        <f aca="false">I394*$J$5</f>
        <v>9315.84</v>
      </c>
    </row>
    <row r="395" customFormat="false" ht="15" hidden="false" customHeight="true" outlineLevel="0" collapsed="false">
      <c r="A395" s="12" t="n">
        <v>4413371</v>
      </c>
      <c r="B395" s="12" t="str">
        <f aca="false">IFERROR(INDEX('בתי מרקחת Raw'!$B:$B,MATCH($A395,'בתי מרקחת Raw'!$F:$F,0)),"")</f>
        <v>3675    מגן זרת מסיליקון</v>
      </c>
      <c r="C395" s="12" t="n">
        <f aca="false">SUMIFS('בתי מרקחת Raw'!$D$6:$D$1616,'בתי מרקחת Raw'!$F$6:$F$1616,$A395,'בתי מרקחת Raw'!$C$6:$C$1616,2025)</f>
        <v>75</v>
      </c>
      <c r="D395" s="12" t="n">
        <f aca="false">SUMIFS('בתי מרקחת Raw'!$D$6:$D$1616,'בתי מרקחת Raw'!$F$6:$F$1616,$A395,'בתי מרקחת Raw'!$C$6:$C$1616,2026)</f>
        <v>61</v>
      </c>
      <c r="E395" s="12" t="n">
        <f aca="false">D395*$J$5</f>
        <v>77.0526315789474</v>
      </c>
      <c r="F395" s="12" t="n">
        <f aca="false">E395-C395</f>
        <v>2.05263157894737</v>
      </c>
      <c r="G395" s="21" t="n">
        <f aca="false">IF(AND(C395=0,E395=0),0,IF(C395=0,"New",(E395-C395)/C395))</f>
        <v>0.0273684210526316</v>
      </c>
      <c r="H395" s="12" t="n">
        <f aca="false">SUMIFS('בתי מרקחת Raw'!$E$6:$E$1616,'בתי מרקחת Raw'!$F$6:$F$1616,$A395,'בתי מרקחת Raw'!$C$6:$C$1616,2025)</f>
        <v>2203.5</v>
      </c>
      <c r="I395" s="12" t="n">
        <f aca="false">SUMIFS('בתי מרקחת Raw'!$E$6:$E$1616,'בתי מרקחת Raw'!$F$6:$F$1616,$A395,'בתי מרקחת Raw'!$C$6:$C$1616,2026)</f>
        <v>1756.64</v>
      </c>
      <c r="J395" s="12" t="n">
        <f aca="false">I395*$J$5</f>
        <v>2218.91368421053</v>
      </c>
    </row>
    <row r="396" customFormat="false" ht="15" hidden="false" customHeight="true" outlineLevel="0" collapsed="false">
      <c r="A396" s="12" t="n">
        <v>4413372</v>
      </c>
      <c r="B396" s="12" t="str">
        <f aca="false">IFERROR(INDEX('בתי מרקחת Raw'!$B:$B,MATCH($A396,'בתי מרקחת Raw'!$F:$F,0)),"")</f>
        <v>302 W מדרס לאישה</v>
      </c>
      <c r="C396" s="12" t="n">
        <f aca="false">SUMIFS('בתי מרקחת Raw'!$D$6:$D$1616,'בתי מרקחת Raw'!$F$6:$F$1616,$A396,'בתי מרקחת Raw'!$C$6:$C$1616,2025)</f>
        <v>276</v>
      </c>
      <c r="D396" s="12" t="n">
        <f aca="false">SUMIFS('בתי מרקחת Raw'!$D$6:$D$1616,'בתי מרקחת Raw'!$F$6:$F$1616,$A396,'בתי מרקחת Raw'!$C$6:$C$1616,2026)</f>
        <v>128</v>
      </c>
      <c r="E396" s="12" t="n">
        <f aca="false">D396*$J$5</f>
        <v>161.684210526316</v>
      </c>
      <c r="F396" s="12" t="n">
        <f aca="false">E396-C396</f>
        <v>-114.315789473684</v>
      </c>
      <c r="G396" s="21" t="n">
        <f aca="false">IF(AND(C396=0,E396=0),0,IF(C396=0,"New",(E396-C396)/C396))</f>
        <v>-0.414187643020595</v>
      </c>
      <c r="H396" s="12" t="n">
        <f aca="false">SUMIFS('בתי מרקחת Raw'!$E$6:$E$1616,'בתי מרקחת Raw'!$F$6:$F$1616,$A396,'בתי מרקחת Raw'!$C$6:$C$1616,2025)</f>
        <v>16546.09</v>
      </c>
      <c r="I396" s="12" t="n">
        <f aca="false">SUMIFS('בתי מרקחת Raw'!$E$6:$E$1616,'בתי מרקחת Raw'!$F$6:$F$1616,$A396,'בתי מרקחת Raw'!$C$6:$C$1616,2026)</f>
        <v>8247.09</v>
      </c>
      <c r="J396" s="12" t="n">
        <f aca="false">I396*$J$5</f>
        <v>10417.3768421053</v>
      </c>
    </row>
    <row r="397" customFormat="false" ht="15" hidden="false" customHeight="true" outlineLevel="0" collapsed="false">
      <c r="A397" s="12" t="n">
        <v>4413394</v>
      </c>
      <c r="B397" s="12" t="str">
        <f aca="false">IFERROR(INDEX('בתי מרקחת Raw'!$B:$B,MATCH($A397,'בתי מרקחת Raw'!$F:$F,0)),"")</f>
        <v>45EC S 'מגן ברך ארוך בז</v>
      </c>
      <c r="C397" s="12" t="n">
        <f aca="false">SUMIFS('בתי מרקחת Raw'!$D$6:$D$1616,'בתי מרקחת Raw'!$F$6:$F$1616,$A397,'בתי מרקחת Raw'!$C$6:$C$1616,2025)</f>
        <v>37</v>
      </c>
      <c r="D397" s="12" t="n">
        <f aca="false">SUMIFS('בתי מרקחת Raw'!$D$6:$D$1616,'בתי מרקחת Raw'!$F$6:$F$1616,$A397,'בתי מרקחת Raw'!$C$6:$C$1616,2026)</f>
        <v>43</v>
      </c>
      <c r="E397" s="12" t="n">
        <f aca="false">D397*$J$5</f>
        <v>54.3157894736842</v>
      </c>
      <c r="F397" s="12" t="n">
        <f aca="false">E397-C397</f>
        <v>17.3157894736842</v>
      </c>
      <c r="G397" s="21" t="n">
        <f aca="false">IF(AND(C397=0,E397=0),0,IF(C397=0,"New",(E397-C397)/C397))</f>
        <v>0.467994310099573</v>
      </c>
      <c r="H397" s="12" t="n">
        <f aca="false">SUMIFS('בתי מרקחת Raw'!$E$6:$E$1616,'בתי מרקחת Raw'!$F$6:$F$1616,$A397,'בתי מרקחת Raw'!$C$6:$C$1616,2025)</f>
        <v>1331.8</v>
      </c>
      <c r="I397" s="12" t="n">
        <f aca="false">SUMIFS('בתי מרקחת Raw'!$E$6:$E$1616,'בתי מרקחת Raw'!$F$6:$F$1616,$A397,'בתי מרקחת Raw'!$C$6:$C$1616,2026)</f>
        <v>1570.45</v>
      </c>
      <c r="J397" s="12" t="n">
        <f aca="false">I397*$J$5</f>
        <v>1983.72631578947</v>
      </c>
    </row>
    <row r="398" customFormat="false" ht="15" hidden="false" customHeight="true" outlineLevel="0" collapsed="false">
      <c r="A398" s="12" t="n">
        <v>4413395</v>
      </c>
      <c r="B398" s="12" t="str">
        <f aca="false">IFERROR(INDEX('בתי מרקחת Raw'!$B:$B,MATCH($A398,'בתי מרקחת Raw'!$F:$F,0)),"")</f>
        <v>45EC M 'מגן ברך ארוך בז</v>
      </c>
      <c r="C398" s="12" t="n">
        <f aca="false">SUMIFS('בתי מרקחת Raw'!$D$6:$D$1616,'בתי מרקחת Raw'!$F$6:$F$1616,$A398,'בתי מרקחת Raw'!$C$6:$C$1616,2025)</f>
        <v>95</v>
      </c>
      <c r="D398" s="12" t="n">
        <f aca="false">SUMIFS('בתי מרקחת Raw'!$D$6:$D$1616,'בתי מרקחת Raw'!$F$6:$F$1616,$A398,'בתי מרקחת Raw'!$C$6:$C$1616,2026)</f>
        <v>100</v>
      </c>
      <c r="E398" s="12" t="n">
        <f aca="false">D398*$J$5</f>
        <v>126.315789473684</v>
      </c>
      <c r="F398" s="12" t="n">
        <f aca="false">E398-C398</f>
        <v>31.3157894736842</v>
      </c>
      <c r="G398" s="21" t="n">
        <f aca="false">IF(AND(C398=0,E398=0),0,IF(C398=0,"New",(E398-C398)/C398))</f>
        <v>0.329639889196676</v>
      </c>
      <c r="H398" s="12" t="n">
        <f aca="false">SUMIFS('בתי מרקחת Raw'!$E$6:$E$1616,'בתי מרקחת Raw'!$F$6:$F$1616,$A398,'בתי מרקחת Raw'!$C$6:$C$1616,2025)</f>
        <v>3398.81</v>
      </c>
      <c r="I398" s="12" t="n">
        <f aca="false">SUMIFS('בתי מרקחת Raw'!$E$6:$E$1616,'בתי מרקחת Raw'!$F$6:$F$1616,$A398,'בתי מרקחת Raw'!$C$6:$C$1616,2026)</f>
        <v>3607.81</v>
      </c>
      <c r="J398" s="12" t="n">
        <f aca="false">I398*$J$5</f>
        <v>4557.23368421053</v>
      </c>
    </row>
    <row r="399" customFormat="false" ht="15" hidden="false" customHeight="true" outlineLevel="0" collapsed="false">
      <c r="A399" s="12" t="n">
        <v>4413396</v>
      </c>
      <c r="B399" s="12" t="str">
        <f aca="false">IFERROR(INDEX('בתי מרקחת Raw'!$B:$B,MATCH($A399,'בתי מרקחת Raw'!$F:$F,0)),"")</f>
        <v>45EC L 'מגן ברך ארוך בז</v>
      </c>
      <c r="C399" s="12" t="n">
        <f aca="false">SUMIFS('בתי מרקחת Raw'!$D$6:$D$1616,'בתי מרקחת Raw'!$F$6:$F$1616,$A399,'בתי מרקחת Raw'!$C$6:$C$1616,2025)</f>
        <v>106</v>
      </c>
      <c r="D399" s="12" t="n">
        <f aca="false">SUMIFS('בתי מרקחת Raw'!$D$6:$D$1616,'בתי מרקחת Raw'!$F$6:$F$1616,$A399,'בתי מרקחת Raw'!$C$6:$C$1616,2026)</f>
        <v>124</v>
      </c>
      <c r="E399" s="12" t="n">
        <f aca="false">D399*$J$5</f>
        <v>156.631578947368</v>
      </c>
      <c r="F399" s="12" t="n">
        <f aca="false">E399-C399</f>
        <v>50.6315789473684</v>
      </c>
      <c r="G399" s="21" t="n">
        <f aca="false">IF(AND(C399=0,E399=0),0,IF(C399=0,"New",(E399-C399)/C399))</f>
        <v>0.477656405163853</v>
      </c>
      <c r="H399" s="12" t="n">
        <f aca="false">SUMIFS('בתי מרקחת Raw'!$E$6:$E$1616,'בתי מרקחת Raw'!$F$6:$F$1616,$A399,'בתי מרקחת Raw'!$C$6:$C$1616,2025)</f>
        <v>3830.92</v>
      </c>
      <c r="I399" s="12" t="n">
        <f aca="false">SUMIFS('בתי מרקחת Raw'!$E$6:$E$1616,'בתי מרקחת Raw'!$F$6:$F$1616,$A399,'בתי מרקחת Raw'!$C$6:$C$1616,2026)</f>
        <v>4548.22</v>
      </c>
      <c r="J399" s="12" t="n">
        <f aca="false">I399*$J$5</f>
        <v>5745.12</v>
      </c>
    </row>
    <row r="400" customFormat="false" ht="15" hidden="false" customHeight="true" outlineLevel="0" collapsed="false">
      <c r="A400" s="12" t="n">
        <v>4413397</v>
      </c>
      <c r="B400" s="12" t="str">
        <f aca="false">IFERROR(INDEX('בתי מרקחת Raw'!$B:$B,MATCH($A400,'בתי מרקחת Raw'!$F:$F,0)),"")</f>
        <v>45EC XL'מגן ברך ארוך בז</v>
      </c>
      <c r="C400" s="12" t="n">
        <f aca="false">SUMIFS('בתי מרקחת Raw'!$D$6:$D$1616,'בתי מרקחת Raw'!$F$6:$F$1616,$A400,'בתי מרקחת Raw'!$C$6:$C$1616,2025)</f>
        <v>103</v>
      </c>
      <c r="D400" s="12" t="n">
        <f aca="false">SUMIFS('בתי מרקחת Raw'!$D$6:$D$1616,'בתי מרקחת Raw'!$F$6:$F$1616,$A400,'בתי מרקחת Raw'!$C$6:$C$1616,2026)</f>
        <v>97</v>
      </c>
      <c r="E400" s="12" t="n">
        <f aca="false">D400*$J$5</f>
        <v>122.526315789474</v>
      </c>
      <c r="F400" s="12" t="n">
        <f aca="false">E400-C400</f>
        <v>19.5263157894737</v>
      </c>
      <c r="G400" s="21" t="n">
        <f aca="false">IF(AND(C400=0,E400=0),0,IF(C400=0,"New",(E400-C400)/C400))</f>
        <v>0.189575881451201</v>
      </c>
      <c r="H400" s="12" t="n">
        <f aca="false">SUMIFS('בתי מרקחת Raw'!$E$6:$E$1616,'בתי מרקחת Raw'!$F$6:$F$1616,$A400,'בתי מרקחת Raw'!$C$6:$C$1616,2025)</f>
        <v>3709.6</v>
      </c>
      <c r="I400" s="12" t="n">
        <f aca="false">SUMIFS('בתי מרקחת Raw'!$E$6:$E$1616,'בתי מרקחת Raw'!$F$6:$F$1616,$A400,'בתי מרקחת Raw'!$C$6:$C$1616,2026)</f>
        <v>3524.96</v>
      </c>
      <c r="J400" s="12" t="n">
        <f aca="false">I400*$J$5</f>
        <v>4452.58105263158</v>
      </c>
    </row>
    <row r="401" customFormat="false" ht="15" hidden="false" customHeight="true" outlineLevel="0" collapsed="false">
      <c r="A401" s="12" t="n">
        <v>4413398</v>
      </c>
      <c r="B401" s="12" t="str">
        <f aca="false">IFERROR(INDEX('בתי מרקחת Raw'!$B:$B,MATCH($A401,'בתי מרקחת Raw'!$F:$F,0)),"")</f>
        <v>45EC XXL'מגן ברך ארוך בז</v>
      </c>
      <c r="C401" s="12" t="n">
        <f aca="false">SUMIFS('בתי מרקחת Raw'!$D$6:$D$1616,'בתי מרקחת Raw'!$F$6:$F$1616,$A401,'בתי מרקחת Raw'!$C$6:$C$1616,2025)</f>
        <v>44</v>
      </c>
      <c r="D401" s="12" t="n">
        <f aca="false">SUMIFS('בתי מרקחת Raw'!$D$6:$D$1616,'בתי מרקחת Raw'!$F$6:$F$1616,$A401,'בתי מרקחת Raw'!$C$6:$C$1616,2026)</f>
        <v>58</v>
      </c>
      <c r="E401" s="12" t="n">
        <f aca="false">D401*$J$5</f>
        <v>73.2631578947368</v>
      </c>
      <c r="F401" s="12" t="n">
        <f aca="false">E401-C401</f>
        <v>29.2631578947368</v>
      </c>
      <c r="G401" s="21" t="n">
        <f aca="false">IF(AND(C401=0,E401=0),0,IF(C401=0,"New",(E401-C401)/C401))</f>
        <v>0.665071770334928</v>
      </c>
      <c r="H401" s="12" t="n">
        <f aca="false">SUMIFS('בתי מרקחת Raw'!$E$6:$E$1616,'בתי מרקחת Raw'!$F$6:$F$1616,$A401,'בתי מרקחת Raw'!$C$6:$C$1616,2025)</f>
        <v>1613.3</v>
      </c>
      <c r="I401" s="12" t="n">
        <f aca="false">SUMIFS('בתי מרקחת Raw'!$E$6:$E$1616,'בתי מרקחת Raw'!$F$6:$F$1616,$A401,'בתי מרקחת Raw'!$C$6:$C$1616,2026)</f>
        <v>2147.35</v>
      </c>
      <c r="J401" s="12" t="n">
        <f aca="false">I401*$J$5</f>
        <v>2712.44210526316</v>
      </c>
    </row>
    <row r="402" customFormat="false" ht="15" hidden="false" customHeight="true" outlineLevel="0" collapsed="false">
      <c r="A402" s="12" t="n">
        <v>4413399</v>
      </c>
      <c r="B402" s="12" t="str">
        <f aca="false">IFERROR(INDEX('בתי מרקחת Raw'!$B:$B,MATCH($A402,'בתי מרקחת Raw'!$F:$F,0)),"")</f>
        <v>21 XS מגן יד</v>
      </c>
      <c r="C402" s="12" t="n">
        <f aca="false">SUMIFS('בתי מרקחת Raw'!$D$6:$D$1616,'בתי מרקחת Raw'!$F$6:$F$1616,$A402,'בתי מרקחת Raw'!$C$6:$C$1616,2025)</f>
        <v>-1</v>
      </c>
      <c r="D402" s="12" t="n">
        <f aca="false">SUMIFS('בתי מרקחת Raw'!$D$6:$D$1616,'בתי מרקחת Raw'!$F$6:$F$1616,$A402,'בתי מרקחת Raw'!$C$6:$C$1616,2026)</f>
        <v>1</v>
      </c>
      <c r="E402" s="12" t="n">
        <f aca="false">D402*$J$5</f>
        <v>1.26315789473684</v>
      </c>
      <c r="F402" s="12" t="n">
        <f aca="false">E402-C402</f>
        <v>2.26315789473684</v>
      </c>
      <c r="G402" s="21" t="n">
        <f aca="false">IF(AND(C402=0,E402=0),0,IF(C402=0,"New",(E402-C402)/C402))</f>
        <v>-2.26315789473684</v>
      </c>
      <c r="H402" s="12" t="n">
        <f aca="false">SUMIFS('בתי מרקחת Raw'!$E$6:$E$1616,'בתי מרקחת Raw'!$F$6:$F$1616,$A402,'בתי מרקחת Raw'!$C$6:$C$1616,2025)</f>
        <v>-37.8</v>
      </c>
      <c r="I402" s="12" t="n">
        <f aca="false">SUMIFS('בתי מרקחת Raw'!$E$6:$E$1616,'בתי מרקחת Raw'!$F$6:$F$1616,$A402,'בתי מרקחת Raw'!$C$6:$C$1616,2026)</f>
        <v>36.5</v>
      </c>
      <c r="J402" s="12" t="n">
        <f aca="false">I402*$J$5</f>
        <v>46.1052631578947</v>
      </c>
    </row>
    <row r="403" customFormat="false" ht="15" hidden="false" customHeight="true" outlineLevel="0" collapsed="false">
      <c r="A403" s="12" t="n">
        <v>4413403</v>
      </c>
      <c r="B403" s="12" t="str">
        <f aca="false">IFERROR(INDEX('בתי מרקחת Raw'!$B:$B,MATCH($A403,'בתי מרקחת Raw'!$F:$F,0)),"")</f>
        <v>78A L מגן למפרק כתף</v>
      </c>
      <c r="C403" s="12" t="n">
        <f aca="false">SUMIFS('בתי מרקחת Raw'!$D$6:$D$1616,'בתי מרקחת Raw'!$F$6:$F$1616,$A403,'בתי מרקחת Raw'!$C$6:$C$1616,2025)</f>
        <v>-1</v>
      </c>
      <c r="D403" s="12" t="n">
        <f aca="false">SUMIFS('בתי מרקחת Raw'!$D$6:$D$1616,'בתי מרקחת Raw'!$F$6:$F$1616,$A403,'בתי מרקחת Raw'!$C$6:$C$1616,2026)</f>
        <v>0</v>
      </c>
      <c r="E403" s="12" t="n">
        <f aca="false">D403*$J$5</f>
        <v>0</v>
      </c>
      <c r="F403" s="12" t="n">
        <f aca="false">E403-C403</f>
        <v>1</v>
      </c>
      <c r="G403" s="21" t="n">
        <f aca="false">IF(AND(C403=0,E403=0),0,IF(C403=0,"New",(E403-C403)/C403))</f>
        <v>-1</v>
      </c>
      <c r="H403" s="12" t="n">
        <f aca="false">SUMIFS('בתי מרקחת Raw'!$E$6:$E$1616,'בתי מרקחת Raw'!$F$6:$F$1616,$A403,'בתי מרקחת Raw'!$C$6:$C$1616,2025)</f>
        <v>-165.4</v>
      </c>
      <c r="I403" s="12" t="n">
        <f aca="false">SUMIFS('בתי מרקחת Raw'!$E$6:$E$1616,'בתי מרקחת Raw'!$F$6:$F$1616,$A403,'בתי מרקחת Raw'!$C$6:$C$1616,2026)</f>
        <v>0</v>
      </c>
      <c r="J403" s="12" t="n">
        <f aca="false">I403*$J$5</f>
        <v>0</v>
      </c>
    </row>
    <row r="404" customFormat="false" ht="15" hidden="false" customHeight="true" outlineLevel="0" collapsed="false">
      <c r="A404" s="12" t="n">
        <v>4413405</v>
      </c>
      <c r="B404" s="12" t="str">
        <f aca="false">IFERROR(INDEX('בתי מרקחת Raw'!$B:$B,MATCH($A404,'בתי מרקחת Raw'!$F:$F,0)),"")</f>
        <v>SC95 S מגן מרפק</v>
      </c>
      <c r="C404" s="12" t="n">
        <f aca="false">SUMIFS('בתי מרקחת Raw'!$D$6:$D$1616,'בתי מרקחת Raw'!$F$6:$F$1616,$A404,'בתי מרקחת Raw'!$C$6:$C$1616,2025)</f>
        <v>0</v>
      </c>
      <c r="D404" s="12" t="n">
        <f aca="false">SUMIFS('בתי מרקחת Raw'!$D$6:$D$1616,'בתי מרקחת Raw'!$F$6:$F$1616,$A404,'בתי מרקחת Raw'!$C$6:$C$1616,2026)</f>
        <v>3</v>
      </c>
      <c r="E404" s="12" t="n">
        <f aca="false">D404*$J$5</f>
        <v>3.78947368421053</v>
      </c>
      <c r="F404" s="12" t="n">
        <f aca="false">E404-C404</f>
        <v>3.78947368421053</v>
      </c>
      <c r="G404" s="21" t="str">
        <f aca="false">IF(AND(C404=0,E404=0),0,IF(C404=0,"New",(E404-C404)/C404))</f>
        <v>New</v>
      </c>
      <c r="H404" s="12" t="n">
        <f aca="false">SUMIFS('בתי מרקחת Raw'!$E$6:$E$1616,'בתי מרקחת Raw'!$F$6:$F$1616,$A404,'בתי מרקחת Raw'!$C$6:$C$1616,2025)</f>
        <v>0</v>
      </c>
      <c r="I404" s="12" t="n">
        <f aca="false">SUMIFS('בתי מרקחת Raw'!$E$6:$E$1616,'בתי מרקחת Raw'!$F$6:$F$1616,$A404,'בתי מרקחת Raw'!$C$6:$C$1616,2026)</f>
        <v>281</v>
      </c>
      <c r="J404" s="12" t="n">
        <f aca="false">I404*$J$5</f>
        <v>354.947368421053</v>
      </c>
    </row>
    <row r="405" customFormat="false" ht="15" hidden="false" customHeight="true" outlineLevel="0" collapsed="false">
      <c r="A405" s="12" t="n">
        <v>4413406</v>
      </c>
      <c r="B405" s="12" t="str">
        <f aca="false">IFERROR(INDEX('בתי מרקחת Raw'!$B:$B,MATCH($A405,'בתי מרקחת Raw'!$F:$F,0)),"")</f>
        <v>SC95 M מגן מרפק</v>
      </c>
      <c r="C405" s="12" t="n">
        <f aca="false">SUMIFS('בתי מרקחת Raw'!$D$6:$D$1616,'בתי מרקחת Raw'!$F$6:$F$1616,$A405,'בתי מרקחת Raw'!$C$6:$C$1616,2025)</f>
        <v>11</v>
      </c>
      <c r="D405" s="12" t="n">
        <f aca="false">SUMIFS('בתי מרקחת Raw'!$D$6:$D$1616,'בתי מרקחת Raw'!$F$6:$F$1616,$A405,'בתי מרקחת Raw'!$C$6:$C$1616,2026)</f>
        <v>9</v>
      </c>
      <c r="E405" s="12" t="n">
        <f aca="false">D405*$J$5</f>
        <v>11.3684210526316</v>
      </c>
      <c r="F405" s="12" t="n">
        <f aca="false">E405-C405</f>
        <v>0.368421052631579</v>
      </c>
      <c r="G405" s="21" t="n">
        <f aca="false">IF(AND(C405=0,E405=0),0,IF(C405=0,"New",(E405-C405)/C405))</f>
        <v>0.0334928229665072</v>
      </c>
      <c r="H405" s="12" t="n">
        <f aca="false">SUMIFS('בתי מרקחת Raw'!$E$6:$E$1616,'בתי מרקחת Raw'!$F$6:$F$1616,$A405,'בתי מרקחת Raw'!$C$6:$C$1616,2025)</f>
        <v>941.6</v>
      </c>
      <c r="I405" s="12" t="n">
        <f aca="false">SUMIFS('בתי מרקחת Raw'!$E$6:$E$1616,'בתי מרקחת Raw'!$F$6:$F$1616,$A405,'בתי מרקחת Raw'!$C$6:$C$1616,2026)</f>
        <v>843.05</v>
      </c>
      <c r="J405" s="12" t="n">
        <f aca="false">I405*$J$5</f>
        <v>1064.90526315789</v>
      </c>
    </row>
    <row r="406" customFormat="false" ht="15" hidden="false" customHeight="true" outlineLevel="0" collapsed="false">
      <c r="A406" s="12" t="n">
        <v>4413407</v>
      </c>
      <c r="B406" s="12" t="str">
        <f aca="false">IFERROR(INDEX('בתי מרקחת Raw'!$B:$B,MATCH($A406,'בתי מרקחת Raw'!$F:$F,0)),"")</f>
        <v>SC95 L מגן מרפק</v>
      </c>
      <c r="C406" s="12" t="n">
        <f aca="false">SUMIFS('בתי מרקחת Raw'!$D$6:$D$1616,'בתי מרקחת Raw'!$F$6:$F$1616,$A406,'בתי מרקחת Raw'!$C$6:$C$1616,2025)</f>
        <v>11</v>
      </c>
      <c r="D406" s="12" t="n">
        <f aca="false">SUMIFS('בתי מרקחת Raw'!$D$6:$D$1616,'בתי מרקחת Raw'!$F$6:$F$1616,$A406,'בתי מרקחת Raw'!$C$6:$C$1616,2026)</f>
        <v>13</v>
      </c>
      <c r="E406" s="12" t="n">
        <f aca="false">D406*$J$5</f>
        <v>16.4210526315789</v>
      </c>
      <c r="F406" s="12" t="n">
        <f aca="false">E406-C406</f>
        <v>5.42105263157895</v>
      </c>
      <c r="G406" s="21" t="n">
        <f aca="false">IF(AND(C406=0,E406=0),0,IF(C406=0,"New",(E406-C406)/C406))</f>
        <v>0.492822966507177</v>
      </c>
      <c r="H406" s="12" t="n">
        <f aca="false">SUMIFS('בתי מרקחת Raw'!$E$6:$E$1616,'בתי מרקחת Raw'!$F$6:$F$1616,$A406,'בתי מרקחת Raw'!$C$6:$C$1616,2025)</f>
        <v>907.22</v>
      </c>
      <c r="I406" s="12" t="n">
        <f aca="false">SUMIFS('בתי מרקחת Raw'!$E$6:$E$1616,'בתי מרקחת Raw'!$F$6:$F$1616,$A406,'בתי מרקחת Raw'!$C$6:$C$1616,2026)</f>
        <v>1223.94</v>
      </c>
      <c r="J406" s="12" t="n">
        <f aca="false">I406*$J$5</f>
        <v>1546.02947368421</v>
      </c>
    </row>
    <row r="407" customFormat="false" ht="15" hidden="false" customHeight="true" outlineLevel="0" collapsed="false">
      <c r="A407" s="12" t="n">
        <v>4413408</v>
      </c>
      <c r="B407" s="12" t="str">
        <f aca="false">IFERROR(INDEX('בתי מרקחת Raw'!$B:$B,MATCH($A407,'בתי מרקחת Raw'!$F:$F,0)),"")</f>
        <v>SC95 XLמגן מרפק</v>
      </c>
      <c r="C407" s="12" t="n">
        <f aca="false">SUMIFS('בתי מרקחת Raw'!$D$6:$D$1616,'בתי מרקחת Raw'!$F$6:$F$1616,$A407,'בתי מרקחת Raw'!$C$6:$C$1616,2025)</f>
        <v>7</v>
      </c>
      <c r="D407" s="12" t="n">
        <f aca="false">SUMIFS('בתי מרקחת Raw'!$D$6:$D$1616,'בתי מרקחת Raw'!$F$6:$F$1616,$A407,'בתי מרקחת Raw'!$C$6:$C$1616,2026)</f>
        <v>7</v>
      </c>
      <c r="E407" s="12" t="n">
        <f aca="false">D407*$J$5</f>
        <v>8.84210526315789</v>
      </c>
      <c r="F407" s="12" t="n">
        <f aca="false">E407-C407</f>
        <v>1.84210526315789</v>
      </c>
      <c r="G407" s="21" t="n">
        <f aca="false">IF(AND(C407=0,E407=0),0,IF(C407=0,"New",(E407-C407)/C407))</f>
        <v>0.263157894736842</v>
      </c>
      <c r="H407" s="12" t="n">
        <f aca="false">SUMIFS('בתי מרקחת Raw'!$E$6:$E$1616,'בתי מרקחת Raw'!$F$6:$F$1616,$A407,'בתי מרקחת Raw'!$C$6:$C$1616,2025)</f>
        <v>531.88</v>
      </c>
      <c r="I407" s="12" t="n">
        <f aca="false">SUMIFS('בתי מרקחת Raw'!$E$6:$E$1616,'בתי מרקחת Raw'!$F$6:$F$1616,$A407,'בתי מרקחת Raw'!$C$6:$C$1616,2026)</f>
        <v>655.69</v>
      </c>
      <c r="J407" s="12" t="n">
        <f aca="false">I407*$J$5</f>
        <v>828.24</v>
      </c>
    </row>
    <row r="408" customFormat="false" ht="15" hidden="false" customHeight="true" outlineLevel="0" collapsed="false">
      <c r="A408" s="12" t="n">
        <v>4413415</v>
      </c>
      <c r="B408" s="12" t="str">
        <f aca="false">IFERROR(INDEX('בתי מרקחת Raw'!$B:$B,MATCH($A408,'בתי מרקחת Raw'!$F:$F,0)),"")</f>
        <v>SC39  S מגן שוק</v>
      </c>
      <c r="C408" s="12" t="n">
        <f aca="false">SUMIFS('בתי מרקחת Raw'!$D$6:$D$1616,'בתי מרקחת Raw'!$F$6:$F$1616,$A408,'בתי מרקחת Raw'!$C$6:$C$1616,2025)</f>
        <v>6</v>
      </c>
      <c r="D408" s="12" t="n">
        <f aca="false">SUMIFS('בתי מרקחת Raw'!$D$6:$D$1616,'בתי מרקחת Raw'!$F$6:$F$1616,$A408,'בתי מרקחת Raw'!$C$6:$C$1616,2026)</f>
        <v>5</v>
      </c>
      <c r="E408" s="12" t="n">
        <f aca="false">D408*$J$5</f>
        <v>6.31578947368421</v>
      </c>
      <c r="F408" s="12" t="n">
        <f aca="false">E408-C408</f>
        <v>0.315789473684211</v>
      </c>
      <c r="G408" s="21" t="n">
        <f aca="false">IF(AND(C408=0,E408=0),0,IF(C408=0,"New",(E408-C408)/C408))</f>
        <v>0.0526315789473684</v>
      </c>
      <c r="H408" s="12" t="n">
        <f aca="false">SUMIFS('בתי מרקחת Raw'!$E$6:$E$1616,'בתי מרקחת Raw'!$F$6:$F$1616,$A408,'בתי מרקחת Raw'!$C$6:$C$1616,2025)</f>
        <v>860.86</v>
      </c>
      <c r="I408" s="12" t="n">
        <f aca="false">SUMIFS('בתי מרקחת Raw'!$E$6:$E$1616,'בתי מרקחת Raw'!$F$6:$F$1616,$A408,'בתי מרקחת Raw'!$C$6:$C$1616,2026)</f>
        <v>820.13</v>
      </c>
      <c r="J408" s="12" t="n">
        <f aca="false">I408*$J$5</f>
        <v>1035.95368421053</v>
      </c>
    </row>
    <row r="409" customFormat="false" ht="15" hidden="false" customHeight="true" outlineLevel="0" collapsed="false">
      <c r="A409" s="12" t="n">
        <v>4413416</v>
      </c>
      <c r="B409" s="12" t="str">
        <f aca="false">IFERROR(INDEX('בתי מרקחת Raw'!$B:$B,MATCH($A409,'בתי מרקחת Raw'!$F:$F,0)),"")</f>
        <v>SC39  M מגן שוק</v>
      </c>
      <c r="C409" s="12" t="n">
        <f aca="false">SUMIFS('בתי מרקחת Raw'!$D$6:$D$1616,'בתי מרקחת Raw'!$F$6:$F$1616,$A409,'בתי מרקחת Raw'!$C$6:$C$1616,2025)</f>
        <v>10</v>
      </c>
      <c r="D409" s="12" t="n">
        <f aca="false">SUMIFS('בתי מרקחת Raw'!$D$6:$D$1616,'בתי מרקחת Raw'!$F$6:$F$1616,$A409,'בתי מרקחת Raw'!$C$6:$C$1616,2026)</f>
        <v>8</v>
      </c>
      <c r="E409" s="12" t="n">
        <f aca="false">D409*$J$5</f>
        <v>10.1052631578947</v>
      </c>
      <c r="F409" s="12" t="n">
        <f aca="false">E409-C409</f>
        <v>0.105263157894736</v>
      </c>
      <c r="G409" s="21" t="n">
        <f aca="false">IF(AND(C409=0,E409=0),0,IF(C409=0,"New",(E409-C409)/C409))</f>
        <v>0.0105263157894736</v>
      </c>
      <c r="H409" s="12" t="n">
        <f aca="false">SUMIFS('בתי מרקחת Raw'!$E$6:$E$1616,'בתי מרקחת Raw'!$F$6:$F$1616,$A409,'בתי מרקחת Raw'!$C$6:$C$1616,2025)</f>
        <v>1542.97</v>
      </c>
      <c r="I409" s="12" t="n">
        <f aca="false">SUMIFS('בתי מרקחת Raw'!$E$6:$E$1616,'בתי מרקחת Raw'!$F$6:$F$1616,$A409,'בתי מרקחת Raw'!$C$6:$C$1616,2026)</f>
        <v>1312.18</v>
      </c>
      <c r="J409" s="12" t="n">
        <f aca="false">I409*$J$5</f>
        <v>1657.49052631579</v>
      </c>
    </row>
    <row r="410" customFormat="false" ht="15" hidden="false" customHeight="true" outlineLevel="0" collapsed="false">
      <c r="A410" s="12" t="n">
        <v>4413417</v>
      </c>
      <c r="B410" s="12" t="str">
        <f aca="false">IFERROR(INDEX('בתי מרקחת Raw'!$B:$B,MATCH($A410,'בתי מרקחת Raw'!$F:$F,0)),"")</f>
        <v>SC39  L מגן שוק</v>
      </c>
      <c r="C410" s="12" t="n">
        <f aca="false">SUMIFS('בתי מרקחת Raw'!$D$6:$D$1616,'בתי מרקחת Raw'!$F$6:$F$1616,$A410,'בתי מרקחת Raw'!$C$6:$C$1616,2025)</f>
        <v>4</v>
      </c>
      <c r="D410" s="12" t="n">
        <f aca="false">SUMIFS('בתי מרקחת Raw'!$D$6:$D$1616,'בתי מרקחת Raw'!$F$6:$F$1616,$A410,'בתי מרקחת Raw'!$C$6:$C$1616,2026)</f>
        <v>10</v>
      </c>
      <c r="E410" s="12" t="n">
        <f aca="false">D410*$J$5</f>
        <v>12.6315789473684</v>
      </c>
      <c r="F410" s="12" t="n">
        <f aca="false">E410-C410</f>
        <v>8.63157894736842</v>
      </c>
      <c r="G410" s="21" t="n">
        <f aca="false">IF(AND(C410=0,E410=0),0,IF(C410=0,"New",(E410-C410)/C410))</f>
        <v>2.15789473684211</v>
      </c>
      <c r="H410" s="12" t="n">
        <f aca="false">SUMIFS('בתי מרקחת Raw'!$E$6:$E$1616,'בתי מרקחת Raw'!$F$6:$F$1616,$A410,'בתי מרקחת Raw'!$C$6:$C$1616,2025)</f>
        <v>581.02</v>
      </c>
      <c r="I410" s="12" t="n">
        <f aca="false">SUMIFS('בתי מרקחת Raw'!$E$6:$E$1616,'בתי מרקחת Raw'!$F$6:$F$1616,$A410,'בתי מרקחת Raw'!$C$6:$C$1616,2026)</f>
        <v>1662.44</v>
      </c>
      <c r="J410" s="12" t="n">
        <f aca="false">I410*$J$5</f>
        <v>2099.92421052632</v>
      </c>
    </row>
    <row r="411" customFormat="false" ht="15" hidden="false" customHeight="true" outlineLevel="0" collapsed="false">
      <c r="A411" s="12" t="n">
        <v>4413418</v>
      </c>
      <c r="B411" s="12" t="str">
        <f aca="false">IFERROR(INDEX('בתי מרקחת Raw'!$B:$B,MATCH($A411,'בתי מרקחת Raw'!$F:$F,0)),"")</f>
        <v>SC39 XL מגן שוק</v>
      </c>
      <c r="C411" s="12" t="n">
        <f aca="false">SUMIFS('בתי מרקחת Raw'!$D$6:$D$1616,'בתי מרקחת Raw'!$F$6:$F$1616,$A411,'בתי מרקחת Raw'!$C$6:$C$1616,2025)</f>
        <v>2</v>
      </c>
      <c r="D411" s="12" t="n">
        <f aca="false">SUMIFS('בתי מרקחת Raw'!$D$6:$D$1616,'בתי מרקחת Raw'!$F$6:$F$1616,$A411,'בתי מרקחת Raw'!$C$6:$C$1616,2026)</f>
        <v>4</v>
      </c>
      <c r="E411" s="12" t="n">
        <f aca="false">D411*$J$5</f>
        <v>5.05263157894737</v>
      </c>
      <c r="F411" s="12" t="n">
        <f aca="false">E411-C411</f>
        <v>3.05263157894737</v>
      </c>
      <c r="G411" s="21" t="n">
        <f aca="false">IF(AND(C411=0,E411=0),0,IF(C411=0,"New",(E411-C411)/C411))</f>
        <v>1.52631578947368</v>
      </c>
      <c r="H411" s="12" t="n">
        <f aca="false">SUMIFS('בתי מרקחת Raw'!$E$6:$E$1616,'בתי מרקחת Raw'!$F$6:$F$1616,$A411,'בתי מרקחת Raw'!$C$6:$C$1616,2025)</f>
        <v>298.36</v>
      </c>
      <c r="I411" s="12" t="n">
        <f aca="false">SUMIFS('בתי מרקחת Raw'!$E$6:$E$1616,'בתי מרקחת Raw'!$F$6:$F$1616,$A411,'בתי מרקחת Raw'!$C$6:$C$1616,2026)</f>
        <v>612.4</v>
      </c>
      <c r="J411" s="12" t="n">
        <f aca="false">I411*$J$5</f>
        <v>773.557894736842</v>
      </c>
    </row>
    <row r="412" customFormat="false" ht="15" hidden="false" customHeight="true" outlineLevel="0" collapsed="false">
      <c r="A412" s="12" t="n">
        <v>4413419</v>
      </c>
      <c r="B412" s="12" t="str">
        <f aca="false">IFERROR(INDEX('בתי מרקחת Raw'!$B:$B,MATCH($A412,'בתי מרקחת Raw'!$F:$F,0)),"")</f>
        <v>SC39 XXLמגן שוק</v>
      </c>
      <c r="C412" s="12" t="n">
        <f aca="false">SUMIFS('בתי מרקחת Raw'!$D$6:$D$1616,'בתי מרקחת Raw'!$F$6:$F$1616,$A412,'בתי מרקחת Raw'!$C$6:$C$1616,2025)</f>
        <v>0</v>
      </c>
      <c r="D412" s="12" t="n">
        <f aca="false">SUMIFS('בתי מרקחת Raw'!$D$6:$D$1616,'בתי מרקחת Raw'!$F$6:$F$1616,$A412,'בתי מרקחת Raw'!$C$6:$C$1616,2026)</f>
        <v>0</v>
      </c>
      <c r="E412" s="12" t="n">
        <f aca="false">D412*$J$5</f>
        <v>0</v>
      </c>
      <c r="F412" s="12" t="n">
        <f aca="false">E412-C412</f>
        <v>0</v>
      </c>
      <c r="G412" s="21" t="n">
        <f aca="false">IF(AND(C412=0,E412=0),0,IF(C412=0,"New",(E412-C412)/C412))</f>
        <v>0</v>
      </c>
      <c r="H412" s="12" t="n">
        <f aca="false">SUMIFS('בתי מרקחת Raw'!$E$6:$E$1616,'בתי מרקחת Raw'!$F$6:$F$1616,$A412,'בתי מרקחת Raw'!$C$6:$C$1616,2025)</f>
        <v>22.4</v>
      </c>
      <c r="I412" s="12" t="n">
        <f aca="false">SUMIFS('בתי מרקחת Raw'!$E$6:$E$1616,'בתי מרקחת Raw'!$F$6:$F$1616,$A412,'בתי מרקחת Raw'!$C$6:$C$1616,2026)</f>
        <v>0</v>
      </c>
      <c r="J412" s="12" t="n">
        <f aca="false">I412*$J$5</f>
        <v>0</v>
      </c>
    </row>
    <row r="413" customFormat="false" ht="15" hidden="false" customHeight="true" outlineLevel="0" collapsed="false">
      <c r="A413" s="12" t="n">
        <v>4413420</v>
      </c>
      <c r="B413" s="12" t="str">
        <f aca="false">IFERROR(INDEX('בתי מרקחת Raw'!$B:$B,MATCH($A413,'בתי מרקחת Raw'!$F:$F,0)),"")</f>
        <v>SC35L  S מגן קרסול שמאל</v>
      </c>
      <c r="C413" s="12" t="n">
        <f aca="false">SUMIFS('בתי מרקחת Raw'!$D$6:$D$1616,'בתי מרקחת Raw'!$F$6:$F$1616,$A413,'בתי מרקחת Raw'!$C$6:$C$1616,2025)</f>
        <v>3</v>
      </c>
      <c r="D413" s="12" t="n">
        <f aca="false">SUMIFS('בתי מרקחת Raw'!$D$6:$D$1616,'בתי מרקחת Raw'!$F$6:$F$1616,$A413,'בתי מרקחת Raw'!$C$6:$C$1616,2026)</f>
        <v>2</v>
      </c>
      <c r="E413" s="12" t="n">
        <f aca="false">D413*$J$5</f>
        <v>2.52631578947368</v>
      </c>
      <c r="F413" s="12" t="n">
        <f aca="false">E413-C413</f>
        <v>-0.473684210526316</v>
      </c>
      <c r="G413" s="21" t="n">
        <f aca="false">IF(AND(C413=0,E413=0),0,IF(C413=0,"New",(E413-C413)/C413))</f>
        <v>-0.157894736842105</v>
      </c>
      <c r="H413" s="12" t="n">
        <f aca="false">SUMIFS('בתי מרקחת Raw'!$E$6:$E$1616,'בתי מרקחת Raw'!$F$6:$F$1616,$A413,'בתי מרקחת Raw'!$C$6:$C$1616,2025)</f>
        <v>231.9</v>
      </c>
      <c r="I413" s="12" t="n">
        <f aca="false">SUMIFS('בתי מרקחת Raw'!$E$6:$E$1616,'בתי מרקחת Raw'!$F$6:$F$1616,$A413,'בתי מרקחת Raw'!$C$6:$C$1616,2026)</f>
        <v>187.38</v>
      </c>
      <c r="J413" s="12" t="n">
        <f aca="false">I413*$J$5</f>
        <v>236.690526315789</v>
      </c>
    </row>
    <row r="414" customFormat="false" ht="15" hidden="false" customHeight="true" outlineLevel="0" collapsed="false">
      <c r="A414" s="12" t="n">
        <v>4413421</v>
      </c>
      <c r="B414" s="12" t="str">
        <f aca="false">IFERROR(INDEX('בתי מרקחת Raw'!$B:$B,MATCH($A414,'בתי מרקחת Raw'!$F:$F,0)),"")</f>
        <v>SC35L  M מגן קרסול שמאל</v>
      </c>
      <c r="C414" s="12" t="n">
        <f aca="false">SUMIFS('בתי מרקחת Raw'!$D$6:$D$1616,'בתי מרקחת Raw'!$F$6:$F$1616,$A414,'בתי מרקחת Raw'!$C$6:$C$1616,2025)</f>
        <v>8</v>
      </c>
      <c r="D414" s="12" t="n">
        <f aca="false">SUMIFS('בתי מרקחת Raw'!$D$6:$D$1616,'בתי מרקחת Raw'!$F$6:$F$1616,$A414,'בתי מרקחת Raw'!$C$6:$C$1616,2026)</f>
        <v>4</v>
      </c>
      <c r="E414" s="12" t="n">
        <f aca="false">D414*$J$5</f>
        <v>5.05263157894737</v>
      </c>
      <c r="F414" s="12" t="n">
        <f aca="false">E414-C414</f>
        <v>-2.94736842105263</v>
      </c>
      <c r="G414" s="21" t="n">
        <f aca="false">IF(AND(C414=0,E414=0),0,IF(C414=0,"New",(E414-C414)/C414))</f>
        <v>-0.368421052631579</v>
      </c>
      <c r="H414" s="12" t="n">
        <f aca="false">SUMIFS('בתי מרקחת Raw'!$E$6:$E$1616,'בתי מרקחת Raw'!$F$6:$F$1616,$A414,'בתי מרקחת Raw'!$C$6:$C$1616,2025)</f>
        <v>644.89</v>
      </c>
      <c r="I414" s="12" t="n">
        <f aca="false">SUMIFS('בתי מרקחת Raw'!$E$6:$E$1616,'בתי מרקחת Raw'!$F$6:$F$1616,$A414,'בתי מרקחת Raw'!$C$6:$C$1616,2026)</f>
        <v>392.77</v>
      </c>
      <c r="J414" s="12" t="n">
        <f aca="false">I414*$J$5</f>
        <v>496.13052631579</v>
      </c>
    </row>
    <row r="415" customFormat="false" ht="15" hidden="false" customHeight="true" outlineLevel="0" collapsed="false">
      <c r="A415" s="12" t="n">
        <v>4413422</v>
      </c>
      <c r="B415" s="12" t="str">
        <f aca="false">IFERROR(INDEX('בתי מרקחת Raw'!$B:$B,MATCH($A415,'בתי מרקחת Raw'!$F:$F,0)),"")</f>
        <v>SC35L  L מגן קרסול שמאל</v>
      </c>
      <c r="C415" s="12" t="n">
        <f aca="false">SUMIFS('בתי מרקחת Raw'!$D$6:$D$1616,'בתי מרקחת Raw'!$F$6:$F$1616,$A415,'בתי מרקחת Raw'!$C$6:$C$1616,2025)</f>
        <v>4</v>
      </c>
      <c r="D415" s="12" t="n">
        <f aca="false">SUMIFS('בתי מרקחת Raw'!$D$6:$D$1616,'בתי מרקחת Raw'!$F$6:$F$1616,$A415,'בתי מרקחת Raw'!$C$6:$C$1616,2026)</f>
        <v>4</v>
      </c>
      <c r="E415" s="12" t="n">
        <f aca="false">D415*$J$5</f>
        <v>5.05263157894737</v>
      </c>
      <c r="F415" s="12" t="n">
        <f aca="false">E415-C415</f>
        <v>1.05263157894737</v>
      </c>
      <c r="G415" s="21" t="n">
        <f aca="false">IF(AND(C415=0,E415=0),0,IF(C415=0,"New",(E415-C415)/C415))</f>
        <v>0.263157894736842</v>
      </c>
      <c r="H415" s="12" t="n">
        <f aca="false">SUMIFS('בתי מרקחת Raw'!$E$6:$E$1616,'בתי מרקחת Raw'!$F$6:$F$1616,$A415,'בתי מרקחת Raw'!$C$6:$C$1616,2025)</f>
        <v>309.19</v>
      </c>
      <c r="I415" s="12" t="n">
        <f aca="false">SUMIFS('בתי מרקחת Raw'!$E$6:$E$1616,'בתי מרקחת Raw'!$F$6:$F$1616,$A415,'בתי מרקחת Raw'!$C$6:$C$1616,2026)</f>
        <v>374.67</v>
      </c>
      <c r="J415" s="12" t="n">
        <f aca="false">I415*$J$5</f>
        <v>473.267368421053</v>
      </c>
    </row>
    <row r="416" customFormat="false" ht="15" hidden="false" customHeight="true" outlineLevel="0" collapsed="false">
      <c r="A416" s="12" t="n">
        <v>4413423</v>
      </c>
      <c r="B416" s="12" t="str">
        <f aca="false">IFERROR(INDEX('בתי מרקחת Raw'!$B:$B,MATCH($A416,'בתי מרקחת Raw'!$F:$F,0)),"")</f>
        <v>SC35L XL מגן קרסול שמאל</v>
      </c>
      <c r="C416" s="12" t="n">
        <f aca="false">SUMIFS('בתי מרקחת Raw'!$D$6:$D$1616,'בתי מרקחת Raw'!$F$6:$F$1616,$A416,'בתי מרקחת Raw'!$C$6:$C$1616,2025)</f>
        <v>2</v>
      </c>
      <c r="D416" s="12" t="n">
        <f aca="false">SUMIFS('בתי מרקחת Raw'!$D$6:$D$1616,'בתי מרקחת Raw'!$F$6:$F$1616,$A416,'בתי מרקחת Raw'!$C$6:$C$1616,2026)</f>
        <v>1</v>
      </c>
      <c r="E416" s="12" t="n">
        <f aca="false">D416*$J$5</f>
        <v>1.26315789473684</v>
      </c>
      <c r="F416" s="12" t="n">
        <f aca="false">E416-C416</f>
        <v>-0.736842105263158</v>
      </c>
      <c r="G416" s="21" t="n">
        <f aca="false">IF(AND(C416=0,E416=0),0,IF(C416=0,"New",(E416-C416)/C416))</f>
        <v>-0.368421052631579</v>
      </c>
      <c r="H416" s="12" t="n">
        <f aca="false">SUMIFS('בתי מרקחת Raw'!$E$6:$E$1616,'בתי מרקחת Raw'!$F$6:$F$1616,$A416,'בתי מרקחת Raw'!$C$6:$C$1616,2025)</f>
        <v>165.78</v>
      </c>
      <c r="I416" s="12" t="n">
        <f aca="false">SUMIFS('בתי מרקחת Raw'!$E$6:$E$1616,'בתי מרקחת Raw'!$F$6:$F$1616,$A416,'בתי מרקחת Raw'!$C$6:$C$1616,2026)</f>
        <v>111.8</v>
      </c>
      <c r="J416" s="12" t="n">
        <f aca="false">I416*$J$5</f>
        <v>141.221052631579</v>
      </c>
    </row>
    <row r="417" customFormat="false" ht="15" hidden="false" customHeight="true" outlineLevel="0" collapsed="false">
      <c r="A417" s="12" t="n">
        <v>4413424</v>
      </c>
      <c r="B417" s="12" t="str">
        <f aca="false">IFERROR(INDEX('בתי מרקחת Raw'!$B:$B,MATCH($A417,'בתי מרקחת Raw'!$F:$F,0)),"")</f>
        <v>SC35R  S מגן קרסול ימין</v>
      </c>
      <c r="C417" s="12" t="n">
        <f aca="false">SUMIFS('בתי מרקחת Raw'!$D$6:$D$1616,'בתי מרקחת Raw'!$F$6:$F$1616,$A417,'בתי מרקחת Raw'!$C$6:$C$1616,2025)</f>
        <v>3</v>
      </c>
      <c r="D417" s="12" t="n">
        <f aca="false">SUMIFS('בתי מרקחת Raw'!$D$6:$D$1616,'בתי מרקחת Raw'!$F$6:$F$1616,$A417,'בתי מרקחת Raw'!$C$6:$C$1616,2026)</f>
        <v>5</v>
      </c>
      <c r="E417" s="12" t="n">
        <f aca="false">D417*$J$5</f>
        <v>6.31578947368421</v>
      </c>
      <c r="F417" s="12" t="n">
        <f aca="false">E417-C417</f>
        <v>3.31578947368421</v>
      </c>
      <c r="G417" s="21" t="n">
        <f aca="false">IF(AND(C417=0,E417=0),0,IF(C417=0,"New",(E417-C417)/C417))</f>
        <v>1.10526315789474</v>
      </c>
      <c r="H417" s="12" t="n">
        <f aca="false">SUMIFS('בתי מרקחת Raw'!$E$6:$E$1616,'בתי מרקחת Raw'!$F$6:$F$1616,$A417,'בתי מרקחת Raw'!$C$6:$C$1616,2025)</f>
        <v>231.9</v>
      </c>
      <c r="I417" s="12" t="n">
        <f aca="false">SUMIFS('בתי מרקחת Raw'!$E$6:$E$1616,'בתי מרקחת Raw'!$F$6:$F$1616,$A417,'בתי מרקחת Raw'!$C$6:$C$1616,2026)</f>
        <v>443.37</v>
      </c>
      <c r="J417" s="12" t="n">
        <f aca="false">I417*$J$5</f>
        <v>560.046315789474</v>
      </c>
    </row>
    <row r="418" customFormat="false" ht="15" hidden="false" customHeight="true" outlineLevel="0" collapsed="false">
      <c r="A418" s="12" t="n">
        <v>4413425</v>
      </c>
      <c r="B418" s="12" t="str">
        <f aca="false">IFERROR(INDEX('בתי מרקחת Raw'!$B:$B,MATCH($A418,'בתי מרקחת Raw'!$F:$F,0)),"")</f>
        <v>SC35R  M מגן קרסול ימין</v>
      </c>
      <c r="C418" s="12" t="n">
        <f aca="false">SUMIFS('בתי מרקחת Raw'!$D$6:$D$1616,'בתי מרקחת Raw'!$F$6:$F$1616,$A418,'בתי מרקחת Raw'!$C$6:$C$1616,2025)</f>
        <v>9</v>
      </c>
      <c r="D418" s="12" t="n">
        <f aca="false">SUMIFS('בתי מרקחת Raw'!$D$6:$D$1616,'בתי מרקחת Raw'!$F$6:$F$1616,$A418,'בתי מרקחת Raw'!$C$6:$C$1616,2026)</f>
        <v>11</v>
      </c>
      <c r="E418" s="12" t="n">
        <f aca="false">D418*$J$5</f>
        <v>13.8947368421053</v>
      </c>
      <c r="F418" s="12" t="n">
        <f aca="false">E418-C418</f>
        <v>4.89473684210526</v>
      </c>
      <c r="G418" s="21" t="n">
        <f aca="false">IF(AND(C418=0,E418=0),0,IF(C418=0,"New",(E418-C418)/C418))</f>
        <v>0.543859649122807</v>
      </c>
      <c r="H418" s="12" t="n">
        <f aca="false">SUMIFS('בתי מרקחת Raw'!$E$6:$E$1616,'בתי מרקחת Raw'!$F$6:$F$1616,$A418,'בתי מרקחת Raw'!$C$6:$C$1616,2025)</f>
        <v>724.8</v>
      </c>
      <c r="I418" s="12" t="n">
        <f aca="false">SUMIFS('בתי מרקחת Raw'!$E$6:$E$1616,'בתי מרקחת Raw'!$F$6:$F$1616,$A418,'בתי מרקחת Raw'!$C$6:$C$1616,2026)</f>
        <v>1005.37</v>
      </c>
      <c r="J418" s="12" t="n">
        <f aca="false">I418*$J$5</f>
        <v>1269.94105263158</v>
      </c>
    </row>
    <row r="419" customFormat="false" ht="15" hidden="false" customHeight="true" outlineLevel="0" collapsed="false">
      <c r="A419" s="12" t="n">
        <v>4413426</v>
      </c>
      <c r="B419" s="12" t="str">
        <f aca="false">IFERROR(INDEX('בתי מרקחת Raw'!$B:$B,MATCH($A419,'בתי מרקחת Raw'!$F:$F,0)),"")</f>
        <v>SC35R  L מגן קרסול ימין</v>
      </c>
      <c r="C419" s="12" t="n">
        <f aca="false">SUMIFS('בתי מרקחת Raw'!$D$6:$D$1616,'בתי מרקחת Raw'!$F$6:$F$1616,$A419,'בתי מרקחת Raw'!$C$6:$C$1616,2025)</f>
        <v>8</v>
      </c>
      <c r="D419" s="12" t="n">
        <f aca="false">SUMIFS('בתי מרקחת Raw'!$D$6:$D$1616,'בתי מרקחת Raw'!$F$6:$F$1616,$A419,'בתי מרקחת Raw'!$C$6:$C$1616,2026)</f>
        <v>4</v>
      </c>
      <c r="E419" s="12" t="n">
        <f aca="false">D419*$J$5</f>
        <v>5.05263157894737</v>
      </c>
      <c r="F419" s="12" t="n">
        <f aca="false">E419-C419</f>
        <v>-2.94736842105263</v>
      </c>
      <c r="G419" s="21" t="n">
        <f aca="false">IF(AND(C419=0,E419=0),0,IF(C419=0,"New",(E419-C419)/C419))</f>
        <v>-0.368421052631579</v>
      </c>
      <c r="H419" s="12" t="n">
        <f aca="false">SUMIFS('בתי מרקחת Raw'!$E$6:$E$1616,'בתי מרקחת Raw'!$F$6:$F$1616,$A419,'בתי מרקחת Raw'!$C$6:$C$1616,2025)</f>
        <v>618.37</v>
      </c>
      <c r="I419" s="12" t="n">
        <f aca="false">SUMIFS('בתי מרקחת Raw'!$E$6:$E$1616,'בתי מרקחת Raw'!$F$6:$F$1616,$A419,'בתי מרקחת Raw'!$C$6:$C$1616,2026)</f>
        <v>362.2</v>
      </c>
      <c r="J419" s="12" t="n">
        <f aca="false">I419*$J$5</f>
        <v>457.515789473684</v>
      </c>
    </row>
    <row r="420" customFormat="false" ht="15" hidden="false" customHeight="true" outlineLevel="0" collapsed="false">
      <c r="A420" s="12" t="n">
        <v>4413427</v>
      </c>
      <c r="B420" s="12" t="str">
        <f aca="false">IFERROR(INDEX('בתי מרקחת Raw'!$B:$B,MATCH($A420,'בתי מרקחת Raw'!$F:$F,0)),"")</f>
        <v>SC35R  XLמגן קרסול ימין</v>
      </c>
      <c r="C420" s="12" t="n">
        <f aca="false">SUMIFS('בתי מרקחת Raw'!$D$6:$D$1616,'בתי מרקחת Raw'!$F$6:$F$1616,$A420,'בתי מרקחת Raw'!$C$6:$C$1616,2025)</f>
        <v>2</v>
      </c>
      <c r="D420" s="12" t="n">
        <f aca="false">SUMIFS('בתי מרקחת Raw'!$D$6:$D$1616,'בתי מרקחת Raw'!$F$6:$F$1616,$A420,'בתי מרקחת Raw'!$C$6:$C$1616,2026)</f>
        <v>4</v>
      </c>
      <c r="E420" s="12" t="n">
        <f aca="false">D420*$J$5</f>
        <v>5.05263157894737</v>
      </c>
      <c r="F420" s="12" t="n">
        <f aca="false">E420-C420</f>
        <v>3.05263157894737</v>
      </c>
      <c r="G420" s="21" t="n">
        <f aca="false">IF(AND(C420=0,E420=0),0,IF(C420=0,"New",(E420-C420)/C420))</f>
        <v>1.52631578947368</v>
      </c>
      <c r="H420" s="12" t="n">
        <f aca="false">SUMIFS('בתי מרקחת Raw'!$E$6:$E$1616,'בתי מרקחת Raw'!$F$6:$F$1616,$A420,'בתי מרקחת Raw'!$C$6:$C$1616,2025)</f>
        <v>154.59</v>
      </c>
      <c r="I420" s="12" t="n">
        <f aca="false">SUMIFS('בתי מרקחת Raw'!$E$6:$E$1616,'בתי מרקחת Raw'!$F$6:$F$1616,$A420,'בתי מרקחת Raw'!$C$6:$C$1616,2026)</f>
        <v>362.2</v>
      </c>
      <c r="J420" s="12" t="n">
        <f aca="false">I420*$J$5</f>
        <v>457.515789473684</v>
      </c>
    </row>
    <row r="421" customFormat="false" ht="15" hidden="false" customHeight="true" outlineLevel="0" collapsed="false">
      <c r="A421" s="12" t="n">
        <v>4413438</v>
      </c>
      <c r="B421" s="12" t="str">
        <f aca="false">IFERROR(INDEX('בתי מרקחת Raw'!$B:$B,MATCH($A421,'בתי מרקחת Raw'!$F:$F,0)),"")</f>
        <v>SC422  S מגן ברך</v>
      </c>
      <c r="C421" s="12" t="n">
        <f aca="false">SUMIFS('בתי מרקחת Raw'!$D$6:$D$1616,'בתי מרקחת Raw'!$F$6:$F$1616,$A421,'בתי מרקחת Raw'!$C$6:$C$1616,2025)</f>
        <v>15</v>
      </c>
      <c r="D421" s="12" t="n">
        <f aca="false">SUMIFS('בתי מרקחת Raw'!$D$6:$D$1616,'בתי מרקחת Raw'!$F$6:$F$1616,$A421,'בתי מרקחת Raw'!$C$6:$C$1616,2026)</f>
        <v>10</v>
      </c>
      <c r="E421" s="12" t="n">
        <f aca="false">D421*$J$5</f>
        <v>12.6315789473684</v>
      </c>
      <c r="F421" s="12" t="n">
        <f aca="false">E421-C421</f>
        <v>-2.36842105263158</v>
      </c>
      <c r="G421" s="21" t="n">
        <f aca="false">IF(AND(C421=0,E421=0),0,IF(C421=0,"New",(E421-C421)/C421))</f>
        <v>-0.157894736842105</v>
      </c>
      <c r="H421" s="12" t="n">
        <f aca="false">SUMIFS('בתי מרקחת Raw'!$E$6:$E$1616,'בתי מרקחת Raw'!$F$6:$F$1616,$A421,'בתי מרקחת Raw'!$C$6:$C$1616,2025)</f>
        <v>2078.03</v>
      </c>
      <c r="I421" s="12" t="n">
        <f aca="false">SUMIFS('בתי מרקחת Raw'!$E$6:$E$1616,'בתי מרקחת Raw'!$F$6:$F$1616,$A421,'בתי מרקחת Raw'!$C$6:$C$1616,2026)</f>
        <v>1396.38</v>
      </c>
      <c r="J421" s="12" t="n">
        <f aca="false">I421*$J$5</f>
        <v>1763.84842105263</v>
      </c>
    </row>
    <row r="422" customFormat="false" ht="15" hidden="false" customHeight="true" outlineLevel="0" collapsed="false">
      <c r="A422" s="12" t="n">
        <v>4413439</v>
      </c>
      <c r="B422" s="12" t="str">
        <f aca="false">IFERROR(INDEX('בתי מרקחת Raw'!$B:$B,MATCH($A422,'בתי מרקחת Raw'!$F:$F,0)),"")</f>
        <v>SC422  M מגן ברך</v>
      </c>
      <c r="C422" s="12" t="n">
        <f aca="false">SUMIFS('בתי מרקחת Raw'!$D$6:$D$1616,'בתי מרקחת Raw'!$F$6:$F$1616,$A422,'בתי מרקחת Raw'!$C$6:$C$1616,2025)</f>
        <v>17</v>
      </c>
      <c r="D422" s="12" t="n">
        <f aca="false">SUMIFS('בתי מרקחת Raw'!$D$6:$D$1616,'בתי מרקחת Raw'!$F$6:$F$1616,$A422,'בתי מרקחת Raw'!$C$6:$C$1616,2026)</f>
        <v>27</v>
      </c>
      <c r="E422" s="12" t="n">
        <f aca="false">D422*$J$5</f>
        <v>34.1052631578947</v>
      </c>
      <c r="F422" s="12" t="n">
        <f aca="false">E422-C422</f>
        <v>17.1052631578947</v>
      </c>
      <c r="G422" s="21" t="n">
        <f aca="false">IF(AND(C422=0,E422=0),0,IF(C422=0,"New",(E422-C422)/C422))</f>
        <v>1.0061919504644</v>
      </c>
      <c r="H422" s="12" t="n">
        <f aca="false">SUMIFS('בתי מרקחת Raw'!$E$6:$E$1616,'בתי מרקחת Raw'!$F$6:$F$1616,$A422,'בתי מרקחת Raw'!$C$6:$C$1616,2025)</f>
        <v>2310.48</v>
      </c>
      <c r="I422" s="12" t="n">
        <f aca="false">SUMIFS('בתי מרקחת Raw'!$E$6:$E$1616,'בתי מרקחת Raw'!$F$6:$F$1616,$A422,'בתי מרקחת Raw'!$C$6:$C$1616,2026)</f>
        <v>3673.6</v>
      </c>
      <c r="J422" s="12" t="n">
        <f aca="false">I422*$J$5</f>
        <v>4640.33684210526</v>
      </c>
    </row>
    <row r="423" customFormat="false" ht="15" hidden="false" customHeight="true" outlineLevel="0" collapsed="false">
      <c r="A423" s="12" t="n">
        <v>4413440</v>
      </c>
      <c r="B423" s="12" t="str">
        <f aca="false">IFERROR(INDEX('בתי מרקחת Raw'!$B:$B,MATCH($A423,'בתי מרקחת Raw'!$F:$F,0)),"")</f>
        <v>SC422  L מגן ברך</v>
      </c>
      <c r="C423" s="12" t="n">
        <f aca="false">SUMIFS('בתי מרקחת Raw'!$D$6:$D$1616,'בתי מרקחת Raw'!$F$6:$F$1616,$A423,'בתי מרקחת Raw'!$C$6:$C$1616,2025)</f>
        <v>25</v>
      </c>
      <c r="D423" s="12" t="n">
        <f aca="false">SUMIFS('בתי מרקחת Raw'!$D$6:$D$1616,'בתי מרקחת Raw'!$F$6:$F$1616,$A423,'בתי מרקחת Raw'!$C$6:$C$1616,2026)</f>
        <v>29</v>
      </c>
      <c r="E423" s="12" t="n">
        <f aca="false">D423*$J$5</f>
        <v>36.6315789473684</v>
      </c>
      <c r="F423" s="12" t="n">
        <f aca="false">E423-C423</f>
        <v>11.6315789473684</v>
      </c>
      <c r="G423" s="21" t="n">
        <f aca="false">IF(AND(C423=0,E423=0),0,IF(C423=0,"New",(E423-C423)/C423))</f>
        <v>0.465263157894737</v>
      </c>
      <c r="H423" s="12" t="n">
        <f aca="false">SUMIFS('בתי מרקחת Raw'!$E$6:$E$1616,'בתי מרקחת Raw'!$F$6:$F$1616,$A423,'בתי מרקחת Raw'!$C$6:$C$1616,2025)</f>
        <v>3410.4</v>
      </c>
      <c r="I423" s="12" t="n">
        <f aca="false">SUMIFS('בתי מרקחת Raw'!$E$6:$E$1616,'בתי מרקחת Raw'!$F$6:$F$1616,$A423,'בתי מרקחת Raw'!$C$6:$C$1616,2026)</f>
        <v>3982.82</v>
      </c>
      <c r="J423" s="12" t="n">
        <f aca="false">I423*$J$5</f>
        <v>5030.93052631579</v>
      </c>
    </row>
    <row r="424" customFormat="false" ht="15" hidden="false" customHeight="true" outlineLevel="0" collapsed="false">
      <c r="A424" s="12" t="n">
        <v>4413441</v>
      </c>
      <c r="B424" s="12" t="str">
        <f aca="false">IFERROR(INDEX('בתי מרקחת Raw'!$B:$B,MATCH($A424,'בתי מרקחת Raw'!$F:$F,0)),"")</f>
        <v>SC422 XL מגן ברך</v>
      </c>
      <c r="C424" s="12" t="n">
        <f aca="false">SUMIFS('בתי מרקחת Raw'!$D$6:$D$1616,'בתי מרקחת Raw'!$F$6:$F$1616,$A424,'בתי מרקחת Raw'!$C$6:$C$1616,2025)</f>
        <v>13</v>
      </c>
      <c r="D424" s="12" t="n">
        <f aca="false">SUMIFS('בתי מרקחת Raw'!$D$6:$D$1616,'בתי מרקחת Raw'!$F$6:$F$1616,$A424,'בתי מרקחת Raw'!$C$6:$C$1616,2026)</f>
        <v>17</v>
      </c>
      <c r="E424" s="12" t="n">
        <f aca="false">D424*$J$5</f>
        <v>21.4736842105263</v>
      </c>
      <c r="F424" s="12" t="n">
        <f aca="false">E424-C424</f>
        <v>8.47368421052632</v>
      </c>
      <c r="G424" s="21" t="n">
        <f aca="false">IF(AND(C424=0,E424=0),0,IF(C424=0,"New",(E424-C424)/C424))</f>
        <v>0.651821862348178</v>
      </c>
      <c r="H424" s="12" t="n">
        <f aca="false">SUMIFS('בתי מרקחת Raw'!$E$6:$E$1616,'בתי מרקחת Raw'!$F$6:$F$1616,$A424,'בתי מרקחת Raw'!$C$6:$C$1616,2025)</f>
        <v>1736.54</v>
      </c>
      <c r="I424" s="12" t="n">
        <f aca="false">SUMIFS('בתי מרקחת Raw'!$E$6:$E$1616,'בתי מרקחת Raw'!$F$6:$F$1616,$A424,'בתי מרקחת Raw'!$C$6:$C$1616,2026)</f>
        <v>2342.84</v>
      </c>
      <c r="J424" s="12" t="n">
        <f aca="false">I424*$J$5</f>
        <v>2959.37684210526</v>
      </c>
    </row>
    <row r="425" customFormat="false" ht="15" hidden="false" customHeight="true" outlineLevel="0" collapsed="false">
      <c r="A425" s="12" t="n">
        <v>4413442</v>
      </c>
      <c r="B425" s="12" t="str">
        <f aca="false">IFERROR(INDEX('בתי מרקחת Raw'!$B:$B,MATCH($A425,'בתי מרקחת Raw'!$F:$F,0)),"")</f>
        <v>SC422 XXLמגן ברך</v>
      </c>
      <c r="C425" s="12" t="n">
        <f aca="false">SUMIFS('בתי מרקחת Raw'!$D$6:$D$1616,'בתי מרקחת Raw'!$F$6:$F$1616,$A425,'בתי מרקחת Raw'!$C$6:$C$1616,2025)</f>
        <v>2</v>
      </c>
      <c r="D425" s="12" t="n">
        <f aca="false">SUMIFS('בתי מרקחת Raw'!$D$6:$D$1616,'בתי מרקחת Raw'!$F$6:$F$1616,$A425,'בתי מרקחת Raw'!$C$6:$C$1616,2026)</f>
        <v>7</v>
      </c>
      <c r="E425" s="12" t="n">
        <f aca="false">D425*$J$5</f>
        <v>8.84210526315789</v>
      </c>
      <c r="F425" s="12" t="n">
        <f aca="false">E425-C425</f>
        <v>6.84210526315789</v>
      </c>
      <c r="G425" s="21" t="n">
        <f aca="false">IF(AND(C425=0,E425=0),0,IF(C425=0,"New",(E425-C425)/C425))</f>
        <v>3.42105263157895</v>
      </c>
      <c r="H425" s="12" t="n">
        <f aca="false">SUMIFS('בתי מרקחת Raw'!$E$6:$E$1616,'בתי מרקחת Raw'!$F$6:$F$1616,$A425,'בתי מרקחת Raw'!$C$6:$C$1616,2025)</f>
        <v>249.75</v>
      </c>
      <c r="I425" s="12" t="n">
        <f aca="false">SUMIFS('בתי מרקחת Raw'!$E$6:$E$1616,'בתי מרקחת Raw'!$F$6:$F$1616,$A425,'בתי מרקחת Raw'!$C$6:$C$1616,2026)</f>
        <v>984.04</v>
      </c>
      <c r="J425" s="12" t="n">
        <f aca="false">I425*$J$5</f>
        <v>1242.99789473684</v>
      </c>
    </row>
    <row r="426" customFormat="false" ht="15" hidden="false" customHeight="true" outlineLevel="0" collapsed="false">
      <c r="A426" s="12" t="n">
        <v>4413444</v>
      </c>
      <c r="B426" s="12" t="str">
        <f aca="false">IFERROR(INDEX('בתי מרקחת Raw'!$B:$B,MATCH($A426,'בתי מרקחת Raw'!$F:$F,0)),"")</f>
        <v>302SP M מדרס ג'ל ספורט לגבר</v>
      </c>
      <c r="C426" s="12" t="n">
        <f aca="false">SUMIFS('בתי מרקחת Raw'!$D$6:$D$1616,'בתי מרקחת Raw'!$F$6:$F$1616,$A426,'בתי מרקחת Raw'!$C$6:$C$1616,2025)</f>
        <v>-2</v>
      </c>
      <c r="D426" s="12" t="n">
        <f aca="false">SUMIFS('בתי מרקחת Raw'!$D$6:$D$1616,'בתי מרקחת Raw'!$F$6:$F$1616,$A426,'בתי מרקחת Raw'!$C$6:$C$1616,2026)</f>
        <v>0</v>
      </c>
      <c r="E426" s="12" t="n">
        <f aca="false">D426*$J$5</f>
        <v>0</v>
      </c>
      <c r="F426" s="12" t="n">
        <f aca="false">E426-C426</f>
        <v>2</v>
      </c>
      <c r="G426" s="21" t="n">
        <f aca="false">IF(AND(C426=0,E426=0),0,IF(C426=0,"New",(E426-C426)/C426))</f>
        <v>-1</v>
      </c>
      <c r="H426" s="12" t="n">
        <f aca="false">SUMIFS('בתי מרקחת Raw'!$E$6:$E$1616,'בתי מרקחת Raw'!$F$6:$F$1616,$A426,'בתי מרקחת Raw'!$C$6:$C$1616,2025)</f>
        <v>-144.5</v>
      </c>
      <c r="I426" s="12" t="n">
        <f aca="false">SUMIFS('בתי מרקחת Raw'!$E$6:$E$1616,'בתי מרקחת Raw'!$F$6:$F$1616,$A426,'בתי מרקחת Raw'!$C$6:$C$1616,2026)</f>
        <v>0</v>
      </c>
      <c r="J426" s="12" t="n">
        <f aca="false">I426*$J$5</f>
        <v>0</v>
      </c>
    </row>
    <row r="427" customFormat="false" ht="15" hidden="false" customHeight="true" outlineLevel="0" collapsed="false">
      <c r="A427" s="12" t="n">
        <v>4413445</v>
      </c>
      <c r="B427" s="12" t="str">
        <f aca="false">IFERROR(INDEX('בתי מרקחת Raw'!$B:$B,MATCH($A427,'בתי מרקחת Raw'!$F:$F,0)),"")</f>
        <v>302SP Wמדרס ג'ל ספורט לאישה</v>
      </c>
      <c r="C427" s="12" t="n">
        <f aca="false">SUMIFS('בתי מרקחת Raw'!$D$6:$D$1616,'בתי מרקחת Raw'!$F$6:$F$1616,$A427,'בתי מרקחת Raw'!$C$6:$C$1616,2025)</f>
        <v>1</v>
      </c>
      <c r="D427" s="12" t="n">
        <f aca="false">SUMIFS('בתי מרקחת Raw'!$D$6:$D$1616,'בתי מרקחת Raw'!$F$6:$F$1616,$A427,'בתי מרקחת Raw'!$C$6:$C$1616,2026)</f>
        <v>39</v>
      </c>
      <c r="E427" s="12" t="n">
        <f aca="false">D427*$J$5</f>
        <v>49.2631578947368</v>
      </c>
      <c r="F427" s="12" t="n">
        <f aca="false">E427-C427</f>
        <v>48.2631578947368</v>
      </c>
      <c r="G427" s="21" t="n">
        <f aca="false">IF(AND(C427=0,E427=0),0,IF(C427=0,"New",(E427-C427)/C427))</f>
        <v>48.2631578947368</v>
      </c>
      <c r="H427" s="12" t="n">
        <f aca="false">SUMIFS('בתי מרקחת Raw'!$E$6:$E$1616,'בתי מרקחת Raw'!$F$6:$F$1616,$A427,'בתי מרקחת Raw'!$C$6:$C$1616,2025)</f>
        <v>56</v>
      </c>
      <c r="I427" s="12" t="n">
        <f aca="false">SUMIFS('בתי מרקחת Raw'!$E$6:$E$1616,'בתי מרקחת Raw'!$F$6:$F$1616,$A427,'בתי מרקחת Raw'!$C$6:$C$1616,2026)</f>
        <v>2191.9</v>
      </c>
      <c r="J427" s="12" t="n">
        <f aca="false">I427*$J$5</f>
        <v>2768.71578947368</v>
      </c>
    </row>
    <row r="428" customFormat="false" ht="15" hidden="false" customHeight="true" outlineLevel="0" collapsed="false">
      <c r="A428" s="12" t="n">
        <v>4413449</v>
      </c>
      <c r="B428" s="12" t="str">
        <f aca="false">IFERROR(INDEX('בתי מרקחת Raw'!$B:$B,MATCH($A428,'בתי מרקחת Raw'!$F:$F,0)),"")</f>
        <v>LF378 S מדרס ג'ל לנעלי עקב</v>
      </c>
      <c r="C428" s="12" t="n">
        <f aca="false">SUMIFS('בתי מרקחת Raw'!$D$6:$D$1616,'בתי מרקחת Raw'!$F$6:$F$1616,$A428,'בתי מרקחת Raw'!$C$6:$C$1616,2025)</f>
        <v>2</v>
      </c>
      <c r="D428" s="12" t="n">
        <f aca="false">SUMIFS('בתי מרקחת Raw'!$D$6:$D$1616,'בתי מרקחת Raw'!$F$6:$F$1616,$A428,'בתי מרקחת Raw'!$C$6:$C$1616,2026)</f>
        <v>4</v>
      </c>
      <c r="E428" s="12" t="n">
        <f aca="false">D428*$J$5</f>
        <v>5.05263157894737</v>
      </c>
      <c r="F428" s="12" t="n">
        <f aca="false">E428-C428</f>
        <v>3.05263157894737</v>
      </c>
      <c r="G428" s="21" t="n">
        <f aca="false">IF(AND(C428=0,E428=0),0,IF(C428=0,"New",(E428-C428)/C428))</f>
        <v>1.52631578947368</v>
      </c>
      <c r="H428" s="12" t="n">
        <f aca="false">SUMIFS('בתי מרקחת Raw'!$E$6:$E$1616,'בתי מרקחת Raw'!$F$6:$F$1616,$A428,'בתי מרקחת Raw'!$C$6:$C$1616,2025)</f>
        <v>147.09</v>
      </c>
      <c r="I428" s="12" t="n">
        <f aca="false">SUMIFS('בתי מרקחת Raw'!$E$6:$E$1616,'בתי מרקחת Raw'!$F$6:$F$1616,$A428,'בתי מרקחת Raw'!$C$6:$C$1616,2026)</f>
        <v>294.2</v>
      </c>
      <c r="J428" s="12" t="n">
        <f aca="false">I428*$J$5</f>
        <v>371.621052631579</v>
      </c>
    </row>
    <row r="429" customFormat="false" ht="15" hidden="false" customHeight="true" outlineLevel="0" collapsed="false">
      <c r="A429" s="12" t="n">
        <v>4413450</v>
      </c>
      <c r="B429" s="12" t="str">
        <f aca="false">IFERROR(INDEX('בתי מרקחת Raw'!$B:$B,MATCH($A429,'בתי מרקחת Raw'!$F:$F,0)),"")</f>
        <v>LF378 M מדרס ג'ל לנעלי עקב</v>
      </c>
      <c r="C429" s="12" t="n">
        <f aca="false">SUMIFS('בתי מרקחת Raw'!$D$6:$D$1616,'בתי מרקחת Raw'!$F$6:$F$1616,$A429,'בתי מרקחת Raw'!$C$6:$C$1616,2025)</f>
        <v>0</v>
      </c>
      <c r="D429" s="12" t="n">
        <f aca="false">SUMIFS('בתי מרקחת Raw'!$D$6:$D$1616,'בתי מרקחת Raw'!$F$6:$F$1616,$A429,'בתי מרקחת Raw'!$C$6:$C$1616,2026)</f>
        <v>5</v>
      </c>
      <c r="E429" s="12" t="n">
        <f aca="false">D429*$J$5</f>
        <v>6.31578947368421</v>
      </c>
      <c r="F429" s="12" t="n">
        <f aca="false">E429-C429</f>
        <v>6.31578947368421</v>
      </c>
      <c r="G429" s="21" t="str">
        <f aca="false">IF(AND(C429=0,E429=0),0,IF(C429=0,"New",(E429-C429)/C429))</f>
        <v>New</v>
      </c>
      <c r="H429" s="12" t="n">
        <f aca="false">SUMIFS('בתי מרקחת Raw'!$E$6:$E$1616,'בתי מרקחת Raw'!$F$6:$F$1616,$A429,'בתי מרקחת Raw'!$C$6:$C$1616,2025)</f>
        <v>0</v>
      </c>
      <c r="I429" s="12" t="n">
        <f aca="false">SUMIFS('בתי מרקחת Raw'!$E$6:$E$1616,'בתי מרקחת Raw'!$F$6:$F$1616,$A429,'בתי מרקחת Raw'!$C$6:$C$1616,2026)</f>
        <v>367.7</v>
      </c>
      <c r="J429" s="12" t="n">
        <f aca="false">I429*$J$5</f>
        <v>464.463157894737</v>
      </c>
    </row>
    <row r="430" customFormat="false" ht="15" hidden="false" customHeight="true" outlineLevel="0" collapsed="false">
      <c r="A430" s="12" t="n">
        <v>4413451</v>
      </c>
      <c r="B430" s="12" t="str">
        <f aca="false">IFERROR(INDEX('בתי מרקחת Raw'!$B:$B,MATCH($A430,'בתי מרקחת Raw'!$F:$F,0)),"")</f>
        <v>LF378 L מדרס ג'ל לנעלי עקב</v>
      </c>
      <c r="C430" s="12" t="n">
        <f aca="false">SUMIFS('בתי מרקחת Raw'!$D$6:$D$1616,'בתי מרקחת Raw'!$F$6:$F$1616,$A430,'בתי מרקחת Raw'!$C$6:$C$1616,2025)</f>
        <v>0</v>
      </c>
      <c r="D430" s="12" t="n">
        <f aca="false">SUMIFS('בתי מרקחת Raw'!$D$6:$D$1616,'בתי מרקחת Raw'!$F$6:$F$1616,$A430,'בתי מרקחת Raw'!$C$6:$C$1616,2026)</f>
        <v>3</v>
      </c>
      <c r="E430" s="12" t="n">
        <f aca="false">D430*$J$5</f>
        <v>3.78947368421053</v>
      </c>
      <c r="F430" s="12" t="n">
        <f aca="false">E430-C430</f>
        <v>3.78947368421053</v>
      </c>
      <c r="G430" s="21" t="str">
        <f aca="false">IF(AND(C430=0,E430=0),0,IF(C430=0,"New",(E430-C430)/C430))</f>
        <v>New</v>
      </c>
      <c r="H430" s="12" t="n">
        <f aca="false">SUMIFS('בתי מרקחת Raw'!$E$6:$E$1616,'בתי מרקחת Raw'!$F$6:$F$1616,$A430,'בתי מרקחת Raw'!$C$6:$C$1616,2025)</f>
        <v>0</v>
      </c>
      <c r="I430" s="12" t="n">
        <f aca="false">SUMIFS('בתי מרקחת Raw'!$E$6:$E$1616,'בתי מרקחת Raw'!$F$6:$F$1616,$A430,'בתי מרקחת Raw'!$C$6:$C$1616,2026)</f>
        <v>215.7</v>
      </c>
      <c r="J430" s="12" t="n">
        <f aca="false">I430*$J$5</f>
        <v>272.463157894737</v>
      </c>
    </row>
    <row r="431" customFormat="false" ht="15" hidden="false" customHeight="true" outlineLevel="0" collapsed="false">
      <c r="A431" s="12" t="n">
        <v>4413452</v>
      </c>
      <c r="B431" s="12" t="str">
        <f aca="false">IFERROR(INDEX('בתי מרקחת Raw'!$B:$B,MATCH($A431,'בתי מרקחת Raw'!$F:$F,0)),"")</f>
        <v>386  מיישר בוניון-האלוקס ולגוס</v>
      </c>
      <c r="C431" s="12" t="n">
        <f aca="false">SUMIFS('בתי מרקחת Raw'!$D$6:$D$1616,'בתי מרקחת Raw'!$F$6:$F$1616,$A431,'בתי מרקחת Raw'!$C$6:$C$1616,2025)</f>
        <v>63</v>
      </c>
      <c r="D431" s="12" t="n">
        <f aca="false">SUMIFS('בתי מרקחת Raw'!$D$6:$D$1616,'בתי מרקחת Raw'!$F$6:$F$1616,$A431,'בתי מרקחת Raw'!$C$6:$C$1616,2026)</f>
        <v>59</v>
      </c>
      <c r="E431" s="12" t="n">
        <f aca="false">D431*$J$5</f>
        <v>74.5263157894737</v>
      </c>
      <c r="F431" s="12" t="n">
        <f aca="false">E431-C431</f>
        <v>11.5263157894737</v>
      </c>
      <c r="G431" s="21" t="n">
        <f aca="false">IF(AND(C431=0,E431=0),0,IF(C431=0,"New",(E431-C431)/C431))</f>
        <v>0.182957393483709</v>
      </c>
      <c r="H431" s="12" t="n">
        <f aca="false">SUMIFS('בתי מרקחת Raw'!$E$6:$E$1616,'בתי מרקחת Raw'!$F$6:$F$1616,$A431,'בתי מרקחת Raw'!$C$6:$C$1616,2025)</f>
        <v>2915.1</v>
      </c>
      <c r="I431" s="12" t="n">
        <f aca="false">SUMIFS('בתי מרקחת Raw'!$E$6:$E$1616,'בתי מרקחת Raw'!$F$6:$F$1616,$A431,'בתי מרקחת Raw'!$C$6:$C$1616,2026)</f>
        <v>2695.7</v>
      </c>
      <c r="J431" s="12" t="n">
        <f aca="false">I431*$J$5</f>
        <v>3405.09473684211</v>
      </c>
    </row>
    <row r="432" customFormat="false" ht="15" hidden="false" customHeight="true" outlineLevel="0" collapsed="false">
      <c r="A432" s="12" t="n">
        <v>4413453</v>
      </c>
      <c r="B432" s="12" t="str">
        <f aca="false">IFERROR(INDEX('בתי מרקחת Raw'!$B:$B,MATCH($A432,'בתי מרקחת Raw'!$F:$F,0)),"")</f>
        <v>AC75 מישר כתפיים אקטיב</v>
      </c>
      <c r="C432" s="12" t="n">
        <f aca="false">SUMIFS('בתי מרקחת Raw'!$D$6:$D$1616,'בתי מרקחת Raw'!$F$6:$F$1616,$A432,'בתי מרקחת Raw'!$C$6:$C$1616,2025)</f>
        <v>965</v>
      </c>
      <c r="D432" s="12" t="n">
        <f aca="false">SUMIFS('בתי מרקחת Raw'!$D$6:$D$1616,'בתי מרקחת Raw'!$F$6:$F$1616,$A432,'בתי מרקחת Raw'!$C$6:$C$1616,2026)</f>
        <v>754</v>
      </c>
      <c r="E432" s="12" t="n">
        <f aca="false">D432*$J$5</f>
        <v>952.421052631579</v>
      </c>
      <c r="F432" s="12" t="n">
        <f aca="false">E432-C432</f>
        <v>-12.5789473684212</v>
      </c>
      <c r="G432" s="21" t="n">
        <f aca="false">IF(AND(C432=0,E432=0),0,IF(C432=0,"New",(E432-C432)/C432))</f>
        <v>-0.0130351786201255</v>
      </c>
      <c r="H432" s="12" t="n">
        <f aca="false">SUMIFS('בתי מרקחת Raw'!$E$6:$E$1616,'בתי מרקחת Raw'!$F$6:$F$1616,$A432,'בתי מרקחת Raw'!$C$6:$C$1616,2025)</f>
        <v>67127.36</v>
      </c>
      <c r="I432" s="12" t="n">
        <f aca="false">SUMIFS('בתי מרקחת Raw'!$E$6:$E$1616,'בתי מרקחת Raw'!$F$6:$F$1616,$A432,'בתי מרקחת Raw'!$C$6:$C$1616,2026)</f>
        <v>59070.82</v>
      </c>
      <c r="J432" s="12" t="n">
        <f aca="false">I432*$J$5</f>
        <v>74615.772631579</v>
      </c>
    </row>
    <row r="433" customFormat="false" ht="15" hidden="false" customHeight="true" outlineLevel="0" collapsed="false">
      <c r="A433" s="12" t="n">
        <v>4413455</v>
      </c>
      <c r="B433" s="12" t="str">
        <f aca="false">IFERROR(INDEX('בתי מרקחת Raw'!$B:$B,MATCH($A433,'בתי מרקחת Raw'!$F:$F,0)),"")</f>
        <v>85K מתלה ליד לילדים</v>
      </c>
      <c r="C433" s="12" t="n">
        <f aca="false">SUMIFS('בתי מרקחת Raw'!$D$6:$D$1616,'בתי מרקחת Raw'!$F$6:$F$1616,$A433,'בתי מרקחת Raw'!$C$6:$C$1616,2025)</f>
        <v>165</v>
      </c>
      <c r="D433" s="12" t="n">
        <f aca="false">SUMIFS('בתי מרקחת Raw'!$D$6:$D$1616,'בתי מרקחת Raw'!$F$6:$F$1616,$A433,'בתי מרקחת Raw'!$C$6:$C$1616,2026)</f>
        <v>124</v>
      </c>
      <c r="E433" s="12" t="n">
        <f aca="false">D433*$J$5</f>
        <v>156.631578947368</v>
      </c>
      <c r="F433" s="12" t="n">
        <f aca="false">E433-C433</f>
        <v>-8.36842105263159</v>
      </c>
      <c r="G433" s="21" t="n">
        <f aca="false">IF(AND(C433=0,E433=0),0,IF(C433=0,"New",(E433-C433)/C433))</f>
        <v>-0.0507177033492824</v>
      </c>
      <c r="H433" s="12" t="n">
        <f aca="false">SUMIFS('בתי מרקחת Raw'!$E$6:$E$1616,'בתי מרקחת Raw'!$F$6:$F$1616,$A433,'בתי מרקחת Raw'!$C$6:$C$1616,2025)</f>
        <v>8343.44</v>
      </c>
      <c r="I433" s="12" t="n">
        <f aca="false">SUMIFS('בתי מרקחת Raw'!$E$6:$E$1616,'בתי מרקחת Raw'!$F$6:$F$1616,$A433,'בתי מרקחת Raw'!$C$6:$C$1616,2026)</f>
        <v>6282.04</v>
      </c>
      <c r="J433" s="12" t="n">
        <f aca="false">I433*$J$5</f>
        <v>7935.20842105263</v>
      </c>
    </row>
    <row r="434" customFormat="false" ht="15" hidden="false" customHeight="true" outlineLevel="0" collapsed="false">
      <c r="A434" s="12" t="n">
        <v>4413456</v>
      </c>
      <c r="B434" s="12" t="str">
        <f aca="false">IFERROR(INDEX('בתי מרקחת Raw'!$B:$B,MATCH($A434,'בתי מרקחת Raw'!$F:$F,0)),"")</f>
        <v>AC75 XXL  מיישר כתפיים אקטיב</v>
      </c>
      <c r="C434" s="12" t="n">
        <f aca="false">SUMIFS('בתי מרקחת Raw'!$D$6:$D$1616,'בתי מרקחת Raw'!$F$6:$F$1616,$A434,'בתי מרקחת Raw'!$C$6:$C$1616,2025)</f>
        <v>107</v>
      </c>
      <c r="D434" s="12" t="n">
        <f aca="false">SUMIFS('בתי מרקחת Raw'!$D$6:$D$1616,'בתי מרקחת Raw'!$F$6:$F$1616,$A434,'בתי מרקחת Raw'!$C$6:$C$1616,2026)</f>
        <v>53</v>
      </c>
      <c r="E434" s="12" t="n">
        <f aca="false">D434*$J$5</f>
        <v>66.9473684210526</v>
      </c>
      <c r="F434" s="12" t="n">
        <f aca="false">E434-C434</f>
        <v>-40.0526315789474</v>
      </c>
      <c r="G434" s="21" t="n">
        <f aca="false">IF(AND(C434=0,E434=0),0,IF(C434=0,"New",(E434-C434)/C434))</f>
        <v>-0.374323659616331</v>
      </c>
      <c r="H434" s="12" t="n">
        <f aca="false">SUMIFS('בתי מרקחת Raw'!$E$6:$E$1616,'בתי מרקחת Raw'!$F$6:$F$1616,$A434,'בתי מרקחת Raw'!$C$6:$C$1616,2025)</f>
        <v>7264.11</v>
      </c>
      <c r="I434" s="12" t="n">
        <f aca="false">SUMIFS('בתי מרקחת Raw'!$E$6:$E$1616,'בתי מרקחת Raw'!$F$6:$F$1616,$A434,'בתי מרקחת Raw'!$C$6:$C$1616,2026)</f>
        <v>4178.6</v>
      </c>
      <c r="J434" s="12" t="n">
        <f aca="false">I434*$J$5</f>
        <v>5278.23157894737</v>
      </c>
    </row>
    <row r="435" customFormat="false" ht="15" hidden="false" customHeight="true" outlineLevel="0" collapsed="false">
      <c r="A435" s="12" t="n">
        <v>4413464</v>
      </c>
      <c r="B435" s="12" t="str">
        <f aca="false">IFERROR(INDEX('בתי מרקחת Raw'!$B:$B,MATCH($A435,'בתי מרקחת Raw'!$F:$F,0)),"")</f>
        <v>605XL מסכה אלה</v>
      </c>
      <c r="C435" s="12" t="n">
        <f aca="false">SUMIFS('בתי מרקחת Raw'!$D$6:$D$1616,'בתי מרקחת Raw'!$F$6:$F$1616,$A435,'בתי מרקחת Raw'!$C$6:$C$1616,2025)</f>
        <v>-4</v>
      </c>
      <c r="D435" s="12" t="n">
        <f aca="false">SUMIFS('בתי מרקחת Raw'!$D$6:$D$1616,'בתי מרקחת Raw'!$F$6:$F$1616,$A435,'בתי מרקחת Raw'!$C$6:$C$1616,2026)</f>
        <v>0</v>
      </c>
      <c r="E435" s="12" t="n">
        <f aca="false">D435*$J$5</f>
        <v>0</v>
      </c>
      <c r="F435" s="12" t="n">
        <f aca="false">E435-C435</f>
        <v>4</v>
      </c>
      <c r="G435" s="21" t="n">
        <f aca="false">IF(AND(C435=0,E435=0),0,IF(C435=0,"New",(E435-C435)/C435))</f>
        <v>-1</v>
      </c>
      <c r="H435" s="12" t="n">
        <f aca="false">SUMIFS('בתי מרקחת Raw'!$E$6:$E$1616,'בתי מרקחת Raw'!$F$6:$F$1616,$A435,'בתי מרקחת Raw'!$C$6:$C$1616,2025)</f>
        <v>-32.5</v>
      </c>
      <c r="I435" s="12" t="n">
        <f aca="false">SUMIFS('בתי מרקחת Raw'!$E$6:$E$1616,'בתי מרקחת Raw'!$F$6:$F$1616,$A435,'בתי מרקחת Raw'!$C$6:$C$1616,2026)</f>
        <v>0</v>
      </c>
      <c r="J435" s="12" t="n">
        <f aca="false">I435*$J$5</f>
        <v>0</v>
      </c>
    </row>
    <row r="436" customFormat="false" ht="15" hidden="false" customHeight="true" outlineLevel="0" collapsed="false">
      <c r="A436" s="12" t="n">
        <v>4413482</v>
      </c>
      <c r="B436" s="12" t="str">
        <f aca="false">IFERROR(INDEX('בתי מרקחת Raw'!$B:$B,MATCH($A436,'בתי מרקחת Raw'!$F:$F,0)),"")</f>
        <v>310Lמדרס 3/4לכאבי דורבן וספורט</v>
      </c>
      <c r="C436" s="12" t="n">
        <f aca="false">SUMIFS('בתי מרקחת Raw'!$D$6:$D$1616,'בתי מרקחת Raw'!$F$6:$F$1616,$A436,'בתי מרקחת Raw'!$C$6:$C$1616,2025)</f>
        <v>-1</v>
      </c>
      <c r="D436" s="12" t="n">
        <f aca="false">SUMIFS('בתי מרקחת Raw'!$D$6:$D$1616,'בתי מרקחת Raw'!$F$6:$F$1616,$A436,'בתי מרקחת Raw'!$C$6:$C$1616,2026)</f>
        <v>0</v>
      </c>
      <c r="E436" s="12" t="n">
        <f aca="false">D436*$J$5</f>
        <v>0</v>
      </c>
      <c r="F436" s="12" t="n">
        <f aca="false">E436-C436</f>
        <v>1</v>
      </c>
      <c r="G436" s="21" t="n">
        <f aca="false">IF(AND(C436=0,E436=0),0,IF(C436=0,"New",(E436-C436)/C436))</f>
        <v>-1</v>
      </c>
      <c r="H436" s="12" t="n">
        <f aca="false">SUMIFS('בתי מרקחת Raw'!$E$6:$E$1616,'בתי מרקחת Raw'!$F$6:$F$1616,$A436,'בתי מרקחת Raw'!$C$6:$C$1616,2025)</f>
        <v>-75.6</v>
      </c>
      <c r="I436" s="12" t="n">
        <f aca="false">SUMIFS('בתי מרקחת Raw'!$E$6:$E$1616,'בתי מרקחת Raw'!$F$6:$F$1616,$A436,'בתי מרקחת Raw'!$C$6:$C$1616,2026)</f>
        <v>0</v>
      </c>
      <c r="J436" s="12" t="n">
        <f aca="false">I436*$J$5</f>
        <v>0</v>
      </c>
    </row>
    <row r="437" customFormat="false" ht="15" hidden="false" customHeight="true" outlineLevel="0" collapsed="false">
      <c r="A437" s="12" t="n">
        <v>4413490</v>
      </c>
      <c r="B437" s="12" t="str">
        <f aca="false">IFERROR(INDEX('בתי מרקחת Raw'!$B:$B,MATCH($A437,'בתי מרקחת Raw'!$F:$F,0)),"")</f>
        <v>35B L מגן קרסול שחור</v>
      </c>
      <c r="C437" s="12" t="n">
        <f aca="false">SUMIFS('בתי מרקחת Raw'!$D$6:$D$1616,'בתי מרקחת Raw'!$F$6:$F$1616,$A437,'בתי מרקחת Raw'!$C$6:$C$1616,2025)</f>
        <v>293</v>
      </c>
      <c r="D437" s="12" t="n">
        <f aca="false">SUMIFS('בתי מרקחת Raw'!$D$6:$D$1616,'בתי מרקחת Raw'!$F$6:$F$1616,$A437,'בתי מרקחת Raw'!$C$6:$C$1616,2026)</f>
        <v>183</v>
      </c>
      <c r="E437" s="12" t="n">
        <f aca="false">D437*$J$5</f>
        <v>231.157894736842</v>
      </c>
      <c r="F437" s="12" t="n">
        <f aca="false">E437-C437</f>
        <v>-61.8421052631579</v>
      </c>
      <c r="G437" s="21" t="n">
        <f aca="false">IF(AND(C437=0,E437=0),0,IF(C437=0,"New",(E437-C437)/C437))</f>
        <v>-0.211065205676307</v>
      </c>
      <c r="H437" s="12" t="n">
        <f aca="false">SUMIFS('בתי מרקחת Raw'!$E$6:$E$1616,'בתי מרקחת Raw'!$F$6:$F$1616,$A437,'בתי מרקחת Raw'!$C$6:$C$1616,2025)</f>
        <v>8399.7</v>
      </c>
      <c r="I437" s="12" t="n">
        <f aca="false">SUMIFS('בתי מרקחת Raw'!$E$6:$E$1616,'בתי מרקחת Raw'!$F$6:$F$1616,$A437,'בתי מרקחת Raw'!$C$6:$C$1616,2026)</f>
        <v>5609.7</v>
      </c>
      <c r="J437" s="12" t="n">
        <f aca="false">I437*$J$5</f>
        <v>7085.93684210526</v>
      </c>
    </row>
    <row r="438" customFormat="false" ht="15" hidden="false" customHeight="true" outlineLevel="0" collapsed="false">
      <c r="A438" s="12" t="n">
        <v>4413491</v>
      </c>
      <c r="B438" s="12" t="str">
        <f aca="false">IFERROR(INDEX('בתי מרקחת Raw'!$B:$B,MATCH($A438,'בתי מרקחת Raw'!$F:$F,0)),"")</f>
        <v>35B XL מגן קרסול שחור</v>
      </c>
      <c r="C438" s="12" t="n">
        <f aca="false">SUMIFS('בתי מרקחת Raw'!$D$6:$D$1616,'בתי מרקחת Raw'!$F$6:$F$1616,$A438,'בתי מרקחת Raw'!$C$6:$C$1616,2025)</f>
        <v>185</v>
      </c>
      <c r="D438" s="12" t="n">
        <f aca="false">SUMIFS('בתי מרקחת Raw'!$D$6:$D$1616,'בתי מרקחת Raw'!$F$6:$F$1616,$A438,'בתי מרקחת Raw'!$C$6:$C$1616,2026)</f>
        <v>99</v>
      </c>
      <c r="E438" s="12" t="n">
        <f aca="false">D438*$J$5</f>
        <v>125.052631578947</v>
      </c>
      <c r="F438" s="12" t="n">
        <f aca="false">E438-C438</f>
        <v>-59.9473684210526</v>
      </c>
      <c r="G438" s="21" t="n">
        <f aca="false">IF(AND(C438=0,E438=0),0,IF(C438=0,"New",(E438-C438)/C438))</f>
        <v>-0.324039829302987</v>
      </c>
      <c r="H438" s="12" t="n">
        <f aca="false">SUMIFS('בתי מרקחת Raw'!$E$6:$E$1616,'בתי מרקחת Raw'!$F$6:$F$1616,$A438,'בתי מרקחת Raw'!$C$6:$C$1616,2025)</f>
        <v>5554.1</v>
      </c>
      <c r="I438" s="12" t="n">
        <f aca="false">SUMIFS('בתי מרקחת Raw'!$E$6:$E$1616,'בתי מרקחת Raw'!$F$6:$F$1616,$A438,'בתי מרקחת Raw'!$C$6:$C$1616,2026)</f>
        <v>3019</v>
      </c>
      <c r="J438" s="12" t="n">
        <f aca="false">I438*$J$5</f>
        <v>3813.47368421053</v>
      </c>
    </row>
    <row r="439" customFormat="false" ht="15" hidden="false" customHeight="true" outlineLevel="0" collapsed="false">
      <c r="A439" s="12" t="n">
        <v>4413492</v>
      </c>
      <c r="B439" s="12" t="str">
        <f aca="false">IFERROR(INDEX('בתי מרקחת Raw'!$B:$B,MATCH($A439,'בתי מרקחת Raw'!$F:$F,0)),"")</f>
        <v>35B M מגן קרסול שחור</v>
      </c>
      <c r="C439" s="12" t="n">
        <f aca="false">SUMIFS('בתי מרקחת Raw'!$D$6:$D$1616,'בתי מרקחת Raw'!$F$6:$F$1616,$A439,'בתי מרקחת Raw'!$C$6:$C$1616,2025)</f>
        <v>265</v>
      </c>
      <c r="D439" s="12" t="n">
        <f aca="false">SUMIFS('בתי מרקחת Raw'!$D$6:$D$1616,'בתי מרקחת Raw'!$F$6:$F$1616,$A439,'בתי מרקחת Raw'!$C$6:$C$1616,2026)</f>
        <v>146</v>
      </c>
      <c r="E439" s="12" t="n">
        <f aca="false">D439*$J$5</f>
        <v>184.421052631579</v>
      </c>
      <c r="F439" s="12" t="n">
        <f aca="false">E439-C439</f>
        <v>-80.5789473684211</v>
      </c>
      <c r="G439" s="21" t="n">
        <f aca="false">IF(AND(C439=0,E439=0),0,IF(C439=0,"New",(E439-C439)/C439))</f>
        <v>-0.304071499503476</v>
      </c>
      <c r="H439" s="12" t="n">
        <f aca="false">SUMIFS('בתי מרקחת Raw'!$E$6:$E$1616,'בתי מרקחת Raw'!$F$6:$F$1616,$A439,'בתי מרקחת Raw'!$C$6:$C$1616,2025)</f>
        <v>7812.9</v>
      </c>
      <c r="I439" s="12" t="n">
        <f aca="false">SUMIFS('בתי מרקחת Raw'!$E$6:$E$1616,'בתי מרקחת Raw'!$F$6:$F$1616,$A439,'בתי מרקחת Raw'!$C$6:$C$1616,2026)</f>
        <v>4485.3</v>
      </c>
      <c r="J439" s="12" t="n">
        <f aca="false">I439*$J$5</f>
        <v>5665.64210526316</v>
      </c>
    </row>
    <row r="440" customFormat="false" ht="15" hidden="false" customHeight="true" outlineLevel="0" collapsed="false">
      <c r="A440" s="12" t="n">
        <v>4413493</v>
      </c>
      <c r="B440" s="12" t="str">
        <f aca="false">IFERROR(INDEX('בתי מרקחת Raw'!$B:$B,MATCH($A440,'בתי מרקחת Raw'!$F:$F,0)),"")</f>
        <v>35B S מגן קרסול שחור</v>
      </c>
      <c r="C440" s="12" t="n">
        <f aca="false">SUMIFS('בתי מרקחת Raw'!$D$6:$D$1616,'בתי מרקחת Raw'!$F$6:$F$1616,$A440,'בתי מרקחת Raw'!$C$6:$C$1616,2025)</f>
        <v>136</v>
      </c>
      <c r="D440" s="12" t="n">
        <f aca="false">SUMIFS('בתי מרקחת Raw'!$D$6:$D$1616,'בתי מרקחת Raw'!$F$6:$F$1616,$A440,'בתי מרקחת Raw'!$C$6:$C$1616,2026)</f>
        <v>77</v>
      </c>
      <c r="E440" s="12" t="n">
        <f aca="false">D440*$J$5</f>
        <v>97.2631578947368</v>
      </c>
      <c r="F440" s="12" t="n">
        <f aca="false">E440-C440</f>
        <v>-38.7368421052632</v>
      </c>
      <c r="G440" s="21" t="n">
        <f aca="false">IF(AND(C440=0,E440=0),0,IF(C440=0,"New",(E440-C440)/C440))</f>
        <v>-0.284829721362229</v>
      </c>
      <c r="H440" s="12" t="n">
        <f aca="false">SUMIFS('בתי מרקחת Raw'!$E$6:$E$1616,'בתי מרקחת Raw'!$F$6:$F$1616,$A440,'בתי מרקחת Raw'!$C$6:$C$1616,2025)</f>
        <v>4138.2</v>
      </c>
      <c r="I440" s="12" t="n">
        <f aca="false">SUMIFS('בתי מרקחת Raw'!$E$6:$E$1616,'בתי מרקחת Raw'!$F$6:$F$1616,$A440,'בתי מרקחת Raw'!$C$6:$C$1616,2026)</f>
        <v>2360</v>
      </c>
      <c r="J440" s="12" t="n">
        <f aca="false">I440*$J$5</f>
        <v>2981.05263157895</v>
      </c>
    </row>
    <row r="441" customFormat="false" ht="15" hidden="false" customHeight="true" outlineLevel="0" collapsed="false">
      <c r="A441" s="12" t="n">
        <v>4413494</v>
      </c>
      <c r="B441" s="12" t="str">
        <f aca="false">IFERROR(INDEX('בתי מרקחת Raw'!$B:$B,MATCH($A441,'בתי מרקחת Raw'!$F:$F,0)),"")</f>
        <v>35B XXL מגן קרסול שחור</v>
      </c>
      <c r="C441" s="12" t="n">
        <f aca="false">SUMIFS('בתי מרקחת Raw'!$D$6:$D$1616,'בתי מרקחת Raw'!$F$6:$F$1616,$A441,'בתי מרקחת Raw'!$C$6:$C$1616,2025)</f>
        <v>47</v>
      </c>
      <c r="D441" s="12" t="n">
        <f aca="false">SUMIFS('בתי מרקחת Raw'!$D$6:$D$1616,'בתי מרקחת Raw'!$F$6:$F$1616,$A441,'בתי מרקחת Raw'!$C$6:$C$1616,2026)</f>
        <v>33</v>
      </c>
      <c r="E441" s="12" t="n">
        <f aca="false">D441*$J$5</f>
        <v>41.6842105263158</v>
      </c>
      <c r="F441" s="12" t="n">
        <f aca="false">E441-C441</f>
        <v>-5.31578947368421</v>
      </c>
      <c r="G441" s="21" t="n">
        <f aca="false">IF(AND(C441=0,E441=0),0,IF(C441=0,"New",(E441-C441)/C441))</f>
        <v>-0.113101903695409</v>
      </c>
      <c r="H441" s="12" t="n">
        <f aca="false">SUMIFS('בתי מרקחת Raw'!$E$6:$E$1616,'בתי מרקחת Raw'!$F$6:$F$1616,$A441,'בתי מרקחת Raw'!$C$6:$C$1616,2025)</f>
        <v>1423</v>
      </c>
      <c r="I441" s="12" t="n">
        <f aca="false">SUMIFS('בתי מרקחת Raw'!$E$6:$E$1616,'בתי מרקחת Raw'!$F$6:$F$1616,$A441,'בתי מרקחת Raw'!$C$6:$C$1616,2026)</f>
        <v>1009.1</v>
      </c>
      <c r="J441" s="12" t="n">
        <f aca="false">I441*$J$5</f>
        <v>1274.65263157895</v>
      </c>
    </row>
    <row r="442" customFormat="false" ht="15" hidden="false" customHeight="true" outlineLevel="0" collapsed="false">
      <c r="A442" s="12" t="n">
        <v>4413495</v>
      </c>
      <c r="B442" s="12" t="str">
        <f aca="false">IFERROR(INDEX('בתי מרקחת Raw'!$B:$B,MATCH($A442,'בתי מרקחת Raw'!$F:$F,0)),"")</f>
        <v>45B L מגן ברך שחור</v>
      </c>
      <c r="C442" s="12" t="n">
        <f aca="false">SUMIFS('בתי מרקחת Raw'!$D$6:$D$1616,'בתי מרקחת Raw'!$F$6:$F$1616,$A442,'בתי מרקחת Raw'!$C$6:$C$1616,2025)</f>
        <v>388</v>
      </c>
      <c r="D442" s="12" t="n">
        <f aca="false">SUMIFS('בתי מרקחת Raw'!$D$6:$D$1616,'בתי מרקחת Raw'!$F$6:$F$1616,$A442,'בתי מרקחת Raw'!$C$6:$C$1616,2026)</f>
        <v>224</v>
      </c>
      <c r="E442" s="12" t="n">
        <f aca="false">D442*$J$5</f>
        <v>282.947368421053</v>
      </c>
      <c r="F442" s="12" t="n">
        <f aca="false">E442-C442</f>
        <v>-105.052631578947</v>
      </c>
      <c r="G442" s="21" t="n">
        <f aca="false">IF(AND(C442=0,E442=0),0,IF(C442=0,"New",(E442-C442)/C442))</f>
        <v>-0.27075420510038</v>
      </c>
      <c r="H442" s="12" t="n">
        <f aca="false">SUMIFS('בתי מרקחת Raw'!$E$6:$E$1616,'בתי מרקחת Raw'!$F$6:$F$1616,$A442,'בתי מרקחת Raw'!$C$6:$C$1616,2025)</f>
        <v>11355.1</v>
      </c>
      <c r="I442" s="12" t="n">
        <f aca="false">SUMIFS('בתי מרקחת Raw'!$E$6:$E$1616,'בתי מרקחת Raw'!$F$6:$F$1616,$A442,'בתי מרקחת Raw'!$C$6:$C$1616,2026)</f>
        <v>6835</v>
      </c>
      <c r="J442" s="12" t="n">
        <f aca="false">I442*$J$5</f>
        <v>8633.68421052632</v>
      </c>
    </row>
    <row r="443" customFormat="false" ht="15" hidden="false" customHeight="true" outlineLevel="0" collapsed="false">
      <c r="A443" s="12" t="n">
        <v>4413496</v>
      </c>
      <c r="B443" s="12" t="str">
        <f aca="false">IFERROR(INDEX('בתי מרקחת Raw'!$B:$B,MATCH($A443,'בתי מרקחת Raw'!$F:$F,0)),"")</f>
        <v>45B XL מגן ברך שחור</v>
      </c>
      <c r="C443" s="12" t="n">
        <f aca="false">SUMIFS('בתי מרקחת Raw'!$D$6:$D$1616,'בתי מרקחת Raw'!$F$6:$F$1616,$A443,'בתי מרקחת Raw'!$C$6:$C$1616,2025)</f>
        <v>281</v>
      </c>
      <c r="D443" s="12" t="n">
        <f aca="false">SUMIFS('בתי מרקחת Raw'!$D$6:$D$1616,'בתי מרקחת Raw'!$F$6:$F$1616,$A443,'בתי מרקחת Raw'!$C$6:$C$1616,2026)</f>
        <v>156</v>
      </c>
      <c r="E443" s="12" t="n">
        <f aca="false">D443*$J$5</f>
        <v>197.052631578947</v>
      </c>
      <c r="F443" s="12" t="n">
        <f aca="false">E443-C443</f>
        <v>-83.9473684210526</v>
      </c>
      <c r="G443" s="21" t="n">
        <f aca="false">IF(AND(C443=0,E443=0),0,IF(C443=0,"New",(E443-C443)/C443))</f>
        <v>-0.298745083348942</v>
      </c>
      <c r="H443" s="12" t="n">
        <f aca="false">SUMIFS('בתי מרקחת Raw'!$E$6:$E$1616,'בתי מרקחת Raw'!$F$6:$F$1616,$A443,'בתי מרקחת Raw'!$C$6:$C$1616,2025)</f>
        <v>8133.8</v>
      </c>
      <c r="I443" s="12" t="n">
        <f aca="false">SUMIFS('בתי מרקחת Raw'!$E$6:$E$1616,'בתי מרקחת Raw'!$F$6:$F$1616,$A443,'בתי מרקחת Raw'!$C$6:$C$1616,2026)</f>
        <v>4687.1</v>
      </c>
      <c r="J443" s="12" t="n">
        <f aca="false">I443*$J$5</f>
        <v>5920.54736842105</v>
      </c>
    </row>
    <row r="444" customFormat="false" ht="15" hidden="false" customHeight="true" outlineLevel="0" collapsed="false">
      <c r="A444" s="12" t="n">
        <v>4413497</v>
      </c>
      <c r="B444" s="12" t="str">
        <f aca="false">IFERROR(INDEX('בתי מרקחת Raw'!$B:$B,MATCH($A444,'בתי מרקחת Raw'!$F:$F,0)),"")</f>
        <v>45B M מגן ברך שחור</v>
      </c>
      <c r="C444" s="12" t="n">
        <f aca="false">SUMIFS('בתי מרקחת Raw'!$D$6:$D$1616,'בתי מרקחת Raw'!$F$6:$F$1616,$A444,'בתי מרקחת Raw'!$C$6:$C$1616,2025)</f>
        <v>277</v>
      </c>
      <c r="D444" s="12" t="n">
        <f aca="false">SUMIFS('בתי מרקחת Raw'!$D$6:$D$1616,'בתי מרקחת Raw'!$F$6:$F$1616,$A444,'בתי מרקחת Raw'!$C$6:$C$1616,2026)</f>
        <v>172</v>
      </c>
      <c r="E444" s="12" t="n">
        <f aca="false">D444*$J$5</f>
        <v>217.263157894737</v>
      </c>
      <c r="F444" s="12" t="n">
        <f aca="false">E444-C444</f>
        <v>-59.7368421052632</v>
      </c>
      <c r="G444" s="21" t="n">
        <f aca="false">IF(AND(C444=0,E444=0),0,IF(C444=0,"New",(E444-C444)/C444))</f>
        <v>-0.215656469694091</v>
      </c>
      <c r="H444" s="12" t="n">
        <f aca="false">SUMIFS('בתי מרקחת Raw'!$E$6:$E$1616,'בתי מרקחת Raw'!$F$6:$F$1616,$A444,'בתי מרקחת Raw'!$C$6:$C$1616,2025)</f>
        <v>8160.49</v>
      </c>
      <c r="I444" s="12" t="n">
        <f aca="false">SUMIFS('בתי מרקחת Raw'!$E$6:$E$1616,'בתי מרקחת Raw'!$F$6:$F$1616,$A444,'בתי מרקחת Raw'!$C$6:$C$1616,2026)</f>
        <v>5241.1</v>
      </c>
      <c r="J444" s="12" t="n">
        <f aca="false">I444*$J$5</f>
        <v>6620.33684210526</v>
      </c>
    </row>
    <row r="445" customFormat="false" ht="15" hidden="false" customHeight="true" outlineLevel="0" collapsed="false">
      <c r="A445" s="12" t="n">
        <v>4413498</v>
      </c>
      <c r="B445" s="12" t="str">
        <f aca="false">IFERROR(INDEX('בתי מרקחת Raw'!$B:$B,MATCH($A445,'בתי מרקחת Raw'!$F:$F,0)),"")</f>
        <v>45B S מגן ברך שחור</v>
      </c>
      <c r="C445" s="12" t="n">
        <f aca="false">SUMIFS('בתי מרקחת Raw'!$D$6:$D$1616,'בתי מרקחת Raw'!$F$6:$F$1616,$A445,'בתי מרקחת Raw'!$C$6:$C$1616,2025)</f>
        <v>122</v>
      </c>
      <c r="D445" s="12" t="n">
        <f aca="false">SUMIFS('בתי מרקחת Raw'!$D$6:$D$1616,'בתי מרקחת Raw'!$F$6:$F$1616,$A445,'בתי מרקחת Raw'!$C$6:$C$1616,2026)</f>
        <v>89</v>
      </c>
      <c r="E445" s="12" t="n">
        <f aca="false">D445*$J$5</f>
        <v>112.421052631579</v>
      </c>
      <c r="F445" s="12" t="n">
        <f aca="false">E445-C445</f>
        <v>-9.57894736842106</v>
      </c>
      <c r="G445" s="21" t="n">
        <f aca="false">IF(AND(C445=0,E445=0),0,IF(C445=0,"New",(E445-C445)/C445))</f>
        <v>-0.0785159620362382</v>
      </c>
      <c r="H445" s="12" t="n">
        <f aca="false">SUMIFS('בתי מרקחת Raw'!$E$6:$E$1616,'בתי מרקחת Raw'!$F$6:$F$1616,$A445,'בתי מרקחת Raw'!$C$6:$C$1616,2025)</f>
        <v>3701.5</v>
      </c>
      <c r="I445" s="12" t="n">
        <f aca="false">SUMIFS('בתי מרקחת Raw'!$E$6:$E$1616,'בתי מרקחת Raw'!$F$6:$F$1616,$A445,'בתי מרקחת Raw'!$C$6:$C$1616,2026)</f>
        <v>2712.2</v>
      </c>
      <c r="J445" s="12" t="n">
        <f aca="false">I445*$J$5</f>
        <v>3425.93684210526</v>
      </c>
    </row>
    <row r="446" customFormat="false" ht="15" hidden="false" customHeight="true" outlineLevel="0" collapsed="false">
      <c r="A446" s="12" t="n">
        <v>4413499</v>
      </c>
      <c r="B446" s="12" t="str">
        <f aca="false">IFERROR(INDEX('בתי מרקחת Raw'!$B:$B,MATCH($A446,'בתי מרקחת Raw'!$F:$F,0)),"")</f>
        <v>45B XXLמגן ברך שחור</v>
      </c>
      <c r="C446" s="12" t="n">
        <f aca="false">SUMIFS('בתי מרקחת Raw'!$D$6:$D$1616,'בתי מרקחת Raw'!$F$6:$F$1616,$A446,'בתי מרקחת Raw'!$C$6:$C$1616,2025)</f>
        <v>83</v>
      </c>
      <c r="D446" s="12" t="n">
        <f aca="false">SUMIFS('בתי מרקחת Raw'!$D$6:$D$1616,'בתי מרקחת Raw'!$F$6:$F$1616,$A446,'בתי מרקחת Raw'!$C$6:$C$1616,2026)</f>
        <v>58</v>
      </c>
      <c r="E446" s="12" t="n">
        <f aca="false">D446*$J$5</f>
        <v>73.2631578947368</v>
      </c>
      <c r="F446" s="12" t="n">
        <f aca="false">E446-C446</f>
        <v>-9.73684210526317</v>
      </c>
      <c r="G446" s="21" t="n">
        <f aca="false">IF(AND(C446=0,E446=0),0,IF(C446=0,"New",(E446-C446)/C446))</f>
        <v>-0.117311350665821</v>
      </c>
      <c r="H446" s="12" t="n">
        <f aca="false">SUMIFS('בתי מרקחת Raw'!$E$6:$E$1616,'בתי מרקחת Raw'!$F$6:$F$1616,$A446,'בתי מרקחת Raw'!$C$6:$C$1616,2025)</f>
        <v>2454.1</v>
      </c>
      <c r="I446" s="12" t="n">
        <f aca="false">SUMIFS('בתי מרקחת Raw'!$E$6:$E$1616,'בתי מרקחת Raw'!$F$6:$F$1616,$A446,'בתי מרקחת Raw'!$C$6:$C$1616,2026)</f>
        <v>1758.7</v>
      </c>
      <c r="J446" s="12" t="n">
        <f aca="false">I446*$J$5</f>
        <v>2221.51578947368</v>
      </c>
    </row>
    <row r="447" customFormat="false" ht="15" hidden="false" customHeight="true" outlineLevel="0" collapsed="false">
      <c r="A447" s="12" t="n">
        <v>4413500</v>
      </c>
      <c r="B447" s="12" t="str">
        <f aca="false">IFERROR(INDEX('בתי מרקחת Raw'!$B:$B,MATCH($A447,'בתי מרקחת Raw'!$F:$F,0)),"")</f>
        <v>95B L מגן מרפק שחור</v>
      </c>
      <c r="C447" s="12" t="n">
        <f aca="false">SUMIFS('בתי מרקחת Raw'!$D$6:$D$1616,'בתי מרקחת Raw'!$F$6:$F$1616,$A447,'בתי מרקחת Raw'!$C$6:$C$1616,2025)</f>
        <v>94</v>
      </c>
      <c r="D447" s="12" t="n">
        <f aca="false">SUMIFS('בתי מרקחת Raw'!$D$6:$D$1616,'בתי מרקחת Raw'!$F$6:$F$1616,$A447,'בתי מרקחת Raw'!$C$6:$C$1616,2026)</f>
        <v>76</v>
      </c>
      <c r="E447" s="12" t="n">
        <f aca="false">D447*$J$5</f>
        <v>96</v>
      </c>
      <c r="F447" s="12" t="n">
        <f aca="false">E447-C447</f>
        <v>2</v>
      </c>
      <c r="G447" s="21" t="n">
        <f aca="false">IF(AND(C447=0,E447=0),0,IF(C447=0,"New",(E447-C447)/C447))</f>
        <v>0.0212765957446809</v>
      </c>
      <c r="H447" s="12" t="n">
        <f aca="false">SUMIFS('בתי מרקחת Raw'!$E$6:$E$1616,'בתי מרקחת Raw'!$F$6:$F$1616,$A447,'בתי מרקחת Raw'!$C$6:$C$1616,2025)</f>
        <v>2669.6</v>
      </c>
      <c r="I447" s="12" t="n">
        <f aca="false">SUMIFS('בתי מרקחת Raw'!$E$6:$E$1616,'בתי מרקחת Raw'!$F$6:$F$1616,$A447,'בתי מרקחת Raw'!$C$6:$C$1616,2026)</f>
        <v>2323</v>
      </c>
      <c r="J447" s="12" t="n">
        <f aca="false">I447*$J$5</f>
        <v>2934.31578947368</v>
      </c>
    </row>
    <row r="448" customFormat="false" ht="15" hidden="false" customHeight="true" outlineLevel="0" collapsed="false">
      <c r="A448" s="12" t="n">
        <v>4413501</v>
      </c>
      <c r="B448" s="12" t="str">
        <f aca="false">IFERROR(INDEX('בתי מרקחת Raw'!$B:$B,MATCH($A448,'בתי מרקחת Raw'!$F:$F,0)),"")</f>
        <v>95B M מגן מרפק שחור</v>
      </c>
      <c r="C448" s="12" t="n">
        <f aca="false">SUMIFS('בתי מרקחת Raw'!$D$6:$D$1616,'בתי מרקחת Raw'!$F$6:$F$1616,$A448,'בתי מרקחת Raw'!$C$6:$C$1616,2025)</f>
        <v>170</v>
      </c>
      <c r="D448" s="12" t="n">
        <f aca="false">SUMIFS('בתי מרקחת Raw'!$D$6:$D$1616,'בתי מרקחת Raw'!$F$6:$F$1616,$A448,'בתי מרקחת Raw'!$C$6:$C$1616,2026)</f>
        <v>112</v>
      </c>
      <c r="E448" s="12" t="n">
        <f aca="false">D448*$J$5</f>
        <v>141.473684210526</v>
      </c>
      <c r="F448" s="12" t="n">
        <f aca="false">E448-C448</f>
        <v>-28.5263157894737</v>
      </c>
      <c r="G448" s="21" t="n">
        <f aca="false">IF(AND(C448=0,E448=0),0,IF(C448=0,"New",(E448-C448)/C448))</f>
        <v>-0.167801857585139</v>
      </c>
      <c r="H448" s="12" t="n">
        <f aca="false">SUMIFS('בתי מרקחת Raw'!$E$6:$E$1616,'בתי מרקחת Raw'!$F$6:$F$1616,$A448,'בתי מרקחת Raw'!$C$6:$C$1616,2025)</f>
        <v>5034.59</v>
      </c>
      <c r="I448" s="12" t="n">
        <f aca="false">SUMIFS('בתי מרקחת Raw'!$E$6:$E$1616,'בתי מרקחת Raw'!$F$6:$F$1616,$A448,'בתי מרקחת Raw'!$C$6:$C$1616,2026)</f>
        <v>3420.6</v>
      </c>
      <c r="J448" s="12" t="n">
        <f aca="false">I448*$J$5</f>
        <v>4320.75789473684</v>
      </c>
    </row>
    <row r="449" customFormat="false" ht="15" hidden="false" customHeight="true" outlineLevel="0" collapsed="false">
      <c r="A449" s="12" t="n">
        <v>4413502</v>
      </c>
      <c r="B449" s="12" t="str">
        <f aca="false">IFERROR(INDEX('בתי מרקחת Raw'!$B:$B,MATCH($A449,'בתי מרקחת Raw'!$F:$F,0)),"")</f>
        <v>95B S מגן מרפק שחור</v>
      </c>
      <c r="C449" s="12" t="n">
        <f aca="false">SUMIFS('בתי מרקחת Raw'!$D$6:$D$1616,'בתי מרקחת Raw'!$F$6:$F$1616,$A449,'בתי מרקחת Raw'!$C$6:$C$1616,2025)</f>
        <v>119</v>
      </c>
      <c r="D449" s="12" t="n">
        <f aca="false">SUMIFS('בתי מרקחת Raw'!$D$6:$D$1616,'בתי מרקחת Raw'!$F$6:$F$1616,$A449,'בתי מרקחת Raw'!$C$6:$C$1616,2026)</f>
        <v>85</v>
      </c>
      <c r="E449" s="12" t="n">
        <f aca="false">D449*$J$5</f>
        <v>107.368421052632</v>
      </c>
      <c r="F449" s="12" t="n">
        <f aca="false">E449-C449</f>
        <v>-11.6315789473684</v>
      </c>
      <c r="G449" s="21" t="n">
        <f aca="false">IF(AND(C449=0,E449=0),0,IF(C449=0,"New",(E449-C449)/C449))</f>
        <v>-0.0977443609022557</v>
      </c>
      <c r="H449" s="12" t="n">
        <f aca="false">SUMIFS('בתי מרקחת Raw'!$E$6:$E$1616,'בתי מרקחת Raw'!$F$6:$F$1616,$A449,'בתי מרקחת Raw'!$C$6:$C$1616,2025)</f>
        <v>3561.2</v>
      </c>
      <c r="I449" s="12" t="n">
        <f aca="false">SUMIFS('בתי מרקחת Raw'!$E$6:$E$1616,'בתי מרקחת Raw'!$F$6:$F$1616,$A449,'בתי מרקחת Raw'!$C$6:$C$1616,2026)</f>
        <v>2586.5</v>
      </c>
      <c r="J449" s="12" t="n">
        <f aca="false">I449*$J$5</f>
        <v>3267.15789473684</v>
      </c>
    </row>
    <row r="450" customFormat="false" ht="15" hidden="false" customHeight="true" outlineLevel="0" collapsed="false">
      <c r="A450" s="12" t="n">
        <v>4413503</v>
      </c>
      <c r="B450" s="12" t="str">
        <f aca="false">IFERROR(INDEX('בתי מרקחת Raw'!$B:$B,MATCH($A450,'בתי מרקחת Raw'!$F:$F,0)),"")</f>
        <v>95B XL מגן מרפק שחור</v>
      </c>
      <c r="C450" s="12" t="n">
        <f aca="false">SUMIFS('בתי מרקחת Raw'!$D$6:$D$1616,'בתי מרקחת Raw'!$F$6:$F$1616,$A450,'בתי מרקחת Raw'!$C$6:$C$1616,2025)</f>
        <v>93</v>
      </c>
      <c r="D450" s="12" t="n">
        <f aca="false">SUMIFS('בתי מרקחת Raw'!$D$6:$D$1616,'בתי מרקחת Raw'!$F$6:$F$1616,$A450,'בתי מרקחת Raw'!$C$6:$C$1616,2026)</f>
        <v>49</v>
      </c>
      <c r="E450" s="12" t="n">
        <f aca="false">D450*$J$5</f>
        <v>61.8947368421053</v>
      </c>
      <c r="F450" s="12" t="n">
        <f aca="false">E450-C450</f>
        <v>-31.1052631578947</v>
      </c>
      <c r="G450" s="21" t="n">
        <f aca="false">IF(AND(C450=0,E450=0),0,IF(C450=0,"New",(E450-C450)/C450))</f>
        <v>-0.33446519524618</v>
      </c>
      <c r="H450" s="12" t="n">
        <f aca="false">SUMIFS('בתי מרקחת Raw'!$E$6:$E$1616,'בתי מרקחת Raw'!$F$6:$F$1616,$A450,'בתי מרקחת Raw'!$C$6:$C$1616,2025)</f>
        <v>2736.39</v>
      </c>
      <c r="I450" s="12" t="n">
        <f aca="false">SUMIFS('בתי מרקחת Raw'!$E$6:$E$1616,'בתי מרקחת Raw'!$F$6:$F$1616,$A450,'בתי מרקחת Raw'!$C$6:$C$1616,2026)</f>
        <v>1495.1</v>
      </c>
      <c r="J450" s="12" t="n">
        <f aca="false">I450*$J$5</f>
        <v>1888.54736842105</v>
      </c>
    </row>
    <row r="451" customFormat="false" ht="15" hidden="false" customHeight="true" outlineLevel="0" collapsed="false">
      <c r="A451" s="12" t="n">
        <v>4413504</v>
      </c>
      <c r="B451" s="12" t="str">
        <f aca="false">IFERROR(INDEX('בתי מרקחת Raw'!$B:$B,MATCH($A451,'בתי מרקחת Raw'!$F:$F,0)),"")</f>
        <v>95B XXLמגן מרפק שחור</v>
      </c>
      <c r="C451" s="12" t="n">
        <f aca="false">SUMIFS('בתי מרקחת Raw'!$D$6:$D$1616,'בתי מרקחת Raw'!$F$6:$F$1616,$A451,'בתי מרקחת Raw'!$C$6:$C$1616,2025)</f>
        <v>5</v>
      </c>
      <c r="D451" s="12" t="n">
        <f aca="false">SUMIFS('בתי מרקחת Raw'!$D$6:$D$1616,'בתי מרקחת Raw'!$F$6:$F$1616,$A451,'בתי מרקחת Raw'!$C$6:$C$1616,2026)</f>
        <v>8</v>
      </c>
      <c r="E451" s="12" t="n">
        <f aca="false">D451*$J$5</f>
        <v>10.1052631578947</v>
      </c>
      <c r="F451" s="12" t="n">
        <f aca="false">E451-C451</f>
        <v>5.10526315789474</v>
      </c>
      <c r="G451" s="21" t="n">
        <f aca="false">IF(AND(C451=0,E451=0),0,IF(C451=0,"New",(E451-C451)/C451))</f>
        <v>1.02105263157895</v>
      </c>
      <c r="H451" s="12" t="n">
        <f aca="false">SUMIFS('בתי מרקחת Raw'!$E$6:$E$1616,'בתי מרקחת Raw'!$F$6:$F$1616,$A451,'בתי מרקחת Raw'!$C$6:$C$1616,2025)</f>
        <v>147.2</v>
      </c>
      <c r="I451" s="12" t="n">
        <f aca="false">SUMIFS('בתי מרקחת Raw'!$E$6:$E$1616,'בתי מרקחת Raw'!$F$6:$F$1616,$A451,'בתי מרקחת Raw'!$C$6:$C$1616,2026)</f>
        <v>236.8</v>
      </c>
      <c r="J451" s="12" t="n">
        <f aca="false">I451*$J$5</f>
        <v>299.115789473684</v>
      </c>
    </row>
    <row r="452" customFormat="false" ht="15" hidden="false" customHeight="true" outlineLevel="0" collapsed="false">
      <c r="A452" s="12" t="n">
        <v>4413516</v>
      </c>
      <c r="B452" s="12" t="str">
        <f aca="false">IFERROR(INDEX('בתי מרקחת Raw'!$B:$B,MATCH($A452,'בתי מרקחת Raw'!$F:$F,0)),"")</f>
        <v>85B L מתלה רשת לזרוע שחור</v>
      </c>
      <c r="C452" s="12" t="n">
        <f aca="false">SUMIFS('בתי מרקחת Raw'!$D$6:$D$1616,'בתי מרקחת Raw'!$F$6:$F$1616,$A452,'בתי מרקחת Raw'!$C$6:$C$1616,2025)</f>
        <v>241</v>
      </c>
      <c r="D452" s="12" t="n">
        <f aca="false">SUMIFS('בתי מרקחת Raw'!$D$6:$D$1616,'בתי מרקחת Raw'!$F$6:$F$1616,$A452,'בתי מרקחת Raw'!$C$6:$C$1616,2026)</f>
        <v>161</v>
      </c>
      <c r="E452" s="12" t="n">
        <f aca="false">D452*$J$5</f>
        <v>203.368421052632</v>
      </c>
      <c r="F452" s="12" t="n">
        <f aca="false">E452-C452</f>
        <v>-37.6315789473684</v>
      </c>
      <c r="G452" s="21" t="n">
        <f aca="false">IF(AND(C452=0,E452=0),0,IF(C452=0,"New",(E452-C452)/C452))</f>
        <v>-0.156147630487006</v>
      </c>
      <c r="H452" s="12" t="n">
        <f aca="false">SUMIFS('בתי מרקחת Raw'!$E$6:$E$1616,'בתי מרקחת Raw'!$F$6:$F$1616,$A452,'בתי מרקחת Raw'!$C$6:$C$1616,2025)</f>
        <v>12736.4</v>
      </c>
      <c r="I452" s="12" t="n">
        <f aca="false">SUMIFS('בתי מרקחת Raw'!$E$6:$E$1616,'בתי מרקחת Raw'!$F$6:$F$1616,$A452,'בתי מרקחת Raw'!$C$6:$C$1616,2026)</f>
        <v>8987</v>
      </c>
      <c r="J452" s="12" t="n">
        <f aca="false">I452*$J$5</f>
        <v>11352</v>
      </c>
    </row>
    <row r="453" customFormat="false" ht="15" hidden="false" customHeight="true" outlineLevel="0" collapsed="false">
      <c r="A453" s="12" t="n">
        <v>4413517</v>
      </c>
      <c r="B453" s="12" t="str">
        <f aca="false">IFERROR(INDEX('בתי מרקחת Raw'!$B:$B,MATCH($A453,'בתי מרקחת Raw'!$F:$F,0)),"")</f>
        <v>85B M מתלה רשת לזרוע שחור</v>
      </c>
      <c r="C453" s="12" t="n">
        <f aca="false">SUMIFS('בתי מרקחת Raw'!$D$6:$D$1616,'בתי מרקחת Raw'!$F$6:$F$1616,$A453,'בתי מרקחת Raw'!$C$6:$C$1616,2025)</f>
        <v>161</v>
      </c>
      <c r="D453" s="12" t="n">
        <f aca="false">SUMIFS('בתי מרקחת Raw'!$D$6:$D$1616,'בתי מרקחת Raw'!$F$6:$F$1616,$A453,'בתי מרקחת Raw'!$C$6:$C$1616,2026)</f>
        <v>118</v>
      </c>
      <c r="E453" s="12" t="n">
        <f aca="false">D453*$J$5</f>
        <v>149.052631578947</v>
      </c>
      <c r="F453" s="12" t="n">
        <f aca="false">E453-C453</f>
        <v>-11.9473684210526</v>
      </c>
      <c r="G453" s="21" t="n">
        <f aca="false">IF(AND(C453=0,E453=0),0,IF(C453=0,"New",(E453-C453)/C453))</f>
        <v>-0.0742072572736188</v>
      </c>
      <c r="H453" s="12" t="n">
        <f aca="false">SUMIFS('בתי מרקחת Raw'!$E$6:$E$1616,'בתי מרקחת Raw'!$F$6:$F$1616,$A453,'בתי מרקחת Raw'!$C$6:$C$1616,2025)</f>
        <v>8810.27</v>
      </c>
      <c r="I453" s="12" t="n">
        <f aca="false">SUMIFS('בתי מרקחת Raw'!$E$6:$E$1616,'בתי מרקחת Raw'!$F$6:$F$1616,$A453,'בתי מרקחת Raw'!$C$6:$C$1616,2026)</f>
        <v>6599.31</v>
      </c>
      <c r="J453" s="12" t="n">
        <f aca="false">I453*$J$5</f>
        <v>8335.97052631579</v>
      </c>
    </row>
    <row r="454" customFormat="false" ht="15" hidden="false" customHeight="true" outlineLevel="0" collapsed="false">
      <c r="A454" s="12" t="n">
        <v>4413518</v>
      </c>
      <c r="B454" s="12" t="str">
        <f aca="false">IFERROR(INDEX('בתי מרקחת Raw'!$B:$B,MATCH($A454,'בתי מרקחת Raw'!$F:$F,0)),"")</f>
        <v>85B XL מתלה רשת לזרוע שחור</v>
      </c>
      <c r="C454" s="12" t="n">
        <f aca="false">SUMIFS('בתי מרקחת Raw'!$D$6:$D$1616,'בתי מרקחת Raw'!$F$6:$F$1616,$A454,'בתי מרקחת Raw'!$C$6:$C$1616,2025)</f>
        <v>113</v>
      </c>
      <c r="D454" s="12" t="n">
        <f aca="false">SUMIFS('בתי מרקחת Raw'!$D$6:$D$1616,'בתי מרקחת Raw'!$F$6:$F$1616,$A454,'בתי מרקחת Raw'!$C$6:$C$1616,2026)</f>
        <v>89</v>
      </c>
      <c r="E454" s="12" t="n">
        <f aca="false">D454*$J$5</f>
        <v>112.421052631579</v>
      </c>
      <c r="F454" s="12" t="n">
        <f aca="false">E454-C454</f>
        <v>-0.578947368421055</v>
      </c>
      <c r="G454" s="21" t="n">
        <f aca="false">IF(AND(C454=0,E454=0),0,IF(C454=0,"New",(E454-C454)/C454))</f>
        <v>-0.00512342803912438</v>
      </c>
      <c r="H454" s="12" t="n">
        <f aca="false">SUMIFS('בתי מרקחת Raw'!$E$6:$E$1616,'בתי מרקחת Raw'!$F$6:$F$1616,$A454,'בתי מרקחת Raw'!$C$6:$C$1616,2025)</f>
        <v>6162.7</v>
      </c>
      <c r="I454" s="12" t="n">
        <f aca="false">SUMIFS('בתי מרקחת Raw'!$E$6:$E$1616,'בתי מרקחת Raw'!$F$6:$F$1616,$A454,'בתי מרקחת Raw'!$C$6:$C$1616,2026)</f>
        <v>4876.5</v>
      </c>
      <c r="J454" s="12" t="n">
        <f aca="false">I454*$J$5</f>
        <v>6159.78947368421</v>
      </c>
    </row>
    <row r="455" customFormat="false" ht="15" hidden="false" customHeight="true" outlineLevel="0" collapsed="false">
      <c r="A455" s="12" t="n">
        <v>4413519</v>
      </c>
      <c r="B455" s="12" t="str">
        <f aca="false">IFERROR(INDEX('בתי מרקחת Raw'!$B:$B,MATCH($A455,'בתי מרקחת Raw'!$F:$F,0)),"")</f>
        <v>85B S מתלה רשת לזרוע שחור</v>
      </c>
      <c r="C455" s="12" t="n">
        <f aca="false">SUMIFS('בתי מרקחת Raw'!$D$6:$D$1616,'בתי מרקחת Raw'!$F$6:$F$1616,$A455,'בתי מרקחת Raw'!$C$6:$C$1616,2025)</f>
        <v>86</v>
      </c>
      <c r="D455" s="12" t="n">
        <f aca="false">SUMIFS('בתי מרקחת Raw'!$D$6:$D$1616,'בתי מרקחת Raw'!$F$6:$F$1616,$A455,'בתי מרקחת Raw'!$C$6:$C$1616,2026)</f>
        <v>46</v>
      </c>
      <c r="E455" s="12" t="n">
        <f aca="false">D455*$J$5</f>
        <v>58.1052631578947</v>
      </c>
      <c r="F455" s="12" t="n">
        <f aca="false">E455-C455</f>
        <v>-27.8947368421053</v>
      </c>
      <c r="G455" s="21" t="n">
        <f aca="false">IF(AND(C455=0,E455=0),0,IF(C455=0,"New",(E455-C455)/C455))</f>
        <v>-0.324357405140759</v>
      </c>
      <c r="H455" s="12" t="n">
        <f aca="false">SUMIFS('בתי מרקחת Raw'!$E$6:$E$1616,'בתי מרקחת Raw'!$F$6:$F$1616,$A455,'בתי מרקחת Raw'!$C$6:$C$1616,2025)</f>
        <v>4720.2</v>
      </c>
      <c r="I455" s="12" t="n">
        <f aca="false">SUMIFS('בתי מרקחת Raw'!$E$6:$E$1616,'בתי מרקחת Raw'!$F$6:$F$1616,$A455,'בתי מרקחת Raw'!$C$6:$C$1616,2026)</f>
        <v>2565.2</v>
      </c>
      <c r="J455" s="12" t="n">
        <f aca="false">I455*$J$5</f>
        <v>3240.25263157895</v>
      </c>
    </row>
    <row r="456" customFormat="false" ht="15" hidden="false" customHeight="true" outlineLevel="0" collapsed="false">
      <c r="A456" s="12" t="n">
        <v>4413520</v>
      </c>
      <c r="B456" s="12" t="str">
        <f aca="false">IFERROR(INDEX('בתי מרקחת Raw'!$B:$B,MATCH($A456,'בתי מרקחת Raw'!$F:$F,0)),"")</f>
        <v>מדרסי אפיק ג'ל מולט.ספורט35-38</v>
      </c>
      <c r="C456" s="12" t="n">
        <f aca="false">SUMIFS('בתי מרקחת Raw'!$D$6:$D$1616,'בתי מרקחת Raw'!$F$6:$F$1616,$A456,'בתי מרקחת Raw'!$C$6:$C$1616,2025)</f>
        <v>7</v>
      </c>
      <c r="D456" s="12" t="n">
        <f aca="false">SUMIFS('בתי מרקחת Raw'!$D$6:$D$1616,'בתי מרקחת Raw'!$F$6:$F$1616,$A456,'בתי מרקחת Raw'!$C$6:$C$1616,2026)</f>
        <v>8</v>
      </c>
      <c r="E456" s="12" t="n">
        <f aca="false">D456*$J$5</f>
        <v>10.1052631578947</v>
      </c>
      <c r="F456" s="12" t="n">
        <f aca="false">E456-C456</f>
        <v>3.10526315789474</v>
      </c>
      <c r="G456" s="21" t="n">
        <f aca="false">IF(AND(C456=0,E456=0),0,IF(C456=0,"New",(E456-C456)/C456))</f>
        <v>0.443609022556391</v>
      </c>
      <c r="H456" s="12" t="n">
        <f aca="false">SUMIFS('בתי מרקחת Raw'!$E$6:$E$1616,'בתי מרקחת Raw'!$F$6:$F$1616,$A456,'בתי מרקחת Raw'!$C$6:$C$1616,2025)</f>
        <v>700.1</v>
      </c>
      <c r="I456" s="12" t="n">
        <f aca="false">SUMIFS('בתי מרקחת Raw'!$E$6:$E$1616,'בתי מרקחת Raw'!$F$6:$F$1616,$A456,'בתי מרקחת Raw'!$C$6:$C$1616,2026)</f>
        <v>799.7</v>
      </c>
      <c r="J456" s="12" t="n">
        <f aca="false">I456*$J$5</f>
        <v>1010.14736842105</v>
      </c>
    </row>
    <row r="457" customFormat="false" ht="15" hidden="false" customHeight="true" outlineLevel="0" collapsed="false">
      <c r="A457" s="12" t="n">
        <v>4413521</v>
      </c>
      <c r="B457" s="12" t="str">
        <f aca="false">IFERROR(INDEX('בתי מרקחת Raw'!$B:$B,MATCH($A457,'בתי מרקחת Raw'!$F:$F,0)),"")</f>
        <v>מדרסי אפיק ג'ל מולטי ספור39-42</v>
      </c>
      <c r="C457" s="12" t="n">
        <f aca="false">SUMIFS('בתי מרקחת Raw'!$D$6:$D$1616,'בתי מרקחת Raw'!$F$6:$F$1616,$A457,'בתי מרקחת Raw'!$C$6:$C$1616,2025)</f>
        <v>21</v>
      </c>
      <c r="D457" s="12" t="n">
        <f aca="false">SUMIFS('בתי מרקחת Raw'!$D$6:$D$1616,'בתי מרקחת Raw'!$F$6:$F$1616,$A457,'בתי מרקחת Raw'!$C$6:$C$1616,2026)</f>
        <v>7</v>
      </c>
      <c r="E457" s="12" t="n">
        <f aca="false">D457*$J$5</f>
        <v>8.84210526315789</v>
      </c>
      <c r="F457" s="12" t="n">
        <f aca="false">E457-C457</f>
        <v>-12.1578947368421</v>
      </c>
      <c r="G457" s="21" t="n">
        <f aca="false">IF(AND(C457=0,E457=0),0,IF(C457=0,"New",(E457-C457)/C457))</f>
        <v>-0.578947368421053</v>
      </c>
      <c r="H457" s="12" t="n">
        <f aca="false">SUMIFS('בתי מרקחת Raw'!$E$6:$E$1616,'בתי מרקחת Raw'!$F$6:$F$1616,$A457,'בתי מרקחת Raw'!$C$6:$C$1616,2025)</f>
        <v>2137.3</v>
      </c>
      <c r="I457" s="12" t="n">
        <f aca="false">SUMIFS('בתי מרקחת Raw'!$E$6:$E$1616,'בתי מרקחת Raw'!$F$6:$F$1616,$A457,'בתי מרקחת Raw'!$C$6:$C$1616,2026)</f>
        <v>678.4</v>
      </c>
      <c r="J457" s="12" t="n">
        <f aca="false">I457*$J$5</f>
        <v>856.926315789474</v>
      </c>
    </row>
    <row r="458" customFormat="false" ht="15" hidden="false" customHeight="true" outlineLevel="0" collapsed="false">
      <c r="A458" s="12" t="n">
        <v>4413522</v>
      </c>
      <c r="B458" s="12" t="str">
        <f aca="false">IFERROR(INDEX('בתי מרקחת Raw'!$B:$B,MATCH($A458,'בתי מרקחת Raw'!$F:$F,0)),"")</f>
        <v>מדרסי אפיק ג'ל מולט.ספורט43-47</v>
      </c>
      <c r="C458" s="12" t="n">
        <f aca="false">SUMIFS('בתי מרקחת Raw'!$D$6:$D$1616,'בתי מרקחת Raw'!$F$6:$F$1616,$A458,'בתי מרקחת Raw'!$C$6:$C$1616,2025)</f>
        <v>27</v>
      </c>
      <c r="D458" s="12" t="n">
        <f aca="false">SUMIFS('בתי מרקחת Raw'!$D$6:$D$1616,'בתי מרקחת Raw'!$F$6:$F$1616,$A458,'בתי מרקחת Raw'!$C$6:$C$1616,2026)</f>
        <v>11</v>
      </c>
      <c r="E458" s="12" t="n">
        <f aca="false">D458*$J$5</f>
        <v>13.8947368421053</v>
      </c>
      <c r="F458" s="12" t="n">
        <f aca="false">E458-C458</f>
        <v>-13.1052631578947</v>
      </c>
      <c r="G458" s="21" t="n">
        <f aca="false">IF(AND(C458=0,E458=0),0,IF(C458=0,"New",(E458-C458)/C458))</f>
        <v>-0.485380116959064</v>
      </c>
      <c r="H458" s="12" t="n">
        <f aca="false">SUMIFS('בתי מרקחת Raw'!$E$6:$E$1616,'בתי מרקחת Raw'!$F$6:$F$1616,$A458,'בתי מרקחת Raw'!$C$6:$C$1616,2025)</f>
        <v>2824.7</v>
      </c>
      <c r="I458" s="12" t="n">
        <f aca="false">SUMIFS('בתי מרקחת Raw'!$E$6:$E$1616,'בתי מרקחת Raw'!$F$6:$F$1616,$A458,'בתי מרקחת Raw'!$C$6:$C$1616,2026)</f>
        <v>1253.7</v>
      </c>
      <c r="J458" s="12" t="n">
        <f aca="false">I458*$J$5</f>
        <v>1583.62105263158</v>
      </c>
    </row>
    <row r="459" customFormat="false" ht="15" hidden="false" customHeight="true" outlineLevel="0" collapsed="false">
      <c r="A459" s="12" t="n">
        <v>4413523</v>
      </c>
      <c r="B459" s="12" t="str">
        <f aca="false">IFERROR(INDEX('בתי מרקחת Raw'!$B:$B,MATCH($A459,'בתי מרקחת Raw'!$F:$F,0)),"")</f>
        <v>35-38 מדרסי אפיק ג'ל נוחות</v>
      </c>
      <c r="C459" s="12" t="n">
        <f aca="false">SUMIFS('בתי מרקחת Raw'!$D$6:$D$1616,'בתי מרקחת Raw'!$F$6:$F$1616,$A459,'בתי מרקחת Raw'!$C$6:$C$1616,2025)</f>
        <v>7</v>
      </c>
      <c r="D459" s="12" t="n">
        <f aca="false">SUMIFS('בתי מרקחת Raw'!$D$6:$D$1616,'בתי מרקחת Raw'!$F$6:$F$1616,$A459,'בתי מרקחת Raw'!$C$6:$C$1616,2026)</f>
        <v>8</v>
      </c>
      <c r="E459" s="12" t="n">
        <f aca="false">D459*$J$5</f>
        <v>10.1052631578947</v>
      </c>
      <c r="F459" s="12" t="n">
        <f aca="false">E459-C459</f>
        <v>3.10526315789474</v>
      </c>
      <c r="G459" s="21" t="n">
        <f aca="false">IF(AND(C459=0,E459=0),0,IF(C459=0,"New",(E459-C459)/C459))</f>
        <v>0.443609022556391</v>
      </c>
      <c r="H459" s="12" t="n">
        <f aca="false">SUMIFS('בתי מרקחת Raw'!$E$6:$E$1616,'בתי מרקחת Raw'!$F$6:$F$1616,$A459,'בתי מרקחת Raw'!$C$6:$C$1616,2025)</f>
        <v>700.1</v>
      </c>
      <c r="I459" s="12" t="n">
        <f aca="false">SUMIFS('בתי מרקחת Raw'!$E$6:$E$1616,'בתי מרקחת Raw'!$F$6:$F$1616,$A459,'בתי מרקחת Raw'!$C$6:$C$1616,2026)</f>
        <v>773</v>
      </c>
      <c r="J459" s="12" t="n">
        <f aca="false">I459*$J$5</f>
        <v>976.421052631579</v>
      </c>
    </row>
    <row r="460" customFormat="false" ht="15" hidden="false" customHeight="true" outlineLevel="0" collapsed="false">
      <c r="A460" s="12" t="n">
        <v>4413524</v>
      </c>
      <c r="B460" s="12" t="str">
        <f aca="false">IFERROR(INDEX('בתי מרקחת Raw'!$B:$B,MATCH($A460,'בתי מרקחת Raw'!$F:$F,0)),"")</f>
        <v>39-42 מדרסי אפיק ג'ל נוחות</v>
      </c>
      <c r="C460" s="12" t="n">
        <f aca="false">SUMIFS('בתי מרקחת Raw'!$D$6:$D$1616,'בתי מרקחת Raw'!$F$6:$F$1616,$A460,'בתי מרקחת Raw'!$C$6:$C$1616,2025)</f>
        <v>23</v>
      </c>
      <c r="D460" s="12" t="n">
        <f aca="false">SUMIFS('בתי מרקחת Raw'!$D$6:$D$1616,'בתי מרקחת Raw'!$F$6:$F$1616,$A460,'בתי מרקחת Raw'!$C$6:$C$1616,2026)</f>
        <v>10</v>
      </c>
      <c r="E460" s="12" t="n">
        <f aca="false">D460*$J$5</f>
        <v>12.6315789473684</v>
      </c>
      <c r="F460" s="12" t="n">
        <f aca="false">E460-C460</f>
        <v>-10.3684210526316</v>
      </c>
      <c r="G460" s="21" t="n">
        <f aca="false">IF(AND(C460=0,E460=0),0,IF(C460=0,"New",(E460-C460)/C460))</f>
        <v>-0.450800915331808</v>
      </c>
      <c r="H460" s="12" t="n">
        <f aca="false">SUMIFS('בתי מרקחת Raw'!$E$6:$E$1616,'בתי מרקחת Raw'!$F$6:$F$1616,$A460,'בתי מרקחת Raw'!$C$6:$C$1616,2025)</f>
        <v>2384.9</v>
      </c>
      <c r="I460" s="12" t="n">
        <f aca="false">SUMIFS('בתי מרקחת Raw'!$E$6:$E$1616,'בתי מרקחת Raw'!$F$6:$F$1616,$A460,'בתי מרקחת Raw'!$C$6:$C$1616,2026)</f>
        <v>1010.1</v>
      </c>
      <c r="J460" s="12" t="n">
        <f aca="false">I460*$J$5</f>
        <v>1275.91578947368</v>
      </c>
    </row>
    <row r="461" customFormat="false" ht="15" hidden="false" customHeight="true" outlineLevel="0" collapsed="false">
      <c r="A461" s="12" t="n">
        <v>4413525</v>
      </c>
      <c r="B461" s="12" t="str">
        <f aca="false">IFERROR(INDEX('בתי מרקחת Raw'!$B:$B,MATCH($A461,'בתי מרקחת Raw'!$F:$F,0)),"")</f>
        <v>43-47 מדרסי אפיק ג'ל נוחות</v>
      </c>
      <c r="C461" s="12" t="n">
        <f aca="false">SUMIFS('בתי מרקחת Raw'!$D$6:$D$1616,'בתי מרקחת Raw'!$F$6:$F$1616,$A461,'בתי מרקחת Raw'!$C$6:$C$1616,2025)</f>
        <v>20</v>
      </c>
      <c r="D461" s="12" t="n">
        <f aca="false">SUMIFS('בתי מרקחת Raw'!$D$6:$D$1616,'בתי מרקחת Raw'!$F$6:$F$1616,$A461,'בתי מרקחת Raw'!$C$6:$C$1616,2026)</f>
        <v>9</v>
      </c>
      <c r="E461" s="12" t="n">
        <f aca="false">D461*$J$5</f>
        <v>11.3684210526316</v>
      </c>
      <c r="F461" s="12" t="n">
        <f aca="false">E461-C461</f>
        <v>-8.63157894736842</v>
      </c>
      <c r="G461" s="21" t="n">
        <f aca="false">IF(AND(C461=0,E461=0),0,IF(C461=0,"New",(E461-C461)/C461))</f>
        <v>-0.431578947368421</v>
      </c>
      <c r="H461" s="12" t="n">
        <f aca="false">SUMIFS('בתי מרקחת Raw'!$E$6:$E$1616,'בתי מרקחת Raw'!$F$6:$F$1616,$A461,'בתי מרקחת Raw'!$C$6:$C$1616,2025)</f>
        <v>2114</v>
      </c>
      <c r="I461" s="12" t="n">
        <f aca="false">SUMIFS('בתי מרקחת Raw'!$E$6:$E$1616,'בתי מרקחת Raw'!$F$6:$F$1616,$A461,'בתי מרקחת Raw'!$C$6:$C$1616,2026)</f>
        <v>953.9</v>
      </c>
      <c r="J461" s="12" t="n">
        <f aca="false">I461*$J$5</f>
        <v>1204.92631578947</v>
      </c>
    </row>
    <row r="462" customFormat="false" ht="15" hidden="false" customHeight="true" outlineLevel="0" collapsed="false">
      <c r="A462" s="12" t="n">
        <v>4413527</v>
      </c>
      <c r="B462" s="12" t="str">
        <f aca="false">IFERROR(INDEX('בתי מרקחת Raw'!$B:$B,MATCH($A462,'בתי מרקחת Raw'!$F:$F,0)),"")</f>
        <v>35-38 מדרסי אפיק ג'ל עבודה</v>
      </c>
      <c r="C462" s="12" t="n">
        <f aca="false">SUMIFS('בתי מרקחת Raw'!$D$6:$D$1616,'בתי מרקחת Raw'!$F$6:$F$1616,$A462,'בתי מרקחת Raw'!$C$6:$C$1616,2025)</f>
        <v>10</v>
      </c>
      <c r="D462" s="12" t="n">
        <f aca="false">SUMIFS('בתי מרקחת Raw'!$D$6:$D$1616,'בתי מרקחת Raw'!$F$6:$F$1616,$A462,'בתי מרקחת Raw'!$C$6:$C$1616,2026)</f>
        <v>6</v>
      </c>
      <c r="E462" s="12" t="n">
        <f aca="false">D462*$J$5</f>
        <v>7.57894736842105</v>
      </c>
      <c r="F462" s="12" t="n">
        <f aca="false">E462-C462</f>
        <v>-2.42105263157895</v>
      </c>
      <c r="G462" s="21" t="n">
        <f aca="false">IF(AND(C462=0,E462=0),0,IF(C462=0,"New",(E462-C462)/C462))</f>
        <v>-0.242105263157895</v>
      </c>
      <c r="H462" s="12" t="n">
        <f aca="false">SUMIFS('בתי מרקחת Raw'!$E$6:$E$1616,'בתי מרקחת Raw'!$F$6:$F$1616,$A462,'בתי מרקחת Raw'!$C$6:$C$1616,2025)</f>
        <v>902.8</v>
      </c>
      <c r="I462" s="12" t="n">
        <f aca="false">SUMIFS('בתי מרקחת Raw'!$E$6:$E$1616,'בתי מרקחת Raw'!$F$6:$F$1616,$A462,'בתי מרקחת Raw'!$C$6:$C$1616,2026)</f>
        <v>598.3</v>
      </c>
      <c r="J462" s="12" t="n">
        <f aca="false">I462*$J$5</f>
        <v>755.747368421053</v>
      </c>
    </row>
    <row r="463" customFormat="false" ht="15" hidden="false" customHeight="true" outlineLevel="0" collapsed="false">
      <c r="A463" s="12" t="n">
        <v>4413528</v>
      </c>
      <c r="B463" s="12" t="str">
        <f aca="false">IFERROR(INDEX('בתי מרקחת Raw'!$B:$B,MATCH($A463,'בתי מרקחת Raw'!$F:$F,0)),"")</f>
        <v>39-42 מדרסי אפיק ג'ל עבודה</v>
      </c>
      <c r="C463" s="12" t="n">
        <f aca="false">SUMIFS('בתי מרקחת Raw'!$D$6:$D$1616,'בתי מרקחת Raw'!$F$6:$F$1616,$A463,'בתי מרקחת Raw'!$C$6:$C$1616,2025)</f>
        <v>23</v>
      </c>
      <c r="D463" s="12" t="n">
        <f aca="false">SUMIFS('בתי מרקחת Raw'!$D$6:$D$1616,'בתי מרקחת Raw'!$F$6:$F$1616,$A463,'בתי מרקחת Raw'!$C$6:$C$1616,2026)</f>
        <v>15</v>
      </c>
      <c r="E463" s="12" t="n">
        <f aca="false">D463*$J$5</f>
        <v>18.9473684210526</v>
      </c>
      <c r="F463" s="12" t="n">
        <f aca="false">E463-C463</f>
        <v>-4.05263157894737</v>
      </c>
      <c r="G463" s="21" t="n">
        <f aca="false">IF(AND(C463=0,E463=0),0,IF(C463=0,"New",(E463-C463)/C463))</f>
        <v>-0.176201372997712</v>
      </c>
      <c r="H463" s="12" t="n">
        <f aca="false">SUMIFS('בתי מרקחת Raw'!$E$6:$E$1616,'בתי מרקחת Raw'!$F$6:$F$1616,$A463,'בתי מרקחת Raw'!$C$6:$C$1616,2025)</f>
        <v>2358.5</v>
      </c>
      <c r="I463" s="12" t="n">
        <f aca="false">SUMIFS('בתי מרקחת Raw'!$E$6:$E$1616,'בתי מרקחת Raw'!$F$6:$F$1616,$A463,'בתי מרקחת Raw'!$C$6:$C$1616,2026)</f>
        <v>1609.5</v>
      </c>
      <c r="J463" s="12" t="n">
        <f aca="false">I463*$J$5</f>
        <v>2033.05263157895</v>
      </c>
    </row>
    <row r="464" customFormat="false" ht="15" hidden="false" customHeight="true" outlineLevel="0" collapsed="false">
      <c r="A464" s="12" t="n">
        <v>4413529</v>
      </c>
      <c r="B464" s="12" t="str">
        <f aca="false">IFERROR(INDEX('בתי מרקחת Raw'!$B:$B,MATCH($A464,'בתי מרקחת Raw'!$F:$F,0)),"")</f>
        <v>43-47 מדרסי אפיק ג'ל עבודה</v>
      </c>
      <c r="C464" s="12" t="n">
        <f aca="false">SUMIFS('בתי מרקחת Raw'!$D$6:$D$1616,'בתי מרקחת Raw'!$F$6:$F$1616,$A464,'בתי מרקחת Raw'!$C$6:$C$1616,2025)</f>
        <v>22</v>
      </c>
      <c r="D464" s="12" t="n">
        <f aca="false">SUMIFS('בתי מרקחת Raw'!$D$6:$D$1616,'בתי מרקחת Raw'!$F$6:$F$1616,$A464,'בתי מרקחת Raw'!$C$6:$C$1616,2026)</f>
        <v>14</v>
      </c>
      <c r="E464" s="12" t="n">
        <f aca="false">D464*$J$5</f>
        <v>17.6842105263158</v>
      </c>
      <c r="F464" s="12" t="n">
        <f aca="false">E464-C464</f>
        <v>-4.31578947368421</v>
      </c>
      <c r="G464" s="21" t="n">
        <f aca="false">IF(AND(C464=0,E464=0),0,IF(C464=0,"New",(E464-C464)/C464))</f>
        <v>-0.196172248803828</v>
      </c>
      <c r="H464" s="12" t="n">
        <f aca="false">SUMIFS('בתי מרקחת Raw'!$E$6:$E$1616,'בתי מרקחת Raw'!$F$6:$F$1616,$A464,'בתי מרקחת Raw'!$C$6:$C$1616,2025)</f>
        <v>2158.5</v>
      </c>
      <c r="I464" s="12" t="n">
        <f aca="false">SUMIFS('בתי מרקחת Raw'!$E$6:$E$1616,'בתי מרקחת Raw'!$F$6:$F$1616,$A464,'בתי מרקחת Raw'!$C$6:$C$1616,2026)</f>
        <v>1472.5</v>
      </c>
      <c r="J464" s="12" t="n">
        <f aca="false">I464*$J$5</f>
        <v>1860</v>
      </c>
    </row>
    <row r="465" customFormat="false" ht="15" hidden="false" customHeight="true" outlineLevel="0" collapsed="false">
      <c r="A465" s="12" t="n">
        <v>4413530</v>
      </c>
      <c r="B465" s="12" t="str">
        <f aca="false">IFERROR(INDEX('בתי מרקחת Raw'!$B:$B,MATCH($A465,'בתי מרקחת Raw'!$F:$F,0)),"")</f>
        <v>35C XXL מגן קרסול חום</v>
      </c>
      <c r="C465" s="12" t="n">
        <f aca="false">SUMIFS('בתי מרקחת Raw'!$D$6:$D$1616,'בתי מרקחת Raw'!$F$6:$F$1616,$A465,'בתי מרקחת Raw'!$C$6:$C$1616,2025)</f>
        <v>1</v>
      </c>
      <c r="D465" s="12" t="n">
        <f aca="false">SUMIFS('בתי מרקחת Raw'!$D$6:$D$1616,'בתי מרקחת Raw'!$F$6:$F$1616,$A465,'בתי מרקחת Raw'!$C$6:$C$1616,2026)</f>
        <v>0</v>
      </c>
      <c r="E465" s="12" t="n">
        <f aca="false">D465*$J$5</f>
        <v>0</v>
      </c>
      <c r="F465" s="12" t="n">
        <f aca="false">E465-C465</f>
        <v>-1</v>
      </c>
      <c r="G465" s="21" t="n">
        <f aca="false">IF(AND(C465=0,E465=0),0,IF(C465=0,"New",(E465-C465)/C465))</f>
        <v>-1</v>
      </c>
      <c r="H465" s="12" t="n">
        <f aca="false">SUMIFS('בתי מרקחת Raw'!$E$6:$E$1616,'בתי מרקחת Raw'!$F$6:$F$1616,$A465,'בתי מרקחת Raw'!$C$6:$C$1616,2025)</f>
        <v>28.8</v>
      </c>
      <c r="I465" s="12" t="n">
        <f aca="false">SUMIFS('בתי מרקחת Raw'!$E$6:$E$1616,'בתי מרקחת Raw'!$F$6:$F$1616,$A465,'בתי מרקחת Raw'!$C$6:$C$1616,2026)</f>
        <v>0</v>
      </c>
      <c r="J465" s="12" t="n">
        <f aca="false">I465*$J$5</f>
        <v>0</v>
      </c>
    </row>
    <row r="466" customFormat="false" ht="15" hidden="false" customHeight="true" outlineLevel="0" collapsed="false">
      <c r="A466" s="12" t="n">
        <v>4413534</v>
      </c>
      <c r="B466" s="12" t="str">
        <f aca="false">IFERROR(INDEX('בתי מרקחת Raw'!$B:$B,MATCH($A466,'בתי מרקחת Raw'!$F:$F,0)),"")</f>
        <v>SH333 מקבע קרסול</v>
      </c>
      <c r="C466" s="12" t="n">
        <f aca="false">SUMIFS('בתי מרקחת Raw'!$D$6:$D$1616,'בתי מרקחת Raw'!$F$6:$F$1616,$A466,'בתי מרקחת Raw'!$C$6:$C$1616,2025)</f>
        <v>0</v>
      </c>
      <c r="D466" s="12" t="n">
        <f aca="false">SUMIFS('בתי מרקחת Raw'!$D$6:$D$1616,'בתי מרקחת Raw'!$F$6:$F$1616,$A466,'בתי מרקחת Raw'!$C$6:$C$1616,2026)</f>
        <v>8</v>
      </c>
      <c r="E466" s="12" t="n">
        <f aca="false">D466*$J$5</f>
        <v>10.1052631578947</v>
      </c>
      <c r="F466" s="12" t="n">
        <f aca="false">E466-C466</f>
        <v>10.1052631578947</v>
      </c>
      <c r="G466" s="21" t="str">
        <f aca="false">IF(AND(C466=0,E466=0),0,IF(C466=0,"New",(E466-C466)/C466))</f>
        <v>New</v>
      </c>
      <c r="H466" s="12" t="n">
        <f aca="false">SUMIFS('בתי מרקחת Raw'!$E$6:$E$1616,'בתי מרקחת Raw'!$F$6:$F$1616,$A466,'בתי מרקחת Raw'!$C$6:$C$1616,2025)</f>
        <v>0</v>
      </c>
      <c r="I466" s="12" t="n">
        <f aca="false">SUMIFS('בתי מרקחת Raw'!$E$6:$E$1616,'בתי מרקחת Raw'!$F$6:$F$1616,$A466,'בתי מרקחת Raw'!$C$6:$C$1616,2026)</f>
        <v>1301.1</v>
      </c>
      <c r="J466" s="12" t="n">
        <f aca="false">I466*$J$5</f>
        <v>1643.49473684211</v>
      </c>
    </row>
    <row r="467" customFormat="false" ht="15" hidden="false" customHeight="true" outlineLevel="0" collapsed="false">
      <c r="A467" s="12" t="n">
        <v>4414000</v>
      </c>
      <c r="B467" s="12" t="str">
        <f aca="false">IFERROR(INDEX('בתי מרקחת Raw'!$B:$B,MATCH($A467,'בתי מרקחת Raw'!$F:$F,0)),"")</f>
        <v>FC342-נוזל לציפורן חודרנית</v>
      </c>
      <c r="C467" s="12" t="n">
        <f aca="false">SUMIFS('בתי מרקחת Raw'!$D$6:$D$1616,'בתי מרקחת Raw'!$F$6:$F$1616,$A467,'בתי מרקחת Raw'!$C$6:$C$1616,2025)</f>
        <v>730</v>
      </c>
      <c r="D467" s="12" t="n">
        <f aca="false">SUMIFS('בתי מרקחת Raw'!$D$6:$D$1616,'בתי מרקחת Raw'!$F$6:$F$1616,$A467,'בתי מרקחת Raw'!$C$6:$C$1616,2026)</f>
        <v>442</v>
      </c>
      <c r="E467" s="12" t="n">
        <f aca="false">D467*$J$5</f>
        <v>558.315789473684</v>
      </c>
      <c r="F467" s="12" t="n">
        <f aca="false">E467-C467</f>
        <v>-171.684210526316</v>
      </c>
      <c r="G467" s="21" t="n">
        <f aca="false">IF(AND(C467=0,E467=0),0,IF(C467=0,"New",(E467-C467)/C467))</f>
        <v>-0.235183850036049</v>
      </c>
      <c r="H467" s="12" t="n">
        <f aca="false">SUMIFS('בתי מרקחת Raw'!$E$6:$E$1616,'בתי מרקחת Raw'!$F$6:$F$1616,$A467,'בתי מרקחת Raw'!$C$6:$C$1616,2025)</f>
        <v>23997.89</v>
      </c>
      <c r="I467" s="12" t="n">
        <f aca="false">SUMIFS('בתי מרקחת Raw'!$E$6:$E$1616,'בתי מרקחת Raw'!$F$6:$F$1616,$A467,'בתי מרקחת Raw'!$C$6:$C$1616,2026)</f>
        <v>15740.39</v>
      </c>
      <c r="J467" s="12" t="n">
        <f aca="false">I467*$J$5</f>
        <v>19882.5978947368</v>
      </c>
    </row>
    <row r="468" customFormat="false" ht="15" hidden="false" customHeight="true" outlineLevel="0" collapsed="false">
      <c r="A468" s="12" t="n">
        <v>4415000</v>
      </c>
      <c r="B468" s="12" t="str">
        <f aca="false">IFERROR(INDEX('בתי מרקחת Raw'!$B:$B,MATCH($A468,'בתי מרקחת Raw'!$F:$F,0)),"")</f>
        <v>26 L סד ליד דו צדדי לאחר שבר</v>
      </c>
      <c r="C468" s="12" t="n">
        <f aca="false">SUMIFS('בתי מרקחת Raw'!$D$6:$D$1616,'בתי מרקחת Raw'!$F$6:$F$1616,$A468,'בתי מרקחת Raw'!$C$6:$C$1616,2025)</f>
        <v>106</v>
      </c>
      <c r="D468" s="12" t="n">
        <f aca="false">SUMIFS('בתי מרקחת Raw'!$D$6:$D$1616,'בתי מרקחת Raw'!$F$6:$F$1616,$A468,'בתי מרקחת Raw'!$C$6:$C$1616,2026)</f>
        <v>62</v>
      </c>
      <c r="E468" s="12" t="n">
        <f aca="false">D468*$J$5</f>
        <v>78.3157894736842</v>
      </c>
      <c r="F468" s="12" t="n">
        <f aca="false">E468-C468</f>
        <v>-27.6842105263158</v>
      </c>
      <c r="G468" s="21" t="n">
        <f aca="false">IF(AND(C468=0,E468=0),0,IF(C468=0,"New",(E468-C468)/C468))</f>
        <v>-0.261171797418074</v>
      </c>
      <c r="H468" s="12" t="n">
        <f aca="false">SUMIFS('בתי מרקחת Raw'!$E$6:$E$1616,'בתי מרקחת Raw'!$F$6:$F$1616,$A468,'בתי מרקחת Raw'!$C$6:$C$1616,2025)</f>
        <v>10415.4</v>
      </c>
      <c r="I468" s="12" t="n">
        <f aca="false">SUMIFS('בתי מרקחת Raw'!$E$6:$E$1616,'בתי מרקחת Raw'!$F$6:$F$1616,$A468,'בתי מרקחת Raw'!$C$6:$C$1616,2026)</f>
        <v>6126.74</v>
      </c>
      <c r="J468" s="12" t="n">
        <f aca="false">I468*$J$5</f>
        <v>7739.04</v>
      </c>
    </row>
    <row r="469" customFormat="false" ht="15" hidden="false" customHeight="true" outlineLevel="0" collapsed="false">
      <c r="A469" s="12" t="n">
        <v>4415001</v>
      </c>
      <c r="B469" s="12" t="str">
        <f aca="false">IFERROR(INDEX('בתי מרקחת Raw'!$B:$B,MATCH($A469,'בתי מרקחת Raw'!$F:$F,0)),"")</f>
        <v>26 M סד ליד דו צדדי לאחר שבר</v>
      </c>
      <c r="C469" s="12" t="n">
        <f aca="false">SUMIFS('בתי מרקחת Raw'!$D$6:$D$1616,'בתי מרקחת Raw'!$F$6:$F$1616,$A469,'בתי מרקחת Raw'!$C$6:$C$1616,2025)</f>
        <v>91</v>
      </c>
      <c r="D469" s="12" t="n">
        <f aca="false">SUMIFS('בתי מרקחת Raw'!$D$6:$D$1616,'בתי מרקחת Raw'!$F$6:$F$1616,$A469,'בתי מרקחת Raw'!$C$6:$C$1616,2026)</f>
        <v>43</v>
      </c>
      <c r="E469" s="12" t="n">
        <f aca="false">D469*$J$5</f>
        <v>54.3157894736842</v>
      </c>
      <c r="F469" s="12" t="n">
        <f aca="false">E469-C469</f>
        <v>-36.6842105263158</v>
      </c>
      <c r="G469" s="21" t="n">
        <f aca="false">IF(AND(C469=0,E469=0),0,IF(C469=0,"New",(E469-C469)/C469))</f>
        <v>-0.403123192596877</v>
      </c>
      <c r="H469" s="12" t="n">
        <f aca="false">SUMIFS('בתי מרקחת Raw'!$E$6:$E$1616,'בתי מרקחת Raw'!$F$6:$F$1616,$A469,'בתי מרקחת Raw'!$C$6:$C$1616,2025)</f>
        <v>8969</v>
      </c>
      <c r="I469" s="12" t="n">
        <f aca="false">SUMIFS('בתי מרקחת Raw'!$E$6:$E$1616,'בתי מרקחת Raw'!$F$6:$F$1616,$A469,'בתי מרקחת Raw'!$C$6:$C$1616,2026)</f>
        <v>4181.08</v>
      </c>
      <c r="J469" s="12" t="n">
        <f aca="false">I469*$J$5</f>
        <v>5281.36421052632</v>
      </c>
    </row>
    <row r="470" customFormat="false" ht="15" hidden="false" customHeight="true" outlineLevel="0" collapsed="false">
      <c r="A470" s="12" t="n">
        <v>4415002</v>
      </c>
      <c r="B470" s="12" t="str">
        <f aca="false">IFERROR(INDEX('בתי מרקחת Raw'!$B:$B,MATCH($A470,'בתי מרקחת Raw'!$F:$F,0)),"")</f>
        <v>26 S סד ליד דו צדדי לאחר שבר</v>
      </c>
      <c r="C470" s="12" t="n">
        <f aca="false">SUMIFS('בתי מרקחת Raw'!$D$6:$D$1616,'בתי מרקחת Raw'!$F$6:$F$1616,$A470,'בתי מרקחת Raw'!$C$6:$C$1616,2025)</f>
        <v>53</v>
      </c>
      <c r="D470" s="12" t="n">
        <f aca="false">SUMIFS('בתי מרקחת Raw'!$D$6:$D$1616,'בתי מרקחת Raw'!$F$6:$F$1616,$A470,'בתי מרקחת Raw'!$C$6:$C$1616,2026)</f>
        <v>28</v>
      </c>
      <c r="E470" s="12" t="n">
        <f aca="false">D470*$J$5</f>
        <v>35.3684210526316</v>
      </c>
      <c r="F470" s="12" t="n">
        <f aca="false">E470-C470</f>
        <v>-17.6315789473684</v>
      </c>
      <c r="G470" s="21" t="n">
        <f aca="false">IF(AND(C470=0,E470=0),0,IF(C470=0,"New",(E470-C470)/C470))</f>
        <v>-0.332671300893744</v>
      </c>
      <c r="H470" s="12" t="n">
        <f aca="false">SUMIFS('בתי מרקחת Raw'!$E$6:$E$1616,'בתי מרקחת Raw'!$F$6:$F$1616,$A470,'בתי מרקחת Raw'!$C$6:$C$1616,2025)</f>
        <v>5173.7</v>
      </c>
      <c r="I470" s="12" t="n">
        <f aca="false">SUMIFS('בתי מרקחת Raw'!$E$6:$E$1616,'בתי מרקחת Raw'!$F$6:$F$1616,$A470,'בתי מרקחת Raw'!$C$6:$C$1616,2026)</f>
        <v>2810.4</v>
      </c>
      <c r="J470" s="12" t="n">
        <f aca="false">I470*$J$5</f>
        <v>3549.97894736842</v>
      </c>
    </row>
    <row r="471" customFormat="false" ht="15" hidden="false" customHeight="true" outlineLevel="0" collapsed="false">
      <c r="A471" s="12" t="n">
        <v>4415003</v>
      </c>
      <c r="B471" s="12" t="str">
        <f aca="false">IFERROR(INDEX('בתי מרקחת Raw'!$B:$B,MATCH($A471,'בתי מרקחת Raw'!$F:$F,0)),"")</f>
        <v>26 XL סד ליד דו צדדי לאחר שבר</v>
      </c>
      <c r="C471" s="12" t="n">
        <f aca="false">SUMIFS('בתי מרקחת Raw'!$D$6:$D$1616,'בתי מרקחת Raw'!$F$6:$F$1616,$A471,'בתי מרקחת Raw'!$C$6:$C$1616,2025)</f>
        <v>70</v>
      </c>
      <c r="D471" s="12" t="n">
        <f aca="false">SUMIFS('בתי מרקחת Raw'!$D$6:$D$1616,'בתי מרקחת Raw'!$F$6:$F$1616,$A471,'בתי מרקחת Raw'!$C$6:$C$1616,2026)</f>
        <v>28</v>
      </c>
      <c r="E471" s="12" t="n">
        <f aca="false">D471*$J$5</f>
        <v>35.3684210526316</v>
      </c>
      <c r="F471" s="12" t="n">
        <f aca="false">E471-C471</f>
        <v>-34.6315789473684</v>
      </c>
      <c r="G471" s="21" t="n">
        <f aca="false">IF(AND(C471=0,E471=0),0,IF(C471=0,"New",(E471-C471)/C471))</f>
        <v>-0.494736842105263</v>
      </c>
      <c r="H471" s="12" t="n">
        <f aca="false">SUMIFS('בתי מרקחת Raw'!$E$6:$E$1616,'בתי מרקחת Raw'!$F$6:$F$1616,$A471,'בתי מרקחת Raw'!$C$6:$C$1616,2025)</f>
        <v>6818.9</v>
      </c>
      <c r="I471" s="12" t="n">
        <f aca="false">SUMIFS('בתי מרקחת Raw'!$E$6:$E$1616,'בתי מרקחת Raw'!$F$6:$F$1616,$A471,'בתי מרקחת Raw'!$C$6:$C$1616,2026)</f>
        <v>2804.5</v>
      </c>
      <c r="J471" s="12" t="n">
        <f aca="false">I471*$J$5</f>
        <v>3542.52631578947</v>
      </c>
    </row>
    <row r="472" customFormat="false" ht="15" hidden="false" customHeight="true" outlineLevel="0" collapsed="false">
      <c r="A472" s="12" t="n">
        <v>4415004</v>
      </c>
      <c r="B472" s="12" t="str">
        <f aca="false">IFERROR(INDEX('בתי מרקחת Raw'!$B:$B,MATCH($A472,'בתי מרקחת Raw'!$F:$F,0)),"")</f>
        <v>26 XXL סד ליד דו צדדי לאחר שבר</v>
      </c>
      <c r="C472" s="12" t="n">
        <f aca="false">SUMIFS('בתי מרקחת Raw'!$D$6:$D$1616,'בתי מרקחת Raw'!$F$6:$F$1616,$A472,'בתי מרקחת Raw'!$C$6:$C$1616,2025)</f>
        <v>3</v>
      </c>
      <c r="D472" s="12" t="n">
        <f aca="false">SUMIFS('בתי מרקחת Raw'!$D$6:$D$1616,'בתי מרקחת Raw'!$F$6:$F$1616,$A472,'בתי מרקחת Raw'!$C$6:$C$1616,2026)</f>
        <v>2</v>
      </c>
      <c r="E472" s="12" t="n">
        <f aca="false">D472*$J$5</f>
        <v>2.52631578947368</v>
      </c>
      <c r="F472" s="12" t="n">
        <f aca="false">E472-C472</f>
        <v>-0.473684210526316</v>
      </c>
      <c r="G472" s="21" t="n">
        <f aca="false">IF(AND(C472=0,E472=0),0,IF(C472=0,"New",(E472-C472)/C472))</f>
        <v>-0.157894736842105</v>
      </c>
      <c r="H472" s="12" t="n">
        <f aca="false">SUMIFS('בתי מרקחת Raw'!$E$6:$E$1616,'בתי מרקחת Raw'!$F$6:$F$1616,$A472,'בתי מרקחת Raw'!$C$6:$C$1616,2025)</f>
        <v>309.2</v>
      </c>
      <c r="I472" s="12" t="n">
        <f aca="false">SUMIFS('בתי מרקחת Raw'!$E$6:$E$1616,'בתי מרקחת Raw'!$F$6:$F$1616,$A472,'בתי מרקחת Raw'!$C$6:$C$1616,2026)</f>
        <v>206.1</v>
      </c>
      <c r="J472" s="12" t="n">
        <f aca="false">I472*$J$5</f>
        <v>260.336842105263</v>
      </c>
    </row>
    <row r="473" customFormat="false" ht="15" hidden="false" customHeight="true" outlineLevel="0" collapsed="false">
      <c r="A473" s="12" t="n">
        <v>4415005</v>
      </c>
      <c r="B473" s="12" t="str">
        <f aca="false">IFERROR(INDEX('בתי מרקחת Raw'!$B:$B,MATCH($A473,'בתי מרקחת Raw'!$F:$F,0)),"")</f>
        <v>28 L סד לאגודל לאחר שבר</v>
      </c>
      <c r="C473" s="12" t="n">
        <f aca="false">SUMIFS('בתי מרקחת Raw'!$D$6:$D$1616,'בתי מרקחת Raw'!$F$6:$F$1616,$A473,'בתי מרקחת Raw'!$C$6:$C$1616,2025)</f>
        <v>65</v>
      </c>
      <c r="D473" s="12" t="n">
        <f aca="false">SUMIFS('בתי מרקחת Raw'!$D$6:$D$1616,'בתי מרקחת Raw'!$F$6:$F$1616,$A473,'בתי מרקחת Raw'!$C$6:$C$1616,2026)</f>
        <v>32</v>
      </c>
      <c r="E473" s="12" t="n">
        <f aca="false">D473*$J$5</f>
        <v>40.4210526315789</v>
      </c>
      <c r="F473" s="12" t="n">
        <f aca="false">E473-C473</f>
        <v>-24.5789473684211</v>
      </c>
      <c r="G473" s="21" t="n">
        <f aca="false">IF(AND(C473=0,E473=0),0,IF(C473=0,"New",(E473-C473)/C473))</f>
        <v>-0.378137651821862</v>
      </c>
      <c r="H473" s="12" t="n">
        <f aca="false">SUMIFS('בתי מרקחת Raw'!$E$6:$E$1616,'בתי מרקחת Raw'!$F$6:$F$1616,$A473,'בתי מרקחת Raw'!$C$6:$C$1616,2025)</f>
        <v>6495.03</v>
      </c>
      <c r="I473" s="12" t="n">
        <f aca="false">SUMIFS('בתי מרקחת Raw'!$E$6:$E$1616,'בתי מרקחת Raw'!$F$6:$F$1616,$A473,'בתי מרקחת Raw'!$C$6:$C$1616,2026)</f>
        <v>3194.4</v>
      </c>
      <c r="J473" s="12" t="n">
        <f aca="false">I473*$J$5</f>
        <v>4035.03157894737</v>
      </c>
    </row>
    <row r="474" customFormat="false" ht="15" hidden="false" customHeight="true" outlineLevel="0" collapsed="false">
      <c r="A474" s="12" t="n">
        <v>4415006</v>
      </c>
      <c r="B474" s="12" t="str">
        <f aca="false">IFERROR(INDEX('בתי מרקחת Raw'!$B:$B,MATCH($A474,'בתי מרקחת Raw'!$F:$F,0)),"")</f>
        <v>28 M סד לאגודל לאחר שבר</v>
      </c>
      <c r="C474" s="12" t="n">
        <f aca="false">SUMIFS('בתי מרקחת Raw'!$D$6:$D$1616,'בתי מרקחת Raw'!$F$6:$F$1616,$A474,'בתי מרקחת Raw'!$C$6:$C$1616,2025)</f>
        <v>81</v>
      </c>
      <c r="D474" s="12" t="n">
        <f aca="false">SUMIFS('בתי מרקחת Raw'!$D$6:$D$1616,'בתי מרקחת Raw'!$F$6:$F$1616,$A474,'בתי מרקחת Raw'!$C$6:$C$1616,2026)</f>
        <v>45</v>
      </c>
      <c r="E474" s="12" t="n">
        <f aca="false">D474*$J$5</f>
        <v>56.8421052631579</v>
      </c>
      <c r="F474" s="12" t="n">
        <f aca="false">E474-C474</f>
        <v>-24.1578947368421</v>
      </c>
      <c r="G474" s="21" t="n">
        <f aca="false">IF(AND(C474=0,E474=0),0,IF(C474=0,"New",(E474-C474)/C474))</f>
        <v>-0.298245614035088</v>
      </c>
      <c r="H474" s="12" t="n">
        <f aca="false">SUMIFS('בתי מרקחת Raw'!$E$6:$E$1616,'בתי מרקחת Raw'!$F$6:$F$1616,$A474,'בתי מרקחת Raw'!$C$6:$C$1616,2025)</f>
        <v>7885.57</v>
      </c>
      <c r="I474" s="12" t="n">
        <f aca="false">SUMIFS('בתי מרקחת Raw'!$E$6:$E$1616,'בתי מרקחת Raw'!$F$6:$F$1616,$A474,'בתי מרקחת Raw'!$C$6:$C$1616,2026)</f>
        <v>4351.2</v>
      </c>
      <c r="J474" s="12" t="n">
        <f aca="false">I474*$J$5</f>
        <v>5496.25263157895</v>
      </c>
    </row>
    <row r="475" customFormat="false" ht="15" hidden="false" customHeight="true" outlineLevel="0" collapsed="false">
      <c r="A475" s="12" t="n">
        <v>4415007</v>
      </c>
      <c r="B475" s="12" t="str">
        <f aca="false">IFERROR(INDEX('בתי מרקחת Raw'!$B:$B,MATCH($A475,'בתי מרקחת Raw'!$F:$F,0)),"")</f>
        <v>28 S סד לאגודל לאחר שבר</v>
      </c>
      <c r="C475" s="12" t="n">
        <f aca="false">SUMIFS('בתי מרקחת Raw'!$D$6:$D$1616,'בתי מרקחת Raw'!$F$6:$F$1616,$A475,'בתי מרקחת Raw'!$C$6:$C$1616,2025)</f>
        <v>63</v>
      </c>
      <c r="D475" s="12" t="n">
        <f aca="false">SUMIFS('בתי מרקחת Raw'!$D$6:$D$1616,'בתי מרקחת Raw'!$F$6:$F$1616,$A475,'בתי מרקחת Raw'!$C$6:$C$1616,2026)</f>
        <v>14</v>
      </c>
      <c r="E475" s="12" t="n">
        <f aca="false">D475*$J$5</f>
        <v>17.6842105263158</v>
      </c>
      <c r="F475" s="12" t="n">
        <f aca="false">E475-C475</f>
        <v>-45.3157894736842</v>
      </c>
      <c r="G475" s="21" t="n">
        <f aca="false">IF(AND(C475=0,E475=0),0,IF(C475=0,"New",(E475-C475)/C475))</f>
        <v>-0.719298245614035</v>
      </c>
      <c r="H475" s="12" t="n">
        <f aca="false">SUMIFS('בתי מרקחת Raw'!$E$6:$E$1616,'בתי מרקחת Raw'!$F$6:$F$1616,$A475,'בתי מרקחת Raw'!$C$6:$C$1616,2025)</f>
        <v>6160.78</v>
      </c>
      <c r="I475" s="12" t="n">
        <f aca="false">SUMIFS('בתי מרקחת Raw'!$E$6:$E$1616,'בתי מרקחת Raw'!$F$6:$F$1616,$A475,'בתי מרקחת Raw'!$C$6:$C$1616,2026)</f>
        <v>1411.97</v>
      </c>
      <c r="J475" s="12" t="n">
        <f aca="false">I475*$J$5</f>
        <v>1783.54105263158</v>
      </c>
    </row>
    <row r="476" customFormat="false" ht="15" hidden="false" customHeight="true" outlineLevel="0" collapsed="false">
      <c r="A476" s="12" t="n">
        <v>4415008</v>
      </c>
      <c r="B476" s="12" t="str">
        <f aca="false">IFERROR(INDEX('בתי מרקחת Raw'!$B:$B,MATCH($A476,'בתי מרקחת Raw'!$F:$F,0)),"")</f>
        <v>28 XL סד לאגודל לאחר שבר</v>
      </c>
      <c r="C476" s="12" t="n">
        <f aca="false">SUMIFS('בתי מרקחת Raw'!$D$6:$D$1616,'בתי מרקחת Raw'!$F$6:$F$1616,$A476,'בתי מרקחת Raw'!$C$6:$C$1616,2025)</f>
        <v>35</v>
      </c>
      <c r="D476" s="12" t="n">
        <f aca="false">SUMIFS('בתי מרקחת Raw'!$D$6:$D$1616,'בתי מרקחת Raw'!$F$6:$F$1616,$A476,'בתי מרקחת Raw'!$C$6:$C$1616,2026)</f>
        <v>19</v>
      </c>
      <c r="E476" s="12" t="n">
        <f aca="false">D476*$J$5</f>
        <v>24</v>
      </c>
      <c r="F476" s="12" t="n">
        <f aca="false">E476-C476</f>
        <v>-11</v>
      </c>
      <c r="G476" s="21" t="n">
        <f aca="false">IF(AND(C476=0,E476=0),0,IF(C476=0,"New",(E476-C476)/C476))</f>
        <v>-0.314285714285714</v>
      </c>
      <c r="H476" s="12" t="n">
        <f aca="false">SUMIFS('בתי מרקחת Raw'!$E$6:$E$1616,'בתי מרקחת Raw'!$F$6:$F$1616,$A476,'בתי מרקחת Raw'!$C$6:$C$1616,2025)</f>
        <v>3510.37</v>
      </c>
      <c r="I476" s="12" t="n">
        <f aca="false">SUMIFS('בתי מרקחת Raw'!$E$6:$E$1616,'בתי מרקחת Raw'!$F$6:$F$1616,$A476,'בתי מרקחת Raw'!$C$6:$C$1616,2026)</f>
        <v>1880.3</v>
      </c>
      <c r="J476" s="12" t="n">
        <f aca="false">I476*$J$5</f>
        <v>2375.11578947368</v>
      </c>
    </row>
    <row r="477" customFormat="false" ht="15" hidden="false" customHeight="true" outlineLevel="0" collapsed="false">
      <c r="A477" s="12" t="n">
        <v>4415012</v>
      </c>
      <c r="B477" s="12" t="str">
        <f aca="false">IFERROR(INDEX('בתי מרקחת Raw'!$B:$B,MATCH($A477,'בתי מרקחת Raw'!$F:$F,0)),"")</f>
        <v>32 M  סד קרסול+מוטות אלומיניום</v>
      </c>
      <c r="C477" s="12" t="n">
        <f aca="false">SUMIFS('בתי מרקחת Raw'!$D$6:$D$1616,'בתי מרקחת Raw'!$F$6:$F$1616,$A477,'בתי מרקחת Raw'!$C$6:$C$1616,2025)</f>
        <v>1</v>
      </c>
      <c r="D477" s="12" t="n">
        <f aca="false">SUMIFS('בתי מרקחת Raw'!$D$6:$D$1616,'בתי מרקחת Raw'!$F$6:$F$1616,$A477,'בתי מרקחת Raw'!$C$6:$C$1616,2026)</f>
        <v>0</v>
      </c>
      <c r="E477" s="12" t="n">
        <f aca="false">D477*$J$5</f>
        <v>0</v>
      </c>
      <c r="F477" s="12" t="n">
        <f aca="false">E477-C477</f>
        <v>-1</v>
      </c>
      <c r="G477" s="21" t="n">
        <f aca="false">IF(AND(C477=0,E477=0),0,IF(C477=0,"New",(E477-C477)/C477))</f>
        <v>-1</v>
      </c>
      <c r="H477" s="12" t="n">
        <f aca="false">SUMIFS('בתי מרקחת Raw'!$E$6:$E$1616,'בתי מרקחת Raw'!$F$6:$F$1616,$A477,'בתי מרקחת Raw'!$C$6:$C$1616,2025)</f>
        <v>198.6</v>
      </c>
      <c r="I477" s="12" t="n">
        <f aca="false">SUMIFS('בתי מרקחת Raw'!$E$6:$E$1616,'בתי מרקחת Raw'!$F$6:$F$1616,$A477,'בתי מרקחת Raw'!$C$6:$C$1616,2026)</f>
        <v>0</v>
      </c>
      <c r="J477" s="12" t="n">
        <f aca="false">I477*$J$5</f>
        <v>0</v>
      </c>
    </row>
    <row r="478" customFormat="false" ht="15" hidden="false" customHeight="true" outlineLevel="0" collapsed="false">
      <c r="A478" s="12" t="n">
        <v>4415013</v>
      </c>
      <c r="B478" s="12" t="str">
        <f aca="false">IFERROR(INDEX('בתי מרקחת Raw'!$B:$B,MATCH($A478,'בתי מרקחת Raw'!$F:$F,0)),"")</f>
        <v>32 XL סד קרסול+מוטות אלומיניום</v>
      </c>
      <c r="C478" s="12" t="n">
        <f aca="false">SUMIFS('בתי מרקחת Raw'!$D$6:$D$1616,'בתי מרקחת Raw'!$F$6:$F$1616,$A478,'בתי מרקחת Raw'!$C$6:$C$1616,2025)</f>
        <v>0</v>
      </c>
      <c r="D478" s="12" t="n">
        <f aca="false">SUMIFS('בתי מרקחת Raw'!$D$6:$D$1616,'בתי מרקחת Raw'!$F$6:$F$1616,$A478,'בתי מרקחת Raw'!$C$6:$C$1616,2026)</f>
        <v>2</v>
      </c>
      <c r="E478" s="12" t="n">
        <f aca="false">D478*$J$5</f>
        <v>2.52631578947368</v>
      </c>
      <c r="F478" s="12" t="n">
        <f aca="false">E478-C478</f>
        <v>2.52631578947368</v>
      </c>
      <c r="G478" s="21" t="str">
        <f aca="false">IF(AND(C478=0,E478=0),0,IF(C478=0,"New",(E478-C478)/C478))</f>
        <v>New</v>
      </c>
      <c r="H478" s="12" t="n">
        <f aca="false">SUMIFS('בתי מרקחת Raw'!$E$6:$E$1616,'בתי מרקחת Raw'!$F$6:$F$1616,$A478,'בתי מרקחת Raw'!$C$6:$C$1616,2025)</f>
        <v>0</v>
      </c>
      <c r="I478" s="12" t="n">
        <f aca="false">SUMIFS('בתי מרקחת Raw'!$E$6:$E$1616,'בתי מרקחת Raw'!$F$6:$F$1616,$A478,'בתי מרקחת Raw'!$C$6:$C$1616,2026)</f>
        <v>425.5</v>
      </c>
      <c r="J478" s="12" t="n">
        <f aca="false">I478*$J$5</f>
        <v>537.473684210526</v>
      </c>
    </row>
    <row r="479" customFormat="false" ht="15" hidden="false" customHeight="true" outlineLevel="0" collapsed="false">
      <c r="A479" s="12" t="n">
        <v>4415019</v>
      </c>
      <c r="B479" s="12" t="str">
        <f aca="false">IFERROR(INDEX('בתי מרקחת Raw'!$B:$B,MATCH($A479,'בתי מרקחת Raw'!$F:$F,0)),"")</f>
        <v>333 סד לקרסול עם כריות אויר</v>
      </c>
      <c r="C479" s="12" t="n">
        <f aca="false">SUMIFS('בתי מרקחת Raw'!$D$6:$D$1616,'בתי מרקחת Raw'!$F$6:$F$1616,$A479,'בתי מרקחת Raw'!$C$6:$C$1616,2025)</f>
        <v>10</v>
      </c>
      <c r="D479" s="12" t="n">
        <f aca="false">SUMIFS('בתי מרקחת Raw'!$D$6:$D$1616,'בתי מרקחת Raw'!$F$6:$F$1616,$A479,'בתי מרקחת Raw'!$C$6:$C$1616,2026)</f>
        <v>9</v>
      </c>
      <c r="E479" s="12" t="n">
        <f aca="false">D479*$J$5</f>
        <v>11.3684210526316</v>
      </c>
      <c r="F479" s="12" t="n">
        <f aca="false">E479-C479</f>
        <v>1.36842105263158</v>
      </c>
      <c r="G479" s="21" t="n">
        <f aca="false">IF(AND(C479=0,E479=0),0,IF(C479=0,"New",(E479-C479)/C479))</f>
        <v>0.136842105263158</v>
      </c>
      <c r="H479" s="12" t="n">
        <f aca="false">SUMIFS('בתי מרקחת Raw'!$E$6:$E$1616,'בתי מרקחת Raw'!$F$6:$F$1616,$A479,'בתי מרקחת Raw'!$C$6:$C$1616,2025)</f>
        <v>1362.8</v>
      </c>
      <c r="I479" s="12" t="n">
        <f aca="false">SUMIFS('בתי מרקחת Raw'!$E$6:$E$1616,'בתי מרקחת Raw'!$F$6:$F$1616,$A479,'בתי מרקחת Raw'!$C$6:$C$1616,2026)</f>
        <v>1094.9</v>
      </c>
      <c r="J479" s="12" t="n">
        <f aca="false">I479*$J$5</f>
        <v>1383.03157894737</v>
      </c>
    </row>
    <row r="480" customFormat="false" ht="15" hidden="false" customHeight="true" outlineLevel="0" collapsed="false">
      <c r="A480" s="12" t="n">
        <v>4415025</v>
      </c>
      <c r="B480" s="12" t="str">
        <f aca="false">IFERROR(INDEX('בתי מרקחת Raw'!$B:$B,MATCH($A480,'בתי מרקחת Raw'!$F:$F,0)),"")</f>
        <v>28-XS סד לאגודל לאחר שבר</v>
      </c>
      <c r="C480" s="12" t="n">
        <f aca="false">SUMIFS('בתי מרקחת Raw'!$D$6:$D$1616,'בתי מרקחת Raw'!$F$6:$F$1616,$A480,'בתי מרקחת Raw'!$C$6:$C$1616,2025)</f>
        <v>2</v>
      </c>
      <c r="D480" s="12" t="n">
        <f aca="false">SUMIFS('בתי מרקחת Raw'!$D$6:$D$1616,'בתי מרקחת Raw'!$F$6:$F$1616,$A480,'בתי מרקחת Raw'!$C$6:$C$1616,2026)</f>
        <v>1</v>
      </c>
      <c r="E480" s="12" t="n">
        <f aca="false">D480*$J$5</f>
        <v>1.26315789473684</v>
      </c>
      <c r="F480" s="12" t="n">
        <f aca="false">E480-C480</f>
        <v>-0.736842105263158</v>
      </c>
      <c r="G480" s="21" t="n">
        <f aca="false">IF(AND(C480=0,E480=0),0,IF(C480=0,"New",(E480-C480)/C480))</f>
        <v>-0.368421052631579</v>
      </c>
      <c r="H480" s="12" t="n">
        <f aca="false">SUMIFS('בתי מרקחת Raw'!$E$6:$E$1616,'בתי מרקחת Raw'!$F$6:$F$1616,$A480,'בתי מרקחת Raw'!$C$6:$C$1616,2025)</f>
        <v>199.3</v>
      </c>
      <c r="I480" s="12" t="n">
        <f aca="false">SUMIFS('בתי מרקחת Raw'!$E$6:$E$1616,'בתי מרקחת Raw'!$F$6:$F$1616,$A480,'בתי מרקחת Raw'!$C$6:$C$1616,2026)</f>
        <v>103.09</v>
      </c>
      <c r="J480" s="12" t="n">
        <f aca="false">I480*$J$5</f>
        <v>130.218947368421</v>
      </c>
    </row>
    <row r="481" customFormat="false" ht="15" hidden="false" customHeight="true" outlineLevel="0" collapsed="false">
      <c r="A481" s="12" t="n">
        <v>4415026</v>
      </c>
      <c r="B481" s="12" t="str">
        <f aca="false">IFERROR(INDEX('בתי מרקחת Raw'!$B:$B,MATCH($A481,'בתי מרקחת Raw'!$F:$F,0)),"")</f>
        <v>AC-27L סד לש.כף יד שמאל</v>
      </c>
      <c r="C481" s="12" t="n">
        <f aca="false">SUMIFS('בתי מרקחת Raw'!$D$6:$D$1616,'בתי מרקחת Raw'!$F$6:$F$1616,$A481,'בתי מרקחת Raw'!$C$6:$C$1616,2025)</f>
        <v>371</v>
      </c>
      <c r="D481" s="12" t="n">
        <f aca="false">SUMIFS('בתי מרקחת Raw'!$D$6:$D$1616,'בתי מרקחת Raw'!$F$6:$F$1616,$A481,'בתי מרקחת Raw'!$C$6:$C$1616,2026)</f>
        <v>204</v>
      </c>
      <c r="E481" s="12" t="n">
        <f aca="false">D481*$J$5</f>
        <v>257.684210526316</v>
      </c>
      <c r="F481" s="12" t="n">
        <f aca="false">E481-C481</f>
        <v>-113.315789473684</v>
      </c>
      <c r="G481" s="21" t="n">
        <f aca="false">IF(AND(C481=0,E481=0),0,IF(C481=0,"New",(E481-C481)/C481))</f>
        <v>-0.305433394807774</v>
      </c>
      <c r="H481" s="12" t="n">
        <f aca="false">SUMIFS('בתי מרקחת Raw'!$E$6:$E$1616,'בתי מרקחת Raw'!$F$6:$F$1616,$A481,'בתי מרקחת Raw'!$C$6:$C$1616,2025)</f>
        <v>15302.54</v>
      </c>
      <c r="I481" s="12" t="n">
        <f aca="false">SUMIFS('בתי מרקחת Raw'!$E$6:$E$1616,'בתי מרקחת Raw'!$F$6:$F$1616,$A481,'בתי מרקחת Raw'!$C$6:$C$1616,2026)</f>
        <v>8299.09</v>
      </c>
      <c r="J481" s="12" t="n">
        <f aca="false">I481*$J$5</f>
        <v>10483.0610526316</v>
      </c>
    </row>
    <row r="482" customFormat="false" ht="15" hidden="false" customHeight="true" outlineLevel="0" collapsed="false">
      <c r="A482" s="12" t="n">
        <v>4415027</v>
      </c>
      <c r="B482" s="12" t="str">
        <f aca="false">IFERROR(INDEX('בתי מרקחת Raw'!$B:$B,MATCH($A482,'בתי מרקחת Raw'!$F:$F,0)),"")</f>
        <v>AC-27R סד לש.כף יד ימין</v>
      </c>
      <c r="C482" s="12" t="n">
        <f aca="false">SUMIFS('בתי מרקחת Raw'!$D$6:$D$1616,'בתי מרקחת Raw'!$F$6:$F$1616,$A482,'בתי מרקחת Raw'!$C$6:$C$1616,2025)</f>
        <v>418</v>
      </c>
      <c r="D482" s="12" t="n">
        <f aca="false">SUMIFS('בתי מרקחת Raw'!$D$6:$D$1616,'בתי מרקחת Raw'!$F$6:$F$1616,$A482,'בתי מרקחת Raw'!$C$6:$C$1616,2026)</f>
        <v>281</v>
      </c>
      <c r="E482" s="12" t="n">
        <f aca="false">D482*$J$5</f>
        <v>354.947368421053</v>
      </c>
      <c r="F482" s="12" t="n">
        <f aca="false">E482-C482</f>
        <v>-63.0526315789474</v>
      </c>
      <c r="G482" s="21" t="n">
        <f aca="false">IF(AND(C482=0,E482=0),0,IF(C482=0,"New",(E482-C482)/C482))</f>
        <v>-0.150843616217578</v>
      </c>
      <c r="H482" s="12" t="n">
        <f aca="false">SUMIFS('בתי מרקחת Raw'!$E$6:$E$1616,'בתי מרקחת Raw'!$F$6:$F$1616,$A482,'בתי מרקחת Raw'!$C$6:$C$1616,2025)</f>
        <v>16716</v>
      </c>
      <c r="I482" s="12" t="n">
        <f aca="false">SUMIFS('בתי מרקחת Raw'!$E$6:$E$1616,'בתי מרקחת Raw'!$F$6:$F$1616,$A482,'בתי מרקחת Raw'!$C$6:$C$1616,2026)</f>
        <v>11967.42</v>
      </c>
      <c r="J482" s="12" t="n">
        <f aca="false">I482*$J$5</f>
        <v>15116.7410526316</v>
      </c>
    </row>
    <row r="483" customFormat="false" ht="15" hidden="false" customHeight="true" outlineLevel="0" collapsed="false">
      <c r="A483" s="12" t="n">
        <v>4415028</v>
      </c>
      <c r="B483" s="12" t="str">
        <f aca="false">IFERROR(INDEX('בתי מרקחת Raw'!$B:$B,MATCH($A483,'בתי מרקחת Raw'!$F:$F,0)),"")</f>
        <v>AC-28 סד לאגודל</v>
      </c>
      <c r="C483" s="12" t="n">
        <f aca="false">SUMIFS('בתי מרקחת Raw'!$D$6:$D$1616,'בתי מרקחת Raw'!$F$6:$F$1616,$A483,'בתי מרקחת Raw'!$C$6:$C$1616,2025)</f>
        <v>704</v>
      </c>
      <c r="D483" s="12" t="n">
        <f aca="false">SUMIFS('בתי מרקחת Raw'!$D$6:$D$1616,'בתי מרקחת Raw'!$F$6:$F$1616,$A483,'בתי מרקחת Raw'!$C$6:$C$1616,2026)</f>
        <v>489</v>
      </c>
      <c r="E483" s="12" t="n">
        <f aca="false">D483*$J$5</f>
        <v>617.684210526316</v>
      </c>
      <c r="F483" s="12" t="n">
        <f aca="false">E483-C483</f>
        <v>-86.3157894736843</v>
      </c>
      <c r="G483" s="21" t="n">
        <f aca="false">IF(AND(C483=0,E483=0),0,IF(C483=0,"New",(E483-C483)/C483))</f>
        <v>-0.122607655502392</v>
      </c>
      <c r="H483" s="12" t="n">
        <f aca="false">SUMIFS('בתי מרקחת Raw'!$E$6:$E$1616,'בתי מרקחת Raw'!$F$6:$F$1616,$A483,'בתי מרקחת Raw'!$C$6:$C$1616,2025)</f>
        <v>25486.81</v>
      </c>
      <c r="I483" s="12" t="n">
        <f aca="false">SUMIFS('בתי מרקחת Raw'!$E$6:$E$1616,'בתי מרקחת Raw'!$F$6:$F$1616,$A483,'בתי מרקחת Raw'!$C$6:$C$1616,2026)</f>
        <v>19090.77</v>
      </c>
      <c r="J483" s="12" t="n">
        <f aca="false">I483*$J$5</f>
        <v>24114.6568421053</v>
      </c>
    </row>
    <row r="484" customFormat="false" ht="15" hidden="false" customHeight="true" outlineLevel="0" collapsed="false">
      <c r="A484" s="12" t="n">
        <v>4415029</v>
      </c>
      <c r="B484" s="12" t="str">
        <f aca="false">IFERROR(INDEX('בתי מרקחת Raw'!$B:$B,MATCH($A484,'בתי מרקחת Raw'!$F:$F,0)),"")</f>
        <v>סד קיבוע לאצבע הדק</v>
      </c>
      <c r="C484" s="12" t="n">
        <f aca="false">SUMIFS('בתי מרקחת Raw'!$D$6:$D$1616,'בתי מרקחת Raw'!$F$6:$F$1616,$A484,'בתי מרקחת Raw'!$C$6:$C$1616,2025)</f>
        <v>54</v>
      </c>
      <c r="D484" s="12" t="n">
        <f aca="false">SUMIFS('בתי מרקחת Raw'!$D$6:$D$1616,'בתי מרקחת Raw'!$F$6:$F$1616,$A484,'בתי מרקחת Raw'!$C$6:$C$1616,2026)</f>
        <v>56</v>
      </c>
      <c r="E484" s="12" t="n">
        <f aca="false">D484*$J$5</f>
        <v>70.7368421052632</v>
      </c>
      <c r="F484" s="12" t="n">
        <f aca="false">E484-C484</f>
        <v>16.7368421052632</v>
      </c>
      <c r="G484" s="21" t="n">
        <f aca="false">IF(AND(C484=0,E484=0),0,IF(C484=0,"New",(E484-C484)/C484))</f>
        <v>0.309941520467836</v>
      </c>
      <c r="H484" s="12" t="n">
        <f aca="false">SUMIFS('בתי מרקחת Raw'!$E$6:$E$1616,'בתי מרקחת Raw'!$F$6:$F$1616,$A484,'בתי מרקחת Raw'!$C$6:$C$1616,2025)</f>
        <v>1595.84</v>
      </c>
      <c r="I484" s="12" t="n">
        <f aca="false">SUMIFS('בתי מרקחת Raw'!$E$6:$E$1616,'בתי מרקחת Raw'!$F$6:$F$1616,$A484,'בתי מרקחת Raw'!$C$6:$C$1616,2026)</f>
        <v>1689.36</v>
      </c>
      <c r="J484" s="12" t="n">
        <f aca="false">I484*$J$5</f>
        <v>2133.92842105263</v>
      </c>
    </row>
    <row r="485" customFormat="false" ht="15" hidden="false" customHeight="true" outlineLevel="0" collapsed="false">
      <c r="A485" s="12" t="n">
        <v>4415067</v>
      </c>
      <c r="B485" s="12" t="str">
        <f aca="false">IFERROR(INDEX('בתי מרקחת Raw'!$B:$B,MATCH($A485,'בתי מרקחת Raw'!$F:$F,0)),"")</f>
        <v>T28 XL סד לאגודל כפפה</v>
      </c>
      <c r="C485" s="12" t="n">
        <f aca="false">SUMIFS('בתי מרקחת Raw'!$D$6:$D$1616,'בתי מרקחת Raw'!$F$6:$F$1616,$A485,'בתי מרקחת Raw'!$C$6:$C$1616,2025)</f>
        <v>0</v>
      </c>
      <c r="D485" s="12" t="n">
        <f aca="false">SUMIFS('בתי מרקחת Raw'!$D$6:$D$1616,'בתי מרקחת Raw'!$F$6:$F$1616,$A485,'בתי מרקחת Raw'!$C$6:$C$1616,2026)</f>
        <v>3</v>
      </c>
      <c r="E485" s="12" t="n">
        <f aca="false">D485*$J$5</f>
        <v>3.78947368421053</v>
      </c>
      <c r="F485" s="12" t="n">
        <f aca="false">E485-C485</f>
        <v>3.78947368421053</v>
      </c>
      <c r="G485" s="21" t="str">
        <f aca="false">IF(AND(C485=0,E485=0),0,IF(C485=0,"New",(E485-C485)/C485))</f>
        <v>New</v>
      </c>
      <c r="H485" s="12" t="n">
        <f aca="false">SUMIFS('בתי מרקחת Raw'!$E$6:$E$1616,'בתי מרקחת Raw'!$F$6:$F$1616,$A485,'בתי מרקחת Raw'!$C$6:$C$1616,2025)</f>
        <v>-13</v>
      </c>
      <c r="I485" s="12" t="n">
        <f aca="false">SUMIFS('בתי מרקחת Raw'!$E$6:$E$1616,'בתי מרקחת Raw'!$F$6:$F$1616,$A485,'בתי מרקחת Raw'!$C$6:$C$1616,2026)</f>
        <v>209.7</v>
      </c>
      <c r="J485" s="12" t="n">
        <f aca="false">I485*$J$5</f>
        <v>264.884210526316</v>
      </c>
    </row>
    <row r="486" customFormat="false" ht="15" hidden="false" customHeight="true" outlineLevel="0" collapsed="false">
      <c r="A486" s="12" t="n">
        <v>4415069</v>
      </c>
      <c r="B486" s="12" t="str">
        <f aca="false">IFERROR(INDEX('בתי מרקחת Raw'!$B:$B,MATCH($A486,'בתי מרקחת Raw'!$F:$F,0)),"")</f>
        <v>T28C L סד לאגודל כפפה</v>
      </c>
      <c r="C486" s="12" t="n">
        <f aca="false">SUMIFS('בתי מרקחת Raw'!$D$6:$D$1616,'בתי מרקחת Raw'!$F$6:$F$1616,$A486,'בתי מרקחת Raw'!$C$6:$C$1616,2025)</f>
        <v>7</v>
      </c>
      <c r="D486" s="12" t="n">
        <f aca="false">SUMIFS('בתי מרקחת Raw'!$D$6:$D$1616,'בתי מרקחת Raw'!$F$6:$F$1616,$A486,'בתי מרקחת Raw'!$C$6:$C$1616,2026)</f>
        <v>5</v>
      </c>
      <c r="E486" s="12" t="n">
        <f aca="false">D486*$J$5</f>
        <v>6.31578947368421</v>
      </c>
      <c r="F486" s="12" t="n">
        <f aca="false">E486-C486</f>
        <v>-0.684210526315789</v>
      </c>
      <c r="G486" s="21" t="n">
        <f aca="false">IF(AND(C486=0,E486=0),0,IF(C486=0,"New",(E486-C486)/C486))</f>
        <v>-0.0977443609022556</v>
      </c>
      <c r="H486" s="12" t="n">
        <f aca="false">SUMIFS('בתי מרקחת Raw'!$E$6:$E$1616,'בתי מרקחת Raw'!$F$6:$F$1616,$A486,'בתי מרקחת Raw'!$C$6:$C$1616,2025)</f>
        <v>486.6</v>
      </c>
      <c r="I486" s="12" t="n">
        <f aca="false">SUMIFS('בתי מרקחת Raw'!$E$6:$E$1616,'בתי מרקחת Raw'!$F$6:$F$1616,$A486,'בתי מרקחת Raw'!$C$6:$C$1616,2026)</f>
        <v>354.3</v>
      </c>
      <c r="J486" s="12" t="n">
        <f aca="false">I486*$J$5</f>
        <v>447.536842105263</v>
      </c>
    </row>
    <row r="487" customFormat="false" ht="15" hidden="false" customHeight="true" outlineLevel="0" collapsed="false">
      <c r="A487" s="12" t="n">
        <v>4415070</v>
      </c>
      <c r="B487" s="12" t="str">
        <f aca="false">IFERROR(INDEX('בתי מרקחת Raw'!$B:$B,MATCH($A487,'בתי מרקחת Raw'!$F:$F,0)),"")</f>
        <v>T28C M סד לאגודל כפפה</v>
      </c>
      <c r="C487" s="12" t="n">
        <f aca="false">SUMIFS('בתי מרקחת Raw'!$D$6:$D$1616,'בתי מרקחת Raw'!$F$6:$F$1616,$A487,'בתי מרקחת Raw'!$C$6:$C$1616,2025)</f>
        <v>1</v>
      </c>
      <c r="D487" s="12" t="n">
        <f aca="false">SUMIFS('בתי מרקחת Raw'!$D$6:$D$1616,'בתי מרקחת Raw'!$F$6:$F$1616,$A487,'בתי מרקחת Raw'!$C$6:$C$1616,2026)</f>
        <v>0</v>
      </c>
      <c r="E487" s="12" t="n">
        <f aca="false">D487*$J$5</f>
        <v>0</v>
      </c>
      <c r="F487" s="12" t="n">
        <f aca="false">E487-C487</f>
        <v>-1</v>
      </c>
      <c r="G487" s="21" t="n">
        <f aca="false">IF(AND(C487=0,E487=0),0,IF(C487=0,"New",(E487-C487)/C487))</f>
        <v>-1</v>
      </c>
      <c r="H487" s="12" t="n">
        <f aca="false">SUMIFS('בתי מרקחת Raw'!$E$6:$E$1616,'בתי מרקחת Raw'!$F$6:$F$1616,$A487,'בתי מרקחת Raw'!$C$6:$C$1616,2025)</f>
        <v>66.1</v>
      </c>
      <c r="I487" s="12" t="n">
        <f aca="false">SUMIFS('בתי מרקחת Raw'!$E$6:$E$1616,'בתי מרקחת Raw'!$F$6:$F$1616,$A487,'בתי מרקחת Raw'!$C$6:$C$1616,2026)</f>
        <v>0</v>
      </c>
      <c r="J487" s="12" t="n">
        <f aca="false">I487*$J$5</f>
        <v>0</v>
      </c>
    </row>
    <row r="488" customFormat="false" ht="15" hidden="false" customHeight="true" outlineLevel="0" collapsed="false">
      <c r="A488" s="12" t="n">
        <v>4415071</v>
      </c>
      <c r="B488" s="12" t="str">
        <f aca="false">IFERROR(INDEX('בתי מרקחת Raw'!$B:$B,MATCH($A488,'בתי מרקחת Raw'!$F:$F,0)),"")</f>
        <v>T28C  XL סד לאגודל כפפה</v>
      </c>
      <c r="C488" s="12" t="n">
        <f aca="false">SUMIFS('בתי מרקחת Raw'!$D$6:$D$1616,'בתי מרקחת Raw'!$F$6:$F$1616,$A488,'בתי מרקחת Raw'!$C$6:$C$1616,2025)</f>
        <v>4</v>
      </c>
      <c r="D488" s="12" t="n">
        <f aca="false">SUMIFS('בתי מרקחת Raw'!$D$6:$D$1616,'בתי מרקחת Raw'!$F$6:$F$1616,$A488,'בתי מרקחת Raw'!$C$6:$C$1616,2026)</f>
        <v>1</v>
      </c>
      <c r="E488" s="12" t="n">
        <f aca="false">D488*$J$5</f>
        <v>1.26315789473684</v>
      </c>
      <c r="F488" s="12" t="n">
        <f aca="false">E488-C488</f>
        <v>-2.73684210526316</v>
      </c>
      <c r="G488" s="21" t="n">
        <f aca="false">IF(AND(C488=0,E488=0),0,IF(C488=0,"New",(E488-C488)/C488))</f>
        <v>-0.68421052631579</v>
      </c>
      <c r="H488" s="12" t="n">
        <f aca="false">SUMIFS('בתי מרקחת Raw'!$E$6:$E$1616,'בתי מרקחת Raw'!$F$6:$F$1616,$A488,'בתי מרקחת Raw'!$C$6:$C$1616,2025)</f>
        <v>274</v>
      </c>
      <c r="I488" s="12" t="n">
        <f aca="false">SUMIFS('בתי מרקחת Raw'!$E$6:$E$1616,'בתי מרקחת Raw'!$F$6:$F$1616,$A488,'בתי מרקחת Raw'!$C$6:$C$1616,2026)</f>
        <v>70.9</v>
      </c>
      <c r="J488" s="12" t="n">
        <f aca="false">I488*$J$5</f>
        <v>89.5578947368421</v>
      </c>
    </row>
    <row r="489" customFormat="false" ht="15" hidden="false" customHeight="true" outlineLevel="0" collapsed="false">
      <c r="A489" s="12" t="n">
        <v>4415072</v>
      </c>
      <c r="B489" s="12" t="str">
        <f aca="false">IFERROR(INDEX('בתי מרקחת Raw'!$B:$B,MATCH($A489,'בתי מרקחת Raw'!$F:$F,0)),"")</f>
        <v>T28A S-M סד לאגודל</v>
      </c>
      <c r="C489" s="12" t="n">
        <f aca="false">SUMIFS('בתי מרקחת Raw'!$D$6:$D$1616,'בתי מרקחת Raw'!$F$6:$F$1616,$A489,'בתי מרקחת Raw'!$C$6:$C$1616,2025)</f>
        <v>47</v>
      </c>
      <c r="D489" s="12" t="n">
        <f aca="false">SUMIFS('בתי מרקחת Raw'!$D$6:$D$1616,'בתי מרקחת Raw'!$F$6:$F$1616,$A489,'בתי מרקחת Raw'!$C$6:$C$1616,2026)</f>
        <v>36</v>
      </c>
      <c r="E489" s="12" t="n">
        <f aca="false">D489*$J$5</f>
        <v>45.4736842105263</v>
      </c>
      <c r="F489" s="12" t="n">
        <f aca="false">E489-C489</f>
        <v>-1.52631578947369</v>
      </c>
      <c r="G489" s="21" t="n">
        <f aca="false">IF(AND(C489=0,E489=0),0,IF(C489=0,"New",(E489-C489)/C489))</f>
        <v>-0.032474804031355</v>
      </c>
      <c r="H489" s="12" t="n">
        <f aca="false">SUMIFS('בתי מרקחת Raw'!$E$6:$E$1616,'בתי מרקחת Raw'!$F$6:$F$1616,$A489,'בתי מרקחת Raw'!$C$6:$C$1616,2025)</f>
        <v>3144.3</v>
      </c>
      <c r="I489" s="12" t="n">
        <f aca="false">SUMIFS('בתי מרקחת Raw'!$E$6:$E$1616,'בתי מרקחת Raw'!$F$6:$F$1616,$A489,'בתי מרקחת Raw'!$C$6:$C$1616,2026)</f>
        <v>2425.4</v>
      </c>
      <c r="J489" s="12" t="n">
        <f aca="false">I489*$J$5</f>
        <v>3063.66315789474</v>
      </c>
    </row>
    <row r="490" customFormat="false" ht="15" hidden="false" customHeight="true" outlineLevel="0" collapsed="false">
      <c r="A490" s="12" t="n">
        <v>4415073</v>
      </c>
      <c r="B490" s="12" t="str">
        <f aca="false">IFERROR(INDEX('בתי מרקחת Raw'!$B:$B,MATCH($A490,'בתי מרקחת Raw'!$F:$F,0)),"")</f>
        <v>T28A L-XL סד לאגודל</v>
      </c>
      <c r="C490" s="12" t="n">
        <f aca="false">SUMIFS('בתי מרקחת Raw'!$D$6:$D$1616,'בתי מרקחת Raw'!$F$6:$F$1616,$A490,'בתי מרקחת Raw'!$C$6:$C$1616,2025)</f>
        <v>44</v>
      </c>
      <c r="D490" s="12" t="n">
        <f aca="false">SUMIFS('בתי מרקחת Raw'!$D$6:$D$1616,'בתי מרקחת Raw'!$F$6:$F$1616,$A490,'בתי מרקחת Raw'!$C$6:$C$1616,2026)</f>
        <v>33</v>
      </c>
      <c r="E490" s="12" t="n">
        <f aca="false">D490*$J$5</f>
        <v>41.6842105263158</v>
      </c>
      <c r="F490" s="12" t="n">
        <f aca="false">E490-C490</f>
        <v>-2.31578947368421</v>
      </c>
      <c r="G490" s="21" t="n">
        <f aca="false">IF(AND(C490=0,E490=0),0,IF(C490=0,"New",(E490-C490)/C490))</f>
        <v>-0.0526315789473685</v>
      </c>
      <c r="H490" s="12" t="n">
        <f aca="false">SUMIFS('בתי מרקחת Raw'!$E$6:$E$1616,'בתי מרקחת Raw'!$F$6:$F$1616,$A490,'בתי מרקחת Raw'!$C$6:$C$1616,2025)</f>
        <v>2909.86</v>
      </c>
      <c r="I490" s="12" t="n">
        <f aca="false">SUMIFS('בתי מרקחת Raw'!$E$6:$E$1616,'בתי מרקחת Raw'!$F$6:$F$1616,$A490,'בתי מרקחת Raw'!$C$6:$C$1616,2026)</f>
        <v>2239.7</v>
      </c>
      <c r="J490" s="12" t="n">
        <f aca="false">I490*$J$5</f>
        <v>2829.09473684211</v>
      </c>
    </row>
    <row r="491" customFormat="false" ht="15" hidden="false" customHeight="true" outlineLevel="0" collapsed="false">
      <c r="A491" s="12" t="n">
        <v>4415074</v>
      </c>
      <c r="B491" s="12" t="str">
        <f aca="false">IFERROR(INDEX('בתי מרקחת Raw'!$B:$B,MATCH($A491,'בתי מרקחת Raw'!$F:$F,0)),"")</f>
        <v>T28AC S-M סד לאגודל</v>
      </c>
      <c r="C491" s="12" t="n">
        <f aca="false">SUMIFS('בתי מרקחת Raw'!$D$6:$D$1616,'בתי מרקחת Raw'!$F$6:$F$1616,$A491,'בתי מרקחת Raw'!$C$6:$C$1616,2025)</f>
        <v>88</v>
      </c>
      <c r="D491" s="12" t="n">
        <f aca="false">SUMIFS('בתי מרקחת Raw'!$D$6:$D$1616,'בתי מרקחת Raw'!$F$6:$F$1616,$A491,'בתי מרקחת Raw'!$C$6:$C$1616,2026)</f>
        <v>63</v>
      </c>
      <c r="E491" s="12" t="n">
        <f aca="false">D491*$J$5</f>
        <v>79.5789473684211</v>
      </c>
      <c r="F491" s="12" t="n">
        <f aca="false">E491-C491</f>
        <v>-8.42105263157895</v>
      </c>
      <c r="G491" s="21" t="n">
        <f aca="false">IF(AND(C491=0,E491=0),0,IF(C491=0,"New",(E491-C491)/C491))</f>
        <v>-0.0956937799043062</v>
      </c>
      <c r="H491" s="12" t="n">
        <f aca="false">SUMIFS('בתי מרקחת Raw'!$E$6:$E$1616,'בתי מרקחת Raw'!$F$6:$F$1616,$A491,'בתי מרקחת Raw'!$C$6:$C$1616,2025)</f>
        <v>5922.8</v>
      </c>
      <c r="I491" s="12" t="n">
        <f aca="false">SUMIFS('בתי מרקחת Raw'!$E$6:$E$1616,'בתי מרקחת Raw'!$F$6:$F$1616,$A491,'בתי מרקחת Raw'!$C$6:$C$1616,2026)</f>
        <v>4281.1</v>
      </c>
      <c r="J491" s="12" t="n">
        <f aca="false">I491*$J$5</f>
        <v>5407.70526315789</v>
      </c>
    </row>
    <row r="492" customFormat="false" ht="15" hidden="false" customHeight="true" outlineLevel="0" collapsed="false">
      <c r="A492" s="12" t="n">
        <v>4415075</v>
      </c>
      <c r="B492" s="12" t="str">
        <f aca="false">IFERROR(INDEX('בתי מרקחת Raw'!$B:$B,MATCH($A492,'בתי מרקחת Raw'!$F:$F,0)),"")</f>
        <v>T28AC L-XL סד לאגודל</v>
      </c>
      <c r="C492" s="12" t="n">
        <f aca="false">SUMIFS('בתי מרקחת Raw'!$D$6:$D$1616,'בתי מרקחת Raw'!$F$6:$F$1616,$A492,'בתי מרקחת Raw'!$C$6:$C$1616,2025)</f>
        <v>47</v>
      </c>
      <c r="D492" s="12" t="n">
        <f aca="false">SUMIFS('בתי מרקחת Raw'!$D$6:$D$1616,'בתי מרקחת Raw'!$F$6:$F$1616,$A492,'בתי מרקחת Raw'!$C$6:$C$1616,2026)</f>
        <v>38</v>
      </c>
      <c r="E492" s="12" t="n">
        <f aca="false">D492*$J$5</f>
        <v>48</v>
      </c>
      <c r="F492" s="12" t="n">
        <f aca="false">E492-C492</f>
        <v>1</v>
      </c>
      <c r="G492" s="21" t="n">
        <f aca="false">IF(AND(C492=0,E492=0),0,IF(C492=0,"New",(E492-C492)/C492))</f>
        <v>0.0212765957446809</v>
      </c>
      <c r="H492" s="12" t="n">
        <f aca="false">SUMIFS('בתי מרקחת Raw'!$E$6:$E$1616,'בתי מרקחת Raw'!$F$6:$F$1616,$A492,'בתי מרקחת Raw'!$C$6:$C$1616,2025)</f>
        <v>3181.8</v>
      </c>
      <c r="I492" s="12" t="n">
        <f aca="false">SUMIFS('בתי מרקחת Raw'!$E$6:$E$1616,'בתי מרקחת Raw'!$F$6:$F$1616,$A492,'בתי מרקחת Raw'!$C$6:$C$1616,2026)</f>
        <v>2578.7</v>
      </c>
      <c r="J492" s="12" t="n">
        <f aca="false">I492*$J$5</f>
        <v>3257.30526315789</v>
      </c>
    </row>
    <row r="493" customFormat="false" ht="15" hidden="false" customHeight="true" outlineLevel="0" collapsed="false">
      <c r="A493" s="12" t="n">
        <v>4415080</v>
      </c>
      <c r="B493" s="12" t="str">
        <f aca="false">IFERROR(INDEX('בתי מרקחת Raw'!$B:$B,MATCH($A493,'בתי מרקחת Raw'!$F:$F,0)),"")</f>
        <v>PD346-10 סכינים למקצוע</v>
      </c>
      <c r="C493" s="12" t="n">
        <f aca="false">SUMIFS('בתי מרקחת Raw'!$D$6:$D$1616,'בתי מרקחת Raw'!$F$6:$F$1616,$A493,'בתי מרקחת Raw'!$C$6:$C$1616,2025)</f>
        <v>44</v>
      </c>
      <c r="D493" s="12" t="n">
        <f aca="false">SUMIFS('בתי מרקחת Raw'!$D$6:$D$1616,'בתי מרקחת Raw'!$F$6:$F$1616,$A493,'בתי מרקחת Raw'!$C$6:$C$1616,2026)</f>
        <v>119</v>
      </c>
      <c r="E493" s="12" t="n">
        <f aca="false">D493*$J$5</f>
        <v>150.315789473684</v>
      </c>
      <c r="F493" s="12" t="n">
        <f aca="false">E493-C493</f>
        <v>106.315789473684</v>
      </c>
      <c r="G493" s="21" t="n">
        <f aca="false">IF(AND(C493=0,E493=0),0,IF(C493=0,"New",(E493-C493)/C493))</f>
        <v>2.41626794258373</v>
      </c>
      <c r="H493" s="12" t="n">
        <f aca="false">SUMIFS('בתי מרקחת Raw'!$E$6:$E$1616,'בתי מרקחת Raw'!$F$6:$F$1616,$A493,'בתי מרקחת Raw'!$C$6:$C$1616,2025)</f>
        <v>419.3</v>
      </c>
      <c r="I493" s="12" t="n">
        <f aca="false">SUMIFS('בתי מרקחת Raw'!$E$6:$E$1616,'בתי מרקחת Raw'!$F$6:$F$1616,$A493,'בתי מרקחת Raw'!$C$6:$C$1616,2026)</f>
        <v>1128.9</v>
      </c>
      <c r="J493" s="12" t="n">
        <f aca="false">I493*$J$5</f>
        <v>1425.97894736842</v>
      </c>
    </row>
    <row r="494" customFormat="false" ht="15" hidden="false" customHeight="true" outlineLevel="0" collapsed="false">
      <c r="A494" s="12" t="n">
        <v>4415083</v>
      </c>
      <c r="B494" s="12" t="str">
        <f aca="false">IFERROR(INDEX('בתי מרקחת Raw'!$B:$B,MATCH($A494,'בתי מרקחת Raw'!$F:$F,0)),"")</f>
        <v>T33  M  סד לקרסול</v>
      </c>
      <c r="C494" s="12" t="n">
        <f aca="false">SUMIFS('בתי מרקחת Raw'!$D$6:$D$1616,'בתי מרקחת Raw'!$F$6:$F$1616,$A494,'בתי מרקחת Raw'!$C$6:$C$1616,2025)</f>
        <v>4</v>
      </c>
      <c r="D494" s="12" t="n">
        <f aca="false">SUMIFS('בתי מרקחת Raw'!$D$6:$D$1616,'בתי מרקחת Raw'!$F$6:$F$1616,$A494,'בתי מרקחת Raw'!$C$6:$C$1616,2026)</f>
        <v>0</v>
      </c>
      <c r="E494" s="12" t="n">
        <f aca="false">D494*$J$5</f>
        <v>0</v>
      </c>
      <c r="F494" s="12" t="n">
        <f aca="false">E494-C494</f>
        <v>-4</v>
      </c>
      <c r="G494" s="21" t="n">
        <f aca="false">IF(AND(C494=0,E494=0),0,IF(C494=0,"New",(E494-C494)/C494))</f>
        <v>-1</v>
      </c>
      <c r="H494" s="12" t="n">
        <f aca="false">SUMIFS('בתי מרקחת Raw'!$E$6:$E$1616,'בתי מרקחת Raw'!$F$6:$F$1616,$A494,'בתי מרקחת Raw'!$C$6:$C$1616,2025)</f>
        <v>438.5</v>
      </c>
      <c r="I494" s="12" t="n">
        <f aca="false">SUMIFS('בתי מרקחת Raw'!$E$6:$E$1616,'בתי מרקחת Raw'!$F$6:$F$1616,$A494,'בתי מרקחת Raw'!$C$6:$C$1616,2026)</f>
        <v>0</v>
      </c>
      <c r="J494" s="12" t="n">
        <f aca="false">I494*$J$5</f>
        <v>0</v>
      </c>
    </row>
    <row r="495" customFormat="false" ht="15" hidden="false" customHeight="true" outlineLevel="0" collapsed="false">
      <c r="A495" s="12" t="n">
        <v>4415084</v>
      </c>
      <c r="B495" s="12" t="str">
        <f aca="false">IFERROR(INDEX('בתי מרקחת Raw'!$B:$B,MATCH($A495,'בתי מרקחת Raw'!$F:$F,0)),"")</f>
        <v>T33  L  סד לקרסול</v>
      </c>
      <c r="C495" s="12" t="n">
        <f aca="false">SUMIFS('בתי מרקחת Raw'!$D$6:$D$1616,'בתי מרקחת Raw'!$F$6:$F$1616,$A495,'בתי מרקחת Raw'!$C$6:$C$1616,2025)</f>
        <v>4</v>
      </c>
      <c r="D495" s="12" t="n">
        <f aca="false">SUMIFS('בתי מרקחת Raw'!$D$6:$D$1616,'בתי מרקחת Raw'!$F$6:$F$1616,$A495,'בתי מרקחת Raw'!$C$6:$C$1616,2026)</f>
        <v>0</v>
      </c>
      <c r="E495" s="12" t="n">
        <f aca="false">D495*$J$5</f>
        <v>0</v>
      </c>
      <c r="F495" s="12" t="n">
        <f aca="false">E495-C495</f>
        <v>-4</v>
      </c>
      <c r="G495" s="21" t="n">
        <f aca="false">IF(AND(C495=0,E495=0),0,IF(C495=0,"New",(E495-C495)/C495))</f>
        <v>-1</v>
      </c>
      <c r="H495" s="12" t="n">
        <f aca="false">SUMIFS('בתי מרקחת Raw'!$E$6:$E$1616,'בתי מרקחת Raw'!$F$6:$F$1616,$A495,'בתי מרקחת Raw'!$C$6:$C$1616,2025)</f>
        <v>449.8</v>
      </c>
      <c r="I495" s="12" t="n">
        <f aca="false">SUMIFS('בתי מרקחת Raw'!$E$6:$E$1616,'בתי מרקחת Raw'!$F$6:$F$1616,$A495,'בתי מרקחת Raw'!$C$6:$C$1616,2026)</f>
        <v>0</v>
      </c>
      <c r="J495" s="12" t="n">
        <f aca="false">I495*$J$5</f>
        <v>0</v>
      </c>
    </row>
    <row r="496" customFormat="false" ht="15" hidden="false" customHeight="true" outlineLevel="0" collapsed="false">
      <c r="A496" s="12" t="n">
        <v>4415089</v>
      </c>
      <c r="B496" s="12" t="str">
        <f aca="false">IFERROR(INDEX('בתי מרקחת Raw'!$B:$B,MATCH($A496,'בתי מרקחת Raw'!$F:$F,0)),"")</f>
        <v>27L M סד ליד שמאל</v>
      </c>
      <c r="C496" s="12" t="n">
        <f aca="false">SUMIFS('בתי מרקחת Raw'!$D$6:$D$1616,'בתי מרקחת Raw'!$F$6:$F$1616,$A496,'בתי מרקחת Raw'!$C$6:$C$1616,2025)</f>
        <v>1</v>
      </c>
      <c r="D496" s="12" t="n">
        <f aca="false">SUMIFS('בתי מרקחת Raw'!$D$6:$D$1616,'בתי מרקחת Raw'!$F$6:$F$1616,$A496,'בתי מרקחת Raw'!$C$6:$C$1616,2026)</f>
        <v>0</v>
      </c>
      <c r="E496" s="12" t="n">
        <f aca="false">D496*$J$5</f>
        <v>0</v>
      </c>
      <c r="F496" s="12" t="n">
        <f aca="false">E496-C496</f>
        <v>-1</v>
      </c>
      <c r="G496" s="21" t="n">
        <f aca="false">IF(AND(C496=0,E496=0),0,IF(C496=0,"New",(E496-C496)/C496))</f>
        <v>-1</v>
      </c>
      <c r="H496" s="12" t="n">
        <f aca="false">SUMIFS('בתי מרקחת Raw'!$E$6:$E$1616,'בתי מרקחת Raw'!$F$6:$F$1616,$A496,'בתי מרקחת Raw'!$C$6:$C$1616,2025)</f>
        <v>90.1</v>
      </c>
      <c r="I496" s="12" t="n">
        <f aca="false">SUMIFS('בתי מרקחת Raw'!$E$6:$E$1616,'בתי מרקחת Raw'!$F$6:$F$1616,$A496,'בתי מרקחת Raw'!$C$6:$C$1616,2026)</f>
        <v>0</v>
      </c>
      <c r="J496" s="12" t="n">
        <f aca="false">I496*$J$5</f>
        <v>0</v>
      </c>
    </row>
    <row r="497" customFormat="false" ht="15" hidden="false" customHeight="true" outlineLevel="0" collapsed="false">
      <c r="A497" s="12" t="n">
        <v>4415090</v>
      </c>
      <c r="B497" s="12" t="str">
        <f aca="false">IFERROR(INDEX('בתי מרקחת Raw'!$B:$B,MATCH($A497,'בתי מרקחת Raw'!$F:$F,0)),"")</f>
        <v>27L L סד ליד שמאל</v>
      </c>
      <c r="C497" s="12" t="n">
        <f aca="false">SUMIFS('בתי מרקחת Raw'!$D$6:$D$1616,'בתי מרקחת Raw'!$F$6:$F$1616,$A497,'בתי מרקחת Raw'!$C$6:$C$1616,2025)</f>
        <v>1</v>
      </c>
      <c r="D497" s="12" t="n">
        <f aca="false">SUMIFS('בתי מרקחת Raw'!$D$6:$D$1616,'בתי מרקחת Raw'!$F$6:$F$1616,$A497,'בתי מרקחת Raw'!$C$6:$C$1616,2026)</f>
        <v>0</v>
      </c>
      <c r="E497" s="12" t="n">
        <f aca="false">D497*$J$5</f>
        <v>0</v>
      </c>
      <c r="F497" s="12" t="n">
        <f aca="false">E497-C497</f>
        <v>-1</v>
      </c>
      <c r="G497" s="21" t="n">
        <f aca="false">IF(AND(C497=0,E497=0),0,IF(C497=0,"New",(E497-C497)/C497))</f>
        <v>-1</v>
      </c>
      <c r="H497" s="12" t="n">
        <f aca="false">SUMIFS('בתי מרקחת Raw'!$E$6:$E$1616,'בתי מרקחת Raw'!$F$6:$F$1616,$A497,'בתי מרקחת Raw'!$C$6:$C$1616,2025)</f>
        <v>90.1</v>
      </c>
      <c r="I497" s="12" t="n">
        <f aca="false">SUMIFS('בתי מרקחת Raw'!$E$6:$E$1616,'בתי מרקחת Raw'!$F$6:$F$1616,$A497,'בתי מרקחת Raw'!$C$6:$C$1616,2026)</f>
        <v>0</v>
      </c>
      <c r="J497" s="12" t="n">
        <f aca="false">I497*$J$5</f>
        <v>0</v>
      </c>
    </row>
    <row r="498" customFormat="false" ht="15" hidden="false" customHeight="true" outlineLevel="0" collapsed="false">
      <c r="A498" s="12" t="n">
        <v>4415091</v>
      </c>
      <c r="B498" s="12" t="str">
        <f aca="false">IFERROR(INDEX('בתי מרקחת Raw'!$B:$B,MATCH($A498,'בתי מרקחת Raw'!$F:$F,0)),"")</f>
        <v>27L XLסד ליד שמאל</v>
      </c>
      <c r="C498" s="12" t="n">
        <f aca="false">SUMIFS('בתי מרקחת Raw'!$D$6:$D$1616,'בתי מרקחת Raw'!$F$6:$F$1616,$A498,'בתי מרקחת Raw'!$C$6:$C$1616,2025)</f>
        <v>0</v>
      </c>
      <c r="D498" s="12" t="n">
        <f aca="false">SUMIFS('בתי מרקחת Raw'!$D$6:$D$1616,'בתי מרקחת Raw'!$F$6:$F$1616,$A498,'בתי מרקחת Raw'!$C$6:$C$1616,2026)</f>
        <v>-2</v>
      </c>
      <c r="E498" s="12" t="n">
        <f aca="false">D498*$J$5</f>
        <v>-2.52631578947368</v>
      </c>
      <c r="F498" s="12" t="n">
        <f aca="false">E498-C498</f>
        <v>-2.52631578947368</v>
      </c>
      <c r="G498" s="21" t="str">
        <f aca="false">IF(AND(C498=0,E498=0),0,IF(C498=0,"New",(E498-C498)/C498))</f>
        <v>New</v>
      </c>
      <c r="H498" s="12" t="n">
        <f aca="false">SUMIFS('בתי מרקחת Raw'!$E$6:$E$1616,'בתי מרקחת Raw'!$F$6:$F$1616,$A498,'בתי מרקחת Raw'!$C$6:$C$1616,2025)</f>
        <v>0</v>
      </c>
      <c r="I498" s="12" t="n">
        <f aca="false">SUMIFS('בתי מרקחת Raw'!$E$6:$E$1616,'בתי מרקחת Raw'!$F$6:$F$1616,$A498,'בתי מרקחת Raw'!$C$6:$C$1616,2026)</f>
        <v>-194</v>
      </c>
      <c r="J498" s="12" t="n">
        <f aca="false">I498*$J$5</f>
        <v>-245.052631578947</v>
      </c>
    </row>
    <row r="499" customFormat="false" ht="15" hidden="false" customHeight="true" outlineLevel="0" collapsed="false">
      <c r="A499" s="12" t="n">
        <v>4415120</v>
      </c>
      <c r="B499" s="12" t="str">
        <f aca="false">IFERROR(INDEX('בתי מרקחת Raw'!$B:$B,MATCH($A499,'בתי מרקחת Raw'!$F:$F,0)),"")</f>
        <v>T33 XXL סד לקרסול</v>
      </c>
      <c r="C499" s="12" t="n">
        <f aca="false">SUMIFS('בתי מרקחת Raw'!$D$6:$D$1616,'בתי מרקחת Raw'!$F$6:$F$1616,$A499,'בתי מרקחת Raw'!$C$6:$C$1616,2025)</f>
        <v>1</v>
      </c>
      <c r="D499" s="12" t="n">
        <f aca="false">SUMIFS('בתי מרקחת Raw'!$D$6:$D$1616,'בתי מרקחת Raw'!$F$6:$F$1616,$A499,'בתי מרקחת Raw'!$C$6:$C$1616,2026)</f>
        <v>0</v>
      </c>
      <c r="E499" s="12" t="n">
        <f aca="false">D499*$J$5</f>
        <v>0</v>
      </c>
      <c r="F499" s="12" t="n">
        <f aca="false">E499-C499</f>
        <v>-1</v>
      </c>
      <c r="G499" s="21" t="n">
        <f aca="false">IF(AND(C499=0,E499=0),0,IF(C499=0,"New",(E499-C499)/C499))</f>
        <v>-1</v>
      </c>
      <c r="H499" s="12" t="n">
        <f aca="false">SUMIFS('בתי מרקחת Raw'!$E$6:$E$1616,'בתי מרקחת Raw'!$F$6:$F$1616,$A499,'בתי מרקחת Raw'!$C$6:$C$1616,2025)</f>
        <v>137</v>
      </c>
      <c r="I499" s="12" t="n">
        <f aca="false">SUMIFS('בתי מרקחת Raw'!$E$6:$E$1616,'בתי מרקחת Raw'!$F$6:$F$1616,$A499,'בתי מרקחת Raw'!$C$6:$C$1616,2026)</f>
        <v>0</v>
      </c>
      <c r="J499" s="12" t="n">
        <f aca="false">I499*$J$5</f>
        <v>0</v>
      </c>
    </row>
    <row r="500" customFormat="false" ht="15" hidden="false" customHeight="true" outlineLevel="0" collapsed="false">
      <c r="A500" s="12" t="n">
        <v>4415131</v>
      </c>
      <c r="B500" s="12" t="str">
        <f aca="false">IFERROR(INDEX('בתי מרקחת Raw'!$B:$B,MATCH($A500,'בתי מרקחת Raw'!$F:$F,0)),"")</f>
        <v>T27L M סד ליד שמאל</v>
      </c>
      <c r="C500" s="12" t="n">
        <f aca="false">SUMIFS('בתי מרקחת Raw'!$D$6:$D$1616,'בתי מרקחת Raw'!$F$6:$F$1616,$A500,'בתי מרקחת Raw'!$C$6:$C$1616,2025)</f>
        <v>1</v>
      </c>
      <c r="D500" s="12" t="n">
        <f aca="false">SUMIFS('בתי מרקחת Raw'!$D$6:$D$1616,'בתי מרקחת Raw'!$F$6:$F$1616,$A500,'בתי מרקחת Raw'!$C$6:$C$1616,2026)</f>
        <v>0</v>
      </c>
      <c r="E500" s="12" t="n">
        <f aca="false">D500*$J$5</f>
        <v>0</v>
      </c>
      <c r="F500" s="12" t="n">
        <f aca="false">E500-C500</f>
        <v>-1</v>
      </c>
      <c r="G500" s="21" t="n">
        <f aca="false">IF(AND(C500=0,E500=0),0,IF(C500=0,"New",(E500-C500)/C500))</f>
        <v>-1</v>
      </c>
      <c r="H500" s="12" t="n">
        <f aca="false">SUMIFS('בתי מרקחת Raw'!$E$6:$E$1616,'בתי מרקחת Raw'!$F$6:$F$1616,$A500,'בתי מרקחת Raw'!$C$6:$C$1616,2025)</f>
        <v>94.5</v>
      </c>
      <c r="I500" s="12" t="n">
        <f aca="false">SUMIFS('בתי מרקחת Raw'!$E$6:$E$1616,'בתי מרקחת Raw'!$F$6:$F$1616,$A500,'בתי מרקחת Raw'!$C$6:$C$1616,2026)</f>
        <v>0</v>
      </c>
      <c r="J500" s="12" t="n">
        <f aca="false">I500*$J$5</f>
        <v>0</v>
      </c>
    </row>
    <row r="501" customFormat="false" ht="15" hidden="false" customHeight="true" outlineLevel="0" collapsed="false">
      <c r="A501" s="12" t="n">
        <v>4415158</v>
      </c>
      <c r="B501" s="12" t="str">
        <f aca="false">IFERROR(INDEX('בתי מרקחת Raw'!$B:$B,MATCH($A501,'בתי מרקחת Raw'!$F:$F,0)),"")</f>
        <v>266 סד ליד דו צדדי</v>
      </c>
      <c r="C501" s="12" t="n">
        <f aca="false">SUMIFS('בתי מרקחת Raw'!$D$6:$D$1616,'בתי מרקחת Raw'!$F$6:$F$1616,$A501,'בתי מרקחת Raw'!$C$6:$C$1616,2025)</f>
        <v>520</v>
      </c>
      <c r="D501" s="12" t="n">
        <f aca="false">SUMIFS('בתי מרקחת Raw'!$D$6:$D$1616,'בתי מרקחת Raw'!$F$6:$F$1616,$A501,'בתי מרקחת Raw'!$C$6:$C$1616,2026)</f>
        <v>348</v>
      </c>
      <c r="E501" s="12" t="n">
        <f aca="false">D501*$J$5</f>
        <v>439.578947368421</v>
      </c>
      <c r="F501" s="12" t="n">
        <f aca="false">E501-C501</f>
        <v>-80.421052631579</v>
      </c>
      <c r="G501" s="21" t="n">
        <f aca="false">IF(AND(C501=0,E501=0),0,IF(C501=0,"New",(E501-C501)/C501))</f>
        <v>-0.154655870445344</v>
      </c>
      <c r="H501" s="12" t="n">
        <f aca="false">SUMIFS('בתי מרקחת Raw'!$E$6:$E$1616,'בתי מרקחת Raw'!$F$6:$F$1616,$A501,'בתי מרקחת Raw'!$C$6:$C$1616,2025)</f>
        <v>40253.58</v>
      </c>
      <c r="I501" s="12" t="n">
        <f aca="false">SUMIFS('בתי מרקחת Raw'!$E$6:$E$1616,'בתי מרקחת Raw'!$F$6:$F$1616,$A501,'בתי מרקחת Raw'!$C$6:$C$1616,2026)</f>
        <v>27098.14</v>
      </c>
      <c r="J501" s="12" t="n">
        <f aca="false">I501*$J$5</f>
        <v>34229.2294736842</v>
      </c>
    </row>
    <row r="502" customFormat="false" ht="15" hidden="false" customHeight="true" outlineLevel="0" collapsed="false">
      <c r="A502" s="12" t="n">
        <v>4415159</v>
      </c>
      <c r="B502" s="12" t="str">
        <f aca="false">IFERROR(INDEX('בתי מרקחת Raw'!$B:$B,MATCH($A502,'בתי מרקחת Raw'!$F:$F,0)),"")</f>
        <v>268 סד לאגודל</v>
      </c>
      <c r="C502" s="12" t="n">
        <f aca="false">SUMIFS('בתי מרקחת Raw'!$D$6:$D$1616,'בתי מרקחת Raw'!$F$6:$F$1616,$A502,'בתי מרקחת Raw'!$C$6:$C$1616,2025)</f>
        <v>134</v>
      </c>
      <c r="D502" s="12" t="n">
        <f aca="false">SUMIFS('בתי מרקחת Raw'!$D$6:$D$1616,'בתי מרקחת Raw'!$F$6:$F$1616,$A502,'בתי מרקחת Raw'!$C$6:$C$1616,2026)</f>
        <v>115</v>
      </c>
      <c r="E502" s="12" t="n">
        <f aca="false">D502*$J$5</f>
        <v>145.263157894737</v>
      </c>
      <c r="F502" s="12" t="n">
        <f aca="false">E502-C502</f>
        <v>11.2631578947368</v>
      </c>
      <c r="G502" s="21" t="n">
        <f aca="false">IF(AND(C502=0,E502=0),0,IF(C502=0,"New",(E502-C502)/C502))</f>
        <v>0.0840534171249017</v>
      </c>
      <c r="H502" s="12" t="n">
        <f aca="false">SUMIFS('בתי מרקחת Raw'!$E$6:$E$1616,'בתי מרקחת Raw'!$F$6:$F$1616,$A502,'בתי מרקחת Raw'!$C$6:$C$1616,2025)</f>
        <v>15408.17</v>
      </c>
      <c r="I502" s="12" t="n">
        <f aca="false">SUMIFS('בתי מרקחת Raw'!$E$6:$E$1616,'בתי מרקחת Raw'!$F$6:$F$1616,$A502,'בתי מרקחת Raw'!$C$6:$C$1616,2026)</f>
        <v>13392.26</v>
      </c>
      <c r="J502" s="12" t="n">
        <f aca="false">I502*$J$5</f>
        <v>16916.5389473684</v>
      </c>
    </row>
    <row r="503" customFormat="false" ht="15" hidden="false" customHeight="true" outlineLevel="0" collapsed="false">
      <c r="A503" s="12" t="n">
        <v>4415160</v>
      </c>
      <c r="B503" s="12" t="str">
        <f aca="false">IFERROR(INDEX('בתי מרקחת Raw'!$B:$B,MATCH($A503,'בתי מרקחת Raw'!$F:$F,0)),"")</f>
        <v>238S סד ליישור אצבע</v>
      </c>
      <c r="C503" s="12" t="n">
        <f aca="false">SUMIFS('בתי מרקחת Raw'!$D$6:$D$1616,'בתי מרקחת Raw'!$F$6:$F$1616,$A503,'בתי מרקחת Raw'!$C$6:$C$1616,2025)</f>
        <v>288</v>
      </c>
      <c r="D503" s="12" t="n">
        <f aca="false">SUMIFS('בתי מרקחת Raw'!$D$6:$D$1616,'בתי מרקחת Raw'!$F$6:$F$1616,$A503,'בתי מרקחת Raw'!$C$6:$C$1616,2026)</f>
        <v>225</v>
      </c>
      <c r="E503" s="12" t="n">
        <f aca="false">D503*$J$5</f>
        <v>284.21052631579</v>
      </c>
      <c r="F503" s="12" t="n">
        <f aca="false">E503-C503</f>
        <v>-3.78947368421052</v>
      </c>
      <c r="G503" s="21" t="n">
        <f aca="false">IF(AND(C503=0,E503=0),0,IF(C503=0,"New",(E503-C503)/C503))</f>
        <v>-0.0131578947368421</v>
      </c>
      <c r="H503" s="12" t="n">
        <f aca="false">SUMIFS('בתי מרקחת Raw'!$E$6:$E$1616,'בתי מרקחת Raw'!$F$6:$F$1616,$A503,'בתי מרקחת Raw'!$C$6:$C$1616,2025)</f>
        <v>5493.24</v>
      </c>
      <c r="I503" s="12" t="n">
        <f aca="false">SUMIFS('בתי מרקחת Raw'!$E$6:$E$1616,'בתי מרקחת Raw'!$F$6:$F$1616,$A503,'בתי מרקחת Raw'!$C$6:$C$1616,2026)</f>
        <v>4426.63</v>
      </c>
      <c r="J503" s="12" t="n">
        <f aca="false">I503*$J$5</f>
        <v>5591.53263157895</v>
      </c>
    </row>
    <row r="504" customFormat="false" ht="15" hidden="false" customHeight="true" outlineLevel="0" collapsed="false">
      <c r="A504" s="12" t="n">
        <v>4415161</v>
      </c>
      <c r="B504" s="12" t="str">
        <f aca="false">IFERROR(INDEX('בתי מרקחת Raw'!$B:$B,MATCH($A504,'בתי מרקחת Raw'!$F:$F,0)),"")</f>
        <v>238M סד ליישור אצבע</v>
      </c>
      <c r="C504" s="12" t="n">
        <f aca="false">SUMIFS('בתי מרקחת Raw'!$D$6:$D$1616,'בתי מרקחת Raw'!$F$6:$F$1616,$A504,'בתי מרקחת Raw'!$C$6:$C$1616,2025)</f>
        <v>412</v>
      </c>
      <c r="D504" s="12" t="n">
        <f aca="false">SUMIFS('בתי מרקחת Raw'!$D$6:$D$1616,'בתי מרקחת Raw'!$F$6:$F$1616,$A504,'בתי מרקחת Raw'!$C$6:$C$1616,2026)</f>
        <v>362</v>
      </c>
      <c r="E504" s="12" t="n">
        <f aca="false">D504*$J$5</f>
        <v>457.263157894737</v>
      </c>
      <c r="F504" s="12" t="n">
        <f aca="false">E504-C504</f>
        <v>45.2631578947368</v>
      </c>
      <c r="G504" s="21" t="n">
        <f aca="false">IF(AND(C504=0,E504=0),0,IF(C504=0,"New",(E504-C504)/C504))</f>
        <v>0.109862033725089</v>
      </c>
      <c r="H504" s="12" t="n">
        <f aca="false">SUMIFS('בתי מרקחת Raw'!$E$6:$E$1616,'בתי מרקחת Raw'!$F$6:$F$1616,$A504,'בתי מרקחת Raw'!$C$6:$C$1616,2025)</f>
        <v>7865.09</v>
      </c>
      <c r="I504" s="12" t="n">
        <f aca="false">SUMIFS('בתי מרקחת Raw'!$E$6:$E$1616,'בתי מרקחת Raw'!$F$6:$F$1616,$A504,'בתי מרקחת Raw'!$C$6:$C$1616,2026)</f>
        <v>7112.77</v>
      </c>
      <c r="J504" s="12" t="n">
        <f aca="false">I504*$J$5</f>
        <v>8984.55157894737</v>
      </c>
    </row>
    <row r="505" customFormat="false" ht="15" hidden="false" customHeight="true" outlineLevel="0" collapsed="false">
      <c r="A505" s="12" t="n">
        <v>4415162</v>
      </c>
      <c r="B505" s="12" t="str">
        <f aca="false">IFERROR(INDEX('בתי מרקחת Raw'!$B:$B,MATCH($A505,'בתי מרקחת Raw'!$F:$F,0)),"")</f>
        <v>238L סד ליישור אצבע</v>
      </c>
      <c r="C505" s="12" t="n">
        <f aca="false">SUMIFS('בתי מרקחת Raw'!$D$6:$D$1616,'בתי מרקחת Raw'!$F$6:$F$1616,$A505,'בתי מרקחת Raw'!$C$6:$C$1616,2025)</f>
        <v>399</v>
      </c>
      <c r="D505" s="12" t="n">
        <f aca="false">SUMIFS('בתי מרקחת Raw'!$D$6:$D$1616,'בתי מרקחת Raw'!$F$6:$F$1616,$A505,'בתי מרקחת Raw'!$C$6:$C$1616,2026)</f>
        <v>307</v>
      </c>
      <c r="E505" s="12" t="n">
        <f aca="false">D505*$J$5</f>
        <v>387.789473684211</v>
      </c>
      <c r="F505" s="12" t="n">
        <f aca="false">E505-C505</f>
        <v>-11.2105263157895</v>
      </c>
      <c r="G505" s="21" t="n">
        <f aca="false">IF(AND(C505=0,E505=0),0,IF(C505=0,"New",(E505-C505)/C505))</f>
        <v>-0.0280965571824298</v>
      </c>
      <c r="H505" s="12" t="n">
        <f aca="false">SUMIFS('בתי מרקחת Raw'!$E$6:$E$1616,'בתי מרקחת Raw'!$F$6:$F$1616,$A505,'בתי מרקחת Raw'!$C$6:$C$1616,2025)</f>
        <v>7646.67</v>
      </c>
      <c r="I505" s="12" t="n">
        <f aca="false">SUMIFS('בתי מרקחת Raw'!$E$6:$E$1616,'בתי מרקחת Raw'!$F$6:$F$1616,$A505,'בתי מרקחת Raw'!$C$6:$C$1616,2026)</f>
        <v>6029.77</v>
      </c>
      <c r="J505" s="12" t="n">
        <f aca="false">I505*$J$5</f>
        <v>7616.55157894737</v>
      </c>
    </row>
    <row r="506" customFormat="false" ht="15" hidden="false" customHeight="true" outlineLevel="0" collapsed="false">
      <c r="A506" s="12" t="n">
        <v>4415163</v>
      </c>
      <c r="B506" s="12" t="str">
        <f aca="false">IFERROR(INDEX('בתי מרקחת Raw'!$B:$B,MATCH($A506,'בתי מרקחת Raw'!$F:$F,0)),"")</f>
        <v>238XL סד ליישור אצבע</v>
      </c>
      <c r="C506" s="12" t="n">
        <f aca="false">SUMIFS('בתי מרקחת Raw'!$D$6:$D$1616,'בתי מרקחת Raw'!$F$6:$F$1616,$A506,'בתי מרקחת Raw'!$C$6:$C$1616,2025)</f>
        <v>231</v>
      </c>
      <c r="D506" s="12" t="n">
        <f aca="false">SUMIFS('בתי מרקחת Raw'!$D$6:$D$1616,'בתי מרקחת Raw'!$F$6:$F$1616,$A506,'בתי מרקחת Raw'!$C$6:$C$1616,2026)</f>
        <v>160</v>
      </c>
      <c r="E506" s="12" t="n">
        <f aca="false">D506*$J$5</f>
        <v>202.105263157895</v>
      </c>
      <c r="F506" s="12" t="n">
        <f aca="false">E506-C506</f>
        <v>-28.8947368421053</v>
      </c>
      <c r="G506" s="21" t="n">
        <f aca="false">IF(AND(C506=0,E506=0),0,IF(C506=0,"New",(E506-C506)/C506))</f>
        <v>-0.125085440874915</v>
      </c>
      <c r="H506" s="12" t="n">
        <f aca="false">SUMIFS('בתי מרקחת Raw'!$E$6:$E$1616,'בתי מרקחת Raw'!$F$6:$F$1616,$A506,'בתי מרקחת Raw'!$C$6:$C$1616,2025)</f>
        <v>4463.02</v>
      </c>
      <c r="I506" s="12" t="n">
        <f aca="false">SUMIFS('בתי מרקחת Raw'!$E$6:$E$1616,'בתי מרקחת Raw'!$F$6:$F$1616,$A506,'בתי מרקחת Raw'!$C$6:$C$1616,2026)</f>
        <v>3166.84</v>
      </c>
      <c r="J506" s="12" t="n">
        <f aca="false">I506*$J$5</f>
        <v>4000.21894736842</v>
      </c>
    </row>
    <row r="507" customFormat="false" ht="15" hidden="false" customHeight="true" outlineLevel="0" collapsed="false">
      <c r="A507" s="12" t="n">
        <v>4415164</v>
      </c>
      <c r="B507" s="12" t="str">
        <f aca="false">IFERROR(INDEX('בתי מרקחת Raw'!$B:$B,MATCH($A507,'בתי מרקחת Raw'!$F:$F,0)),"")</f>
        <v>267LC  L-XL 'סד יד שמאל בז</v>
      </c>
      <c r="C507" s="12" t="n">
        <f aca="false">SUMIFS('בתי מרקחת Raw'!$D$6:$D$1616,'בתי מרקחת Raw'!$F$6:$F$1616,$A507,'בתי מרקחת Raw'!$C$6:$C$1616,2025)</f>
        <v>1</v>
      </c>
      <c r="D507" s="12" t="n">
        <f aca="false">SUMIFS('בתי מרקחת Raw'!$D$6:$D$1616,'בתי מרקחת Raw'!$F$6:$F$1616,$A507,'בתי מרקחת Raw'!$C$6:$C$1616,2026)</f>
        <v>0</v>
      </c>
      <c r="E507" s="12" t="n">
        <f aca="false">D507*$J$5</f>
        <v>0</v>
      </c>
      <c r="F507" s="12" t="n">
        <f aca="false">E507-C507</f>
        <v>-1</v>
      </c>
      <c r="G507" s="21" t="n">
        <f aca="false">IF(AND(C507=0,E507=0),0,IF(C507=0,"New",(E507-C507)/C507))</f>
        <v>-1</v>
      </c>
      <c r="H507" s="12" t="n">
        <f aca="false">SUMIFS('בתי מרקחת Raw'!$E$6:$E$1616,'בתי מרקחת Raw'!$F$6:$F$1616,$A507,'בתי מרקחת Raw'!$C$6:$C$1616,2025)</f>
        <v>108.7</v>
      </c>
      <c r="I507" s="12" t="n">
        <f aca="false">SUMIFS('בתי מרקחת Raw'!$E$6:$E$1616,'בתי מרקחת Raw'!$F$6:$F$1616,$A507,'בתי מרקחת Raw'!$C$6:$C$1616,2026)</f>
        <v>0</v>
      </c>
      <c r="J507" s="12" t="n">
        <f aca="false">I507*$J$5</f>
        <v>0</v>
      </c>
    </row>
    <row r="508" customFormat="false" ht="15" hidden="false" customHeight="true" outlineLevel="0" collapsed="false">
      <c r="A508" s="12" t="n">
        <v>4415165</v>
      </c>
      <c r="B508" s="12" t="str">
        <f aca="false">IFERROR(INDEX('בתי מרקחת Raw'!$B:$B,MATCH($A508,'בתי מרקחת Raw'!$F:$F,0)),"")</f>
        <v>267LC   S-M'סד יד שמאל בז</v>
      </c>
      <c r="C508" s="12" t="n">
        <f aca="false">SUMIFS('בתי מרקחת Raw'!$D$6:$D$1616,'בתי מרקחת Raw'!$F$6:$F$1616,$A508,'בתי מרקחת Raw'!$C$6:$C$1616,2025)</f>
        <v>1</v>
      </c>
      <c r="D508" s="12" t="n">
        <f aca="false">SUMIFS('בתי מרקחת Raw'!$D$6:$D$1616,'בתי מרקחת Raw'!$F$6:$F$1616,$A508,'בתי מרקחת Raw'!$C$6:$C$1616,2026)</f>
        <v>0</v>
      </c>
      <c r="E508" s="12" t="n">
        <f aca="false">D508*$J$5</f>
        <v>0</v>
      </c>
      <c r="F508" s="12" t="n">
        <f aca="false">E508-C508</f>
        <v>-1</v>
      </c>
      <c r="G508" s="21" t="n">
        <f aca="false">IF(AND(C508=0,E508=0),0,IF(C508=0,"New",(E508-C508)/C508))</f>
        <v>-1</v>
      </c>
      <c r="H508" s="12" t="n">
        <f aca="false">SUMIFS('בתי מרקחת Raw'!$E$6:$E$1616,'בתי מרקחת Raw'!$F$6:$F$1616,$A508,'בתי מרקחת Raw'!$C$6:$C$1616,2025)</f>
        <v>108.7</v>
      </c>
      <c r="I508" s="12" t="n">
        <f aca="false">SUMIFS('בתי מרקחת Raw'!$E$6:$E$1616,'בתי מרקחת Raw'!$F$6:$F$1616,$A508,'בתי מרקחת Raw'!$C$6:$C$1616,2026)</f>
        <v>0</v>
      </c>
      <c r="J508" s="12" t="n">
        <f aca="false">I508*$J$5</f>
        <v>0</v>
      </c>
    </row>
    <row r="509" customFormat="false" ht="15" hidden="false" customHeight="true" outlineLevel="0" collapsed="false">
      <c r="A509" s="12" t="n">
        <v>4415167</v>
      </c>
      <c r="B509" s="12" t="str">
        <f aca="false">IFERROR(INDEX('בתי מרקחת Raw'!$B:$B,MATCH($A509,'בתי מרקחת Raw'!$F:$F,0)),"")</f>
        <v>267RC  L-XL 'סד יד ימין בז</v>
      </c>
      <c r="C509" s="12" t="n">
        <f aca="false">SUMIFS('בתי מרקחת Raw'!$D$6:$D$1616,'בתי מרקחת Raw'!$F$6:$F$1616,$A509,'בתי מרקחת Raw'!$C$6:$C$1616,2025)</f>
        <v>1</v>
      </c>
      <c r="D509" s="12" t="n">
        <f aca="false">SUMIFS('בתי מרקחת Raw'!$D$6:$D$1616,'בתי מרקחת Raw'!$F$6:$F$1616,$A509,'בתי מרקחת Raw'!$C$6:$C$1616,2026)</f>
        <v>0</v>
      </c>
      <c r="E509" s="12" t="n">
        <f aca="false">D509*$J$5</f>
        <v>0</v>
      </c>
      <c r="F509" s="12" t="n">
        <f aca="false">E509-C509</f>
        <v>-1</v>
      </c>
      <c r="G509" s="21" t="n">
        <f aca="false">IF(AND(C509=0,E509=0),0,IF(C509=0,"New",(E509-C509)/C509))</f>
        <v>-1</v>
      </c>
      <c r="H509" s="12" t="n">
        <f aca="false">SUMIFS('בתי מרקחת Raw'!$E$6:$E$1616,'בתי מרקחת Raw'!$F$6:$F$1616,$A509,'בתי מרקחת Raw'!$C$6:$C$1616,2025)</f>
        <v>108.7</v>
      </c>
      <c r="I509" s="12" t="n">
        <f aca="false">SUMIFS('בתי מרקחת Raw'!$E$6:$E$1616,'בתי מרקחת Raw'!$F$6:$F$1616,$A509,'בתי מרקחת Raw'!$C$6:$C$1616,2026)</f>
        <v>0</v>
      </c>
      <c r="J509" s="12" t="n">
        <f aca="false">I509*$J$5</f>
        <v>0</v>
      </c>
    </row>
    <row r="510" customFormat="false" ht="15" hidden="false" customHeight="true" outlineLevel="0" collapsed="false">
      <c r="A510" s="12" t="n">
        <v>4415168</v>
      </c>
      <c r="B510" s="12" t="str">
        <f aca="false">IFERROR(INDEX('בתי מרקחת Raw'!$B:$B,MATCH($A510,'בתי מרקחת Raw'!$F:$F,0)),"")</f>
        <v>267RC  S-M 'סד יד ימין בז</v>
      </c>
      <c r="C510" s="12" t="n">
        <f aca="false">SUMIFS('בתי מרקחת Raw'!$D$6:$D$1616,'בתי מרקחת Raw'!$F$6:$F$1616,$A510,'בתי מרקחת Raw'!$C$6:$C$1616,2025)</f>
        <v>1</v>
      </c>
      <c r="D510" s="12" t="n">
        <f aca="false">SUMIFS('בתי מרקחת Raw'!$D$6:$D$1616,'בתי מרקחת Raw'!$F$6:$F$1616,$A510,'בתי מרקחת Raw'!$C$6:$C$1616,2026)</f>
        <v>0</v>
      </c>
      <c r="E510" s="12" t="n">
        <f aca="false">D510*$J$5</f>
        <v>0</v>
      </c>
      <c r="F510" s="12" t="n">
        <f aca="false">E510-C510</f>
        <v>-1</v>
      </c>
      <c r="G510" s="21" t="n">
        <f aca="false">IF(AND(C510=0,E510=0),0,IF(C510=0,"New",(E510-C510)/C510))</f>
        <v>-1</v>
      </c>
      <c r="H510" s="12" t="n">
        <f aca="false">SUMIFS('בתי מרקחת Raw'!$E$6:$E$1616,'בתי מרקחת Raw'!$F$6:$F$1616,$A510,'בתי מרקחת Raw'!$C$6:$C$1616,2025)</f>
        <v>108.7</v>
      </c>
      <c r="I510" s="12" t="n">
        <f aca="false">SUMIFS('בתי מרקחת Raw'!$E$6:$E$1616,'בתי מרקחת Raw'!$F$6:$F$1616,$A510,'בתי מרקחת Raw'!$C$6:$C$1616,2026)</f>
        <v>0</v>
      </c>
      <c r="J510" s="12" t="n">
        <f aca="false">I510*$J$5</f>
        <v>0</v>
      </c>
    </row>
    <row r="511" customFormat="false" ht="15" hidden="false" customHeight="true" outlineLevel="0" collapsed="false">
      <c r="A511" s="12" t="n">
        <v>4415170</v>
      </c>
      <c r="B511" s="12" t="str">
        <f aca="false">IFERROR(INDEX('בתי מרקחת Raw'!$B:$B,MATCH($A511,'בתי מרקחת Raw'!$F:$F,0)),"")</f>
        <v>267LB  L-XLסד יד שמאל שחור</v>
      </c>
      <c r="C511" s="12" t="n">
        <f aca="false">SUMIFS('בתי מרקחת Raw'!$D$6:$D$1616,'בתי מרקחת Raw'!$F$6:$F$1616,$A511,'בתי מרקחת Raw'!$C$6:$C$1616,2025)</f>
        <v>1</v>
      </c>
      <c r="D511" s="12" t="n">
        <f aca="false">SUMIFS('בתי מרקחת Raw'!$D$6:$D$1616,'בתי מרקחת Raw'!$F$6:$F$1616,$A511,'בתי מרקחת Raw'!$C$6:$C$1616,2026)</f>
        <v>0</v>
      </c>
      <c r="E511" s="12" t="n">
        <f aca="false">D511*$J$5</f>
        <v>0</v>
      </c>
      <c r="F511" s="12" t="n">
        <f aca="false">E511-C511</f>
        <v>-1</v>
      </c>
      <c r="G511" s="21" t="n">
        <f aca="false">IF(AND(C511=0,E511=0),0,IF(C511=0,"New",(E511-C511)/C511))</f>
        <v>-1</v>
      </c>
      <c r="H511" s="12" t="n">
        <f aca="false">SUMIFS('בתי מרקחת Raw'!$E$6:$E$1616,'בתי מרקחת Raw'!$F$6:$F$1616,$A511,'בתי מרקחת Raw'!$C$6:$C$1616,2025)</f>
        <v>108.7</v>
      </c>
      <c r="I511" s="12" t="n">
        <f aca="false">SUMIFS('בתי מרקחת Raw'!$E$6:$E$1616,'בתי מרקחת Raw'!$F$6:$F$1616,$A511,'בתי מרקחת Raw'!$C$6:$C$1616,2026)</f>
        <v>0</v>
      </c>
      <c r="J511" s="12" t="n">
        <f aca="false">I511*$J$5</f>
        <v>0</v>
      </c>
    </row>
    <row r="512" customFormat="false" ht="15" hidden="false" customHeight="true" outlineLevel="0" collapsed="false">
      <c r="A512" s="12" t="n">
        <v>4415171</v>
      </c>
      <c r="B512" s="12" t="str">
        <f aca="false">IFERROR(INDEX('בתי מרקחת Raw'!$B:$B,MATCH($A512,'בתי מרקחת Raw'!$F:$F,0)),"")</f>
        <v>267LB  S-M סד יד שמאל שחור</v>
      </c>
      <c r="C512" s="12" t="n">
        <f aca="false">SUMIFS('בתי מרקחת Raw'!$D$6:$D$1616,'בתי מרקחת Raw'!$F$6:$F$1616,$A512,'בתי מרקחת Raw'!$C$6:$C$1616,2025)</f>
        <v>1</v>
      </c>
      <c r="D512" s="12" t="n">
        <f aca="false">SUMIFS('בתי מרקחת Raw'!$D$6:$D$1616,'בתי מרקחת Raw'!$F$6:$F$1616,$A512,'בתי מרקחת Raw'!$C$6:$C$1616,2026)</f>
        <v>0</v>
      </c>
      <c r="E512" s="12" t="n">
        <f aca="false">D512*$J$5</f>
        <v>0</v>
      </c>
      <c r="F512" s="12" t="n">
        <f aca="false">E512-C512</f>
        <v>-1</v>
      </c>
      <c r="G512" s="21" t="n">
        <f aca="false">IF(AND(C512=0,E512=0),0,IF(C512=0,"New",(E512-C512)/C512))</f>
        <v>-1</v>
      </c>
      <c r="H512" s="12" t="n">
        <f aca="false">SUMIFS('בתי מרקחת Raw'!$E$6:$E$1616,'בתי מרקחת Raw'!$F$6:$F$1616,$A512,'בתי מרקחת Raw'!$C$6:$C$1616,2025)</f>
        <v>108.7</v>
      </c>
      <c r="I512" s="12" t="n">
        <f aca="false">SUMIFS('בתי מרקחת Raw'!$E$6:$E$1616,'בתי מרקחת Raw'!$F$6:$F$1616,$A512,'בתי מרקחת Raw'!$C$6:$C$1616,2026)</f>
        <v>0</v>
      </c>
      <c r="J512" s="12" t="n">
        <f aca="false">I512*$J$5</f>
        <v>0</v>
      </c>
    </row>
    <row r="513" customFormat="false" ht="15" hidden="false" customHeight="true" outlineLevel="0" collapsed="false">
      <c r="A513" s="12" t="n">
        <v>4415173</v>
      </c>
      <c r="B513" s="12" t="str">
        <f aca="false">IFERROR(INDEX('בתי מרקחת Raw'!$B:$B,MATCH($A513,'בתי מרקחת Raw'!$F:$F,0)),"")</f>
        <v>267RB  L-XLסד יד ימין שחור</v>
      </c>
      <c r="C513" s="12" t="n">
        <f aca="false">SUMIFS('בתי מרקחת Raw'!$D$6:$D$1616,'בתי מרקחת Raw'!$F$6:$F$1616,$A513,'בתי מרקחת Raw'!$C$6:$C$1616,2025)</f>
        <v>1</v>
      </c>
      <c r="D513" s="12" t="n">
        <f aca="false">SUMIFS('בתי מרקחת Raw'!$D$6:$D$1616,'בתי מרקחת Raw'!$F$6:$F$1616,$A513,'בתי מרקחת Raw'!$C$6:$C$1616,2026)</f>
        <v>0</v>
      </c>
      <c r="E513" s="12" t="n">
        <f aca="false">D513*$J$5</f>
        <v>0</v>
      </c>
      <c r="F513" s="12" t="n">
        <f aca="false">E513-C513</f>
        <v>-1</v>
      </c>
      <c r="G513" s="21" t="n">
        <f aca="false">IF(AND(C513=0,E513=0),0,IF(C513=0,"New",(E513-C513)/C513))</f>
        <v>-1</v>
      </c>
      <c r="H513" s="12" t="n">
        <f aca="false">SUMIFS('בתי מרקחת Raw'!$E$6:$E$1616,'בתי מרקחת Raw'!$F$6:$F$1616,$A513,'בתי מרקחת Raw'!$C$6:$C$1616,2025)</f>
        <v>108.7</v>
      </c>
      <c r="I513" s="12" t="n">
        <f aca="false">SUMIFS('בתי מרקחת Raw'!$E$6:$E$1616,'בתי מרקחת Raw'!$F$6:$F$1616,$A513,'בתי מרקחת Raw'!$C$6:$C$1616,2026)</f>
        <v>0</v>
      </c>
      <c r="J513" s="12" t="n">
        <f aca="false">I513*$J$5</f>
        <v>0</v>
      </c>
    </row>
    <row r="514" customFormat="false" ht="15" hidden="false" customHeight="true" outlineLevel="0" collapsed="false">
      <c r="A514" s="12" t="n">
        <v>4415174</v>
      </c>
      <c r="B514" s="12" t="str">
        <f aca="false">IFERROR(INDEX('בתי מרקחת Raw'!$B:$B,MATCH($A514,'בתי מרקחת Raw'!$F:$F,0)),"")</f>
        <v>267RB  S-M סד יד ימין שחור</v>
      </c>
      <c r="C514" s="12" t="n">
        <f aca="false">SUMIFS('בתי מרקחת Raw'!$D$6:$D$1616,'בתי מרקחת Raw'!$F$6:$F$1616,$A514,'בתי מרקחת Raw'!$C$6:$C$1616,2025)</f>
        <v>1</v>
      </c>
      <c r="D514" s="12" t="n">
        <f aca="false">SUMIFS('בתי מרקחת Raw'!$D$6:$D$1616,'בתי מרקחת Raw'!$F$6:$F$1616,$A514,'בתי מרקחת Raw'!$C$6:$C$1616,2026)</f>
        <v>0</v>
      </c>
      <c r="E514" s="12" t="n">
        <f aca="false">D514*$J$5</f>
        <v>0</v>
      </c>
      <c r="F514" s="12" t="n">
        <f aca="false">E514-C514</f>
        <v>-1</v>
      </c>
      <c r="G514" s="21" t="n">
        <f aca="false">IF(AND(C514=0,E514=0),0,IF(C514=0,"New",(E514-C514)/C514))</f>
        <v>-1</v>
      </c>
      <c r="H514" s="12" t="n">
        <f aca="false">SUMIFS('בתי מרקחת Raw'!$E$6:$E$1616,'בתי מרקחת Raw'!$F$6:$F$1616,$A514,'בתי מרקחת Raw'!$C$6:$C$1616,2025)</f>
        <v>108.7</v>
      </c>
      <c r="I514" s="12" t="n">
        <f aca="false">SUMIFS('בתי מרקחת Raw'!$E$6:$E$1616,'בתי מרקחת Raw'!$F$6:$F$1616,$A514,'בתי מרקחת Raw'!$C$6:$C$1616,2026)</f>
        <v>0</v>
      </c>
      <c r="J514" s="12" t="n">
        <f aca="false">I514*$J$5</f>
        <v>0</v>
      </c>
    </row>
    <row r="515" customFormat="false" ht="15" hidden="false" customHeight="true" outlineLevel="0" collapsed="false">
      <c r="A515" s="12" t="n">
        <v>4415297</v>
      </c>
      <c r="B515" s="12" t="str">
        <f aca="false">IFERROR(INDEX('בתי מרקחת Raw'!$B:$B,MATCH($A515,'בתי מרקחת Raw'!$F:$F,0)),"")</f>
        <v>313 סט פלסטרים נגד שפשופים</v>
      </c>
      <c r="C515" s="12" t="n">
        <f aca="false">SUMIFS('בתי מרקחת Raw'!$D$6:$D$1616,'בתי מרקחת Raw'!$F$6:$F$1616,$A515,'בתי מרקחת Raw'!$C$6:$C$1616,2025)</f>
        <v>320</v>
      </c>
      <c r="D515" s="12" t="n">
        <f aca="false">SUMIFS('בתי מרקחת Raw'!$D$6:$D$1616,'בתי מרקחת Raw'!$F$6:$F$1616,$A515,'בתי מרקחת Raw'!$C$6:$C$1616,2026)</f>
        <v>115</v>
      </c>
      <c r="E515" s="12" t="n">
        <f aca="false">D515*$J$5</f>
        <v>145.263157894737</v>
      </c>
      <c r="F515" s="12" t="n">
        <f aca="false">E515-C515</f>
        <v>-174.736842105263</v>
      </c>
      <c r="G515" s="21" t="n">
        <f aca="false">IF(AND(C515=0,E515=0),0,IF(C515=0,"New",(E515-C515)/C515))</f>
        <v>-0.546052631578948</v>
      </c>
      <c r="H515" s="12" t="n">
        <f aca="false">SUMIFS('בתי מרקחת Raw'!$E$6:$E$1616,'בתי מרקחת Raw'!$F$6:$F$1616,$A515,'בתי מרקחת Raw'!$C$6:$C$1616,2025)</f>
        <v>7212.39</v>
      </c>
      <c r="I515" s="12" t="n">
        <f aca="false">SUMIFS('בתי מרקחת Raw'!$E$6:$E$1616,'בתי מרקחת Raw'!$F$6:$F$1616,$A515,'בתי מרקחת Raw'!$C$6:$C$1616,2026)</f>
        <v>2558.69</v>
      </c>
      <c r="J515" s="12" t="n">
        <f aca="false">I515*$J$5</f>
        <v>3232.02947368421</v>
      </c>
    </row>
    <row r="516" customFormat="false" ht="15" hidden="false" customHeight="true" outlineLevel="0" collapsed="false">
      <c r="A516" s="12" t="n">
        <v>4415298</v>
      </c>
      <c r="B516" s="12" t="str">
        <f aca="false">IFERROR(INDEX('בתי מרקחת Raw'!$B:$B,MATCH($A516,'בתי מרקחת Raw'!$F:$F,0)),"")</f>
        <v>388B L סד לילה שחור לבוהן שמאל</v>
      </c>
      <c r="C516" s="12" t="n">
        <f aca="false">SUMIFS('בתי מרקחת Raw'!$D$6:$D$1616,'בתי מרקחת Raw'!$F$6:$F$1616,$A516,'בתי מרקחת Raw'!$C$6:$C$1616,2025)</f>
        <v>47</v>
      </c>
      <c r="D516" s="12" t="n">
        <f aca="false">SUMIFS('בתי מרקחת Raw'!$D$6:$D$1616,'בתי מרקחת Raw'!$F$6:$F$1616,$A516,'בתי מרקחת Raw'!$C$6:$C$1616,2026)</f>
        <v>21</v>
      </c>
      <c r="E516" s="12" t="n">
        <f aca="false">D516*$J$5</f>
        <v>26.5263157894737</v>
      </c>
      <c r="F516" s="12" t="n">
        <f aca="false">E516-C516</f>
        <v>-20.4736842105263</v>
      </c>
      <c r="G516" s="21" t="n">
        <f aca="false">IF(AND(C516=0,E516=0),0,IF(C516=0,"New",(E516-C516)/C516))</f>
        <v>-0.435610302351624</v>
      </c>
      <c r="H516" s="12" t="n">
        <f aca="false">SUMIFS('בתי מרקחת Raw'!$E$6:$E$1616,'בתי מרקחת Raw'!$F$6:$F$1616,$A516,'בתי מרקחת Raw'!$C$6:$C$1616,2025)</f>
        <v>3228.8</v>
      </c>
      <c r="I516" s="12" t="n">
        <f aca="false">SUMIFS('בתי מרקחת Raw'!$E$6:$E$1616,'בתי מרקחת Raw'!$F$6:$F$1616,$A516,'בתי מרקחת Raw'!$C$6:$C$1616,2026)</f>
        <v>1386.05</v>
      </c>
      <c r="J516" s="12" t="n">
        <f aca="false">I516*$J$5</f>
        <v>1750.8</v>
      </c>
    </row>
    <row r="517" customFormat="false" ht="15" hidden="false" customHeight="true" outlineLevel="0" collapsed="false">
      <c r="A517" s="12" t="n">
        <v>4415299</v>
      </c>
      <c r="B517" s="12" t="str">
        <f aca="false">IFERROR(INDEX('בתי מרקחת Raw'!$B:$B,MATCH($A517,'בתי מרקחת Raw'!$F:$F,0)),"")</f>
        <v>388B L סד לילה שחור לבוהן ימין</v>
      </c>
      <c r="C517" s="12" t="n">
        <f aca="false">SUMIFS('בתי מרקחת Raw'!$D$6:$D$1616,'בתי מרקחת Raw'!$F$6:$F$1616,$A517,'בתי מרקחת Raw'!$C$6:$C$1616,2025)</f>
        <v>61</v>
      </c>
      <c r="D517" s="12" t="n">
        <f aca="false">SUMIFS('בתי מרקחת Raw'!$D$6:$D$1616,'בתי מרקחת Raw'!$F$6:$F$1616,$A517,'בתי מרקחת Raw'!$C$6:$C$1616,2026)</f>
        <v>22</v>
      </c>
      <c r="E517" s="12" t="n">
        <f aca="false">D517*$J$5</f>
        <v>27.7894736842105</v>
      </c>
      <c r="F517" s="12" t="n">
        <f aca="false">E517-C517</f>
        <v>-33.2105263157895</v>
      </c>
      <c r="G517" s="21" t="n">
        <f aca="false">IF(AND(C517=0,E517=0),0,IF(C517=0,"New",(E517-C517)/C517))</f>
        <v>-0.544434857635893</v>
      </c>
      <c r="H517" s="12" t="n">
        <f aca="false">SUMIFS('בתי מרקחת Raw'!$E$6:$E$1616,'בתי מרקחת Raw'!$F$6:$F$1616,$A517,'בתי מרקחת Raw'!$C$6:$C$1616,2025)</f>
        <v>4201.5</v>
      </c>
      <c r="I517" s="12" t="n">
        <f aca="false">SUMIFS('בתי מרקחת Raw'!$E$6:$E$1616,'בתי מרקחת Raw'!$F$6:$F$1616,$A517,'בתי מרקחת Raw'!$C$6:$C$1616,2026)</f>
        <v>1520.75</v>
      </c>
      <c r="J517" s="12" t="n">
        <f aca="false">I517*$J$5</f>
        <v>1920.94736842105</v>
      </c>
    </row>
    <row r="518" customFormat="false" ht="15" hidden="false" customHeight="true" outlineLevel="0" collapsed="false">
      <c r="A518" s="12" t="n">
        <v>4416000</v>
      </c>
      <c r="B518" s="12" t="str">
        <f aca="false">IFERROR(INDEX('בתי מרקחת Raw'!$B:$B,MATCH($A518,'בתי מרקחת Raw'!$F:$F,0)),"")</f>
        <v>307 L עקבים לדורבן-זוג כריות</v>
      </c>
      <c r="C518" s="12" t="n">
        <f aca="false">SUMIFS('בתי מרקחת Raw'!$D$6:$D$1616,'בתי מרקחת Raw'!$F$6:$F$1616,$A518,'בתי מרקחת Raw'!$C$6:$C$1616,2025)</f>
        <v>161</v>
      </c>
      <c r="D518" s="12" t="n">
        <f aca="false">SUMIFS('בתי מרקחת Raw'!$D$6:$D$1616,'בתי מרקחת Raw'!$F$6:$F$1616,$A518,'בתי מרקחת Raw'!$C$6:$C$1616,2026)</f>
        <v>75</v>
      </c>
      <c r="E518" s="12" t="n">
        <f aca="false">D518*$J$5</f>
        <v>94.7368421052632</v>
      </c>
      <c r="F518" s="12" t="n">
        <f aca="false">E518-C518</f>
        <v>-66.2631578947369</v>
      </c>
      <c r="G518" s="21" t="n">
        <f aca="false">IF(AND(C518=0,E518=0),0,IF(C518=0,"New",(E518-C518)/C518))</f>
        <v>-0.41157240928408</v>
      </c>
      <c r="H518" s="12" t="n">
        <f aca="false">SUMIFS('בתי מרקחת Raw'!$E$6:$E$1616,'בתי מרקחת Raw'!$F$6:$F$1616,$A518,'בתי מרקחת Raw'!$C$6:$C$1616,2025)</f>
        <v>13344.13</v>
      </c>
      <c r="I518" s="12" t="n">
        <f aca="false">SUMIFS('בתי מרקחת Raw'!$E$6:$E$1616,'בתי מרקחת Raw'!$F$6:$F$1616,$A518,'בתי מרקחת Raw'!$C$6:$C$1616,2026)</f>
        <v>6278.29</v>
      </c>
      <c r="J518" s="12" t="n">
        <f aca="false">I518*$J$5</f>
        <v>7930.47157894737</v>
      </c>
    </row>
    <row r="519" customFormat="false" ht="15" hidden="false" customHeight="true" outlineLevel="0" collapsed="false">
      <c r="A519" s="12" t="n">
        <v>4416001</v>
      </c>
      <c r="B519" s="12" t="str">
        <f aca="false">IFERROR(INDEX('בתי מרקחת Raw'!$B:$B,MATCH($A519,'בתי מרקחת Raw'!$F:$F,0)),"")</f>
        <v>307 M עקבים לדורבן-זוג כריות</v>
      </c>
      <c r="C519" s="12" t="n">
        <f aca="false">SUMIFS('בתי מרקחת Raw'!$D$6:$D$1616,'בתי מרקחת Raw'!$F$6:$F$1616,$A519,'בתי מרקחת Raw'!$C$6:$C$1616,2025)</f>
        <v>159</v>
      </c>
      <c r="D519" s="12" t="n">
        <f aca="false">SUMIFS('בתי מרקחת Raw'!$D$6:$D$1616,'בתי מרקחת Raw'!$F$6:$F$1616,$A519,'בתי מרקחת Raw'!$C$6:$C$1616,2026)</f>
        <v>90</v>
      </c>
      <c r="E519" s="12" t="n">
        <f aca="false">D519*$J$5</f>
        <v>113.684210526316</v>
      </c>
      <c r="F519" s="12" t="n">
        <f aca="false">E519-C519</f>
        <v>-45.3157894736842</v>
      </c>
      <c r="G519" s="21" t="n">
        <f aca="false">IF(AND(C519=0,E519=0),0,IF(C519=0,"New",(E519-C519)/C519))</f>
        <v>-0.285004965243297</v>
      </c>
      <c r="H519" s="12" t="n">
        <f aca="false">SUMIFS('בתי מרקחת Raw'!$E$6:$E$1616,'בתי מרקחת Raw'!$F$6:$F$1616,$A519,'בתי מרקחת Raw'!$C$6:$C$1616,2025)</f>
        <v>13060.09</v>
      </c>
      <c r="I519" s="12" t="n">
        <f aca="false">SUMIFS('בתי מרקחת Raw'!$E$6:$E$1616,'בתי מרקחת Raw'!$F$6:$F$1616,$A519,'בתי מרקחת Raw'!$C$6:$C$1616,2026)</f>
        <v>7849.8</v>
      </c>
      <c r="J519" s="12" t="n">
        <f aca="false">I519*$J$5</f>
        <v>9915.53684210526</v>
      </c>
    </row>
    <row r="520" customFormat="false" ht="15" hidden="false" customHeight="true" outlineLevel="0" collapsed="false">
      <c r="A520" s="12" t="n">
        <v>4416002</v>
      </c>
      <c r="B520" s="12" t="str">
        <f aca="false">IFERROR(INDEX('בתי מרקחת Raw'!$B:$B,MATCH($A520,'בתי מרקחת Raw'!$F:$F,0)),"")</f>
        <v>307 S עקבים לדורבן-זוג כריות</v>
      </c>
      <c r="C520" s="12" t="n">
        <f aca="false">SUMIFS('בתי מרקחת Raw'!$D$6:$D$1616,'בתי מרקחת Raw'!$F$6:$F$1616,$A520,'בתי מרקחת Raw'!$C$6:$C$1616,2025)</f>
        <v>46</v>
      </c>
      <c r="D520" s="12" t="n">
        <f aca="false">SUMIFS('בתי מרקחת Raw'!$D$6:$D$1616,'בתי מרקחת Raw'!$F$6:$F$1616,$A520,'בתי מרקחת Raw'!$C$6:$C$1616,2026)</f>
        <v>19</v>
      </c>
      <c r="E520" s="12" t="n">
        <f aca="false">D520*$J$5</f>
        <v>24</v>
      </c>
      <c r="F520" s="12" t="n">
        <f aca="false">E520-C520</f>
        <v>-22</v>
      </c>
      <c r="G520" s="21" t="n">
        <f aca="false">IF(AND(C520=0,E520=0),0,IF(C520=0,"New",(E520-C520)/C520))</f>
        <v>-0.478260869565217</v>
      </c>
      <c r="H520" s="12" t="n">
        <f aca="false">SUMIFS('בתי מרקחת Raw'!$E$6:$E$1616,'בתי מרקחת Raw'!$F$6:$F$1616,$A520,'בתי מרקחת Raw'!$C$6:$C$1616,2025)</f>
        <v>3635.5</v>
      </c>
      <c r="I520" s="12" t="n">
        <f aca="false">SUMIFS('בתי מרקחת Raw'!$E$6:$E$1616,'בתי מרקחת Raw'!$F$6:$F$1616,$A520,'בתי מרקחת Raw'!$C$6:$C$1616,2026)</f>
        <v>1605.9</v>
      </c>
      <c r="J520" s="12" t="n">
        <f aca="false">I520*$J$5</f>
        <v>2028.50526315789</v>
      </c>
    </row>
    <row r="521" customFormat="false" ht="15" hidden="false" customHeight="true" outlineLevel="0" collapsed="false">
      <c r="A521" s="12" t="n">
        <v>4416003</v>
      </c>
      <c r="B521" s="12" t="str">
        <f aca="false">IFERROR(INDEX('בתי מרקחת Raw'!$B:$B,MATCH($A521,'בתי מרקחת Raw'!$F:$F,0)),"")</f>
        <v>308 Lעקבים סיליקון כחול לדורבן</v>
      </c>
      <c r="C521" s="12" t="n">
        <f aca="false">SUMIFS('בתי מרקחת Raw'!$D$6:$D$1616,'בתי מרקחת Raw'!$F$6:$F$1616,$A521,'בתי מרקחת Raw'!$C$6:$C$1616,2025)</f>
        <v>128</v>
      </c>
      <c r="D521" s="12" t="n">
        <f aca="false">SUMIFS('בתי מרקחת Raw'!$D$6:$D$1616,'בתי מרקחת Raw'!$F$6:$F$1616,$A521,'בתי מרקחת Raw'!$C$6:$C$1616,2026)</f>
        <v>76</v>
      </c>
      <c r="E521" s="12" t="n">
        <f aca="false">D521*$J$5</f>
        <v>96</v>
      </c>
      <c r="F521" s="12" t="n">
        <f aca="false">E521-C521</f>
        <v>-32</v>
      </c>
      <c r="G521" s="21" t="n">
        <f aca="false">IF(AND(C521=0,E521=0),0,IF(C521=0,"New",(E521-C521)/C521))</f>
        <v>-0.25</v>
      </c>
      <c r="H521" s="12" t="n">
        <f aca="false">SUMIFS('בתי מרקחת Raw'!$E$6:$E$1616,'בתי מרקחת Raw'!$F$6:$F$1616,$A521,'בתי מרקחת Raw'!$C$6:$C$1616,2025)</f>
        <v>7040.2</v>
      </c>
      <c r="I521" s="12" t="n">
        <f aca="false">SUMIFS('בתי מרקחת Raw'!$E$6:$E$1616,'בתי מרקחת Raw'!$F$6:$F$1616,$A521,'בתי מרקחת Raw'!$C$6:$C$1616,2026)</f>
        <v>4316.78</v>
      </c>
      <c r="J521" s="12" t="n">
        <f aca="false">I521*$J$5</f>
        <v>5452.77473684211</v>
      </c>
    </row>
    <row r="522" customFormat="false" ht="15" hidden="false" customHeight="true" outlineLevel="0" collapsed="false">
      <c r="A522" s="12" t="n">
        <v>4416005</v>
      </c>
      <c r="B522" s="12" t="str">
        <f aca="false">IFERROR(INDEX('בתי מרקחת Raw'!$B:$B,MATCH($A522,'בתי מרקחת Raw'!$F:$F,0)),"")</f>
        <v>308 Mעקבים סיליק.כחול לדורבן</v>
      </c>
      <c r="C522" s="12" t="n">
        <f aca="false">SUMIFS('בתי מרקחת Raw'!$D$6:$D$1616,'בתי מרקחת Raw'!$F$6:$F$1616,$A522,'בתי מרקחת Raw'!$C$6:$C$1616,2025)</f>
        <v>129</v>
      </c>
      <c r="D522" s="12" t="n">
        <f aca="false">SUMIFS('בתי מרקחת Raw'!$D$6:$D$1616,'בתי מרקחת Raw'!$F$6:$F$1616,$A522,'בתי מרקחת Raw'!$C$6:$C$1616,2026)</f>
        <v>70</v>
      </c>
      <c r="E522" s="12" t="n">
        <f aca="false">D522*$J$5</f>
        <v>88.421052631579</v>
      </c>
      <c r="F522" s="12" t="n">
        <f aca="false">E522-C522</f>
        <v>-40.5789473684211</v>
      </c>
      <c r="G522" s="21" t="n">
        <f aca="false">IF(AND(C522=0,E522=0),0,IF(C522=0,"New",(E522-C522)/C522))</f>
        <v>-0.314565483476132</v>
      </c>
      <c r="H522" s="12" t="n">
        <f aca="false">SUMIFS('בתי מרקחת Raw'!$E$6:$E$1616,'בתי מרקחת Raw'!$F$6:$F$1616,$A522,'בתי מרקחת Raw'!$C$6:$C$1616,2025)</f>
        <v>7157.9</v>
      </c>
      <c r="I522" s="12" t="n">
        <f aca="false">SUMIFS('בתי מרקחת Raw'!$E$6:$E$1616,'בתי מרקחת Raw'!$F$6:$F$1616,$A522,'בתי מרקחת Raw'!$C$6:$C$1616,2026)</f>
        <v>3998.7</v>
      </c>
      <c r="J522" s="12" t="n">
        <f aca="false">I522*$J$5</f>
        <v>5050.98947368421</v>
      </c>
    </row>
    <row r="523" customFormat="false" ht="15" hidden="false" customHeight="true" outlineLevel="0" collapsed="false">
      <c r="A523" s="12" t="n">
        <v>4416006</v>
      </c>
      <c r="B523" s="12" t="str">
        <f aca="false">IFERROR(INDEX('בתי מרקחת Raw'!$B:$B,MATCH($A523,'בתי מרקחת Raw'!$F:$F,0)),"")</f>
        <v>308 Sעקבים סיליק.כחול לדורבן</v>
      </c>
      <c r="C523" s="12" t="n">
        <f aca="false">SUMIFS('בתי מרקחת Raw'!$D$6:$D$1616,'בתי מרקחת Raw'!$F$6:$F$1616,$A523,'בתי מרקחת Raw'!$C$6:$C$1616,2025)</f>
        <v>-1</v>
      </c>
      <c r="D523" s="12" t="n">
        <f aca="false">SUMIFS('בתי מרקחת Raw'!$D$6:$D$1616,'בתי מרקחת Raw'!$F$6:$F$1616,$A523,'בתי מרקחת Raw'!$C$6:$C$1616,2026)</f>
        <v>-1</v>
      </c>
      <c r="E523" s="12" t="n">
        <f aca="false">D523*$J$5</f>
        <v>-1.26315789473684</v>
      </c>
      <c r="F523" s="12" t="n">
        <f aca="false">E523-C523</f>
        <v>-0.263157894736842</v>
      </c>
      <c r="G523" s="21" t="n">
        <f aca="false">IF(AND(C523=0,E523=0),0,IF(C523=0,"New",(E523-C523)/C523))</f>
        <v>0.263157894736842</v>
      </c>
      <c r="H523" s="12" t="n">
        <f aca="false">SUMIFS('בתי מרקחת Raw'!$E$6:$E$1616,'בתי מרקחת Raw'!$F$6:$F$1616,$A523,'בתי מרקחת Raw'!$C$6:$C$1616,2025)</f>
        <v>-25.3</v>
      </c>
      <c r="I523" s="12" t="n">
        <f aca="false">SUMIFS('בתי מרקחת Raw'!$E$6:$E$1616,'בתי מרקחת Raw'!$F$6:$F$1616,$A523,'בתי מרקחת Raw'!$C$6:$C$1616,2026)</f>
        <v>-58.4</v>
      </c>
      <c r="J523" s="12" t="n">
        <f aca="false">I523*$J$5</f>
        <v>-73.7684210526316</v>
      </c>
    </row>
    <row r="524" customFormat="false" ht="15" hidden="false" customHeight="true" outlineLevel="0" collapsed="false">
      <c r="A524" s="12" t="n">
        <v>4417000</v>
      </c>
      <c r="B524" s="12" t="str">
        <f aca="false">IFERROR(INDEX('בתי מרקחת Raw'!$B:$B,MATCH($A524,'בתי מרקחת Raw'!$F:$F,0)),"")</f>
        <v>PD342-פומפיה להסרת עור קשה</v>
      </c>
      <c r="C524" s="12" t="n">
        <f aca="false">SUMIFS('בתי מרקחת Raw'!$D$6:$D$1616,'בתי מרקחת Raw'!$F$6:$F$1616,$A524,'בתי מרקחת Raw'!$C$6:$C$1616,2025)</f>
        <v>225</v>
      </c>
      <c r="D524" s="12" t="n">
        <f aca="false">SUMIFS('בתי מרקחת Raw'!$D$6:$D$1616,'בתי מרקחת Raw'!$F$6:$F$1616,$A524,'בתי מרקחת Raw'!$C$6:$C$1616,2026)</f>
        <v>148</v>
      </c>
      <c r="E524" s="12" t="n">
        <f aca="false">D524*$J$5</f>
        <v>186.947368421053</v>
      </c>
      <c r="F524" s="12" t="n">
        <f aca="false">E524-C524</f>
        <v>-38.0526315789474</v>
      </c>
      <c r="G524" s="21" t="n">
        <f aca="false">IF(AND(C524=0,E524=0),0,IF(C524=0,"New",(E524-C524)/C524))</f>
        <v>-0.169122807017544</v>
      </c>
      <c r="H524" s="12" t="n">
        <f aca="false">SUMIFS('בתי מרקחת Raw'!$E$6:$E$1616,'בתי מרקחת Raw'!$F$6:$F$1616,$A524,'בתי מרקחת Raw'!$C$6:$C$1616,2025)</f>
        <v>5573.64</v>
      </c>
      <c r="I524" s="12" t="n">
        <f aca="false">SUMIFS('בתי מרקחת Raw'!$E$6:$E$1616,'בתי מרקחת Raw'!$F$6:$F$1616,$A524,'בתי מרקחת Raw'!$C$6:$C$1616,2026)</f>
        <v>3656.74</v>
      </c>
      <c r="J524" s="12" t="n">
        <f aca="false">I524*$J$5</f>
        <v>4619.04</v>
      </c>
    </row>
    <row r="525" customFormat="false" ht="15" hidden="false" customHeight="true" outlineLevel="0" collapsed="false">
      <c r="A525" s="12" t="n">
        <v>4417001</v>
      </c>
      <c r="B525" s="12" t="str">
        <f aca="false">IFERROR(INDEX('בתי מרקחת Raw'!$B:$B,MATCH($A525,'בתי מרקחת Raw'!$F:$F,0)),"")</f>
        <v>PD343-פומפיה מאבן להסר.עור</v>
      </c>
      <c r="C525" s="12" t="n">
        <f aca="false">SUMIFS('בתי מרקחת Raw'!$D$6:$D$1616,'בתי מרקחת Raw'!$F$6:$F$1616,$A525,'בתי מרקחת Raw'!$C$6:$C$1616,2025)</f>
        <v>-1</v>
      </c>
      <c r="D525" s="12" t="n">
        <f aca="false">SUMIFS('בתי מרקחת Raw'!$D$6:$D$1616,'בתי מרקחת Raw'!$F$6:$F$1616,$A525,'בתי מרקחת Raw'!$C$6:$C$1616,2026)</f>
        <v>0</v>
      </c>
      <c r="E525" s="12" t="n">
        <f aca="false">D525*$J$5</f>
        <v>0</v>
      </c>
      <c r="F525" s="12" t="n">
        <f aca="false">E525-C525</f>
        <v>1</v>
      </c>
      <c r="G525" s="21" t="n">
        <f aca="false">IF(AND(C525=0,E525=0),0,IF(C525=0,"New",(E525-C525)/C525))</f>
        <v>-1</v>
      </c>
      <c r="H525" s="12" t="n">
        <f aca="false">SUMIFS('בתי מרקחת Raw'!$E$6:$E$1616,'בתי מרקחת Raw'!$F$6:$F$1616,$A525,'בתי מרקחת Raw'!$C$6:$C$1616,2025)</f>
        <v>-9</v>
      </c>
      <c r="I525" s="12" t="n">
        <f aca="false">SUMIFS('בתי מרקחת Raw'!$E$6:$E$1616,'בתי מרקחת Raw'!$F$6:$F$1616,$A525,'בתי מרקחת Raw'!$C$6:$C$1616,2026)</f>
        <v>0</v>
      </c>
      <c r="J525" s="12" t="n">
        <f aca="false">I525*$J$5</f>
        <v>0</v>
      </c>
    </row>
    <row r="526" customFormat="false" ht="15" hidden="false" customHeight="true" outlineLevel="0" collapsed="false">
      <c r="A526" s="12" t="n">
        <v>4418000</v>
      </c>
      <c r="B526" s="12" t="str">
        <f aca="false">IFERROR(INDEX('בתי מרקחת Raw'!$B:$B,MATCH($A526,'בתי מרקחת Raw'!$F:$F,0)),"")</f>
        <v>60 L צוארון ספוגי</v>
      </c>
      <c r="C526" s="12" t="n">
        <f aca="false">SUMIFS('בתי מרקחת Raw'!$D$6:$D$1616,'בתי מרקחת Raw'!$F$6:$F$1616,$A526,'בתי מרקחת Raw'!$C$6:$C$1616,2025)</f>
        <v>205</v>
      </c>
      <c r="D526" s="12" t="n">
        <f aca="false">SUMIFS('בתי מרקחת Raw'!$D$6:$D$1616,'בתי מרקחת Raw'!$F$6:$F$1616,$A526,'בתי מרקחת Raw'!$C$6:$C$1616,2026)</f>
        <v>90</v>
      </c>
      <c r="E526" s="12" t="n">
        <f aca="false">D526*$J$5</f>
        <v>113.684210526316</v>
      </c>
      <c r="F526" s="12" t="n">
        <f aca="false">E526-C526</f>
        <v>-91.3157894736842</v>
      </c>
      <c r="G526" s="21" t="n">
        <f aca="false">IF(AND(C526=0,E526=0),0,IF(C526=0,"New",(E526-C526)/C526))</f>
        <v>-0.445442875481386</v>
      </c>
      <c r="H526" s="12" t="n">
        <f aca="false">SUMIFS('בתי מרקחת Raw'!$E$6:$E$1616,'בתי מרקחת Raw'!$F$6:$F$1616,$A526,'בתי מרקחת Raw'!$C$6:$C$1616,2025)</f>
        <v>9927.68</v>
      </c>
      <c r="I526" s="12" t="n">
        <f aca="false">SUMIFS('בתי מרקחת Raw'!$E$6:$E$1616,'בתי מרקחת Raw'!$F$6:$F$1616,$A526,'בתי מרקחת Raw'!$C$6:$C$1616,2026)</f>
        <v>4352.3</v>
      </c>
      <c r="J526" s="12" t="n">
        <f aca="false">I526*$J$5</f>
        <v>5497.64210526316</v>
      </c>
    </row>
    <row r="527" customFormat="false" ht="15" hidden="false" customHeight="true" outlineLevel="0" collapsed="false">
      <c r="A527" s="12" t="n">
        <v>4418001</v>
      </c>
      <c r="B527" s="12" t="str">
        <f aca="false">IFERROR(INDEX('בתי מרקחת Raw'!$B:$B,MATCH($A527,'בתי מרקחת Raw'!$F:$F,0)),"")</f>
        <v>60 M צוארון ספוגי</v>
      </c>
      <c r="C527" s="12" t="n">
        <f aca="false">SUMIFS('בתי מרקחת Raw'!$D$6:$D$1616,'בתי מרקחת Raw'!$F$6:$F$1616,$A527,'בתי מרקחת Raw'!$C$6:$C$1616,2025)</f>
        <v>159</v>
      </c>
      <c r="D527" s="12" t="n">
        <f aca="false">SUMIFS('בתי מרקחת Raw'!$D$6:$D$1616,'בתי מרקחת Raw'!$F$6:$F$1616,$A527,'בתי מרקחת Raw'!$C$6:$C$1616,2026)</f>
        <v>62</v>
      </c>
      <c r="E527" s="12" t="n">
        <f aca="false">D527*$J$5</f>
        <v>78.3157894736842</v>
      </c>
      <c r="F527" s="12" t="n">
        <f aca="false">E527-C527</f>
        <v>-80.6842105263158</v>
      </c>
      <c r="G527" s="21" t="n">
        <f aca="false">IF(AND(C527=0,E527=0),0,IF(C527=0,"New",(E527-C527)/C527))</f>
        <v>-0.507447864945382</v>
      </c>
      <c r="H527" s="12" t="n">
        <f aca="false">SUMIFS('בתי מרקחת Raw'!$E$6:$E$1616,'בתי מרקחת Raw'!$F$6:$F$1616,$A527,'בתי מרקחת Raw'!$C$6:$C$1616,2025)</f>
        <v>7739.04</v>
      </c>
      <c r="I527" s="12" t="n">
        <f aca="false">SUMIFS('בתי מרקחת Raw'!$E$6:$E$1616,'בתי מרקחת Raw'!$F$6:$F$1616,$A527,'בתי מרקחת Raw'!$C$6:$C$1616,2026)</f>
        <v>3004.34</v>
      </c>
      <c r="J527" s="12" t="n">
        <f aca="false">I527*$J$5</f>
        <v>3794.95578947368</v>
      </c>
    </row>
    <row r="528" customFormat="false" ht="15" hidden="false" customHeight="true" outlineLevel="0" collapsed="false">
      <c r="A528" s="12" t="n">
        <v>4418002</v>
      </c>
      <c r="B528" s="12" t="str">
        <f aca="false">IFERROR(INDEX('בתי מרקחת Raw'!$B:$B,MATCH($A528,'בתי מרקחת Raw'!$F:$F,0)),"")</f>
        <v>60 S צוארון ספוגי</v>
      </c>
      <c r="C528" s="12" t="n">
        <f aca="false">SUMIFS('בתי מרקחת Raw'!$D$6:$D$1616,'בתי מרקחת Raw'!$F$6:$F$1616,$A528,'בתי מרקחת Raw'!$C$6:$C$1616,2025)</f>
        <v>81</v>
      </c>
      <c r="D528" s="12" t="n">
        <f aca="false">SUMIFS('בתי מרקחת Raw'!$D$6:$D$1616,'בתי מרקחת Raw'!$F$6:$F$1616,$A528,'בתי מרקחת Raw'!$C$6:$C$1616,2026)</f>
        <v>38</v>
      </c>
      <c r="E528" s="12" t="n">
        <f aca="false">D528*$J$5</f>
        <v>48</v>
      </c>
      <c r="F528" s="12" t="n">
        <f aca="false">E528-C528</f>
        <v>-33</v>
      </c>
      <c r="G528" s="21" t="n">
        <f aca="false">IF(AND(C528=0,E528=0),0,IF(C528=0,"New",(E528-C528)/C528))</f>
        <v>-0.407407407407407</v>
      </c>
      <c r="H528" s="12" t="n">
        <f aca="false">SUMIFS('בתי מרקחת Raw'!$E$6:$E$1616,'בתי מרקחת Raw'!$F$6:$F$1616,$A528,'בתי מרקחת Raw'!$C$6:$C$1616,2025)</f>
        <v>3903.05</v>
      </c>
      <c r="I528" s="12" t="n">
        <f aca="false">SUMIFS('בתי מרקחת Raw'!$E$6:$E$1616,'בתי מרקחת Raw'!$F$6:$F$1616,$A528,'בתי מרקחת Raw'!$C$6:$C$1616,2026)</f>
        <v>1852.84</v>
      </c>
      <c r="J528" s="12" t="n">
        <f aca="false">I528*$J$5</f>
        <v>2340.42947368421</v>
      </c>
    </row>
    <row r="529" customFormat="false" ht="15" hidden="false" customHeight="true" outlineLevel="0" collapsed="false">
      <c r="A529" s="12" t="n">
        <v>4418003</v>
      </c>
      <c r="B529" s="12" t="str">
        <f aca="false">IFERROR(INDEX('בתי מרקחת Raw'!$B:$B,MATCH($A529,'בתי מרקחת Raw'!$F:$F,0)),"")</f>
        <v>60 XL צוארון ספוגי</v>
      </c>
      <c r="C529" s="12" t="n">
        <f aca="false">SUMIFS('בתי מרקחת Raw'!$D$6:$D$1616,'בתי מרקחת Raw'!$F$6:$F$1616,$A529,'בתי מרקחת Raw'!$C$6:$C$1616,2025)</f>
        <v>132</v>
      </c>
      <c r="D529" s="12" t="n">
        <f aca="false">SUMIFS('בתי מרקחת Raw'!$D$6:$D$1616,'בתי מרקחת Raw'!$F$6:$F$1616,$A529,'בתי מרקחת Raw'!$C$6:$C$1616,2026)</f>
        <v>48</v>
      </c>
      <c r="E529" s="12" t="n">
        <f aca="false">D529*$J$5</f>
        <v>60.6315789473684</v>
      </c>
      <c r="F529" s="12" t="n">
        <f aca="false">E529-C529</f>
        <v>-71.3684210526316</v>
      </c>
      <c r="G529" s="21" t="n">
        <f aca="false">IF(AND(C529=0,E529=0),0,IF(C529=0,"New",(E529-C529)/C529))</f>
        <v>-0.54066985645933</v>
      </c>
      <c r="H529" s="12" t="n">
        <f aca="false">SUMIFS('בתי מרקחת Raw'!$E$6:$E$1616,'בתי מרקחת Raw'!$F$6:$F$1616,$A529,'בתי מרקחת Raw'!$C$6:$C$1616,2025)</f>
        <v>6387.34</v>
      </c>
      <c r="I529" s="12" t="n">
        <f aca="false">SUMIFS('בתי מרקחת Raw'!$E$6:$E$1616,'בתי מרקחת Raw'!$F$6:$F$1616,$A529,'בתי מרקחת Raw'!$C$6:$C$1616,2026)</f>
        <v>2337.3</v>
      </c>
      <c r="J529" s="12" t="n">
        <f aca="false">I529*$J$5</f>
        <v>2952.37894736842</v>
      </c>
    </row>
    <row r="530" customFormat="false" ht="15" hidden="false" customHeight="true" outlineLevel="0" collapsed="false">
      <c r="A530" s="12" t="n">
        <v>4418004</v>
      </c>
      <c r="B530" s="12" t="str">
        <f aca="false">IFERROR(INDEX('בתי מרקחת Raw'!$B:$B,MATCH($A530,'בתי מרקחת Raw'!$F:$F,0)),"")</f>
        <v>60 XXL צוארון ספוגי</v>
      </c>
      <c r="C530" s="12" t="n">
        <f aca="false">SUMIFS('בתי מרקחת Raw'!$D$6:$D$1616,'בתי מרקחת Raw'!$F$6:$F$1616,$A530,'בתי מרקחת Raw'!$C$6:$C$1616,2025)</f>
        <v>2</v>
      </c>
      <c r="D530" s="12" t="n">
        <f aca="false">SUMIFS('בתי מרקחת Raw'!$D$6:$D$1616,'בתי מרקחת Raw'!$F$6:$F$1616,$A530,'בתי מרקחת Raw'!$C$6:$C$1616,2026)</f>
        <v>0</v>
      </c>
      <c r="E530" s="12" t="n">
        <f aca="false">D530*$J$5</f>
        <v>0</v>
      </c>
      <c r="F530" s="12" t="n">
        <f aca="false">E530-C530</f>
        <v>-2</v>
      </c>
      <c r="G530" s="21" t="n">
        <f aca="false">IF(AND(C530=0,E530=0),0,IF(C530=0,"New",(E530-C530)/C530))</f>
        <v>-1</v>
      </c>
      <c r="H530" s="12" t="n">
        <f aca="false">SUMIFS('בתי מרקחת Raw'!$E$6:$E$1616,'בתי מרקחת Raw'!$F$6:$F$1616,$A530,'בתי מרקחת Raw'!$C$6:$C$1616,2025)</f>
        <v>99.2</v>
      </c>
      <c r="I530" s="12" t="n">
        <f aca="false">SUMIFS('בתי מרקחת Raw'!$E$6:$E$1616,'בתי מרקחת Raw'!$F$6:$F$1616,$A530,'בתי מרקחת Raw'!$C$6:$C$1616,2026)</f>
        <v>0</v>
      </c>
      <c r="J530" s="12" t="n">
        <f aca="false">I530*$J$5</f>
        <v>0</v>
      </c>
    </row>
    <row r="531" customFormat="false" ht="15" hidden="false" customHeight="true" outlineLevel="0" collapsed="false">
      <c r="A531" s="12" t="n">
        <v>4418006</v>
      </c>
      <c r="B531" s="12" t="str">
        <f aca="false">IFERROR(INDEX('בתי מרקחת Raw'!$B:$B,MATCH($A531,'בתי מרקחת Raw'!$F:$F,0)),"")</f>
        <v>63 M צוארון פלסטי מתכוון</v>
      </c>
      <c r="C531" s="12" t="n">
        <f aca="false">SUMIFS('בתי מרקחת Raw'!$D$6:$D$1616,'בתי מרקחת Raw'!$F$6:$F$1616,$A531,'בתי מרקחת Raw'!$C$6:$C$1616,2025)</f>
        <v>1</v>
      </c>
      <c r="D531" s="12" t="n">
        <f aca="false">SUMIFS('בתי מרקחת Raw'!$D$6:$D$1616,'בתי מרקחת Raw'!$F$6:$F$1616,$A531,'בתי מרקחת Raw'!$C$6:$C$1616,2026)</f>
        <v>1</v>
      </c>
      <c r="E531" s="12" t="n">
        <f aca="false">D531*$J$5</f>
        <v>1.26315789473684</v>
      </c>
      <c r="F531" s="12" t="n">
        <f aca="false">E531-C531</f>
        <v>0.263157894736842</v>
      </c>
      <c r="G531" s="21" t="n">
        <f aca="false">IF(AND(C531=0,E531=0),0,IF(C531=0,"New",(E531-C531)/C531))</f>
        <v>0.263157894736842</v>
      </c>
      <c r="H531" s="12" t="n">
        <f aca="false">SUMIFS('בתי מרקחת Raw'!$E$6:$E$1616,'בתי מרקחת Raw'!$F$6:$F$1616,$A531,'בתי מרקחת Raw'!$C$6:$C$1616,2025)</f>
        <v>66.5</v>
      </c>
      <c r="I531" s="12" t="n">
        <f aca="false">SUMIFS('בתי מרקחת Raw'!$E$6:$E$1616,'בתי מרקחת Raw'!$F$6:$F$1616,$A531,'בתי מרקחת Raw'!$C$6:$C$1616,2026)</f>
        <v>66.5</v>
      </c>
      <c r="J531" s="12" t="n">
        <f aca="false">I531*$J$5</f>
        <v>84</v>
      </c>
    </row>
    <row r="532" customFormat="false" ht="15" hidden="false" customHeight="true" outlineLevel="0" collapsed="false">
      <c r="A532" s="12" t="n">
        <v>4419002</v>
      </c>
      <c r="B532" s="12" t="str">
        <f aca="false">IFERROR(INDEX('בתי מרקחת Raw'!$B:$B,MATCH($A532,'בתי מרקחת Raw'!$F:$F,0)),"")</f>
        <v>FC311-תתקרם דאודורנט לכף הרגל</v>
      </c>
      <c r="C532" s="12" t="n">
        <f aca="false">SUMIFS('בתי מרקחת Raw'!$D$6:$D$1616,'בתי מרקחת Raw'!$F$6:$F$1616,$A532,'בתי מרקחת Raw'!$C$6:$C$1616,2025)</f>
        <v>-1</v>
      </c>
      <c r="D532" s="12" t="n">
        <f aca="false">SUMIFS('בתי מרקחת Raw'!$D$6:$D$1616,'בתי מרקחת Raw'!$F$6:$F$1616,$A532,'בתי מרקחת Raw'!$C$6:$C$1616,2026)</f>
        <v>0</v>
      </c>
      <c r="E532" s="12" t="n">
        <f aca="false">D532*$J$5</f>
        <v>0</v>
      </c>
      <c r="F532" s="12" t="n">
        <f aca="false">E532-C532</f>
        <v>1</v>
      </c>
      <c r="G532" s="21" t="n">
        <f aca="false">IF(AND(C532=0,E532=0),0,IF(C532=0,"New",(E532-C532)/C532))</f>
        <v>-1</v>
      </c>
      <c r="H532" s="12" t="n">
        <f aca="false">SUMIFS('בתי מרקחת Raw'!$E$6:$E$1616,'בתי מרקחת Raw'!$F$6:$F$1616,$A532,'בתי מרקחת Raw'!$C$6:$C$1616,2025)</f>
        <v>-29.7</v>
      </c>
      <c r="I532" s="12" t="n">
        <f aca="false">SUMIFS('בתי מרקחת Raw'!$E$6:$E$1616,'בתי מרקחת Raw'!$F$6:$F$1616,$A532,'בתי מרקחת Raw'!$C$6:$C$1616,2026)</f>
        <v>0</v>
      </c>
      <c r="J532" s="12" t="n">
        <f aca="false">I532*$J$5</f>
        <v>0</v>
      </c>
    </row>
    <row r="533" customFormat="false" ht="15" hidden="false" customHeight="true" outlineLevel="0" collapsed="false">
      <c r="A533" s="12" t="n">
        <v>4419003</v>
      </c>
      <c r="B533" s="12" t="str">
        <f aca="false">IFERROR(INDEX('בתי מרקחת Raw'!$B:$B,MATCH($A533,'בתי מרקחת Raw'!$F:$F,0)),"")</f>
        <v>FC310-תתקרם הגנה לכף הרגל</v>
      </c>
      <c r="C533" s="12" t="n">
        <f aca="false">SUMIFS('בתי מרקחת Raw'!$D$6:$D$1616,'בתי מרקחת Raw'!$F$6:$F$1616,$A533,'בתי מרקחת Raw'!$C$6:$C$1616,2025)</f>
        <v>-5</v>
      </c>
      <c r="D533" s="12" t="n">
        <f aca="false">SUMIFS('בתי מרקחת Raw'!$D$6:$D$1616,'בתי מרקחת Raw'!$F$6:$F$1616,$A533,'בתי מרקחת Raw'!$C$6:$C$1616,2026)</f>
        <v>0</v>
      </c>
      <c r="E533" s="12" t="n">
        <f aca="false">D533*$J$5</f>
        <v>0</v>
      </c>
      <c r="F533" s="12" t="n">
        <f aca="false">E533-C533</f>
        <v>5</v>
      </c>
      <c r="G533" s="21" t="n">
        <f aca="false">IF(AND(C533=0,E533=0),0,IF(C533=0,"New",(E533-C533)/C533))</f>
        <v>-1</v>
      </c>
      <c r="H533" s="12" t="n">
        <f aca="false">SUMIFS('בתי מרקחת Raw'!$E$6:$E$1616,'בתי מרקחת Raw'!$F$6:$F$1616,$A533,'בתי מרקחת Raw'!$C$6:$C$1616,2025)</f>
        <v>-165.6</v>
      </c>
      <c r="I533" s="12" t="n">
        <f aca="false">SUMIFS('בתי מרקחת Raw'!$E$6:$E$1616,'בתי מרקחת Raw'!$F$6:$F$1616,$A533,'בתי מרקחת Raw'!$C$6:$C$1616,2026)</f>
        <v>0</v>
      </c>
      <c r="J533" s="12" t="n">
        <f aca="false">I533*$J$5</f>
        <v>0</v>
      </c>
    </row>
    <row r="534" customFormat="false" ht="15" hidden="false" customHeight="true" outlineLevel="0" collapsed="false">
      <c r="A534" s="12" t="n">
        <v>4419004</v>
      </c>
      <c r="B534" s="12" t="str">
        <f aca="false">IFERROR(INDEX('בתי מרקחת Raw'!$B:$B,MATCH($A534,'בתי מרקחת Raw'!$F:$F,0)),"")</f>
        <v>FC312-תתקרם מירוק גרגרי פילינג</v>
      </c>
      <c r="C534" s="12" t="n">
        <f aca="false">SUMIFS('בתי מרקחת Raw'!$D$6:$D$1616,'בתי מרקחת Raw'!$F$6:$F$1616,$A534,'בתי מרקחת Raw'!$C$6:$C$1616,2025)</f>
        <v>-1</v>
      </c>
      <c r="D534" s="12" t="n">
        <f aca="false">SUMIFS('בתי מרקחת Raw'!$D$6:$D$1616,'בתי מרקחת Raw'!$F$6:$F$1616,$A534,'בתי מרקחת Raw'!$C$6:$C$1616,2026)</f>
        <v>0</v>
      </c>
      <c r="E534" s="12" t="n">
        <f aca="false">D534*$J$5</f>
        <v>0</v>
      </c>
      <c r="F534" s="12" t="n">
        <f aca="false">E534-C534</f>
        <v>1</v>
      </c>
      <c r="G534" s="21" t="n">
        <f aca="false">IF(AND(C534=0,E534=0),0,IF(C534=0,"New",(E534-C534)/C534))</f>
        <v>-1</v>
      </c>
      <c r="H534" s="12" t="n">
        <f aca="false">SUMIFS('בתי מרקחת Raw'!$E$6:$E$1616,'בתי מרקחת Raw'!$F$6:$F$1616,$A534,'בתי מרקחת Raw'!$C$6:$C$1616,2025)</f>
        <v>-29.7</v>
      </c>
      <c r="I534" s="12" t="n">
        <f aca="false">SUMIFS('בתי מרקחת Raw'!$E$6:$E$1616,'בתי מרקחת Raw'!$F$6:$F$1616,$A534,'בתי מרקחת Raw'!$C$6:$C$1616,2026)</f>
        <v>0</v>
      </c>
      <c r="J534" s="12" t="n">
        <f aca="false">I534*$J$5</f>
        <v>0</v>
      </c>
    </row>
    <row r="535" customFormat="false" ht="15" hidden="false" customHeight="true" outlineLevel="0" collapsed="false">
      <c r="A535" s="12" t="n">
        <v>4419006</v>
      </c>
      <c r="B535" s="12" t="str">
        <f aca="false">IFERROR(INDEX('בתי מרקחת Raw'!$B:$B,MATCH($A535,'בתי מרקחת Raw'!$F:$F,0)),"")</f>
        <v>PD340-קוצץ ציפורניים</v>
      </c>
      <c r="C535" s="12" t="n">
        <f aca="false">SUMIFS('בתי מרקחת Raw'!$D$6:$D$1616,'בתי מרקחת Raw'!$F$6:$F$1616,$A535,'בתי מרקחת Raw'!$C$6:$C$1616,2025)</f>
        <v>1063</v>
      </c>
      <c r="D535" s="12" t="n">
        <f aca="false">SUMIFS('בתי מרקחת Raw'!$D$6:$D$1616,'בתי מרקחת Raw'!$F$6:$F$1616,$A535,'בתי מרקחת Raw'!$C$6:$C$1616,2026)</f>
        <v>534</v>
      </c>
      <c r="E535" s="12" t="n">
        <f aca="false">D535*$J$5</f>
        <v>674.526315789474</v>
      </c>
      <c r="F535" s="12" t="n">
        <f aca="false">E535-C535</f>
        <v>-388.473684210526</v>
      </c>
      <c r="G535" s="21" t="n">
        <f aca="false">IF(AND(C535=0,E535=0),0,IF(C535=0,"New",(E535-C535)/C535))</f>
        <v>-0.365450314403129</v>
      </c>
      <c r="H535" s="12" t="n">
        <f aca="false">SUMIFS('בתי מרקחת Raw'!$E$6:$E$1616,'בתי מרקחת Raw'!$F$6:$F$1616,$A535,'בתי מרקחת Raw'!$C$6:$C$1616,2025)</f>
        <v>14552.5</v>
      </c>
      <c r="I535" s="12" t="n">
        <f aca="false">SUMIFS('בתי מרקחת Raw'!$E$6:$E$1616,'בתי מרקחת Raw'!$F$6:$F$1616,$A535,'בתי מרקחת Raw'!$C$6:$C$1616,2026)</f>
        <v>7485</v>
      </c>
      <c r="J535" s="12" t="n">
        <f aca="false">I535*$J$5</f>
        <v>9454.73684210526</v>
      </c>
    </row>
    <row r="536" customFormat="false" ht="15" hidden="false" customHeight="true" outlineLevel="0" collapsed="false">
      <c r="A536" s="12" t="n">
        <v>4419010</v>
      </c>
      <c r="B536" s="12" t="str">
        <f aca="false">IFERROR(INDEX('בתי מרקחת Raw'!$B:$B,MATCH($A536,'בתי מרקחת Raw'!$F:$F,0)),"")</f>
        <v>FC316   קרם רגליים שיקומי</v>
      </c>
      <c r="C536" s="12" t="n">
        <f aca="false">SUMIFS('בתי מרקחת Raw'!$D$6:$D$1616,'בתי מרקחת Raw'!$F$6:$F$1616,$A536,'בתי מרקחת Raw'!$C$6:$C$1616,2025)</f>
        <v>-17</v>
      </c>
      <c r="D536" s="12" t="n">
        <f aca="false">SUMIFS('בתי מרקחת Raw'!$D$6:$D$1616,'בתי מרקחת Raw'!$F$6:$F$1616,$A536,'בתי מרקחת Raw'!$C$6:$C$1616,2026)</f>
        <v>-4</v>
      </c>
      <c r="E536" s="12" t="n">
        <f aca="false">D536*$J$5</f>
        <v>-5.05263157894737</v>
      </c>
      <c r="F536" s="12" t="n">
        <f aca="false">E536-C536</f>
        <v>11.9473684210526</v>
      </c>
      <c r="G536" s="21" t="n">
        <f aca="false">IF(AND(C536=0,E536=0),0,IF(C536=0,"New",(E536-C536)/C536))</f>
        <v>-0.702786377708978</v>
      </c>
      <c r="H536" s="12" t="n">
        <f aca="false">SUMIFS('בתי מרקחת Raw'!$E$6:$E$1616,'בתי מרקחת Raw'!$F$6:$F$1616,$A536,'בתי מרקחת Raw'!$C$6:$C$1616,2025)</f>
        <v>-768.2</v>
      </c>
      <c r="I536" s="12" t="n">
        <f aca="false">SUMIFS('בתי מרקחת Raw'!$E$6:$E$1616,'בתי מרקחת Raw'!$F$6:$F$1616,$A536,'בתי מרקחת Raw'!$C$6:$C$1616,2026)</f>
        <v>-132.5</v>
      </c>
      <c r="J536" s="12" t="n">
        <f aca="false">I536*$J$5</f>
        <v>-167.368421052632</v>
      </c>
    </row>
    <row r="537" customFormat="false" ht="15" hidden="false" customHeight="true" outlineLevel="0" collapsed="false">
      <c r="A537" s="12" t="n">
        <v>4419011</v>
      </c>
      <c r="B537" s="12" t="str">
        <f aca="false">IFERROR(INDEX('בתי מרקחת Raw'!$B:$B,MATCH($A537,'בתי מרקחת Raw'!$F:$F,0)),"")</f>
        <v>239B S-M STRAP4U</v>
      </c>
      <c r="C537" s="12" t="n">
        <f aca="false">SUMIFS('בתי מרקחת Raw'!$D$6:$D$1616,'בתי מרקחת Raw'!$F$6:$F$1616,$A537,'בתי מרקחת Raw'!$C$6:$C$1616,2025)</f>
        <v>-1</v>
      </c>
      <c r="D537" s="12" t="n">
        <f aca="false">SUMIFS('בתי מרקחת Raw'!$D$6:$D$1616,'בתי מרקחת Raw'!$F$6:$F$1616,$A537,'בתי מרקחת Raw'!$C$6:$C$1616,2026)</f>
        <v>15</v>
      </c>
      <c r="E537" s="12" t="n">
        <f aca="false">D537*$J$5</f>
        <v>18.9473684210526</v>
      </c>
      <c r="F537" s="12" t="n">
        <f aca="false">E537-C537</f>
        <v>19.9473684210526</v>
      </c>
      <c r="G537" s="21" t="n">
        <f aca="false">IF(AND(C537=0,E537=0),0,IF(C537=0,"New",(E537-C537)/C537))</f>
        <v>-19.9473684210526</v>
      </c>
      <c r="H537" s="12" t="n">
        <f aca="false">SUMIFS('בתי מרקחת Raw'!$E$6:$E$1616,'בתי מרקחת Raw'!$F$6:$F$1616,$A537,'בתי מרקחת Raw'!$C$6:$C$1616,2025)</f>
        <v>2.86</v>
      </c>
      <c r="I537" s="12" t="n">
        <f aca="false">SUMIFS('בתי מרקחת Raw'!$E$6:$E$1616,'בתי מרקחת Raw'!$F$6:$F$1616,$A537,'בתי מרקחת Raw'!$C$6:$C$1616,2026)</f>
        <v>287.51</v>
      </c>
      <c r="J537" s="12" t="n">
        <f aca="false">I537*$J$5</f>
        <v>363.170526315789</v>
      </c>
    </row>
    <row r="538" customFormat="false" ht="15" hidden="false" customHeight="true" outlineLevel="0" collapsed="false">
      <c r="A538" s="12" t="n">
        <v>4419012</v>
      </c>
      <c r="B538" s="12" t="str">
        <f aca="false">IFERROR(INDEX('בתי מרקחת Raw'!$B:$B,MATCH($A538,'בתי מרקחת Raw'!$F:$F,0)),"")</f>
        <v>239P S-M STRAP4U</v>
      </c>
      <c r="C538" s="12" t="n">
        <f aca="false">SUMIFS('בתי מרקחת Raw'!$D$6:$D$1616,'בתי מרקחת Raw'!$F$6:$F$1616,$A538,'בתי מרקחת Raw'!$C$6:$C$1616,2025)</f>
        <v>-4</v>
      </c>
      <c r="D538" s="12" t="n">
        <f aca="false">SUMIFS('בתי מרקחת Raw'!$D$6:$D$1616,'בתי מרקחת Raw'!$F$6:$F$1616,$A538,'בתי מרקחת Raw'!$C$6:$C$1616,2026)</f>
        <v>0</v>
      </c>
      <c r="E538" s="12" t="n">
        <f aca="false">D538*$J$5</f>
        <v>0</v>
      </c>
      <c r="F538" s="12" t="n">
        <f aca="false">E538-C538</f>
        <v>4</v>
      </c>
      <c r="G538" s="21" t="n">
        <f aca="false">IF(AND(C538=0,E538=0),0,IF(C538=0,"New",(E538-C538)/C538))</f>
        <v>-1</v>
      </c>
      <c r="H538" s="12" t="n">
        <f aca="false">SUMIFS('בתי מרקחת Raw'!$E$6:$E$1616,'בתי מרקחת Raw'!$F$6:$F$1616,$A538,'בתי מרקחת Raw'!$C$6:$C$1616,2025)</f>
        <v>-53.5</v>
      </c>
      <c r="I538" s="12" t="n">
        <f aca="false">SUMIFS('בתי מרקחת Raw'!$E$6:$E$1616,'בתי מרקחת Raw'!$F$6:$F$1616,$A538,'בתי מרקחת Raw'!$C$6:$C$1616,2026)</f>
        <v>0</v>
      </c>
      <c r="J538" s="12" t="n">
        <f aca="false">I538*$J$5</f>
        <v>0</v>
      </c>
    </row>
    <row r="539" customFormat="false" ht="15" hidden="false" customHeight="true" outlineLevel="0" collapsed="false">
      <c r="A539" s="12" t="n">
        <v>4419013</v>
      </c>
      <c r="B539" s="12" t="str">
        <f aca="false">IFERROR(INDEX('בתי מרקחת Raw'!$B:$B,MATCH($A539,'בתי מרקחת Raw'!$F:$F,0)),"")</f>
        <v>239B L-XL STRAP4U</v>
      </c>
      <c r="C539" s="12" t="n">
        <f aca="false">SUMIFS('בתי מרקחת Raw'!$D$6:$D$1616,'בתי מרקחת Raw'!$F$6:$F$1616,$A539,'בתי מרקחת Raw'!$C$6:$C$1616,2025)</f>
        <v>-6</v>
      </c>
      <c r="D539" s="12" t="n">
        <f aca="false">SUMIFS('בתי מרקחת Raw'!$D$6:$D$1616,'בתי מרקחת Raw'!$F$6:$F$1616,$A539,'בתי מרקחת Raw'!$C$6:$C$1616,2026)</f>
        <v>6</v>
      </c>
      <c r="E539" s="12" t="n">
        <f aca="false">D539*$J$5</f>
        <v>7.57894736842105</v>
      </c>
      <c r="F539" s="12" t="n">
        <f aca="false">E539-C539</f>
        <v>13.5789473684211</v>
      </c>
      <c r="G539" s="21" t="n">
        <f aca="false">IF(AND(C539=0,E539=0),0,IF(C539=0,"New",(E539-C539)/C539))</f>
        <v>-2.26315789473684</v>
      </c>
      <c r="H539" s="12" t="n">
        <f aca="false">SUMIFS('בתי מרקחת Raw'!$E$6:$E$1616,'בתי מרקחת Raw'!$F$6:$F$1616,$A539,'בתי מרקחת Raw'!$C$6:$C$1616,2025)</f>
        <v>-90.5</v>
      </c>
      <c r="I539" s="12" t="n">
        <f aca="false">SUMIFS('בתי מרקחת Raw'!$E$6:$E$1616,'בתי מרקחת Raw'!$F$6:$F$1616,$A539,'בתי מרקחת Raw'!$C$6:$C$1616,2026)</f>
        <v>115</v>
      </c>
      <c r="J539" s="12" t="n">
        <f aca="false">I539*$J$5</f>
        <v>145.263157894737</v>
      </c>
    </row>
    <row r="540" customFormat="false" ht="15" hidden="false" customHeight="true" outlineLevel="0" collapsed="false">
      <c r="A540" s="12" t="n">
        <v>4419014</v>
      </c>
      <c r="B540" s="12" t="str">
        <f aca="false">IFERROR(INDEX('בתי מרקחת Raw'!$B:$B,MATCH($A540,'בתי מרקחת Raw'!$F:$F,0)),"")</f>
        <v>239TR L-XL STRAP4U</v>
      </c>
      <c r="C540" s="12" t="n">
        <f aca="false">SUMIFS('בתי מרקחת Raw'!$D$6:$D$1616,'בתי מרקחת Raw'!$F$6:$F$1616,$A540,'בתי מרקחת Raw'!$C$6:$C$1616,2025)</f>
        <v>-4</v>
      </c>
      <c r="D540" s="12" t="n">
        <f aca="false">SUMIFS('בתי מרקחת Raw'!$D$6:$D$1616,'בתי מרקחת Raw'!$F$6:$F$1616,$A540,'בתי מרקחת Raw'!$C$6:$C$1616,2026)</f>
        <v>0</v>
      </c>
      <c r="E540" s="12" t="n">
        <f aca="false">D540*$J$5</f>
        <v>0</v>
      </c>
      <c r="F540" s="12" t="n">
        <f aca="false">E540-C540</f>
        <v>4</v>
      </c>
      <c r="G540" s="21" t="n">
        <f aca="false">IF(AND(C540=0,E540=0),0,IF(C540=0,"New",(E540-C540)/C540))</f>
        <v>-1</v>
      </c>
      <c r="H540" s="12" t="n">
        <f aca="false">SUMIFS('בתי מרקחת Raw'!$E$6:$E$1616,'בתי מרקחת Raw'!$F$6:$F$1616,$A540,'בתי מרקחת Raw'!$C$6:$C$1616,2025)</f>
        <v>-55.3</v>
      </c>
      <c r="I540" s="12" t="n">
        <f aca="false">SUMIFS('בתי מרקחת Raw'!$E$6:$E$1616,'בתי מרקחת Raw'!$F$6:$F$1616,$A540,'בתי מרקחת Raw'!$C$6:$C$1616,2026)</f>
        <v>0</v>
      </c>
      <c r="J540" s="12" t="n">
        <f aca="false">I540*$J$5</f>
        <v>0</v>
      </c>
    </row>
    <row r="541" customFormat="false" ht="15" hidden="false" customHeight="true" outlineLevel="0" collapsed="false">
      <c r="A541" s="12" t="n">
        <v>4420000</v>
      </c>
      <c r="B541" s="12" t="str">
        <f aca="false">IFERROR(INDEX('בתי מרקחת Raw'!$B:$B,MATCH($A541,'בתי מרקחת Raw'!$F:$F,0)),"")</f>
        <v>370  רפידת נוחות-זוג</v>
      </c>
      <c r="C541" s="12" t="n">
        <f aca="false">SUMIFS('בתי מרקחת Raw'!$D$6:$D$1616,'בתי מרקחת Raw'!$F$6:$F$1616,$A541,'בתי מרקחת Raw'!$C$6:$C$1616,2025)</f>
        <v>430</v>
      </c>
      <c r="D541" s="12" t="n">
        <f aca="false">SUMIFS('בתי מרקחת Raw'!$D$6:$D$1616,'בתי מרקחת Raw'!$F$6:$F$1616,$A541,'בתי מרקחת Raw'!$C$6:$C$1616,2026)</f>
        <v>319</v>
      </c>
      <c r="E541" s="12" t="n">
        <f aca="false">D541*$J$5</f>
        <v>402.947368421053</v>
      </c>
      <c r="F541" s="12" t="n">
        <f aca="false">E541-C541</f>
        <v>-27.0526315789474</v>
      </c>
      <c r="G541" s="21" t="n">
        <f aca="false">IF(AND(C541=0,E541=0),0,IF(C541=0,"New",(E541-C541)/C541))</f>
        <v>-0.0629130966952265</v>
      </c>
      <c r="H541" s="12" t="n">
        <f aca="false">SUMIFS('בתי מרקחת Raw'!$E$6:$E$1616,'בתי מרקחת Raw'!$F$6:$F$1616,$A541,'בתי מרקחת Raw'!$C$6:$C$1616,2025)</f>
        <v>5045.86</v>
      </c>
      <c r="I541" s="12" t="n">
        <f aca="false">SUMIFS('בתי מרקחת Raw'!$E$6:$E$1616,'בתי מרקחת Raw'!$F$6:$F$1616,$A541,'בתי מרקחת Raw'!$C$6:$C$1616,2026)</f>
        <v>3921.1</v>
      </c>
      <c r="J541" s="12" t="n">
        <f aca="false">I541*$J$5</f>
        <v>4952.96842105263</v>
      </c>
    </row>
    <row r="542" customFormat="false" ht="15" hidden="false" customHeight="true" outlineLevel="0" collapsed="false">
      <c r="A542" s="12" t="n">
        <v>4420001</v>
      </c>
      <c r="B542" s="12" t="str">
        <f aca="false">IFERROR(INDEX('בתי מרקחת Raw'!$B:$B,MATCH($A542,'בתי מרקחת Raw'!$F:$F,0)),"")</f>
        <v>371 רפידת מגבת כותנה-זוג</v>
      </c>
      <c r="C542" s="12" t="n">
        <f aca="false">SUMIFS('בתי מרקחת Raw'!$D$6:$D$1616,'בתי מרקחת Raw'!$F$6:$F$1616,$A542,'בתי מרקחת Raw'!$C$6:$C$1616,2025)</f>
        <v>159</v>
      </c>
      <c r="D542" s="12" t="n">
        <f aca="false">SUMIFS('בתי מרקחת Raw'!$D$6:$D$1616,'בתי מרקחת Raw'!$F$6:$F$1616,$A542,'בתי מרקחת Raw'!$C$6:$C$1616,2026)</f>
        <v>91</v>
      </c>
      <c r="E542" s="12" t="n">
        <f aca="false">D542*$J$5</f>
        <v>114.947368421053</v>
      </c>
      <c r="F542" s="12" t="n">
        <f aca="false">E542-C542</f>
        <v>-44.0526315789474</v>
      </c>
      <c r="G542" s="21" t="n">
        <f aca="false">IF(AND(C542=0,E542=0),0,IF(C542=0,"New",(E542-C542)/C542))</f>
        <v>-0.277060575968223</v>
      </c>
      <c r="H542" s="12" t="n">
        <f aca="false">SUMIFS('בתי מרקחת Raw'!$E$6:$E$1616,'בתי מרקחת Raw'!$F$6:$F$1616,$A542,'בתי מרקחת Raw'!$C$6:$C$1616,2025)</f>
        <v>1751.25</v>
      </c>
      <c r="I542" s="12" t="n">
        <f aca="false">SUMIFS('בתי מרקחת Raw'!$E$6:$E$1616,'בתי מרקחת Raw'!$F$6:$F$1616,$A542,'בתי מרקחת Raw'!$C$6:$C$1616,2026)</f>
        <v>995.58</v>
      </c>
      <c r="J542" s="12" t="n">
        <f aca="false">I542*$J$5</f>
        <v>1257.57473684211</v>
      </c>
    </row>
    <row r="543" customFormat="false" ht="15" hidden="false" customHeight="true" outlineLevel="0" collapsed="false">
      <c r="A543" s="12" t="n">
        <v>4420002</v>
      </c>
      <c r="B543" s="12" t="str">
        <f aca="false">IFERROR(INDEX('בתי מרקחת Raw'!$B:$B,MATCH($A543,'בתי מרקחת Raw'!$F:$F,0)),"")</f>
        <v>372 רפידת אנטי ריח -זוג</v>
      </c>
      <c r="C543" s="12" t="n">
        <f aca="false">SUMIFS('בתי מרקחת Raw'!$D$6:$D$1616,'בתי מרקחת Raw'!$F$6:$F$1616,$A543,'בתי מרקחת Raw'!$C$6:$C$1616,2025)</f>
        <v>652</v>
      </c>
      <c r="D543" s="12" t="n">
        <f aca="false">SUMIFS('בתי מרקחת Raw'!$D$6:$D$1616,'בתי מרקחת Raw'!$F$6:$F$1616,$A543,'בתי מרקחת Raw'!$C$6:$C$1616,2026)</f>
        <v>399</v>
      </c>
      <c r="E543" s="12" t="n">
        <f aca="false">D543*$J$5</f>
        <v>504</v>
      </c>
      <c r="F543" s="12" t="n">
        <f aca="false">E543-C543</f>
        <v>-148</v>
      </c>
      <c r="G543" s="21" t="n">
        <f aca="false">IF(AND(C543=0,E543=0),0,IF(C543=0,"New",(E543-C543)/C543))</f>
        <v>-0.226993865030675</v>
      </c>
      <c r="H543" s="12" t="n">
        <f aca="false">SUMIFS('בתי מרקחת Raw'!$E$6:$E$1616,'בתי מרקחת Raw'!$F$6:$F$1616,$A543,'בתי מרקחת Raw'!$C$6:$C$1616,2025)</f>
        <v>9308.11</v>
      </c>
      <c r="I543" s="12" t="n">
        <f aca="false">SUMIFS('בתי מרקחת Raw'!$E$6:$E$1616,'בתי מרקחת Raw'!$F$6:$F$1616,$A543,'בתי מרקחת Raw'!$C$6:$C$1616,2026)</f>
        <v>5836.66</v>
      </c>
      <c r="J543" s="12" t="n">
        <f aca="false">I543*$J$5</f>
        <v>7372.62315789474</v>
      </c>
    </row>
    <row r="544" customFormat="false" ht="15" hidden="false" customHeight="true" outlineLevel="0" collapsed="false">
      <c r="A544" s="12" t="n">
        <v>4420003</v>
      </c>
      <c r="B544" s="12" t="str">
        <f aca="false">IFERROR(INDEX('בתי מרקחת Raw'!$B:$B,MATCH($A544,'בתי מרקחת Raw'!$F:$F,0)),"")</f>
        <v>374 רפידת בולמת זעזועים -זוג</v>
      </c>
      <c r="C544" s="12" t="n">
        <f aca="false">SUMIFS('בתי מרקחת Raw'!$D$6:$D$1616,'בתי מרקחת Raw'!$F$6:$F$1616,$A544,'בתי מרקחת Raw'!$C$6:$C$1616,2025)</f>
        <v>315</v>
      </c>
      <c r="D544" s="12" t="n">
        <f aca="false">SUMIFS('בתי מרקחת Raw'!$D$6:$D$1616,'בתי מרקחת Raw'!$F$6:$F$1616,$A544,'בתי מרקחת Raw'!$C$6:$C$1616,2026)</f>
        <v>209</v>
      </c>
      <c r="E544" s="12" t="n">
        <f aca="false">D544*$J$5</f>
        <v>264</v>
      </c>
      <c r="F544" s="12" t="n">
        <f aca="false">E544-C544</f>
        <v>-51</v>
      </c>
      <c r="G544" s="21" t="n">
        <f aca="false">IF(AND(C544=0,E544=0),0,IF(C544=0,"New",(E544-C544)/C544))</f>
        <v>-0.161904761904762</v>
      </c>
      <c r="H544" s="12" t="n">
        <f aca="false">SUMIFS('בתי מרקחת Raw'!$E$6:$E$1616,'בתי מרקחת Raw'!$F$6:$F$1616,$A544,'בתי מרקחת Raw'!$C$6:$C$1616,2025)</f>
        <v>4320.57</v>
      </c>
      <c r="I544" s="12" t="n">
        <f aca="false">SUMIFS('בתי מרקחת Raw'!$E$6:$E$1616,'בתי מרקחת Raw'!$F$6:$F$1616,$A544,'בתי מרקחת Raw'!$C$6:$C$1616,2026)</f>
        <v>2968.72</v>
      </c>
      <c r="J544" s="12" t="n">
        <f aca="false">I544*$J$5</f>
        <v>3749.96210526316</v>
      </c>
    </row>
    <row r="545" customFormat="false" ht="15" hidden="false" customHeight="true" outlineLevel="0" collapsed="false">
      <c r="A545" s="12" t="n">
        <v>4420004</v>
      </c>
      <c r="B545" s="12" t="str">
        <f aca="false">IFERROR(INDEX('בתי מרקחת Raw'!$B:$B,MATCH($A545,'בתי מרקחת Raw'!$F:$F,0)),"")</f>
        <v>377  רפ.אורטופדית ספורט זוג35</v>
      </c>
      <c r="C545" s="12" t="n">
        <f aca="false">SUMIFS('בתי מרקחת Raw'!$D$6:$D$1616,'בתי מרקחת Raw'!$F$6:$F$1616,$A545,'בתי מרקחת Raw'!$C$6:$C$1616,2025)</f>
        <v>3</v>
      </c>
      <c r="D545" s="12" t="n">
        <f aca="false">SUMIFS('בתי מרקחת Raw'!$D$6:$D$1616,'בתי מרקחת Raw'!$F$6:$F$1616,$A545,'בתי מרקחת Raw'!$C$6:$C$1616,2026)</f>
        <v>1</v>
      </c>
      <c r="E545" s="12" t="n">
        <f aca="false">D545*$J$5</f>
        <v>1.26315789473684</v>
      </c>
      <c r="F545" s="12" t="n">
        <f aca="false">E545-C545</f>
        <v>-1.73684210526316</v>
      </c>
      <c r="G545" s="21" t="n">
        <f aca="false">IF(AND(C545=0,E545=0),0,IF(C545=0,"New",(E545-C545)/C545))</f>
        <v>-0.578947368421053</v>
      </c>
      <c r="H545" s="12" t="n">
        <f aca="false">SUMIFS('בתי מרקחת Raw'!$E$6:$E$1616,'בתי מרקחת Raw'!$F$6:$F$1616,$A545,'בתי מרקחת Raw'!$C$6:$C$1616,2025)</f>
        <v>42.7</v>
      </c>
      <c r="I545" s="12" t="n">
        <f aca="false">SUMIFS('בתי מרקחת Raw'!$E$6:$E$1616,'בתי מרקחת Raw'!$F$6:$F$1616,$A545,'בתי מרקחת Raw'!$C$6:$C$1616,2026)</f>
        <v>36.9</v>
      </c>
      <c r="J545" s="12" t="n">
        <f aca="false">I545*$J$5</f>
        <v>46.6105263157895</v>
      </c>
    </row>
    <row r="546" customFormat="false" ht="15" hidden="false" customHeight="true" outlineLevel="0" collapsed="false">
      <c r="A546" s="12" t="n">
        <v>4420005</v>
      </c>
      <c r="B546" s="12" t="str">
        <f aca="false">IFERROR(INDEX('בתי מרקחת Raw'!$B:$B,MATCH($A546,'בתי מרקחת Raw'!$F:$F,0)),"")</f>
        <v>377 רפ.אורטופדית ספורט זוג36</v>
      </c>
      <c r="C546" s="12" t="n">
        <f aca="false">SUMIFS('בתי מרקחת Raw'!$D$6:$D$1616,'בתי מרקחת Raw'!$F$6:$F$1616,$A546,'בתי מרקחת Raw'!$C$6:$C$1616,2025)</f>
        <v>3</v>
      </c>
      <c r="D546" s="12" t="n">
        <f aca="false">SUMIFS('בתי מרקחת Raw'!$D$6:$D$1616,'בתי מרקחת Raw'!$F$6:$F$1616,$A546,'בתי מרקחת Raw'!$C$6:$C$1616,2026)</f>
        <v>0</v>
      </c>
      <c r="E546" s="12" t="n">
        <f aca="false">D546*$J$5</f>
        <v>0</v>
      </c>
      <c r="F546" s="12" t="n">
        <f aca="false">E546-C546</f>
        <v>-3</v>
      </c>
      <c r="G546" s="21" t="n">
        <f aca="false">IF(AND(C546=0,E546=0),0,IF(C546=0,"New",(E546-C546)/C546))</f>
        <v>-1</v>
      </c>
      <c r="H546" s="12" t="n">
        <f aca="false">SUMIFS('בתי מרקחת Raw'!$E$6:$E$1616,'בתי מרקחת Raw'!$F$6:$F$1616,$A546,'בתי מרקחת Raw'!$C$6:$C$1616,2025)</f>
        <v>125</v>
      </c>
      <c r="I546" s="12" t="n">
        <f aca="false">SUMIFS('בתי מרקחת Raw'!$E$6:$E$1616,'בתי מרקחת Raw'!$F$6:$F$1616,$A546,'בתי מרקחת Raw'!$C$6:$C$1616,2026)</f>
        <v>3.3</v>
      </c>
      <c r="J546" s="12" t="n">
        <f aca="false">I546*$J$5</f>
        <v>4.16842105263158</v>
      </c>
    </row>
    <row r="547" customFormat="false" ht="15" hidden="false" customHeight="true" outlineLevel="0" collapsed="false">
      <c r="A547" s="12" t="n">
        <v>4420007</v>
      </c>
      <c r="B547" s="12" t="str">
        <f aca="false">IFERROR(INDEX('בתי מרקחת Raw'!$B:$B,MATCH($A547,'בתי מרקחת Raw'!$F:$F,0)),"")</f>
        <v>377   רפ.ורטופדית ספורט זוג38</v>
      </c>
      <c r="C547" s="12" t="n">
        <f aca="false">SUMIFS('בתי מרקחת Raw'!$D$6:$D$1616,'בתי מרקחת Raw'!$F$6:$F$1616,$A547,'בתי מרקחת Raw'!$C$6:$C$1616,2025)</f>
        <v>2</v>
      </c>
      <c r="D547" s="12" t="n">
        <f aca="false">SUMIFS('בתי מרקחת Raw'!$D$6:$D$1616,'בתי מרקחת Raw'!$F$6:$F$1616,$A547,'בתי מרקחת Raw'!$C$6:$C$1616,2026)</f>
        <v>0</v>
      </c>
      <c r="E547" s="12" t="n">
        <f aca="false">D547*$J$5</f>
        <v>0</v>
      </c>
      <c r="F547" s="12" t="n">
        <f aca="false">E547-C547</f>
        <v>-2</v>
      </c>
      <c r="G547" s="21" t="n">
        <f aca="false">IF(AND(C547=0,E547=0),0,IF(C547=0,"New",(E547-C547)/C547))</f>
        <v>-1</v>
      </c>
      <c r="H547" s="12" t="n">
        <f aca="false">SUMIFS('בתי מרקחת Raw'!$E$6:$E$1616,'בתי מרקחת Raw'!$F$6:$F$1616,$A547,'בתי מרקחת Raw'!$C$6:$C$1616,2025)</f>
        <v>81.5</v>
      </c>
      <c r="I547" s="12" t="n">
        <f aca="false">SUMIFS('בתי מרקחת Raw'!$E$6:$E$1616,'בתי מרקחת Raw'!$F$6:$F$1616,$A547,'בתי מרקחת Raw'!$C$6:$C$1616,2026)</f>
        <v>0</v>
      </c>
      <c r="J547" s="12" t="n">
        <f aca="false">I547*$J$5</f>
        <v>0</v>
      </c>
    </row>
    <row r="548" customFormat="false" ht="15" hidden="false" customHeight="true" outlineLevel="0" collapsed="false">
      <c r="A548" s="12" t="n">
        <v>4420008</v>
      </c>
      <c r="B548" s="12" t="str">
        <f aca="false">IFERROR(INDEX('בתי מרקחת Raw'!$B:$B,MATCH($A548,'בתי מרקחת Raw'!$F:$F,0)),"")</f>
        <v>377  רפ.אורטופדית ספורט זוג39</v>
      </c>
      <c r="C548" s="12" t="n">
        <f aca="false">SUMIFS('בתי מרקחת Raw'!$D$6:$D$1616,'בתי מרקחת Raw'!$F$6:$F$1616,$A548,'בתי מרקחת Raw'!$C$6:$C$1616,2025)</f>
        <v>2</v>
      </c>
      <c r="D548" s="12" t="n">
        <f aca="false">SUMIFS('בתי מרקחת Raw'!$D$6:$D$1616,'בתי מרקחת Raw'!$F$6:$F$1616,$A548,'בתי מרקחת Raw'!$C$6:$C$1616,2026)</f>
        <v>-1</v>
      </c>
      <c r="E548" s="12" t="n">
        <f aca="false">D548*$J$5</f>
        <v>-1.26315789473684</v>
      </c>
      <c r="F548" s="12" t="n">
        <f aca="false">E548-C548</f>
        <v>-3.26315789473684</v>
      </c>
      <c r="G548" s="21" t="n">
        <f aca="false">IF(AND(C548=0,E548=0),0,IF(C548=0,"New",(E548-C548)/C548))</f>
        <v>-1.63157894736842</v>
      </c>
      <c r="H548" s="12" t="n">
        <f aca="false">SUMIFS('בתי מרקחת Raw'!$E$6:$E$1616,'בתי מרקחת Raw'!$F$6:$F$1616,$A548,'בתי מרקחת Raw'!$C$6:$C$1616,2025)</f>
        <v>84.3</v>
      </c>
      <c r="I548" s="12" t="n">
        <f aca="false">SUMIFS('בתי מרקחת Raw'!$E$6:$E$1616,'בתי מרקחת Raw'!$F$6:$F$1616,$A548,'בתי מרקחת Raw'!$C$6:$C$1616,2026)</f>
        <v>-36.5</v>
      </c>
      <c r="J548" s="12" t="n">
        <f aca="false">I548*$J$5</f>
        <v>-46.1052631578947</v>
      </c>
    </row>
    <row r="549" customFormat="false" ht="15" hidden="false" customHeight="true" outlineLevel="0" collapsed="false">
      <c r="A549" s="12" t="n">
        <v>4420009</v>
      </c>
      <c r="B549" s="12" t="str">
        <f aca="false">IFERROR(INDEX('בתי מרקחת Raw'!$B:$B,MATCH($A549,'בתי מרקחת Raw'!$F:$F,0)),"")</f>
        <v>377  רפ.אורטופדית ספורט זוג40</v>
      </c>
      <c r="C549" s="12" t="n">
        <f aca="false">SUMIFS('בתי מרקחת Raw'!$D$6:$D$1616,'בתי מרקחת Raw'!$F$6:$F$1616,$A549,'בתי מרקחת Raw'!$C$6:$C$1616,2025)</f>
        <v>0</v>
      </c>
      <c r="D549" s="12" t="n">
        <f aca="false">SUMIFS('בתי מרקחת Raw'!$D$6:$D$1616,'בתי מרקחת Raw'!$F$6:$F$1616,$A549,'בתי מרקחת Raw'!$C$6:$C$1616,2026)</f>
        <v>-1</v>
      </c>
      <c r="E549" s="12" t="n">
        <f aca="false">D549*$J$5</f>
        <v>-1.26315789473684</v>
      </c>
      <c r="F549" s="12" t="n">
        <f aca="false">E549-C549</f>
        <v>-1.26315789473684</v>
      </c>
      <c r="G549" s="21" t="str">
        <f aca="false">IF(AND(C549=0,E549=0),0,IF(C549=0,"New",(E549-C549)/C549))</f>
        <v>New</v>
      </c>
      <c r="H549" s="12" t="n">
        <f aca="false">SUMIFS('בתי מרקחת Raw'!$E$6:$E$1616,'בתי מרקחת Raw'!$F$6:$F$1616,$A549,'בתי מרקחת Raw'!$C$6:$C$1616,2025)</f>
        <v>0</v>
      </c>
      <c r="I549" s="12" t="n">
        <f aca="false">SUMIFS('בתי מרקחת Raw'!$E$6:$E$1616,'בתי מרקחת Raw'!$F$6:$F$1616,$A549,'בתי מרקחת Raw'!$C$6:$C$1616,2026)</f>
        <v>-36.5</v>
      </c>
      <c r="J549" s="12" t="n">
        <f aca="false">I549*$J$5</f>
        <v>-46.1052631578947</v>
      </c>
    </row>
    <row r="550" customFormat="false" ht="15" hidden="false" customHeight="true" outlineLevel="0" collapsed="false">
      <c r="A550" s="12" t="n">
        <v>4420010</v>
      </c>
      <c r="B550" s="12" t="str">
        <f aca="false">IFERROR(INDEX('בתי מרקחת Raw'!$B:$B,MATCH($A550,'בתי מרקחת Raw'!$F:$F,0)),"")</f>
        <v>377  רפידה אורטופ.ספורט זוג41</v>
      </c>
      <c r="C550" s="12" t="n">
        <f aca="false">SUMIFS('בתי מרקחת Raw'!$D$6:$D$1616,'בתי מרקחת Raw'!$F$6:$F$1616,$A550,'בתי מרקחת Raw'!$C$6:$C$1616,2025)</f>
        <v>6</v>
      </c>
      <c r="D550" s="12" t="n">
        <f aca="false">SUMIFS('בתי מרקחת Raw'!$D$6:$D$1616,'בתי מרקחת Raw'!$F$6:$F$1616,$A550,'בתי מרקחת Raw'!$C$6:$C$1616,2026)</f>
        <v>0</v>
      </c>
      <c r="E550" s="12" t="n">
        <f aca="false">D550*$J$5</f>
        <v>0</v>
      </c>
      <c r="F550" s="12" t="n">
        <f aca="false">E550-C550</f>
        <v>-6</v>
      </c>
      <c r="G550" s="21" t="n">
        <f aca="false">IF(AND(C550=0,E550=0),0,IF(C550=0,"New",(E550-C550)/C550))</f>
        <v>-1</v>
      </c>
      <c r="H550" s="12" t="n">
        <f aca="false">SUMIFS('בתי מרקחת Raw'!$E$6:$E$1616,'בתי מרקחת Raw'!$F$6:$F$1616,$A550,'בתי מרקחת Raw'!$C$6:$C$1616,2025)</f>
        <v>247.1</v>
      </c>
      <c r="I550" s="12" t="n">
        <f aca="false">SUMIFS('בתי מרקחת Raw'!$E$6:$E$1616,'בתי מרקחת Raw'!$F$6:$F$1616,$A550,'בתי מרקחת Raw'!$C$6:$C$1616,2026)</f>
        <v>0</v>
      </c>
      <c r="J550" s="12" t="n">
        <f aca="false">I550*$J$5</f>
        <v>0</v>
      </c>
    </row>
    <row r="551" customFormat="false" ht="15" hidden="false" customHeight="true" outlineLevel="0" collapsed="false">
      <c r="A551" s="12" t="n">
        <v>4420012</v>
      </c>
      <c r="B551" s="12" t="str">
        <f aca="false">IFERROR(INDEX('בתי מרקחת Raw'!$B:$B,MATCH($A551,'בתי מרקחת Raw'!$F:$F,0)),"")</f>
        <v>377   רפידה אורט.ספורט זוג43</v>
      </c>
      <c r="C551" s="12" t="n">
        <f aca="false">SUMIFS('בתי מרקחת Raw'!$D$6:$D$1616,'בתי מרקחת Raw'!$F$6:$F$1616,$A551,'בתי מרקחת Raw'!$C$6:$C$1616,2025)</f>
        <v>0</v>
      </c>
      <c r="D551" s="12" t="n">
        <f aca="false">SUMIFS('בתי מרקחת Raw'!$D$6:$D$1616,'בתי מרקחת Raw'!$F$6:$F$1616,$A551,'בתי מרקחת Raw'!$C$6:$C$1616,2026)</f>
        <v>-1</v>
      </c>
      <c r="E551" s="12" t="n">
        <f aca="false">D551*$J$5</f>
        <v>-1.26315789473684</v>
      </c>
      <c r="F551" s="12" t="n">
        <f aca="false">E551-C551</f>
        <v>-1.26315789473684</v>
      </c>
      <c r="G551" s="21" t="str">
        <f aca="false">IF(AND(C551=0,E551=0),0,IF(C551=0,"New",(E551-C551)/C551))</f>
        <v>New</v>
      </c>
      <c r="H551" s="12" t="n">
        <f aca="false">SUMIFS('בתי מרקחת Raw'!$E$6:$E$1616,'בתי מרקחת Raw'!$F$6:$F$1616,$A551,'בתי מרקחת Raw'!$C$6:$C$1616,2025)</f>
        <v>0</v>
      </c>
      <c r="I551" s="12" t="n">
        <f aca="false">SUMIFS('בתי מרקחת Raw'!$E$6:$E$1616,'בתי מרקחת Raw'!$F$6:$F$1616,$A551,'בתי מרקחת Raw'!$C$6:$C$1616,2026)</f>
        <v>-36.5</v>
      </c>
      <c r="J551" s="12" t="n">
        <f aca="false">I551*$J$5</f>
        <v>-46.1052631578947</v>
      </c>
    </row>
    <row r="552" customFormat="false" ht="15" hidden="false" customHeight="true" outlineLevel="0" collapsed="false">
      <c r="A552" s="12" t="n">
        <v>4420016</v>
      </c>
      <c r="B552" s="12" t="str">
        <f aca="false">IFERROR(INDEX('בתי מרקחת Raw'!$B:$B,MATCH($A552,'בתי מרקחת Raw'!$F:$F,0)),"")</f>
        <v>40-רצועת פיקה לברך</v>
      </c>
      <c r="C552" s="12" t="n">
        <f aca="false">SUMIFS('בתי מרקחת Raw'!$D$6:$D$1616,'בתי מרקחת Raw'!$F$6:$F$1616,$A552,'בתי מרקחת Raw'!$C$6:$C$1616,2025)</f>
        <v>46</v>
      </c>
      <c r="D552" s="12" t="n">
        <f aca="false">SUMIFS('בתי מרקחת Raw'!$D$6:$D$1616,'בתי מרקחת Raw'!$F$6:$F$1616,$A552,'בתי מרקחת Raw'!$C$6:$C$1616,2026)</f>
        <v>41</v>
      </c>
      <c r="E552" s="12" t="n">
        <f aca="false">D552*$J$5</f>
        <v>51.7894736842105</v>
      </c>
      <c r="F552" s="12" t="n">
        <f aca="false">E552-C552</f>
        <v>5.78947368421052</v>
      </c>
      <c r="G552" s="21" t="n">
        <f aca="false">IF(AND(C552=0,E552=0),0,IF(C552=0,"New",(E552-C552)/C552))</f>
        <v>0.125858123569794</v>
      </c>
      <c r="H552" s="12" t="n">
        <f aca="false">SUMIFS('בתי מרקחת Raw'!$E$6:$E$1616,'בתי מרקחת Raw'!$F$6:$F$1616,$A552,'בתי מרקחת Raw'!$C$6:$C$1616,2025)</f>
        <v>2335.3</v>
      </c>
      <c r="I552" s="12" t="n">
        <f aca="false">SUMIFS('בתי מרקחת Raw'!$E$6:$E$1616,'בתי מרקחת Raw'!$F$6:$F$1616,$A552,'בתי מרקחת Raw'!$C$6:$C$1616,2026)</f>
        <v>2103.5</v>
      </c>
      <c r="J552" s="12" t="n">
        <f aca="false">I552*$J$5</f>
        <v>2657.05263157895</v>
      </c>
    </row>
    <row r="553" customFormat="false" ht="15" hidden="false" customHeight="true" outlineLevel="0" collapsed="false">
      <c r="A553" s="12" t="n">
        <v>4420017</v>
      </c>
      <c r="B553" s="12" t="str">
        <f aca="false">IFERROR(INDEX('בתי מרקחת Raw'!$B:$B,MATCH($A553,'בתי מרקחת Raw'!$F:$F,0)),"")</f>
        <v>4022 רצועת ""פיקה""+כרית</v>
      </c>
      <c r="C553" s="12" t="n">
        <f aca="false">SUMIFS('בתי מרקחת Raw'!$D$6:$D$1616,'בתי מרקחת Raw'!$F$6:$F$1616,$A553,'בתי מרקחת Raw'!$C$6:$C$1616,2025)</f>
        <v>41</v>
      </c>
      <c r="D553" s="12" t="n">
        <f aca="false">SUMIFS('בתי מרקחת Raw'!$D$6:$D$1616,'בתי מרקחת Raw'!$F$6:$F$1616,$A553,'בתי מרקחת Raw'!$C$6:$C$1616,2026)</f>
        <v>27</v>
      </c>
      <c r="E553" s="12" t="n">
        <f aca="false">D553*$J$5</f>
        <v>34.1052631578947</v>
      </c>
      <c r="F553" s="12" t="n">
        <f aca="false">E553-C553</f>
        <v>-6.89473684210527</v>
      </c>
      <c r="G553" s="21" t="n">
        <f aca="false">IF(AND(C553=0,E553=0),0,IF(C553=0,"New",(E553-C553)/C553))</f>
        <v>-0.16816431322208</v>
      </c>
      <c r="H553" s="12" t="n">
        <f aca="false">SUMIFS('בתי מרקחת Raw'!$E$6:$E$1616,'בתי מרקחת Raw'!$F$6:$F$1616,$A553,'בתי מרקחת Raw'!$C$6:$C$1616,2025)</f>
        <v>3758.91</v>
      </c>
      <c r="I553" s="12" t="n">
        <f aca="false">SUMIFS('בתי מרקחת Raw'!$E$6:$E$1616,'בתי מרקחת Raw'!$F$6:$F$1616,$A553,'בתי מרקחת Raw'!$C$6:$C$1616,2026)</f>
        <v>2485.64</v>
      </c>
      <c r="J553" s="12" t="n">
        <f aca="false">I553*$J$5</f>
        <v>3139.75578947368</v>
      </c>
    </row>
    <row r="554" customFormat="false" ht="15" hidden="false" customHeight="true" outlineLevel="0" collapsed="false">
      <c r="A554" s="12" t="n">
        <v>4420018</v>
      </c>
      <c r="B554" s="12" t="str">
        <f aca="false">IFERROR(INDEX('בתי מרקחת Raw'!$B:$B,MATCH($A554,'בתי מרקחת Raw'!$F:$F,0)),"")</f>
        <v>T90 רצועת טניס אלבו עם פלסטיק</v>
      </c>
      <c r="C554" s="12" t="n">
        <f aca="false">SUMIFS('בתי מרקחת Raw'!$D$6:$D$1616,'בתי מרקחת Raw'!$F$6:$F$1616,$A554,'בתי מרקחת Raw'!$C$6:$C$1616,2025)</f>
        <v>-1</v>
      </c>
      <c r="D554" s="12" t="n">
        <f aca="false">SUMIFS('בתי מרקחת Raw'!$D$6:$D$1616,'בתי מרקחת Raw'!$F$6:$F$1616,$A554,'בתי מרקחת Raw'!$C$6:$C$1616,2026)</f>
        <v>0</v>
      </c>
      <c r="E554" s="12" t="n">
        <f aca="false">D554*$J$5</f>
        <v>0</v>
      </c>
      <c r="F554" s="12" t="n">
        <f aca="false">E554-C554</f>
        <v>1</v>
      </c>
      <c r="G554" s="21" t="n">
        <f aca="false">IF(AND(C554=0,E554=0),0,IF(C554=0,"New",(E554-C554)/C554))</f>
        <v>-1</v>
      </c>
      <c r="H554" s="12" t="n">
        <f aca="false">SUMIFS('בתי מרקחת Raw'!$E$6:$E$1616,'בתי מרקחת Raw'!$F$6:$F$1616,$A554,'בתי מרקחת Raw'!$C$6:$C$1616,2025)</f>
        <v>-98.3</v>
      </c>
      <c r="I554" s="12" t="n">
        <f aca="false">SUMIFS('בתי מרקחת Raw'!$E$6:$E$1616,'בתי מרקחת Raw'!$F$6:$F$1616,$A554,'בתי מרקחת Raw'!$C$6:$C$1616,2026)</f>
        <v>0</v>
      </c>
      <c r="J554" s="12" t="n">
        <f aca="false">I554*$J$5</f>
        <v>0</v>
      </c>
    </row>
    <row r="555" customFormat="false" ht="15" hidden="false" customHeight="true" outlineLevel="0" collapsed="false">
      <c r="A555" s="12" t="n">
        <v>4420022</v>
      </c>
      <c r="B555" s="12" t="str">
        <f aca="false">IFERROR(INDEX('בתי מרקחת Raw'!$B:$B,MATCH($A555,'בתי מרקחת Raw'!$F:$F,0)),"")</f>
        <v>LF370 ריפוד סיליקון לעקב אחורי</v>
      </c>
      <c r="C555" s="12" t="n">
        <f aca="false">SUMIFS('בתי מרקחת Raw'!$D$6:$D$1616,'בתי מרקחת Raw'!$F$6:$F$1616,$A555,'בתי מרקחת Raw'!$C$6:$C$1616,2025)</f>
        <v>81</v>
      </c>
      <c r="D555" s="12" t="n">
        <f aca="false">SUMIFS('בתי מרקחת Raw'!$D$6:$D$1616,'בתי מרקחת Raw'!$F$6:$F$1616,$A555,'בתי מרקחת Raw'!$C$6:$C$1616,2026)</f>
        <v>78</v>
      </c>
      <c r="E555" s="12" t="n">
        <f aca="false">D555*$J$5</f>
        <v>98.5263157894737</v>
      </c>
      <c r="F555" s="12" t="n">
        <f aca="false">E555-C555</f>
        <v>17.5263157894737</v>
      </c>
      <c r="G555" s="21" t="n">
        <f aca="false">IF(AND(C555=0,E555=0),0,IF(C555=0,"New",(E555-C555)/C555))</f>
        <v>0.216374269005848</v>
      </c>
      <c r="H555" s="12" t="n">
        <f aca="false">SUMIFS('בתי מרקחת Raw'!$E$6:$E$1616,'בתי מרקחת Raw'!$F$6:$F$1616,$A555,'בתי מרקחת Raw'!$C$6:$C$1616,2025)</f>
        <v>1782.8</v>
      </c>
      <c r="I555" s="12" t="n">
        <f aca="false">SUMIFS('בתי מרקחת Raw'!$E$6:$E$1616,'בתי מרקחת Raw'!$F$6:$F$1616,$A555,'בתי מרקחת Raw'!$C$6:$C$1616,2026)</f>
        <v>1779.9</v>
      </c>
      <c r="J555" s="12" t="n">
        <f aca="false">I555*$J$5</f>
        <v>2248.29473684211</v>
      </c>
    </row>
    <row r="556" customFormat="false" ht="15" hidden="false" customHeight="true" outlineLevel="0" collapsed="false">
      <c r="A556" s="12" t="n">
        <v>4420023</v>
      </c>
      <c r="B556" s="12" t="str">
        <f aca="false">IFERROR(INDEX('בתי מרקחת Raw'!$B:$B,MATCH($A556,'בתי מרקחת Raw'!$F:$F,0)),"")</f>
        <v>LF371 ריפוד סיליקון לנעלי אצבע</v>
      </c>
      <c r="C556" s="12" t="n">
        <f aca="false">SUMIFS('בתי מרקחת Raw'!$D$6:$D$1616,'בתי מרקחת Raw'!$F$6:$F$1616,$A556,'בתי מרקחת Raw'!$C$6:$C$1616,2025)</f>
        <v>11</v>
      </c>
      <c r="D556" s="12" t="n">
        <f aca="false">SUMIFS('בתי מרקחת Raw'!$D$6:$D$1616,'בתי מרקחת Raw'!$F$6:$F$1616,$A556,'בתי מרקחת Raw'!$C$6:$C$1616,2026)</f>
        <v>7</v>
      </c>
      <c r="E556" s="12" t="n">
        <f aca="false">D556*$J$5</f>
        <v>8.84210526315789</v>
      </c>
      <c r="F556" s="12" t="n">
        <f aca="false">E556-C556</f>
        <v>-2.15789473684211</v>
      </c>
      <c r="G556" s="21" t="n">
        <f aca="false">IF(AND(C556=0,E556=0),0,IF(C556=0,"New",(E556-C556)/C556))</f>
        <v>-0.196172248803828</v>
      </c>
      <c r="H556" s="12" t="n">
        <f aca="false">SUMIFS('בתי מרקחת Raw'!$E$6:$E$1616,'בתי מרקחת Raw'!$F$6:$F$1616,$A556,'בתי מרקחת Raw'!$C$6:$C$1616,2025)</f>
        <v>295.08</v>
      </c>
      <c r="I556" s="12" t="n">
        <f aca="false">SUMIFS('בתי מרקחת Raw'!$E$6:$E$1616,'בתי מרקחת Raw'!$F$6:$F$1616,$A556,'בתי מרקחת Raw'!$C$6:$C$1616,2026)</f>
        <v>206.45</v>
      </c>
      <c r="J556" s="12" t="n">
        <f aca="false">I556*$J$5</f>
        <v>260.778947368421</v>
      </c>
    </row>
    <row r="557" customFormat="false" ht="15" hidden="false" customHeight="true" outlineLevel="0" collapsed="false">
      <c r="A557" s="12" t="n">
        <v>4420024</v>
      </c>
      <c r="B557" s="12" t="str">
        <f aca="false">IFERROR(INDEX('בתי מרקחת Raw'!$B:$B,MATCH($A557,'בתי מרקחת Raw'!$F:$F,0)),"")</f>
        <v>LFריפוד סיליק.לכרית כף הרגל373</v>
      </c>
      <c r="C557" s="12" t="n">
        <f aca="false">SUMIFS('בתי מרקחת Raw'!$D$6:$D$1616,'בתי מרקחת Raw'!$F$6:$F$1616,$A557,'בתי מרקחת Raw'!$C$6:$C$1616,2025)</f>
        <v>54</v>
      </c>
      <c r="D557" s="12" t="n">
        <f aca="false">SUMIFS('בתי מרקחת Raw'!$D$6:$D$1616,'בתי מרקחת Raw'!$F$6:$F$1616,$A557,'בתי מרקחת Raw'!$C$6:$C$1616,2026)</f>
        <v>36</v>
      </c>
      <c r="E557" s="12" t="n">
        <f aca="false">D557*$J$5</f>
        <v>45.4736842105263</v>
      </c>
      <c r="F557" s="12" t="n">
        <f aca="false">E557-C557</f>
        <v>-8.52631578947369</v>
      </c>
      <c r="G557" s="21" t="n">
        <f aca="false">IF(AND(C557=0,E557=0),0,IF(C557=0,"New",(E557-C557)/C557))</f>
        <v>-0.157894736842105</v>
      </c>
      <c r="H557" s="12" t="n">
        <f aca="false">SUMIFS('בתי מרקחת Raw'!$E$6:$E$1616,'בתי מרקחת Raw'!$F$6:$F$1616,$A557,'בתי מרקחת Raw'!$C$6:$C$1616,2025)</f>
        <v>1072.9</v>
      </c>
      <c r="I557" s="12" t="n">
        <f aca="false">SUMIFS('בתי מרקחת Raw'!$E$6:$E$1616,'בתי מרקחת Raw'!$F$6:$F$1616,$A557,'בתי מרקחת Raw'!$C$6:$C$1616,2026)</f>
        <v>743.58</v>
      </c>
      <c r="J557" s="12" t="n">
        <f aca="false">I557*$J$5</f>
        <v>939.258947368421</v>
      </c>
    </row>
    <row r="558" customFormat="false" ht="15" hidden="false" customHeight="true" outlineLevel="0" collapsed="false">
      <c r="A558" s="12" t="n">
        <v>4420025</v>
      </c>
      <c r="B558" s="12" t="str">
        <f aca="false">IFERROR(INDEX('בתי מרקחת Raw'!$B:$B,MATCH($A558,'בתי מרקחת Raw'!$F:$F,0)),"")</f>
        <v>LF374 ריפוד סיליק.לעקב תחתון</v>
      </c>
      <c r="C558" s="12" t="n">
        <f aca="false">SUMIFS('בתי מרקחת Raw'!$D$6:$D$1616,'בתי מרקחת Raw'!$F$6:$F$1616,$A558,'בתי מרקחת Raw'!$C$6:$C$1616,2025)</f>
        <v>45</v>
      </c>
      <c r="D558" s="12" t="n">
        <f aca="false">SUMIFS('בתי מרקחת Raw'!$D$6:$D$1616,'בתי מרקחת Raw'!$F$6:$F$1616,$A558,'בתי מרקחת Raw'!$C$6:$C$1616,2026)</f>
        <v>11</v>
      </c>
      <c r="E558" s="12" t="n">
        <f aca="false">D558*$J$5</f>
        <v>13.8947368421053</v>
      </c>
      <c r="F558" s="12" t="n">
        <f aca="false">E558-C558</f>
        <v>-31.1052631578947</v>
      </c>
      <c r="G558" s="21" t="n">
        <f aca="false">IF(AND(C558=0,E558=0),0,IF(C558=0,"New",(E558-C558)/C558))</f>
        <v>-0.691228070175439</v>
      </c>
      <c r="H558" s="12" t="n">
        <f aca="false">SUMIFS('בתי מרקחת Raw'!$E$6:$E$1616,'בתי מרקחת Raw'!$F$6:$F$1616,$A558,'בתי מרקחת Raw'!$C$6:$C$1616,2025)</f>
        <v>1008</v>
      </c>
      <c r="I558" s="12" t="n">
        <f aca="false">SUMIFS('בתי מרקחת Raw'!$E$6:$E$1616,'בתי מרקחת Raw'!$F$6:$F$1616,$A558,'בתי מרקחת Raw'!$C$6:$C$1616,2026)</f>
        <v>243.3</v>
      </c>
      <c r="J558" s="12" t="n">
        <f aca="false">I558*$J$5</f>
        <v>307.326315789474</v>
      </c>
    </row>
    <row r="559" customFormat="false" ht="15" hidden="false" customHeight="true" outlineLevel="0" collapsed="false">
      <c r="A559" s="12" t="n">
        <v>4420026</v>
      </c>
      <c r="B559" s="12" t="str">
        <f aca="false">IFERROR(INDEX('בתי מרקחת Raw'!$B:$B,MATCH($A559,'בתי מרקחת Raw'!$F:$F,0)),"")</f>
        <v>AC40 רצועה לפיקת הברך</v>
      </c>
      <c r="C559" s="12" t="n">
        <f aca="false">SUMIFS('בתי מרקחת Raw'!$D$6:$D$1616,'בתי מרקחת Raw'!$F$6:$F$1616,$A559,'בתי מרקחת Raw'!$C$6:$C$1616,2025)</f>
        <v>5</v>
      </c>
      <c r="D559" s="12" t="n">
        <f aca="false">SUMIFS('בתי מרקחת Raw'!$D$6:$D$1616,'בתי מרקחת Raw'!$F$6:$F$1616,$A559,'בתי מרקחת Raw'!$C$6:$C$1616,2026)</f>
        <v>6</v>
      </c>
      <c r="E559" s="12" t="n">
        <f aca="false">D559*$J$5</f>
        <v>7.57894736842105</v>
      </c>
      <c r="F559" s="12" t="n">
        <f aca="false">E559-C559</f>
        <v>2.57894736842105</v>
      </c>
      <c r="G559" s="21" t="n">
        <f aca="false">IF(AND(C559=0,E559=0),0,IF(C559=0,"New",(E559-C559)/C559))</f>
        <v>0.515789473684211</v>
      </c>
      <c r="H559" s="12" t="n">
        <f aca="false">SUMIFS('בתי מרקחת Raw'!$E$6:$E$1616,'בתי מרקחת Raw'!$F$6:$F$1616,$A559,'בתי מרקחת Raw'!$C$6:$C$1616,2025)</f>
        <v>395.87</v>
      </c>
      <c r="I559" s="12" t="n">
        <f aca="false">SUMIFS('בתי מרקחת Raw'!$E$6:$E$1616,'בתי מרקחת Raw'!$F$6:$F$1616,$A559,'בתי מרקחת Raw'!$C$6:$C$1616,2026)</f>
        <v>472.67</v>
      </c>
      <c r="J559" s="12" t="n">
        <f aca="false">I559*$J$5</f>
        <v>597.056842105263</v>
      </c>
    </row>
    <row r="560" customFormat="false" ht="15" hidden="false" customHeight="true" outlineLevel="0" collapsed="false">
      <c r="A560" s="12" t="n">
        <v>4420027</v>
      </c>
      <c r="B560" s="12" t="str">
        <f aca="false">IFERROR(INDEX('בתי מרקחת Raw'!$B:$B,MATCH($A560,'בתי מרקחת Raw'!$F:$F,0)),"")</f>
        <v>370K 0 רפידת לילדים אנטי ריח</v>
      </c>
      <c r="C560" s="12" t="n">
        <f aca="false">SUMIFS('בתי מרקחת Raw'!$D$6:$D$1616,'בתי מרקחת Raw'!$F$6:$F$1616,$A560,'בתי מרקחת Raw'!$C$6:$C$1616,2025)</f>
        <v>58</v>
      </c>
      <c r="D560" s="12" t="n">
        <f aca="false">SUMIFS('בתי מרקחת Raw'!$D$6:$D$1616,'בתי מרקחת Raw'!$F$6:$F$1616,$A560,'בתי מרקחת Raw'!$C$6:$C$1616,2026)</f>
        <v>9</v>
      </c>
      <c r="E560" s="12" t="n">
        <f aca="false">D560*$J$5</f>
        <v>11.3684210526316</v>
      </c>
      <c r="F560" s="12" t="n">
        <f aca="false">E560-C560</f>
        <v>-46.6315789473684</v>
      </c>
      <c r="G560" s="21" t="n">
        <f aca="false">IF(AND(C560=0,E560=0),0,IF(C560=0,"New",(E560-C560)/C560))</f>
        <v>-0.803992740471869</v>
      </c>
      <c r="H560" s="12" t="n">
        <f aca="false">SUMIFS('בתי מרקחת Raw'!$E$6:$E$1616,'בתי מרקחת Raw'!$F$6:$F$1616,$A560,'בתי מרקחת Raw'!$C$6:$C$1616,2025)</f>
        <v>678.9</v>
      </c>
      <c r="I560" s="12" t="n">
        <f aca="false">SUMIFS('בתי מרקחת Raw'!$E$6:$E$1616,'בתי מרקחת Raw'!$F$6:$F$1616,$A560,'בתי מרקחת Raw'!$C$6:$C$1616,2026)</f>
        <v>112.5</v>
      </c>
      <c r="J560" s="12" t="n">
        <f aca="false">I560*$J$5</f>
        <v>142.105263157895</v>
      </c>
    </row>
    <row r="561" customFormat="false" ht="15" hidden="false" customHeight="true" outlineLevel="0" collapsed="false">
      <c r="A561" s="12" t="n">
        <v>4420028</v>
      </c>
      <c r="B561" s="12" t="str">
        <f aca="false">IFERROR(INDEX('בתי מרקחת Raw'!$B:$B,MATCH($A561,'בתי מרקחת Raw'!$F:$F,0)),"")</f>
        <v>35-37 רפידת ספורט 376 מידה</v>
      </c>
      <c r="C561" s="12" t="n">
        <f aca="false">SUMIFS('בתי מרקחת Raw'!$D$6:$D$1616,'בתי מרקחת Raw'!$F$6:$F$1616,$A561,'בתי מרקחת Raw'!$C$6:$C$1616,2025)</f>
        <v>-1</v>
      </c>
      <c r="D561" s="12" t="n">
        <f aca="false">SUMIFS('בתי מרקחת Raw'!$D$6:$D$1616,'בתי מרקחת Raw'!$F$6:$F$1616,$A561,'בתי מרקחת Raw'!$C$6:$C$1616,2026)</f>
        <v>1</v>
      </c>
      <c r="E561" s="12" t="n">
        <f aca="false">D561*$J$5</f>
        <v>1.26315789473684</v>
      </c>
      <c r="F561" s="12" t="n">
        <f aca="false">E561-C561</f>
        <v>2.26315789473684</v>
      </c>
      <c r="G561" s="21" t="n">
        <f aca="false">IF(AND(C561=0,E561=0),0,IF(C561=0,"New",(E561-C561)/C561))</f>
        <v>-2.26315789473684</v>
      </c>
      <c r="H561" s="12" t="n">
        <f aca="false">SUMIFS('בתי מרקחת Raw'!$E$6:$E$1616,'בתי מרקחת Raw'!$F$6:$F$1616,$A561,'בתי מרקחת Raw'!$C$6:$C$1616,2025)</f>
        <v>-43.2</v>
      </c>
      <c r="I561" s="12" t="n">
        <f aca="false">SUMIFS('בתי מרקחת Raw'!$E$6:$E$1616,'בתי מרקחת Raw'!$F$6:$F$1616,$A561,'בתי מרקחת Raw'!$C$6:$C$1616,2026)</f>
        <v>35.1</v>
      </c>
      <c r="J561" s="12" t="n">
        <f aca="false">I561*$J$5</f>
        <v>44.3368421052632</v>
      </c>
    </row>
    <row r="562" customFormat="false" ht="15" hidden="false" customHeight="true" outlineLevel="0" collapsed="false">
      <c r="A562" s="12" t="n">
        <v>4420030</v>
      </c>
      <c r="B562" s="12" t="str">
        <f aca="false">IFERROR(INDEX('בתי מרקחת Raw'!$B:$B,MATCH($A562,'בתי מרקחת Raw'!$F:$F,0)),"")</f>
        <v>41-43 רפידת ספורט 376 מידה</v>
      </c>
      <c r="C562" s="12" t="n">
        <f aca="false">SUMIFS('בתי מרקחת Raw'!$D$6:$D$1616,'בתי מרקחת Raw'!$F$6:$F$1616,$A562,'בתי מרקחת Raw'!$C$6:$C$1616,2025)</f>
        <v>1</v>
      </c>
      <c r="D562" s="12" t="n">
        <f aca="false">SUMIFS('בתי מרקחת Raw'!$D$6:$D$1616,'בתי מרקחת Raw'!$F$6:$F$1616,$A562,'בתי מרקחת Raw'!$C$6:$C$1616,2026)</f>
        <v>1</v>
      </c>
      <c r="E562" s="12" t="n">
        <f aca="false">D562*$J$5</f>
        <v>1.26315789473684</v>
      </c>
      <c r="F562" s="12" t="n">
        <f aca="false">E562-C562</f>
        <v>0.263157894736842</v>
      </c>
      <c r="G562" s="21" t="n">
        <f aca="false">IF(AND(C562=0,E562=0),0,IF(C562=0,"New",(E562-C562)/C562))</f>
        <v>0.263157894736842</v>
      </c>
      <c r="H562" s="12" t="n">
        <f aca="false">SUMIFS('בתי מרקחת Raw'!$E$6:$E$1616,'בתי מרקחת Raw'!$F$6:$F$1616,$A562,'בתי מרקחת Raw'!$C$6:$C$1616,2025)</f>
        <v>33</v>
      </c>
      <c r="I562" s="12" t="n">
        <f aca="false">SUMIFS('בתי מרקחת Raw'!$E$6:$E$1616,'בתי מרקחת Raw'!$F$6:$F$1616,$A562,'בתי מרקחת Raw'!$C$6:$C$1616,2026)</f>
        <v>35.1</v>
      </c>
      <c r="J562" s="12" t="n">
        <f aca="false">I562*$J$5</f>
        <v>44.3368421052632</v>
      </c>
    </row>
    <row r="563" customFormat="false" ht="15" hidden="false" customHeight="true" outlineLevel="0" collapsed="false">
      <c r="A563" s="12" t="n">
        <v>4420031</v>
      </c>
      <c r="B563" s="12" t="str">
        <f aca="false">IFERROR(INDEX('בתי מרקחת Raw'!$B:$B,MATCH($A563,'בתי מרקחת Raw'!$F:$F,0)),"")</f>
        <v>44-45 רפידת ספורט 376 מידה</v>
      </c>
      <c r="C563" s="12" t="n">
        <f aca="false">SUMIFS('בתי מרקחת Raw'!$D$6:$D$1616,'בתי מרקחת Raw'!$F$6:$F$1616,$A563,'בתי מרקחת Raw'!$C$6:$C$1616,2025)</f>
        <v>0</v>
      </c>
      <c r="D563" s="12" t="n">
        <f aca="false">SUMIFS('בתי מרקחת Raw'!$D$6:$D$1616,'בתי מרקחת Raw'!$F$6:$F$1616,$A563,'בתי מרקחת Raw'!$C$6:$C$1616,2026)</f>
        <v>3</v>
      </c>
      <c r="E563" s="12" t="n">
        <f aca="false">D563*$J$5</f>
        <v>3.78947368421053</v>
      </c>
      <c r="F563" s="12" t="n">
        <f aca="false">E563-C563</f>
        <v>3.78947368421053</v>
      </c>
      <c r="G563" s="21" t="str">
        <f aca="false">IF(AND(C563=0,E563=0),0,IF(C563=0,"New",(E563-C563)/C563))</f>
        <v>New</v>
      </c>
      <c r="H563" s="12" t="n">
        <f aca="false">SUMIFS('בתי מרקחת Raw'!$E$6:$E$1616,'בתי מרקחת Raw'!$F$6:$F$1616,$A563,'בתי מרקחת Raw'!$C$6:$C$1616,2025)</f>
        <v>0</v>
      </c>
      <c r="I563" s="12" t="n">
        <f aca="false">SUMIFS('בתי מרקחת Raw'!$E$6:$E$1616,'בתי מרקחת Raw'!$F$6:$F$1616,$A563,'בתי מרקחת Raw'!$C$6:$C$1616,2026)</f>
        <v>105.3</v>
      </c>
      <c r="J563" s="12" t="n">
        <f aca="false">I563*$J$5</f>
        <v>133.010526315789</v>
      </c>
    </row>
    <row r="564" customFormat="false" ht="15" hidden="false" customHeight="true" outlineLevel="0" collapsed="false">
      <c r="A564" s="12" t="n">
        <v>4420032</v>
      </c>
      <c r="B564" s="12" t="str">
        <f aca="false">IFERROR(INDEX('בתי מרקחת Raw'!$B:$B,MATCH($A564,'בתי מרקחת Raw'!$F:$F,0)),"")</f>
        <v>46-47 רפידת ספורט 376 מידה</v>
      </c>
      <c r="C564" s="12" t="n">
        <f aca="false">SUMIFS('בתי מרקחת Raw'!$D$6:$D$1616,'בתי מרקחת Raw'!$F$6:$F$1616,$A564,'בתי מרקחת Raw'!$C$6:$C$1616,2025)</f>
        <v>4</v>
      </c>
      <c r="D564" s="12" t="n">
        <f aca="false">SUMIFS('בתי מרקחת Raw'!$D$6:$D$1616,'בתי מרקחת Raw'!$F$6:$F$1616,$A564,'בתי מרקחת Raw'!$C$6:$C$1616,2026)</f>
        <v>1</v>
      </c>
      <c r="E564" s="12" t="n">
        <f aca="false">D564*$J$5</f>
        <v>1.26315789473684</v>
      </c>
      <c r="F564" s="12" t="n">
        <f aca="false">E564-C564</f>
        <v>-2.73684210526316</v>
      </c>
      <c r="G564" s="21" t="n">
        <f aca="false">IF(AND(C564=0,E564=0),0,IF(C564=0,"New",(E564-C564)/C564))</f>
        <v>-0.68421052631579</v>
      </c>
      <c r="H564" s="12" t="n">
        <f aca="false">SUMIFS('בתי מרקחת Raw'!$E$6:$E$1616,'בתי מרקחת Raw'!$F$6:$F$1616,$A564,'בתי מרקחת Raw'!$C$6:$C$1616,2025)</f>
        <v>133.6</v>
      </c>
      <c r="I564" s="12" t="n">
        <f aca="false">SUMIFS('בתי מרקחת Raw'!$E$6:$E$1616,'בתי מרקחת Raw'!$F$6:$F$1616,$A564,'בתי מרקחת Raw'!$C$6:$C$1616,2026)</f>
        <v>35.1</v>
      </c>
      <c r="J564" s="12" t="n">
        <f aca="false">I564*$J$5</f>
        <v>44.3368421052632</v>
      </c>
    </row>
    <row r="565" customFormat="false" ht="15" hidden="false" customHeight="true" outlineLevel="0" collapsed="false">
      <c r="A565" s="12" t="n">
        <v>4420034</v>
      </c>
      <c r="B565" s="12" t="str">
        <f aca="false">IFERROR(INDEX('בתי מרקחת Raw'!$B:$B,MATCH($A565,'בתי מרקחת Raw'!$F:$F,0)),"")</f>
        <v>381 HV רצועה אלסטית</v>
      </c>
      <c r="C565" s="12" t="n">
        <f aca="false">SUMIFS('בתי מרקחת Raw'!$D$6:$D$1616,'בתי מרקחת Raw'!$F$6:$F$1616,$A565,'בתי מרקחת Raw'!$C$6:$C$1616,2025)</f>
        <v>2</v>
      </c>
      <c r="D565" s="12" t="n">
        <f aca="false">SUMIFS('בתי מרקחת Raw'!$D$6:$D$1616,'בתי מרקחת Raw'!$F$6:$F$1616,$A565,'בתי מרקחת Raw'!$C$6:$C$1616,2026)</f>
        <v>3</v>
      </c>
      <c r="E565" s="12" t="n">
        <f aca="false">D565*$J$5</f>
        <v>3.78947368421053</v>
      </c>
      <c r="F565" s="12" t="n">
        <f aca="false">E565-C565</f>
        <v>1.78947368421053</v>
      </c>
      <c r="G565" s="21" t="n">
        <f aca="false">IF(AND(C565=0,E565=0),0,IF(C565=0,"New",(E565-C565)/C565))</f>
        <v>0.894736842105263</v>
      </c>
      <c r="H565" s="12" t="n">
        <f aca="false">SUMIFS('בתי מרקחת Raw'!$E$6:$E$1616,'בתי מרקחת Raw'!$F$6:$F$1616,$A565,'בתי מרקחת Raw'!$C$6:$C$1616,2025)</f>
        <v>75.5</v>
      </c>
      <c r="I565" s="12" t="n">
        <f aca="false">SUMIFS('בתי מרקחת Raw'!$E$6:$E$1616,'בתי מרקחת Raw'!$F$6:$F$1616,$A565,'בתי מרקחת Raw'!$C$6:$C$1616,2026)</f>
        <v>113.3</v>
      </c>
      <c r="J565" s="12" t="n">
        <f aca="false">I565*$J$5</f>
        <v>143.115789473684</v>
      </c>
    </row>
    <row r="566" customFormat="false" ht="15" hidden="false" customHeight="true" outlineLevel="0" collapsed="false">
      <c r="A566" s="12" t="n">
        <v>4420035</v>
      </c>
      <c r="B566" s="12" t="str">
        <f aca="false">IFERROR(INDEX('בתי מרקחת Raw'!$B:$B,MATCH($A566,'בתי מרקחת Raw'!$F:$F,0)),"")</f>
        <v>301CW 36-40 'רפידת ג'ל בז</v>
      </c>
      <c r="C566" s="12" t="n">
        <f aca="false">SUMIFS('בתי מרקחת Raw'!$D$6:$D$1616,'בתי מרקחת Raw'!$F$6:$F$1616,$A566,'בתי מרקחת Raw'!$C$6:$C$1616,2025)</f>
        <v>8</v>
      </c>
      <c r="D566" s="12" t="n">
        <f aca="false">SUMIFS('בתי מרקחת Raw'!$D$6:$D$1616,'בתי מרקחת Raw'!$F$6:$F$1616,$A566,'בתי מרקחת Raw'!$C$6:$C$1616,2026)</f>
        <v>3</v>
      </c>
      <c r="E566" s="12" t="n">
        <f aca="false">D566*$J$5</f>
        <v>3.78947368421053</v>
      </c>
      <c r="F566" s="12" t="n">
        <f aca="false">E566-C566</f>
        <v>-4.21052631578947</v>
      </c>
      <c r="G566" s="21" t="n">
        <f aca="false">IF(AND(C566=0,E566=0),0,IF(C566=0,"New",(E566-C566)/C566))</f>
        <v>-0.526315789473684</v>
      </c>
      <c r="H566" s="12" t="n">
        <f aca="false">SUMIFS('בתי מרקחת Raw'!$E$6:$E$1616,'בתי מרקחת Raw'!$F$6:$F$1616,$A566,'בתי מרקחת Raw'!$C$6:$C$1616,2025)</f>
        <v>401</v>
      </c>
      <c r="I566" s="12" t="n">
        <f aca="false">SUMIFS('בתי מרקחת Raw'!$E$6:$E$1616,'בתי מרקחת Raw'!$F$6:$F$1616,$A566,'בתי מרקחת Raw'!$C$6:$C$1616,2026)</f>
        <v>194.6</v>
      </c>
      <c r="J566" s="12" t="n">
        <f aca="false">I566*$J$5</f>
        <v>245.810526315789</v>
      </c>
    </row>
    <row r="567" customFormat="false" ht="15" hidden="false" customHeight="true" outlineLevel="0" collapsed="false">
      <c r="A567" s="12" t="n">
        <v>4420036</v>
      </c>
      <c r="B567" s="12" t="str">
        <f aca="false">IFERROR(INDEX('בתי מרקחת Raw'!$B:$B,MATCH($A567,'בתי מרקחת Raw'!$F:$F,0)),"")</f>
        <v>301CM 41-45 'רפידת ג'ל בז</v>
      </c>
      <c r="C567" s="12" t="n">
        <f aca="false">SUMIFS('בתי מרקחת Raw'!$D$6:$D$1616,'בתי מרקחת Raw'!$F$6:$F$1616,$A567,'בתי מרקחת Raw'!$C$6:$C$1616,2025)</f>
        <v>28</v>
      </c>
      <c r="D567" s="12" t="n">
        <f aca="false">SUMIFS('בתי מרקחת Raw'!$D$6:$D$1616,'בתי מרקחת Raw'!$F$6:$F$1616,$A567,'בתי מרקחת Raw'!$C$6:$C$1616,2026)</f>
        <v>3</v>
      </c>
      <c r="E567" s="12" t="n">
        <f aca="false">D567*$J$5</f>
        <v>3.78947368421053</v>
      </c>
      <c r="F567" s="12" t="n">
        <f aca="false">E567-C567</f>
        <v>-24.2105263157895</v>
      </c>
      <c r="G567" s="21" t="n">
        <f aca="false">IF(AND(C567=0,E567=0),0,IF(C567=0,"New",(E567-C567)/C567))</f>
        <v>-0.864661654135338</v>
      </c>
      <c r="H567" s="12" t="n">
        <f aca="false">SUMIFS('בתי מרקחת Raw'!$E$6:$E$1616,'בתי מרקחת Raw'!$F$6:$F$1616,$A567,'בתי מרקחת Raw'!$C$6:$C$1616,2025)</f>
        <v>1431.1</v>
      </c>
      <c r="I567" s="12" t="n">
        <f aca="false">SUMIFS('בתי מרקחת Raw'!$E$6:$E$1616,'בתי מרקחת Raw'!$F$6:$F$1616,$A567,'בתי מרקחת Raw'!$C$6:$C$1616,2026)</f>
        <v>185.1</v>
      </c>
      <c r="J567" s="12" t="n">
        <f aca="false">I567*$J$5</f>
        <v>233.810526315789</v>
      </c>
    </row>
    <row r="568" customFormat="false" ht="15" hidden="false" customHeight="true" outlineLevel="0" collapsed="false">
      <c r="A568" s="12" t="n">
        <v>4420037</v>
      </c>
      <c r="B568" s="12" t="str">
        <f aca="false">IFERROR(INDEX('בתי מרקחת Raw'!$B:$B,MATCH($A568,'בתי מרקחת Raw'!$F:$F,0)),"")</f>
        <v>301JW רפידת ג'ל כחול36-40</v>
      </c>
      <c r="C568" s="12" t="n">
        <f aca="false">SUMIFS('בתי מרקחת Raw'!$D$6:$D$1616,'בתי מרקחת Raw'!$F$6:$F$1616,$A568,'בתי מרקחת Raw'!$C$6:$C$1616,2025)</f>
        <v>-2</v>
      </c>
      <c r="D568" s="12" t="n">
        <f aca="false">SUMIFS('בתי מרקחת Raw'!$D$6:$D$1616,'בתי מרקחת Raw'!$F$6:$F$1616,$A568,'בתי מרקחת Raw'!$C$6:$C$1616,2026)</f>
        <v>2</v>
      </c>
      <c r="E568" s="12" t="n">
        <f aca="false">D568*$J$5</f>
        <v>2.52631578947368</v>
      </c>
      <c r="F568" s="12" t="n">
        <f aca="false">E568-C568</f>
        <v>4.52631578947368</v>
      </c>
      <c r="G568" s="21" t="n">
        <f aca="false">IF(AND(C568=0,E568=0),0,IF(C568=0,"New",(E568-C568)/C568))</f>
        <v>-2.26315789473684</v>
      </c>
      <c r="H568" s="12" t="n">
        <f aca="false">SUMIFS('בתי מרקחת Raw'!$E$6:$E$1616,'בתי מרקחת Raw'!$F$6:$F$1616,$A568,'בתי מרקחת Raw'!$C$6:$C$1616,2025)</f>
        <v>-107.2</v>
      </c>
      <c r="I568" s="12" t="n">
        <f aca="false">SUMIFS('בתי מרקחת Raw'!$E$6:$E$1616,'בתי מרקחת Raw'!$F$6:$F$1616,$A568,'בתי מרקחת Raw'!$C$6:$C$1616,2026)</f>
        <v>146.5</v>
      </c>
      <c r="J568" s="12" t="n">
        <f aca="false">I568*$J$5</f>
        <v>185.052631578947</v>
      </c>
    </row>
    <row r="569" customFormat="false" ht="15" hidden="false" customHeight="true" outlineLevel="0" collapsed="false">
      <c r="A569" s="12" t="n">
        <v>4420039</v>
      </c>
      <c r="B569" s="12" t="str">
        <f aca="false">IFERROR(INDEX('בתי מרקחת Raw'!$B:$B,MATCH($A569,'בתי מרקחת Raw'!$F:$F,0)),"")</f>
        <v>T40B רצועה לפיקה</v>
      </c>
      <c r="C569" s="12" t="n">
        <f aca="false">SUMIFS('בתי מרקחת Raw'!$D$6:$D$1616,'בתי מרקחת Raw'!$F$6:$F$1616,$A569,'בתי מרקחת Raw'!$C$6:$C$1616,2025)</f>
        <v>0</v>
      </c>
      <c r="D569" s="12" t="n">
        <f aca="false">SUMIFS('בתי מרקחת Raw'!$D$6:$D$1616,'בתי מרקחת Raw'!$F$6:$F$1616,$A569,'בתי מרקחת Raw'!$C$6:$C$1616,2026)</f>
        <v>8</v>
      </c>
      <c r="E569" s="12" t="n">
        <f aca="false">D569*$J$5</f>
        <v>10.1052631578947</v>
      </c>
      <c r="F569" s="12" t="n">
        <f aca="false">E569-C569</f>
        <v>10.1052631578947</v>
      </c>
      <c r="G569" s="21" t="str">
        <f aca="false">IF(AND(C569=0,E569=0),0,IF(C569=0,"New",(E569-C569)/C569))</f>
        <v>New</v>
      </c>
      <c r="H569" s="12" t="n">
        <f aca="false">SUMIFS('בתי מרקחת Raw'!$E$6:$E$1616,'בתי מרקחת Raw'!$F$6:$F$1616,$A569,'בתי מרקחת Raw'!$C$6:$C$1616,2025)</f>
        <v>0</v>
      </c>
      <c r="I569" s="12" t="n">
        <f aca="false">SUMIFS('בתי מרקחת Raw'!$E$6:$E$1616,'בתי מרקחת Raw'!$F$6:$F$1616,$A569,'בתי מרקחת Raw'!$C$6:$C$1616,2026)</f>
        <v>646.3</v>
      </c>
      <c r="J569" s="12" t="n">
        <f aca="false">I569*$J$5</f>
        <v>816.378947368421</v>
      </c>
    </row>
    <row r="570" customFormat="false" ht="15" hidden="false" customHeight="true" outlineLevel="0" collapsed="false">
      <c r="A570" s="12" t="n">
        <v>4421000</v>
      </c>
      <c r="B570" s="12" t="str">
        <f aca="false">IFERROR(INDEX('בתי מרקחת Raw'!$B:$B,MATCH($A570,'בתי מרקחת Raw'!$F:$F,0)),"")</f>
        <v>3655 שרוול מסיליקון לאצבע</v>
      </c>
      <c r="C570" s="12" t="n">
        <f aca="false">SUMIFS('בתי מרקחת Raw'!$D$6:$D$1616,'בתי מרקחת Raw'!$F$6:$F$1616,$A570,'בתי מרקחת Raw'!$C$6:$C$1616,2025)</f>
        <v>1753</v>
      </c>
      <c r="D570" s="12" t="n">
        <f aca="false">SUMIFS('בתי מרקחת Raw'!$D$6:$D$1616,'בתי מרקחת Raw'!$F$6:$F$1616,$A570,'בתי מרקחת Raw'!$C$6:$C$1616,2026)</f>
        <v>1104</v>
      </c>
      <c r="E570" s="12" t="n">
        <f aca="false">D570*$J$5</f>
        <v>1394.52631578947</v>
      </c>
      <c r="F570" s="12" t="n">
        <f aca="false">E570-C570</f>
        <v>-358.473684210526</v>
      </c>
      <c r="G570" s="21" t="n">
        <f aca="false">IF(AND(C570=0,E570=0),0,IF(C570=0,"New",(E570-C570)/C570))</f>
        <v>-0.204491548323175</v>
      </c>
      <c r="H570" s="12" t="n">
        <f aca="false">SUMIFS('בתי מרקחת Raw'!$E$6:$E$1616,'בתי מרקחת Raw'!$F$6:$F$1616,$A570,'בתי מרקחת Raw'!$C$6:$C$1616,2025)</f>
        <v>31091.98</v>
      </c>
      <c r="I570" s="12" t="n">
        <f aca="false">SUMIFS('בתי מרקחת Raw'!$E$6:$E$1616,'בתי מרקחת Raw'!$F$6:$F$1616,$A570,'בתי מרקחת Raw'!$C$6:$C$1616,2026)</f>
        <v>19613.95</v>
      </c>
      <c r="J570" s="12" t="n">
        <f aca="false">I570*$J$5</f>
        <v>24775.5157894737</v>
      </c>
    </row>
    <row r="571" customFormat="false" ht="15" hidden="false" customHeight="true" outlineLevel="0" collapsed="false">
      <c r="A571" s="12" t="n">
        <v>4421001</v>
      </c>
      <c r="B571" s="12" t="str">
        <f aca="false">IFERROR(INDEX('בתי מרקחת Raw'!$B:$B,MATCH($A571,'בתי מרקחת Raw'!$F:$F,0)),"")</f>
        <v>3611 שרוול מטטרזלי מסיליקון</v>
      </c>
      <c r="C571" s="12" t="n">
        <f aca="false">SUMIFS('בתי מרקחת Raw'!$D$6:$D$1616,'בתי מרקחת Raw'!$F$6:$F$1616,$A571,'בתי מרקחת Raw'!$C$6:$C$1616,2025)</f>
        <v>169</v>
      </c>
      <c r="D571" s="12" t="n">
        <f aca="false">SUMIFS('בתי מרקחת Raw'!$D$6:$D$1616,'בתי מרקחת Raw'!$F$6:$F$1616,$A571,'בתי מרקחת Raw'!$C$6:$C$1616,2026)</f>
        <v>94</v>
      </c>
      <c r="E571" s="12" t="n">
        <f aca="false">D571*$J$5</f>
        <v>118.736842105263</v>
      </c>
      <c r="F571" s="12" t="n">
        <f aca="false">E571-C571</f>
        <v>-50.2631578947369</v>
      </c>
      <c r="G571" s="21" t="n">
        <f aca="false">IF(AND(C571=0,E571=0),0,IF(C571=0,"New",(E571-C571)/C571))</f>
        <v>-0.297415135471816</v>
      </c>
      <c r="H571" s="12" t="n">
        <f aca="false">SUMIFS('בתי מרקחת Raw'!$E$6:$E$1616,'בתי מרקחת Raw'!$F$6:$F$1616,$A571,'בתי מרקחת Raw'!$C$6:$C$1616,2025)</f>
        <v>9723.97</v>
      </c>
      <c r="I571" s="12" t="n">
        <f aca="false">SUMIFS('בתי מרקחת Raw'!$E$6:$E$1616,'בתי מרקחת Raw'!$F$6:$F$1616,$A571,'בתי מרקחת Raw'!$C$6:$C$1616,2026)</f>
        <v>5528.47</v>
      </c>
      <c r="J571" s="12" t="n">
        <f aca="false">I571*$J$5</f>
        <v>6983.33052631579</v>
      </c>
    </row>
    <row r="572" customFormat="false" ht="15" hidden="false" customHeight="true" outlineLevel="0" collapsed="false">
      <c r="A572" s="12" t="n">
        <v>4421003</v>
      </c>
      <c r="B572" s="12" t="str">
        <f aca="false">IFERROR(INDEX('בתי מרקחת Raw'!$B:$B,MATCH($A572,'בתי מרקחת Raw'!$F:$F,0)),"")</f>
        <v>3672 שרוול מגן לבוניון</v>
      </c>
      <c r="C572" s="12" t="n">
        <f aca="false">SUMIFS('בתי מרקחת Raw'!$D$6:$D$1616,'בתי מרקחת Raw'!$F$6:$F$1616,$A572,'בתי מרקחת Raw'!$C$6:$C$1616,2025)</f>
        <v>136</v>
      </c>
      <c r="D572" s="12" t="n">
        <f aca="false">SUMIFS('בתי מרקחת Raw'!$D$6:$D$1616,'בתי מרקחת Raw'!$F$6:$F$1616,$A572,'בתי מרקחת Raw'!$C$6:$C$1616,2026)</f>
        <v>80</v>
      </c>
      <c r="E572" s="12" t="n">
        <f aca="false">D572*$J$5</f>
        <v>101.052631578947</v>
      </c>
      <c r="F572" s="12" t="n">
        <f aca="false">E572-C572</f>
        <v>-34.9473684210526</v>
      </c>
      <c r="G572" s="21" t="n">
        <f aca="false">IF(AND(C572=0,E572=0),0,IF(C572=0,"New",(E572-C572)/C572))</f>
        <v>-0.256965944272446</v>
      </c>
      <c r="H572" s="12" t="n">
        <f aca="false">SUMIFS('בתי מרקחת Raw'!$E$6:$E$1616,'בתי מרקחת Raw'!$F$6:$F$1616,$A572,'בתי מרקחת Raw'!$C$6:$C$1616,2025)</f>
        <v>4747.57</v>
      </c>
      <c r="I572" s="12" t="n">
        <f aca="false">SUMIFS('בתי מרקחת Raw'!$E$6:$E$1616,'בתי מרקחת Raw'!$F$6:$F$1616,$A572,'בתי מרקחת Raw'!$C$6:$C$1616,2026)</f>
        <v>2877.36</v>
      </c>
      <c r="J572" s="12" t="n">
        <f aca="false">I572*$J$5</f>
        <v>3634.56</v>
      </c>
    </row>
    <row r="573" customFormat="false" ht="15" hidden="false" customHeight="true" outlineLevel="0" collapsed="false">
      <c r="A573" s="12" t="n">
        <v>4421005</v>
      </c>
      <c r="B573" s="12" t="str">
        <f aca="false">IFERROR(INDEX('בתי מרקחת Raw'!$B:$B,MATCH($A573,'בתי מרקחת Raw'!$F:$F,0)),"")</f>
        <v>שרוול לגבס קצר יד</v>
      </c>
      <c r="C573" s="12" t="n">
        <f aca="false">SUMIFS('בתי מרקחת Raw'!$D$6:$D$1616,'בתי מרקחת Raw'!$F$6:$F$1616,$A573,'בתי מרקחת Raw'!$C$6:$C$1616,2025)</f>
        <v>82</v>
      </c>
      <c r="D573" s="12" t="n">
        <f aca="false">SUMIFS('בתי מרקחת Raw'!$D$6:$D$1616,'בתי מרקחת Raw'!$F$6:$F$1616,$A573,'בתי מרקחת Raw'!$C$6:$C$1616,2026)</f>
        <v>84</v>
      </c>
      <c r="E573" s="12" t="n">
        <f aca="false">D573*$J$5</f>
        <v>106.105263157895</v>
      </c>
      <c r="F573" s="12" t="n">
        <f aca="false">E573-C573</f>
        <v>24.1052631578947</v>
      </c>
      <c r="G573" s="21" t="n">
        <f aca="false">IF(AND(C573=0,E573=0),0,IF(C573=0,"New",(E573-C573)/C573))</f>
        <v>0.293966623876765</v>
      </c>
      <c r="H573" s="12" t="n">
        <f aca="false">SUMIFS('בתי מרקחת Raw'!$E$6:$E$1616,'בתי מרקחת Raw'!$F$6:$F$1616,$A573,'בתי מרקחת Raw'!$C$6:$C$1616,2025)</f>
        <v>3015.2</v>
      </c>
      <c r="I573" s="12" t="n">
        <f aca="false">SUMIFS('בתי מרקחת Raw'!$E$6:$E$1616,'בתי מרקחת Raw'!$F$6:$F$1616,$A573,'בתי מרקחת Raw'!$C$6:$C$1616,2026)</f>
        <v>3260.36</v>
      </c>
      <c r="J573" s="12" t="n">
        <f aca="false">I573*$J$5</f>
        <v>4118.34947368421</v>
      </c>
    </row>
    <row r="574" customFormat="false" ht="15" hidden="false" customHeight="true" outlineLevel="0" collapsed="false">
      <c r="A574" s="12" t="n">
        <v>4421006</v>
      </c>
      <c r="B574" s="12" t="str">
        <f aca="false">IFERROR(INDEX('בתי מרקחת Raw'!$B:$B,MATCH($A574,'בתי מרקחת Raw'!$F:$F,0)),"")</f>
        <v>שרוול לגבס ארוך יד</v>
      </c>
      <c r="C574" s="12" t="n">
        <f aca="false">SUMIFS('בתי מרקחת Raw'!$D$6:$D$1616,'בתי מרקחת Raw'!$F$6:$F$1616,$A574,'בתי מרקחת Raw'!$C$6:$C$1616,2025)</f>
        <v>136</v>
      </c>
      <c r="D574" s="12" t="n">
        <f aca="false">SUMIFS('בתי מרקחת Raw'!$D$6:$D$1616,'בתי מרקחת Raw'!$F$6:$F$1616,$A574,'בתי מרקחת Raw'!$C$6:$C$1616,2026)</f>
        <v>122</v>
      </c>
      <c r="E574" s="12" t="n">
        <f aca="false">D574*$J$5</f>
        <v>154.105263157895</v>
      </c>
      <c r="F574" s="12" t="n">
        <f aca="false">E574-C574</f>
        <v>18.1052631578947</v>
      </c>
      <c r="G574" s="21" t="n">
        <f aca="false">IF(AND(C574=0,E574=0),0,IF(C574=0,"New",(E574-C574)/C574))</f>
        <v>0.13312693498452</v>
      </c>
      <c r="H574" s="12" t="n">
        <f aca="false">SUMIFS('בתי מרקחת Raw'!$E$6:$E$1616,'בתי מרקחת Raw'!$F$6:$F$1616,$A574,'בתי מרקחת Raw'!$C$6:$C$1616,2025)</f>
        <v>5440.43</v>
      </c>
      <c r="I574" s="12" t="n">
        <f aca="false">SUMIFS('בתי מרקחת Raw'!$E$6:$E$1616,'בתי מרקחת Raw'!$F$6:$F$1616,$A574,'בתי מרקחת Raw'!$C$6:$C$1616,2026)</f>
        <v>4979.93</v>
      </c>
      <c r="J574" s="12" t="n">
        <f aca="false">I574*$J$5</f>
        <v>6290.43789473684</v>
      </c>
    </row>
    <row r="575" customFormat="false" ht="15" hidden="false" customHeight="true" outlineLevel="0" collapsed="false">
      <c r="A575" s="12" t="n">
        <v>4421007</v>
      </c>
      <c r="B575" s="12" t="str">
        <f aca="false">IFERROR(INDEX('בתי מרקחת Raw'!$B:$B,MATCH($A575,'בתי מרקחת Raw'!$F:$F,0)),"")</f>
        <v>שרוול לגבס קצר רגל</v>
      </c>
      <c r="C575" s="12" t="n">
        <f aca="false">SUMIFS('בתי מרקחת Raw'!$D$6:$D$1616,'בתי מרקחת Raw'!$F$6:$F$1616,$A575,'בתי מרקחת Raw'!$C$6:$C$1616,2025)</f>
        <v>89</v>
      </c>
      <c r="D575" s="12" t="n">
        <f aca="false">SUMIFS('בתי מרקחת Raw'!$D$6:$D$1616,'בתי מרקחת Raw'!$F$6:$F$1616,$A575,'בתי מרקחת Raw'!$C$6:$C$1616,2026)</f>
        <v>65</v>
      </c>
      <c r="E575" s="12" t="n">
        <f aca="false">D575*$J$5</f>
        <v>82.1052631578947</v>
      </c>
      <c r="F575" s="12" t="n">
        <f aca="false">E575-C575</f>
        <v>-6.89473684210527</v>
      </c>
      <c r="G575" s="21" t="n">
        <f aca="false">IF(AND(C575=0,E575=0),0,IF(C575=0,"New",(E575-C575)/C575))</f>
        <v>-0.0774689532820817</v>
      </c>
      <c r="H575" s="12" t="n">
        <f aca="false">SUMIFS('בתי מרקחת Raw'!$E$6:$E$1616,'בתי מרקחת Raw'!$F$6:$F$1616,$A575,'בתי מרקחת Raw'!$C$6:$C$1616,2025)</f>
        <v>3859.68</v>
      </c>
      <c r="I575" s="12" t="n">
        <f aca="false">SUMIFS('בתי מרקחת Raw'!$E$6:$E$1616,'בתי מרקחת Raw'!$F$6:$F$1616,$A575,'בתי מרקחת Raw'!$C$6:$C$1616,2026)</f>
        <v>2840.49</v>
      </c>
      <c r="J575" s="12" t="n">
        <f aca="false">I575*$J$5</f>
        <v>3587.98736842105</v>
      </c>
    </row>
    <row r="576" customFormat="false" ht="15" hidden="false" customHeight="true" outlineLevel="0" collapsed="false">
      <c r="A576" s="12" t="n">
        <v>4421008</v>
      </c>
      <c r="B576" s="12" t="str">
        <f aca="false">IFERROR(INDEX('בתי מרקחת Raw'!$B:$B,MATCH($A576,'בתי מרקחת Raw'!$F:$F,0)),"")</f>
        <v>שרוול לגבס ארוך רגל</v>
      </c>
      <c r="C576" s="12" t="n">
        <f aca="false">SUMIFS('בתי מרקחת Raw'!$D$6:$D$1616,'בתי מרקחת Raw'!$F$6:$F$1616,$A576,'בתי מרקחת Raw'!$C$6:$C$1616,2025)</f>
        <v>104</v>
      </c>
      <c r="D576" s="12" t="n">
        <f aca="false">SUMIFS('בתי מרקחת Raw'!$D$6:$D$1616,'בתי מרקחת Raw'!$F$6:$F$1616,$A576,'בתי מרקחת Raw'!$C$6:$C$1616,2026)</f>
        <v>92</v>
      </c>
      <c r="E576" s="12" t="n">
        <f aca="false">D576*$J$5</f>
        <v>116.210526315789</v>
      </c>
      <c r="F576" s="12" t="n">
        <f aca="false">E576-C576</f>
        <v>12.2105263157895</v>
      </c>
      <c r="G576" s="21" t="n">
        <f aca="false">IF(AND(C576=0,E576=0),0,IF(C576=0,"New",(E576-C576)/C576))</f>
        <v>0.117408906882591</v>
      </c>
      <c r="H576" s="12" t="n">
        <f aca="false">SUMIFS('בתי מרקחת Raw'!$E$6:$E$1616,'בתי מרקחת Raw'!$F$6:$F$1616,$A576,'בתי מרקחת Raw'!$C$6:$C$1616,2025)</f>
        <v>4707.34</v>
      </c>
      <c r="I576" s="12" t="n">
        <f aca="false">SUMIFS('בתי מרקחת Raw'!$E$6:$E$1616,'בתי מרקחת Raw'!$F$6:$F$1616,$A576,'בתי מרקחת Raw'!$C$6:$C$1616,2026)</f>
        <v>4135.79</v>
      </c>
      <c r="J576" s="12" t="n">
        <f aca="false">I576*$J$5</f>
        <v>5224.15578947368</v>
      </c>
    </row>
    <row r="577" customFormat="false" ht="15" hidden="false" customHeight="true" outlineLevel="0" collapsed="false">
      <c r="A577" s="12" t="n">
        <v>4422000</v>
      </c>
      <c r="B577" s="12" t="str">
        <f aca="false">IFERROR(INDEX('בתי מרקחת Raw'!$B:$B,MATCH($A577,'בתי מרקחת Raw'!$F:$F,0)),"")</f>
        <v>801  תחבושת אלסטית מקררת</v>
      </c>
      <c r="C577" s="12" t="n">
        <f aca="false">SUMIFS('בתי מרקחת Raw'!$D$6:$D$1616,'בתי מרקחת Raw'!$F$6:$F$1616,$A577,'בתי מרקחת Raw'!$C$6:$C$1616,2025)</f>
        <v>136</v>
      </c>
      <c r="D577" s="12" t="n">
        <f aca="false">SUMIFS('בתי מרקחת Raw'!$D$6:$D$1616,'בתי מרקחת Raw'!$F$6:$F$1616,$A577,'בתי מרקחת Raw'!$C$6:$C$1616,2026)</f>
        <v>133</v>
      </c>
      <c r="E577" s="12" t="n">
        <f aca="false">D577*$J$5</f>
        <v>168</v>
      </c>
      <c r="F577" s="12" t="n">
        <f aca="false">E577-C577</f>
        <v>32</v>
      </c>
      <c r="G577" s="21" t="n">
        <f aca="false">IF(AND(C577=0,E577=0),0,IF(C577=0,"New",(E577-C577)/C577))</f>
        <v>0.235294117647059</v>
      </c>
      <c r="H577" s="12" t="n">
        <f aca="false">SUMIFS('בתי מרקחת Raw'!$E$6:$E$1616,'בתי מרקחת Raw'!$F$6:$F$1616,$A577,'בתי מרקחת Raw'!$C$6:$C$1616,2025)</f>
        <v>2824.27</v>
      </c>
      <c r="I577" s="12" t="n">
        <f aca="false">SUMIFS('בתי מרקחת Raw'!$E$6:$E$1616,'בתי מרקחת Raw'!$F$6:$F$1616,$A577,'בתי מרקחת Raw'!$C$6:$C$1616,2026)</f>
        <v>2821.35</v>
      </c>
      <c r="J577" s="12" t="n">
        <f aca="false">I577*$J$5</f>
        <v>3563.81052631579</v>
      </c>
    </row>
    <row r="578" customFormat="false" ht="15" hidden="false" customHeight="true" outlineLevel="0" collapsed="false">
      <c r="A578" s="12" t="n">
        <v>4422003</v>
      </c>
      <c r="B578" s="12" t="str">
        <f aca="false">IFERROR(INDEX('בתי מרקחת Raw'!$B:$B,MATCH($A578,'בתי מרקחת Raw'!$F:$F,0)),"")</f>
        <v>FC331Z- 120 תתתרסיס מרענן לרגל</v>
      </c>
      <c r="C578" s="12" t="n">
        <f aca="false">SUMIFS('בתי מרקחת Raw'!$D$6:$D$1616,'בתי מרקחת Raw'!$F$6:$F$1616,$A578,'בתי מרקחת Raw'!$C$6:$C$1616,2025)</f>
        <v>-1</v>
      </c>
      <c r="D578" s="12" t="n">
        <f aca="false">SUMIFS('בתי מרקחת Raw'!$D$6:$D$1616,'בתי מרקחת Raw'!$F$6:$F$1616,$A578,'בתי מרקחת Raw'!$C$6:$C$1616,2026)</f>
        <v>0</v>
      </c>
      <c r="E578" s="12" t="n">
        <f aca="false">D578*$J$5</f>
        <v>0</v>
      </c>
      <c r="F578" s="12" t="n">
        <f aca="false">E578-C578</f>
        <v>1</v>
      </c>
      <c r="G578" s="21" t="n">
        <f aca="false">IF(AND(C578=0,E578=0),0,IF(C578=0,"New",(E578-C578)/C578))</f>
        <v>-1</v>
      </c>
      <c r="H578" s="12" t="n">
        <f aca="false">SUMIFS('בתי מרקחת Raw'!$E$6:$E$1616,'בתי מרקחת Raw'!$F$6:$F$1616,$A578,'בתי מרקחת Raw'!$C$6:$C$1616,2025)</f>
        <v>-36.5</v>
      </c>
      <c r="I578" s="12" t="n">
        <f aca="false">SUMIFS('בתי מרקחת Raw'!$E$6:$E$1616,'בתי מרקחת Raw'!$F$6:$F$1616,$A578,'בתי מרקחת Raw'!$C$6:$C$1616,2026)</f>
        <v>0</v>
      </c>
      <c r="J578" s="12" t="n">
        <f aca="false">I578*$J$5</f>
        <v>0</v>
      </c>
    </row>
    <row r="579" customFormat="false" ht="15" hidden="false" customHeight="true" outlineLevel="0" collapsed="false">
      <c r="A579" s="12" t="n">
        <v>4422004</v>
      </c>
      <c r="B579" s="12" t="str">
        <f aca="false">IFERROR(INDEX('בתי מרקחת Raw'!$B:$B,MATCH($A579,'בתי מרקחת Raw'!$F:$F,0)),"")</f>
        <v>T78 S תומך זרוע וכתף</v>
      </c>
      <c r="C579" s="12" t="n">
        <f aca="false">SUMIFS('בתי מרקחת Raw'!$D$6:$D$1616,'בתי מרקחת Raw'!$F$6:$F$1616,$A579,'בתי מרקחת Raw'!$C$6:$C$1616,2025)</f>
        <v>13</v>
      </c>
      <c r="D579" s="12" t="n">
        <f aca="false">SUMIFS('בתי מרקחת Raw'!$D$6:$D$1616,'בתי מרקחת Raw'!$F$6:$F$1616,$A579,'בתי מרקחת Raw'!$C$6:$C$1616,2026)</f>
        <v>5</v>
      </c>
      <c r="E579" s="12" t="n">
        <f aca="false">D579*$J$5</f>
        <v>6.31578947368421</v>
      </c>
      <c r="F579" s="12" t="n">
        <f aca="false">E579-C579</f>
        <v>-6.68421052631579</v>
      </c>
      <c r="G579" s="21" t="n">
        <f aca="false">IF(AND(C579=0,E579=0),0,IF(C579=0,"New",(E579-C579)/C579))</f>
        <v>-0.51417004048583</v>
      </c>
      <c r="H579" s="12" t="n">
        <f aca="false">SUMIFS('בתי מרקחת Raw'!$E$6:$E$1616,'בתי מרקחת Raw'!$F$6:$F$1616,$A579,'בתי מרקחת Raw'!$C$6:$C$1616,2025)</f>
        <v>2422.44</v>
      </c>
      <c r="I579" s="12" t="n">
        <f aca="false">SUMIFS('בתי מרקחת Raw'!$E$6:$E$1616,'בתי מרקחת Raw'!$F$6:$F$1616,$A579,'בתי מרקחת Raw'!$C$6:$C$1616,2026)</f>
        <v>959.2</v>
      </c>
      <c r="J579" s="12" t="n">
        <f aca="false">I579*$J$5</f>
        <v>1211.62105263158</v>
      </c>
    </row>
    <row r="580" customFormat="false" ht="15" hidden="false" customHeight="true" outlineLevel="0" collapsed="false">
      <c r="A580" s="12" t="n">
        <v>4422005</v>
      </c>
      <c r="B580" s="12" t="str">
        <f aca="false">IFERROR(INDEX('בתי מרקחת Raw'!$B:$B,MATCH($A580,'בתי מרקחת Raw'!$F:$F,0)),"")</f>
        <v>T78 M תומך זרוע וכתף</v>
      </c>
      <c r="C580" s="12" t="n">
        <f aca="false">SUMIFS('בתי מרקחת Raw'!$D$6:$D$1616,'בתי מרקחת Raw'!$F$6:$F$1616,$A580,'בתי מרקחת Raw'!$C$6:$C$1616,2025)</f>
        <v>32</v>
      </c>
      <c r="D580" s="12" t="n">
        <f aca="false">SUMIFS('בתי מרקחת Raw'!$D$6:$D$1616,'בתי מרקחת Raw'!$F$6:$F$1616,$A580,'בתי מרקחת Raw'!$C$6:$C$1616,2026)</f>
        <v>16</v>
      </c>
      <c r="E580" s="12" t="n">
        <f aca="false">D580*$J$5</f>
        <v>20.2105263157895</v>
      </c>
      <c r="F580" s="12" t="n">
        <f aca="false">E580-C580</f>
        <v>-11.7894736842105</v>
      </c>
      <c r="G580" s="21" t="n">
        <f aca="false">IF(AND(C580=0,E580=0),0,IF(C580=0,"New",(E580-C580)/C580))</f>
        <v>-0.368421052631579</v>
      </c>
      <c r="H580" s="12" t="n">
        <f aca="false">SUMIFS('בתי מרקחת Raw'!$E$6:$E$1616,'בתי מרקחת Raw'!$F$6:$F$1616,$A580,'בתי מרקחת Raw'!$C$6:$C$1616,2025)</f>
        <v>6004.73</v>
      </c>
      <c r="I580" s="12" t="n">
        <f aca="false">SUMIFS('בתי מרקחת Raw'!$E$6:$E$1616,'בתי מרקחת Raw'!$F$6:$F$1616,$A580,'בתי מרקחת Raw'!$C$6:$C$1616,2026)</f>
        <v>2982.4</v>
      </c>
      <c r="J580" s="12" t="n">
        <f aca="false">I580*$J$5</f>
        <v>3767.24210526316</v>
      </c>
    </row>
    <row r="581" customFormat="false" ht="15" hidden="false" customHeight="true" outlineLevel="0" collapsed="false">
      <c r="A581" s="12" t="n">
        <v>4422006</v>
      </c>
      <c r="B581" s="12" t="str">
        <f aca="false">IFERROR(INDEX('בתי מרקחת Raw'!$B:$B,MATCH($A581,'בתי מרקחת Raw'!$F:$F,0)),"")</f>
        <v>T78 L תומך זרוע וכתף</v>
      </c>
      <c r="C581" s="12" t="n">
        <f aca="false">SUMIFS('בתי מרקחת Raw'!$D$6:$D$1616,'בתי מרקחת Raw'!$F$6:$F$1616,$A581,'בתי מרקחת Raw'!$C$6:$C$1616,2025)</f>
        <v>41</v>
      </c>
      <c r="D581" s="12" t="n">
        <f aca="false">SUMIFS('בתי מרקחת Raw'!$D$6:$D$1616,'בתי מרקחת Raw'!$F$6:$F$1616,$A581,'בתי מרקחת Raw'!$C$6:$C$1616,2026)</f>
        <v>27</v>
      </c>
      <c r="E581" s="12" t="n">
        <f aca="false">D581*$J$5</f>
        <v>34.1052631578947</v>
      </c>
      <c r="F581" s="12" t="n">
        <f aca="false">E581-C581</f>
        <v>-6.89473684210527</v>
      </c>
      <c r="G581" s="21" t="n">
        <f aca="false">IF(AND(C581=0,E581=0),0,IF(C581=0,"New",(E581-C581)/C581))</f>
        <v>-0.16816431322208</v>
      </c>
      <c r="H581" s="12" t="n">
        <f aca="false">SUMIFS('בתי מרקחת Raw'!$E$6:$E$1616,'בתי מרקחת Raw'!$F$6:$F$1616,$A581,'בתי מרקחת Raw'!$C$6:$C$1616,2025)</f>
        <v>7670.33</v>
      </c>
      <c r="I581" s="12" t="n">
        <f aca="false">SUMIFS('בתי מרקחת Raw'!$E$6:$E$1616,'בתי מרקחת Raw'!$F$6:$F$1616,$A581,'בתי מרקחת Raw'!$C$6:$C$1616,2026)</f>
        <v>4835.85</v>
      </c>
      <c r="J581" s="12" t="n">
        <f aca="false">I581*$J$5</f>
        <v>6108.44210526316</v>
      </c>
    </row>
    <row r="582" customFormat="false" ht="15" hidden="false" customHeight="true" outlineLevel="0" collapsed="false">
      <c r="A582" s="12" t="n">
        <v>4422007</v>
      </c>
      <c r="B582" s="12" t="str">
        <f aca="false">IFERROR(INDEX('בתי מרקחת Raw'!$B:$B,MATCH($A582,'בתי מרקחת Raw'!$F:$F,0)),"")</f>
        <v>T78 XLתומך זרוע וכתף</v>
      </c>
      <c r="C582" s="12" t="n">
        <f aca="false">SUMIFS('בתי מרקחת Raw'!$D$6:$D$1616,'בתי מרקחת Raw'!$F$6:$F$1616,$A582,'בתי מרקחת Raw'!$C$6:$C$1616,2025)</f>
        <v>20</v>
      </c>
      <c r="D582" s="12" t="n">
        <f aca="false">SUMIFS('בתי מרקחת Raw'!$D$6:$D$1616,'בתי מרקחת Raw'!$F$6:$F$1616,$A582,'בתי מרקחת Raw'!$C$6:$C$1616,2026)</f>
        <v>20</v>
      </c>
      <c r="E582" s="12" t="n">
        <f aca="false">D582*$J$5</f>
        <v>25.2631578947368</v>
      </c>
      <c r="F582" s="12" t="n">
        <f aca="false">E582-C582</f>
        <v>5.26315789473684</v>
      </c>
      <c r="G582" s="21" t="n">
        <f aca="false">IF(AND(C582=0,E582=0),0,IF(C582=0,"New",(E582-C582)/C582))</f>
        <v>0.263157894736842</v>
      </c>
      <c r="H582" s="12" t="n">
        <f aca="false">SUMIFS('בתי מרקחת Raw'!$E$6:$E$1616,'בתי מרקחת Raw'!$F$6:$F$1616,$A582,'בתי מרקחת Raw'!$C$6:$C$1616,2025)</f>
        <v>3735.34</v>
      </c>
      <c r="I582" s="12" t="n">
        <f aca="false">SUMIFS('בתי מרקחת Raw'!$E$6:$E$1616,'בתי מרקחת Raw'!$F$6:$F$1616,$A582,'בתי מרקחת Raw'!$C$6:$C$1616,2026)</f>
        <v>3721.65</v>
      </c>
      <c r="J582" s="12" t="n">
        <f aca="false">I582*$J$5</f>
        <v>4701.03157894737</v>
      </c>
    </row>
    <row r="583" customFormat="false" ht="15" hidden="false" customHeight="true" outlineLevel="0" collapsed="false">
      <c r="A583" s="12" t="n">
        <v>4422009</v>
      </c>
      <c r="B583" s="12" t="str">
        <f aca="false">IFERROR(INDEX('בתי מרקחת Raw'!$B:$B,MATCH($A583,'בתי מרקחת Raw'!$F:$F,0)),"")</f>
        <v>T78 XXL תומך זרוע וכתף</v>
      </c>
      <c r="C583" s="12" t="n">
        <f aca="false">SUMIFS('בתי מרקחת Raw'!$D$6:$D$1616,'בתי מרקחת Raw'!$F$6:$F$1616,$A583,'בתי מרקחת Raw'!$C$6:$C$1616,2025)</f>
        <v>5</v>
      </c>
      <c r="D583" s="12" t="n">
        <f aca="false">SUMIFS('בתי מרקחת Raw'!$D$6:$D$1616,'בתי מרקחת Raw'!$F$6:$F$1616,$A583,'בתי מרקחת Raw'!$C$6:$C$1616,2026)</f>
        <v>3</v>
      </c>
      <c r="E583" s="12" t="n">
        <f aca="false">D583*$J$5</f>
        <v>3.78947368421053</v>
      </c>
      <c r="F583" s="12" t="n">
        <f aca="false">E583-C583</f>
        <v>-1.21052631578947</v>
      </c>
      <c r="G583" s="21" t="n">
        <f aca="false">IF(AND(C583=0,E583=0),0,IF(C583=0,"New",(E583-C583)/C583))</f>
        <v>-0.242105263157895</v>
      </c>
      <c r="H583" s="12" t="n">
        <f aca="false">SUMIFS('בתי מרקחת Raw'!$E$6:$E$1616,'בתי מרקחת Raw'!$F$6:$F$1616,$A583,'בתי מרקחת Raw'!$C$6:$C$1616,2025)</f>
        <v>908.72</v>
      </c>
      <c r="I583" s="12" t="n">
        <f aca="false">SUMIFS('בתי מרקחת Raw'!$E$6:$E$1616,'בתי מרקחת Raw'!$F$6:$F$1616,$A583,'בתי מרקחת Raw'!$C$6:$C$1616,2026)</f>
        <v>568</v>
      </c>
      <c r="J583" s="12" t="n">
        <f aca="false">I583*$J$5</f>
        <v>717.473684210526</v>
      </c>
    </row>
    <row r="584" customFormat="false" ht="15" hidden="false" customHeight="true" outlineLevel="0" collapsed="false">
      <c r="A584" s="12" t="n">
        <v>4422023</v>
      </c>
      <c r="B584" s="12" t="str">
        <f aca="false">IFERROR(INDEX('בתי מרקחת Raw'!$B:$B,MATCH($A584,'בתי מרקחת Raw'!$F:$F,0)),"")</f>
        <v>806CB-BEIGE      תחבושת א.נצמ</v>
      </c>
      <c r="C584" s="12" t="n">
        <f aca="false">SUMIFS('בתי מרקחת Raw'!$D$6:$D$1616,'בתי מרקחת Raw'!$F$6:$F$1616,$A584,'בתי מרקחת Raw'!$C$6:$C$1616,2025)</f>
        <v>1518</v>
      </c>
      <c r="D584" s="12" t="n">
        <f aca="false">SUMIFS('בתי מרקחת Raw'!$D$6:$D$1616,'בתי מרקחת Raw'!$F$6:$F$1616,$A584,'בתי מרקחת Raw'!$C$6:$C$1616,2026)</f>
        <v>851</v>
      </c>
      <c r="E584" s="12" t="n">
        <f aca="false">D584*$J$5</f>
        <v>1074.94736842105</v>
      </c>
      <c r="F584" s="12" t="n">
        <f aca="false">E584-C584</f>
        <v>-443.052631578948</v>
      </c>
      <c r="G584" s="21" t="n">
        <f aca="false">IF(AND(C584=0,E584=0),0,IF(C584=0,"New",(E584-C584)/C584))</f>
        <v>-0.291866028708134</v>
      </c>
      <c r="H584" s="12" t="n">
        <f aca="false">SUMIFS('בתי מרקחת Raw'!$E$6:$E$1616,'בתי מרקחת Raw'!$F$6:$F$1616,$A584,'בתי מרקחת Raw'!$C$6:$C$1616,2025)</f>
        <v>14838.8</v>
      </c>
      <c r="I584" s="12" t="n">
        <f aca="false">SUMIFS('בתי מרקחת Raw'!$E$6:$E$1616,'בתי מרקחת Raw'!$F$6:$F$1616,$A584,'בתי מרקחת Raw'!$C$6:$C$1616,2026)</f>
        <v>9467.1</v>
      </c>
      <c r="J584" s="12" t="n">
        <f aca="false">I584*$J$5</f>
        <v>11958.4421052632</v>
      </c>
    </row>
    <row r="585" customFormat="false" ht="15" hidden="false" customHeight="true" outlineLevel="0" collapsed="false">
      <c r="A585" s="12" t="n">
        <v>4422024</v>
      </c>
      <c r="B585" s="12" t="str">
        <f aca="false">IFERROR(INDEX('בתי מרקחת Raw'!$B:$B,MATCH($A585,'בתי מרקחת Raw'!$F:$F,0)),"")</f>
        <v>806CB-BLACK      תחבושת א.נצמ</v>
      </c>
      <c r="C585" s="12" t="n">
        <f aca="false">SUMIFS('בתי מרקחת Raw'!$D$6:$D$1616,'בתי מרקחת Raw'!$F$6:$F$1616,$A585,'בתי מרקחת Raw'!$C$6:$C$1616,2025)</f>
        <v>968</v>
      </c>
      <c r="D585" s="12" t="n">
        <f aca="false">SUMIFS('בתי מרקחת Raw'!$D$6:$D$1616,'בתי מרקחת Raw'!$F$6:$F$1616,$A585,'בתי מרקחת Raw'!$C$6:$C$1616,2026)</f>
        <v>513</v>
      </c>
      <c r="E585" s="12" t="n">
        <f aca="false">D585*$J$5</f>
        <v>648</v>
      </c>
      <c r="F585" s="12" t="n">
        <f aca="false">E585-C585</f>
        <v>-320</v>
      </c>
      <c r="G585" s="21" t="n">
        <f aca="false">IF(AND(C585=0,E585=0),0,IF(C585=0,"New",(E585-C585)/C585))</f>
        <v>-0.330578512396694</v>
      </c>
      <c r="H585" s="12" t="n">
        <f aca="false">SUMIFS('בתי מרקחת Raw'!$E$6:$E$1616,'בתי מרקחת Raw'!$F$6:$F$1616,$A585,'בתי מרקחת Raw'!$C$6:$C$1616,2025)</f>
        <v>9700.18</v>
      </c>
      <c r="I585" s="12" t="n">
        <f aca="false">SUMIFS('בתי מרקחת Raw'!$E$6:$E$1616,'בתי מרקחת Raw'!$F$6:$F$1616,$A585,'בתי מרקחת Raw'!$C$6:$C$1616,2026)</f>
        <v>5672.9</v>
      </c>
      <c r="J585" s="12" t="n">
        <f aca="false">I585*$J$5</f>
        <v>7165.76842105263</v>
      </c>
    </row>
    <row r="586" customFormat="false" ht="15" hidden="false" customHeight="true" outlineLevel="0" collapsed="false">
      <c r="A586" s="12" t="n">
        <v>4422025</v>
      </c>
      <c r="B586" s="12" t="str">
        <f aca="false">IFERROR(INDEX('בתי מרקחת Raw'!$B:$B,MATCH($A586,'בתי מרקחת Raw'!$F:$F,0)),"")</f>
        <v>806CB-GREEN      תחבושת א.נצמ</v>
      </c>
      <c r="C586" s="12" t="n">
        <f aca="false">SUMIFS('בתי מרקחת Raw'!$D$6:$D$1616,'בתי מרקחת Raw'!$F$6:$F$1616,$A586,'בתי מרקחת Raw'!$C$6:$C$1616,2025)</f>
        <v>489</v>
      </c>
      <c r="D586" s="12" t="n">
        <f aca="false">SUMIFS('בתי מרקחת Raw'!$D$6:$D$1616,'בתי מרקחת Raw'!$F$6:$F$1616,$A586,'בתי מרקחת Raw'!$C$6:$C$1616,2026)</f>
        <v>185</v>
      </c>
      <c r="E586" s="12" t="n">
        <f aca="false">D586*$J$5</f>
        <v>233.684210526316</v>
      </c>
      <c r="F586" s="12" t="n">
        <f aca="false">E586-C586</f>
        <v>-255.315789473684</v>
      </c>
      <c r="G586" s="21" t="n">
        <f aca="false">IF(AND(C586=0,E586=0),0,IF(C586=0,"New",(E586-C586)/C586))</f>
        <v>-0.52211817888279</v>
      </c>
      <c r="H586" s="12" t="n">
        <f aca="false">SUMIFS('בתי מרקחת Raw'!$E$6:$E$1616,'בתי מרקחת Raw'!$F$6:$F$1616,$A586,'בתי מרקחת Raw'!$C$6:$C$1616,2025)</f>
        <v>4661.21</v>
      </c>
      <c r="I586" s="12" t="n">
        <f aca="false">SUMIFS('בתי מרקחת Raw'!$E$6:$E$1616,'בתי מרקחת Raw'!$F$6:$F$1616,$A586,'בתי מרקחת Raw'!$C$6:$C$1616,2026)</f>
        <v>2054.1</v>
      </c>
      <c r="J586" s="12" t="n">
        <f aca="false">I586*$J$5</f>
        <v>2594.65263157895</v>
      </c>
    </row>
    <row r="587" customFormat="false" ht="15" hidden="false" customHeight="true" outlineLevel="0" collapsed="false">
      <c r="A587" s="12" t="n">
        <v>4422026</v>
      </c>
      <c r="B587" s="12" t="str">
        <f aca="false">IFERROR(INDEX('בתי מרקחת Raw'!$B:$B,MATCH($A587,'בתי מרקחת Raw'!$F:$F,0)),"")</f>
        <v>806CB-PINK       תחבושת א.נצמ</v>
      </c>
      <c r="C587" s="12" t="n">
        <f aca="false">SUMIFS('בתי מרקחת Raw'!$D$6:$D$1616,'בתי מרקחת Raw'!$F$6:$F$1616,$A587,'בתי מרקחת Raw'!$C$6:$C$1616,2025)</f>
        <v>493</v>
      </c>
      <c r="D587" s="12" t="n">
        <f aca="false">SUMIFS('בתי מרקחת Raw'!$D$6:$D$1616,'בתי מרקחת Raw'!$F$6:$F$1616,$A587,'בתי מרקחת Raw'!$C$6:$C$1616,2026)</f>
        <v>204</v>
      </c>
      <c r="E587" s="12" t="n">
        <f aca="false">D587*$J$5</f>
        <v>257.684210526316</v>
      </c>
      <c r="F587" s="12" t="n">
        <f aca="false">E587-C587</f>
        <v>-235.315789473684</v>
      </c>
      <c r="G587" s="21" t="n">
        <f aca="false">IF(AND(C587=0,E587=0),0,IF(C587=0,"New",(E587-C587)/C587))</f>
        <v>-0.477313974591652</v>
      </c>
      <c r="H587" s="12" t="n">
        <f aca="false">SUMIFS('בתי מרקחת Raw'!$E$6:$E$1616,'בתי מרקחת Raw'!$F$6:$F$1616,$A587,'בתי מרקחת Raw'!$C$6:$C$1616,2025)</f>
        <v>4908.51</v>
      </c>
      <c r="I587" s="12" t="n">
        <f aca="false">SUMIFS('בתי מרקחת Raw'!$E$6:$E$1616,'בתי מרקחת Raw'!$F$6:$F$1616,$A587,'בתי מרקחת Raw'!$C$6:$C$1616,2026)</f>
        <v>2285.56</v>
      </c>
      <c r="J587" s="12" t="n">
        <f aca="false">I587*$J$5</f>
        <v>2887.02315789474</v>
      </c>
    </row>
    <row r="588" customFormat="false" ht="15" hidden="false" customHeight="true" outlineLevel="0" collapsed="false">
      <c r="A588" s="12" t="n">
        <v>4422031</v>
      </c>
      <c r="B588" s="12" t="str">
        <f aca="false">IFERROR(INDEX('בתי מרקחת Raw'!$B:$B,MATCH($A588,'בתי מרקחת Raw'!$F:$F,0)),"")</f>
        <v>807CB-Cתחבושת נצמדת בז' 20 מ""מ</v>
      </c>
      <c r="C588" s="12" t="n">
        <f aca="false">SUMIFS('בתי מרקחת Raw'!$D$6:$D$1616,'בתי מרקחת Raw'!$F$6:$F$1616,$A588,'בתי מרקחת Raw'!$C$6:$C$1616,2025)</f>
        <v>705</v>
      </c>
      <c r="D588" s="12" t="n">
        <f aca="false">SUMIFS('בתי מרקחת Raw'!$D$6:$D$1616,'בתי מרקחת Raw'!$F$6:$F$1616,$A588,'בתי מרקחת Raw'!$C$6:$C$1616,2026)</f>
        <v>749</v>
      </c>
      <c r="E588" s="12" t="n">
        <f aca="false">D588*$J$5</f>
        <v>946.105263157895</v>
      </c>
      <c r="F588" s="12" t="n">
        <f aca="false">E588-C588</f>
        <v>241.105263157895</v>
      </c>
      <c r="G588" s="21" t="n">
        <f aca="false">IF(AND(C588=0,E588=0),0,IF(C588=0,"New",(E588-C588)/C588))</f>
        <v>0.341993281075028</v>
      </c>
      <c r="H588" s="12" t="n">
        <f aca="false">SUMIFS('בתי מרקחת Raw'!$E$6:$E$1616,'בתי מרקחת Raw'!$F$6:$F$1616,$A588,'בתי מרקחת Raw'!$C$6:$C$1616,2025)</f>
        <v>7102.6</v>
      </c>
      <c r="I588" s="12" t="n">
        <f aca="false">SUMIFS('בתי מרקחת Raw'!$E$6:$E$1616,'בתי מרקחת Raw'!$F$6:$F$1616,$A588,'בתי מרקחת Raw'!$C$6:$C$1616,2026)</f>
        <v>8387.43</v>
      </c>
      <c r="J588" s="12" t="n">
        <f aca="false">I588*$J$5</f>
        <v>10594.6484210526</v>
      </c>
    </row>
    <row r="589" customFormat="false" ht="15" hidden="false" customHeight="true" outlineLevel="0" collapsed="false">
      <c r="A589" s="12" t="n">
        <v>4422032</v>
      </c>
      <c r="B589" s="12" t="str">
        <f aca="false">IFERROR(INDEX('בתי מרקחת Raw'!$B:$B,MATCH($A589,'בתי מרקחת Raw'!$F:$F,0)),"")</f>
        <v>807B-Bתחבושת נצמדת שחור 20 מ""מ</v>
      </c>
      <c r="C589" s="12" t="n">
        <f aca="false">SUMIFS('בתי מרקחת Raw'!$D$6:$D$1616,'בתי מרקחת Raw'!$F$6:$F$1616,$A589,'בתי מרקחת Raw'!$C$6:$C$1616,2025)</f>
        <v>482</v>
      </c>
      <c r="D589" s="12" t="n">
        <f aca="false">SUMIFS('בתי מרקחת Raw'!$D$6:$D$1616,'בתי מרקחת Raw'!$F$6:$F$1616,$A589,'בתי מרקחת Raw'!$C$6:$C$1616,2026)</f>
        <v>212</v>
      </c>
      <c r="E589" s="12" t="n">
        <f aca="false">D589*$J$5</f>
        <v>267.789473684211</v>
      </c>
      <c r="F589" s="12" t="n">
        <f aca="false">E589-C589</f>
        <v>-214.210526315789</v>
      </c>
      <c r="G589" s="21" t="n">
        <f aca="false">IF(AND(C589=0,E589=0),0,IF(C589=0,"New",(E589-C589)/C589))</f>
        <v>-0.444420179078401</v>
      </c>
      <c r="H589" s="12" t="n">
        <f aca="false">SUMIFS('בתי מרקחת Raw'!$E$6:$E$1616,'בתי מרקחת Raw'!$F$6:$F$1616,$A589,'בתי מרקחת Raw'!$C$6:$C$1616,2025)</f>
        <v>4463.1</v>
      </c>
      <c r="I589" s="12" t="n">
        <f aca="false">SUMIFS('בתי מרקחת Raw'!$E$6:$E$1616,'בתי מרקחת Raw'!$F$6:$F$1616,$A589,'בתי מרקחת Raw'!$C$6:$C$1616,2026)</f>
        <v>2361.9</v>
      </c>
      <c r="J589" s="12" t="n">
        <f aca="false">I589*$J$5</f>
        <v>2983.45263157895</v>
      </c>
    </row>
    <row r="590" customFormat="false" ht="15" hidden="false" customHeight="true" outlineLevel="0" collapsed="false">
      <c r="A590" s="12" t="n">
        <v>4422033</v>
      </c>
      <c r="B590" s="12" t="str">
        <f aca="false">IFERROR(INDEX('בתי מרקחת Raw'!$B:$B,MATCH($A590,'בתי מרקחת Raw'!$F:$F,0)),"")</f>
        <v>807CB-BLתחבושת נצמדת כחול20מ""מ</v>
      </c>
      <c r="C590" s="12" t="n">
        <f aca="false">SUMIFS('בתי מרקחת Raw'!$D$6:$D$1616,'בתי מרקחת Raw'!$F$6:$F$1616,$A590,'בתי מרקחת Raw'!$C$6:$C$1616,2025)</f>
        <v>400</v>
      </c>
      <c r="D590" s="12" t="n">
        <f aca="false">SUMIFS('בתי מרקחת Raw'!$D$6:$D$1616,'בתי מרקחת Raw'!$F$6:$F$1616,$A590,'בתי מרקחת Raw'!$C$6:$C$1616,2026)</f>
        <v>124</v>
      </c>
      <c r="E590" s="12" t="n">
        <f aca="false">D590*$J$5</f>
        <v>156.631578947368</v>
      </c>
      <c r="F590" s="12" t="n">
        <f aca="false">E590-C590</f>
        <v>-243.368421052632</v>
      </c>
      <c r="G590" s="21" t="n">
        <f aca="false">IF(AND(C590=0,E590=0),0,IF(C590=0,"New",(E590-C590)/C590))</f>
        <v>-0.608421052631579</v>
      </c>
      <c r="H590" s="12" t="n">
        <f aca="false">SUMIFS('בתי מרקחת Raw'!$E$6:$E$1616,'בתי מרקחת Raw'!$F$6:$F$1616,$A590,'בתי מרקחת Raw'!$C$6:$C$1616,2025)</f>
        <v>3741.1</v>
      </c>
      <c r="I590" s="12" t="n">
        <f aca="false">SUMIFS('בתי מרקחת Raw'!$E$6:$E$1616,'בתי מרקחת Raw'!$F$6:$F$1616,$A590,'בתי מרקחת Raw'!$C$6:$C$1616,2026)</f>
        <v>1388.3</v>
      </c>
      <c r="J590" s="12" t="n">
        <f aca="false">I590*$J$5</f>
        <v>1753.64210526316</v>
      </c>
    </row>
    <row r="591" customFormat="false" ht="15" hidden="false" customHeight="true" outlineLevel="0" collapsed="false">
      <c r="A591" s="12" t="n">
        <v>4422034</v>
      </c>
      <c r="B591" s="12" t="str">
        <f aca="false">IFERROR(INDEX('בתי מרקחת Raw'!$B:$B,MATCH($A591,'בתי מרקחת Raw'!$F:$F,0)),"")</f>
        <v>807CB-P תחבושת נצמדת ורוד 20ממ</v>
      </c>
      <c r="C591" s="12" t="n">
        <f aca="false">SUMIFS('בתי מרקחת Raw'!$D$6:$D$1616,'בתי מרקחת Raw'!$F$6:$F$1616,$A591,'בתי מרקחת Raw'!$C$6:$C$1616,2025)</f>
        <v>201</v>
      </c>
      <c r="D591" s="12" t="n">
        <f aca="false">SUMIFS('בתי מרקחת Raw'!$D$6:$D$1616,'בתי מרקחת Raw'!$F$6:$F$1616,$A591,'בתי מרקחת Raw'!$C$6:$C$1616,2026)</f>
        <v>66</v>
      </c>
      <c r="E591" s="12" t="n">
        <f aca="false">D591*$J$5</f>
        <v>83.3684210526316</v>
      </c>
      <c r="F591" s="12" t="n">
        <f aca="false">E591-C591</f>
        <v>-117.631578947368</v>
      </c>
      <c r="G591" s="21" t="n">
        <f aca="false">IF(AND(C591=0,E591=0),0,IF(C591=0,"New",(E591-C591)/C591))</f>
        <v>-0.585231736056559</v>
      </c>
      <c r="H591" s="12" t="n">
        <f aca="false">SUMIFS('בתי מרקחת Raw'!$E$6:$E$1616,'בתי מרקחת Raw'!$F$6:$F$1616,$A591,'בתי מרקחת Raw'!$C$6:$C$1616,2025)</f>
        <v>1926.5</v>
      </c>
      <c r="I591" s="12" t="n">
        <f aca="false">SUMIFS('בתי מרקחת Raw'!$E$6:$E$1616,'בתי מרקחת Raw'!$F$6:$F$1616,$A591,'בתי מרקחת Raw'!$C$6:$C$1616,2026)</f>
        <v>773.92</v>
      </c>
      <c r="J591" s="12" t="n">
        <f aca="false">I591*$J$5</f>
        <v>977.583157894737</v>
      </c>
    </row>
    <row r="592" customFormat="false" ht="15" hidden="false" customHeight="true" outlineLevel="0" collapsed="false">
      <c r="A592" s="12" t="n">
        <v>4422035</v>
      </c>
      <c r="B592" s="12" t="str">
        <f aca="false">IFERROR(INDEX('בתי מרקחת Raw'!$B:$B,MATCH($A592,'בתי מרקחת Raw'!$F:$F,0)),"")</f>
        <v>FCתרסיס דאודורנט אנטיבק.נעל333</v>
      </c>
      <c r="C592" s="12" t="n">
        <f aca="false">SUMIFS('בתי מרקחת Raw'!$D$6:$D$1616,'בתי מרקחת Raw'!$F$6:$F$1616,$A592,'בתי מרקחת Raw'!$C$6:$C$1616,2025)</f>
        <v>971</v>
      </c>
      <c r="D592" s="12" t="n">
        <f aca="false">SUMIFS('בתי מרקחת Raw'!$D$6:$D$1616,'בתי מרקחת Raw'!$F$6:$F$1616,$A592,'בתי מרקחת Raw'!$C$6:$C$1616,2026)</f>
        <v>341</v>
      </c>
      <c r="E592" s="12" t="n">
        <f aca="false">D592*$J$5</f>
        <v>430.736842105263</v>
      </c>
      <c r="F592" s="12" t="n">
        <f aca="false">E592-C592</f>
        <v>-540.263157894737</v>
      </c>
      <c r="G592" s="21" t="n">
        <f aca="false">IF(AND(C592=0,E592=0),0,IF(C592=0,"New",(E592-C592)/C592))</f>
        <v>-0.556398720797875</v>
      </c>
      <c r="H592" s="12" t="n">
        <f aca="false">SUMIFS('בתי מרקחת Raw'!$E$6:$E$1616,'בתי מרקחת Raw'!$F$6:$F$1616,$A592,'בתי מרקחת Raw'!$C$6:$C$1616,2025)</f>
        <v>18100.32</v>
      </c>
      <c r="I592" s="12" t="n">
        <f aca="false">SUMIFS('בתי מרקחת Raw'!$E$6:$E$1616,'בתי מרקחת Raw'!$F$6:$F$1616,$A592,'בתי מרקחת Raw'!$C$6:$C$1616,2026)</f>
        <v>6493.3</v>
      </c>
      <c r="J592" s="12" t="n">
        <f aca="false">I592*$J$5</f>
        <v>8202.06315789474</v>
      </c>
    </row>
    <row r="593" customFormat="false" ht="15" hidden="false" customHeight="true" outlineLevel="0" collapsed="false">
      <c r="A593" s="12" t="n">
        <v>4422036</v>
      </c>
      <c r="B593" s="12" t="str">
        <f aca="false">IFERROR(INDEX('בתי מרקחת Raw'!$B:$B,MATCH($A593,'בתי מרקחת Raw'!$F:$F,0)),"")</f>
        <v>FC334  תרסיס דאודורנט לכף הרגל</v>
      </c>
      <c r="C593" s="12" t="n">
        <f aca="false">SUMIFS('בתי מרקחת Raw'!$D$6:$D$1616,'בתי מרקחת Raw'!$F$6:$F$1616,$A593,'בתי מרקחת Raw'!$C$6:$C$1616,2025)</f>
        <v>1018</v>
      </c>
      <c r="D593" s="12" t="n">
        <f aca="false">SUMIFS('בתי מרקחת Raw'!$D$6:$D$1616,'בתי מרקחת Raw'!$F$6:$F$1616,$A593,'בתי מרקחת Raw'!$C$6:$C$1616,2026)</f>
        <v>474</v>
      </c>
      <c r="E593" s="12" t="n">
        <f aca="false">D593*$J$5</f>
        <v>598.736842105263</v>
      </c>
      <c r="F593" s="12" t="n">
        <f aca="false">E593-C593</f>
        <v>-419.263157894737</v>
      </c>
      <c r="G593" s="21" t="n">
        <f aca="false">IF(AND(C593=0,E593=0),0,IF(C593=0,"New",(E593-C593)/C593))</f>
        <v>-0.411849860407404</v>
      </c>
      <c r="H593" s="12" t="n">
        <f aca="false">SUMIFS('בתי מרקחת Raw'!$E$6:$E$1616,'בתי מרקחת Raw'!$F$6:$F$1616,$A593,'בתי מרקחת Raw'!$C$6:$C$1616,2025)</f>
        <v>20027.31</v>
      </c>
      <c r="I593" s="12" t="n">
        <f aca="false">SUMIFS('בתי מרקחת Raw'!$E$6:$E$1616,'בתי מרקחת Raw'!$F$6:$F$1616,$A593,'בתי מרקחת Raw'!$C$6:$C$1616,2026)</f>
        <v>9967.52</v>
      </c>
      <c r="J593" s="12" t="n">
        <f aca="false">I593*$J$5</f>
        <v>12590.5515789474</v>
      </c>
    </row>
    <row r="594" customFormat="false" ht="15" hidden="false" customHeight="true" outlineLevel="0" collapsed="false">
      <c r="A594" s="12" t="n">
        <v>4422037</v>
      </c>
      <c r="B594" s="12" t="str">
        <f aca="false">IFERROR(INDEX('בתי מרקחת Raw'!$B:$B,MATCH($A594,'בתי מרקחת Raw'!$F:$F,0)),"")</f>
        <v>SH422 1 תומך ברך גנושילד</v>
      </c>
      <c r="C594" s="12" t="n">
        <f aca="false">SUMIFS('בתי מרקחת Raw'!$D$6:$D$1616,'בתי מרקחת Raw'!$F$6:$F$1616,$A594,'בתי מרקחת Raw'!$C$6:$C$1616,2025)</f>
        <v>1</v>
      </c>
      <c r="D594" s="12" t="n">
        <f aca="false">SUMIFS('בתי מרקחת Raw'!$D$6:$D$1616,'בתי מרקחת Raw'!$F$6:$F$1616,$A594,'בתי מרקחת Raw'!$C$6:$C$1616,2026)</f>
        <v>14</v>
      </c>
      <c r="E594" s="12" t="n">
        <f aca="false">D594*$J$5</f>
        <v>17.6842105263158</v>
      </c>
      <c r="F594" s="12" t="n">
        <f aca="false">E594-C594</f>
        <v>16.6842105263158</v>
      </c>
      <c r="G594" s="21" t="n">
        <f aca="false">IF(AND(C594=0,E594=0),0,IF(C594=0,"New",(E594-C594)/C594))</f>
        <v>16.6842105263158</v>
      </c>
      <c r="H594" s="12" t="n">
        <f aca="false">SUMIFS('בתי מרקחת Raw'!$E$6:$E$1616,'בתי מרקחת Raw'!$F$6:$F$1616,$A594,'בתי מרקחת Raw'!$C$6:$C$1616,2025)</f>
        <v>215.4</v>
      </c>
      <c r="I594" s="12" t="n">
        <f aca="false">SUMIFS('בתי מרקחת Raw'!$E$6:$E$1616,'בתי מרקחת Raw'!$F$6:$F$1616,$A594,'בתי מרקחת Raw'!$C$6:$C$1616,2026)</f>
        <v>2943.4</v>
      </c>
      <c r="J594" s="12" t="n">
        <f aca="false">I594*$J$5</f>
        <v>3717.97894736842</v>
      </c>
    </row>
    <row r="595" customFormat="false" ht="15" hidden="false" customHeight="true" outlineLevel="0" collapsed="false">
      <c r="A595" s="12" t="n">
        <v>4422038</v>
      </c>
      <c r="B595" s="12" t="str">
        <f aca="false">IFERROR(INDEX('בתי מרקחת Raw'!$B:$B,MATCH($A595,'בתי מרקחת Raw'!$F:$F,0)),"")</f>
        <v>SH422 2 תומך ברך גנושילד</v>
      </c>
      <c r="C595" s="12" t="n">
        <f aca="false">SUMIFS('בתי מרקחת Raw'!$D$6:$D$1616,'בתי מרקחת Raw'!$F$6:$F$1616,$A595,'בתי מרקחת Raw'!$C$6:$C$1616,2025)</f>
        <v>6</v>
      </c>
      <c r="D595" s="12" t="n">
        <f aca="false">SUMIFS('בתי מרקחת Raw'!$D$6:$D$1616,'בתי מרקחת Raw'!$F$6:$F$1616,$A595,'בתי מרקחת Raw'!$C$6:$C$1616,2026)</f>
        <v>22</v>
      </c>
      <c r="E595" s="12" t="n">
        <f aca="false">D595*$J$5</f>
        <v>27.7894736842105</v>
      </c>
      <c r="F595" s="12" t="n">
        <f aca="false">E595-C595</f>
        <v>21.7894736842105</v>
      </c>
      <c r="G595" s="21" t="n">
        <f aca="false">IF(AND(C595=0,E595=0),0,IF(C595=0,"New",(E595-C595)/C595))</f>
        <v>3.63157894736842</v>
      </c>
      <c r="H595" s="12" t="n">
        <f aca="false">SUMIFS('בתי מרקחת Raw'!$E$6:$E$1616,'בתי מרקחת Raw'!$F$6:$F$1616,$A595,'בתי מרקחת Raw'!$C$6:$C$1616,2025)</f>
        <v>1006.1</v>
      </c>
      <c r="I595" s="12" t="n">
        <f aca="false">SUMIFS('בתי מרקחת Raw'!$E$6:$E$1616,'בתי מרקחת Raw'!$F$6:$F$1616,$A595,'בתי מרקחת Raw'!$C$6:$C$1616,2026)</f>
        <v>4571.26</v>
      </c>
      <c r="J595" s="12" t="n">
        <f aca="false">I595*$J$5</f>
        <v>5774.22315789474</v>
      </c>
    </row>
    <row r="596" customFormat="false" ht="15" hidden="false" customHeight="true" outlineLevel="0" collapsed="false">
      <c r="A596" s="12" t="n">
        <v>4422039</v>
      </c>
      <c r="B596" s="12" t="str">
        <f aca="false">IFERROR(INDEX('בתי מרקחת Raw'!$B:$B,MATCH($A596,'בתי מרקחת Raw'!$F:$F,0)),"")</f>
        <v>SH422 3 תומך ברך גנושילד</v>
      </c>
      <c r="C596" s="12" t="n">
        <f aca="false">SUMIFS('בתי מרקחת Raw'!$D$6:$D$1616,'בתי מרקחת Raw'!$F$6:$F$1616,$A596,'בתי מרקחת Raw'!$C$6:$C$1616,2025)</f>
        <v>5</v>
      </c>
      <c r="D596" s="12" t="n">
        <f aca="false">SUMIFS('בתי מרקחת Raw'!$D$6:$D$1616,'בתי מרקחת Raw'!$F$6:$F$1616,$A596,'בתי מרקחת Raw'!$C$6:$C$1616,2026)</f>
        <v>25</v>
      </c>
      <c r="E596" s="12" t="n">
        <f aca="false">D596*$J$5</f>
        <v>31.5789473684211</v>
      </c>
      <c r="F596" s="12" t="n">
        <f aca="false">E596-C596</f>
        <v>26.5789473684211</v>
      </c>
      <c r="G596" s="21" t="n">
        <f aca="false">IF(AND(C596=0,E596=0),0,IF(C596=0,"New",(E596-C596)/C596))</f>
        <v>5.31578947368421</v>
      </c>
      <c r="H596" s="12" t="n">
        <f aca="false">SUMIFS('בתי מרקחת Raw'!$E$6:$E$1616,'בתי מרקחת Raw'!$F$6:$F$1616,$A596,'בתי מרקחת Raw'!$C$6:$C$1616,2025)</f>
        <v>886.1</v>
      </c>
      <c r="I596" s="12" t="n">
        <f aca="false">SUMIFS('בתי מרקחת Raw'!$E$6:$E$1616,'בתי מרקחת Raw'!$F$6:$F$1616,$A596,'בתי מרקחת Raw'!$C$6:$C$1616,2026)</f>
        <v>4844.48</v>
      </c>
      <c r="J596" s="12" t="n">
        <f aca="false">I596*$J$5</f>
        <v>6119.34315789474</v>
      </c>
    </row>
    <row r="597" customFormat="false" ht="15" hidden="false" customHeight="true" outlineLevel="0" collapsed="false">
      <c r="A597" s="12" t="n">
        <v>4422040</v>
      </c>
      <c r="B597" s="12" t="str">
        <f aca="false">IFERROR(INDEX('בתי מרקחת Raw'!$B:$B,MATCH($A597,'בתי מרקחת Raw'!$F:$F,0)),"")</f>
        <v>SH422 4 תומך ברך גנושילד</v>
      </c>
      <c r="C597" s="12" t="n">
        <f aca="false">SUMIFS('בתי מרקחת Raw'!$D$6:$D$1616,'בתי מרקחת Raw'!$F$6:$F$1616,$A597,'בתי מרקחת Raw'!$C$6:$C$1616,2025)</f>
        <v>8</v>
      </c>
      <c r="D597" s="12" t="n">
        <f aca="false">SUMIFS('בתי מרקחת Raw'!$D$6:$D$1616,'בתי מרקחת Raw'!$F$6:$F$1616,$A597,'בתי מרקחת Raw'!$C$6:$C$1616,2026)</f>
        <v>31</v>
      </c>
      <c r="E597" s="12" t="n">
        <f aca="false">D597*$J$5</f>
        <v>39.1578947368421</v>
      </c>
      <c r="F597" s="12" t="n">
        <f aca="false">E597-C597</f>
        <v>31.1578947368421</v>
      </c>
      <c r="G597" s="21" t="n">
        <f aca="false">IF(AND(C597=0,E597=0),0,IF(C597=0,"New",(E597-C597)/C597))</f>
        <v>3.89473684210526</v>
      </c>
      <c r="H597" s="12" t="n">
        <f aca="false">SUMIFS('בתי מרקחת Raw'!$E$6:$E$1616,'בתי מרקחת Raw'!$F$6:$F$1616,$A597,'בתי מרקחת Raw'!$C$6:$C$1616,2025)</f>
        <v>1503.5</v>
      </c>
      <c r="I597" s="12" t="n">
        <f aca="false">SUMIFS('בתי מרקחת Raw'!$E$6:$E$1616,'בתי מרקחת Raw'!$F$6:$F$1616,$A597,'בתי מרקחת Raw'!$C$6:$C$1616,2026)</f>
        <v>5902.88</v>
      </c>
      <c r="J597" s="12" t="n">
        <f aca="false">I597*$J$5</f>
        <v>7456.26947368421</v>
      </c>
    </row>
    <row r="598" customFormat="false" ht="15" hidden="false" customHeight="true" outlineLevel="0" collapsed="false">
      <c r="A598" s="12" t="n">
        <v>4422041</v>
      </c>
      <c r="B598" s="12" t="str">
        <f aca="false">IFERROR(INDEX('בתי מרקחת Raw'!$B:$B,MATCH($A598,'בתי מרקחת Raw'!$F:$F,0)),"")</f>
        <v>SH422 5 תומך ברך גנושילד</v>
      </c>
      <c r="C598" s="12" t="n">
        <f aca="false">SUMIFS('בתי מרקחת Raw'!$D$6:$D$1616,'בתי מרקחת Raw'!$F$6:$F$1616,$A598,'בתי מרקחת Raw'!$C$6:$C$1616,2025)</f>
        <v>8</v>
      </c>
      <c r="D598" s="12" t="n">
        <f aca="false">SUMIFS('בתי מרקחת Raw'!$D$6:$D$1616,'בתי מרקחת Raw'!$F$6:$F$1616,$A598,'בתי מרקחת Raw'!$C$6:$C$1616,2026)</f>
        <v>28</v>
      </c>
      <c r="E598" s="12" t="n">
        <f aca="false">D598*$J$5</f>
        <v>35.3684210526316</v>
      </c>
      <c r="F598" s="12" t="n">
        <f aca="false">E598-C598</f>
        <v>27.3684210526316</v>
      </c>
      <c r="G598" s="21" t="n">
        <f aca="false">IF(AND(C598=0,E598=0),0,IF(C598=0,"New",(E598-C598)/C598))</f>
        <v>3.42105263157895</v>
      </c>
      <c r="H598" s="12" t="n">
        <f aca="false">SUMIFS('בתי מרקחת Raw'!$E$6:$E$1616,'בתי מרקחת Raw'!$F$6:$F$1616,$A598,'בתי מרקחת Raw'!$C$6:$C$1616,2025)</f>
        <v>1503.5</v>
      </c>
      <c r="I598" s="12" t="n">
        <f aca="false">SUMIFS('בתי מרקחת Raw'!$E$6:$E$1616,'בתי מרקחת Raw'!$F$6:$F$1616,$A598,'בתי מרקחת Raw'!$C$6:$C$1616,2026)</f>
        <v>5406.32</v>
      </c>
      <c r="J598" s="12" t="n">
        <f aca="false">I598*$J$5</f>
        <v>6829.03578947368</v>
      </c>
    </row>
    <row r="599" customFormat="false" ht="15" hidden="false" customHeight="true" outlineLevel="0" collapsed="false">
      <c r="A599" s="12" t="n">
        <v>4422042</v>
      </c>
      <c r="B599" s="12" t="str">
        <f aca="false">IFERROR(INDEX('בתי מרקחת Raw'!$B:$B,MATCH($A599,'בתי מרקחת Raw'!$F:$F,0)),"")</f>
        <v>SH422 6 תומך ברך גנושילד</v>
      </c>
      <c r="C599" s="12" t="n">
        <f aca="false">SUMIFS('בתי מרקחת Raw'!$D$6:$D$1616,'בתי מרקחת Raw'!$F$6:$F$1616,$A599,'בתי מרקחת Raw'!$C$6:$C$1616,2025)</f>
        <v>1</v>
      </c>
      <c r="D599" s="12" t="n">
        <f aca="false">SUMIFS('בתי מרקחת Raw'!$D$6:$D$1616,'בתי מרקחת Raw'!$F$6:$F$1616,$A599,'בתי מרקחת Raw'!$C$6:$C$1616,2026)</f>
        <v>17</v>
      </c>
      <c r="E599" s="12" t="n">
        <f aca="false">D599*$J$5</f>
        <v>21.4736842105263</v>
      </c>
      <c r="F599" s="12" t="n">
        <f aca="false">E599-C599</f>
        <v>20.4736842105263</v>
      </c>
      <c r="G599" s="21" t="n">
        <f aca="false">IF(AND(C599=0,E599=0),0,IF(C599=0,"New",(E599-C599)/C599))</f>
        <v>20.4736842105263</v>
      </c>
      <c r="H599" s="12" t="n">
        <f aca="false">SUMIFS('בתי מרקחת Raw'!$E$6:$E$1616,'בתי מרקחת Raw'!$F$6:$F$1616,$A599,'בתי מרקחת Raw'!$C$6:$C$1616,2025)</f>
        <v>120</v>
      </c>
      <c r="I599" s="12" t="n">
        <f aca="false">SUMIFS('בתי מרקחת Raw'!$E$6:$E$1616,'בתי מרקחת Raw'!$F$6:$F$1616,$A599,'בתי מרקחת Raw'!$C$6:$C$1616,2026)</f>
        <v>3280.07</v>
      </c>
      <c r="J599" s="12" t="n">
        <f aca="false">I599*$J$5</f>
        <v>4143.24631578947</v>
      </c>
    </row>
    <row r="600" customFormat="false" ht="15" hidden="false" customHeight="true" outlineLevel="0" collapsed="false">
      <c r="A600" s="12" t="s">
        <v>871</v>
      </c>
      <c r="B600" s="12" t="str">
        <f aca="false">IFERROR(INDEX('בתי מרקחת Raw'!$B:$B,MATCH($A600,'בתי מרקחת Raw'!$F:$F,0)),"")</f>
        <v>062 XXL</v>
      </c>
      <c r="C600" s="12" t="n">
        <f aca="false">SUMIFS('בתי מרקחת Raw'!$D$6:$D$1616,'בתי מרקחת Raw'!$F$6:$F$1616,$A600,'בתי מרקחת Raw'!$C$6:$C$1616,2025)</f>
        <v>0</v>
      </c>
      <c r="D600" s="12" t="n">
        <f aca="false">SUMIFS('בתי מרקחת Raw'!$D$6:$D$1616,'בתי מרקחת Raw'!$F$6:$F$1616,$A600,'בתי מרקחת Raw'!$C$6:$C$1616,2026)</f>
        <v>0</v>
      </c>
      <c r="E600" s="12" t="n">
        <f aca="false">D600*$J$5</f>
        <v>0</v>
      </c>
      <c r="F600" s="12" t="n">
        <f aca="false">E600-C600</f>
        <v>0</v>
      </c>
      <c r="G600" s="21" t="n">
        <f aca="false">IF(AND(C600=0,E600=0),0,IF(C600=0,"New",(E600-C600)/C600))</f>
        <v>0</v>
      </c>
      <c r="H600" s="12" t="n">
        <f aca="false">SUMIFS('בתי מרקחת Raw'!$E$6:$E$1616,'בתי מרקחת Raw'!$F$6:$F$1616,$A600,'בתי מרקחת Raw'!$C$6:$C$1616,2025)</f>
        <v>0.01</v>
      </c>
      <c r="I600" s="12" t="n">
        <f aca="false">SUMIFS('בתי מרקחת Raw'!$E$6:$E$1616,'בתי מרקחת Raw'!$F$6:$F$1616,$A600,'בתי מרקחת Raw'!$C$6:$C$1616,2026)</f>
        <v>0</v>
      </c>
      <c r="J600" s="12" t="n">
        <f aca="false">I600*$J$5</f>
        <v>0</v>
      </c>
    </row>
    <row r="601" customFormat="false" ht="15" hidden="false" customHeight="true" outlineLevel="0" collapsed="false">
      <c r="A601" s="12" t="s">
        <v>872</v>
      </c>
      <c r="B601" s="12" t="str">
        <f aca="false">IFERROR(INDEX('בתי מרקחת Raw'!$B:$B,MATCH($A601,'בתי מרקחת Raw'!$F:$F,0)),"")</f>
        <v>06U M</v>
      </c>
      <c r="C601" s="12" t="n">
        <f aca="false">SUMIFS('בתי מרקחת Raw'!$D$6:$D$1616,'בתי מרקחת Raw'!$F$6:$F$1616,$A601,'בתי מרקחת Raw'!$C$6:$C$1616,2025)</f>
        <v>2</v>
      </c>
      <c r="D601" s="12" t="n">
        <f aca="false">SUMIFS('בתי מרקחת Raw'!$D$6:$D$1616,'בתי מרקחת Raw'!$F$6:$F$1616,$A601,'בתי מרקחת Raw'!$C$6:$C$1616,2026)</f>
        <v>0</v>
      </c>
      <c r="E601" s="12" t="n">
        <f aca="false">D601*$J$5</f>
        <v>0</v>
      </c>
      <c r="F601" s="12" t="n">
        <f aca="false">E601-C601</f>
        <v>-2</v>
      </c>
      <c r="G601" s="21" t="n">
        <f aca="false">IF(AND(C601=0,E601=0),0,IF(C601=0,"New",(E601-C601)/C601))</f>
        <v>-1</v>
      </c>
      <c r="H601" s="12" t="n">
        <f aca="false">SUMIFS('בתי מרקחת Raw'!$E$6:$E$1616,'בתי מרקחת Raw'!$F$6:$F$1616,$A601,'בתי מרקחת Raw'!$C$6:$C$1616,2025)</f>
        <v>281.15</v>
      </c>
      <c r="I601" s="12" t="n">
        <f aca="false">SUMIFS('בתי מרקחת Raw'!$E$6:$E$1616,'בתי מרקחת Raw'!$F$6:$F$1616,$A601,'בתי מרקחת Raw'!$C$6:$C$1616,2026)</f>
        <v>0</v>
      </c>
      <c r="J601" s="12" t="n">
        <f aca="false">I601*$J$5</f>
        <v>0</v>
      </c>
    </row>
    <row r="602" customFormat="false" ht="15" hidden="false" customHeight="true" outlineLevel="0" collapsed="false">
      <c r="A602" s="12" t="s">
        <v>873</v>
      </c>
      <c r="B602" s="12" t="str">
        <f aca="false">IFERROR(INDEX('בתי מרקחת Raw'!$B:$B,MATCH($A602,'בתי מרקחת Raw'!$F:$F,0)),"")</f>
        <v>06U XXL</v>
      </c>
      <c r="C602" s="12" t="n">
        <f aca="false">SUMIFS('בתי מרקחת Raw'!$D$6:$D$1616,'בתי מרקחת Raw'!$F$6:$F$1616,$A602,'בתי מרקחת Raw'!$C$6:$C$1616,2025)</f>
        <v>1</v>
      </c>
      <c r="D602" s="12" t="n">
        <f aca="false">SUMIFS('בתי מרקחת Raw'!$D$6:$D$1616,'בתי מרקחת Raw'!$F$6:$F$1616,$A602,'בתי מרקחת Raw'!$C$6:$C$1616,2026)</f>
        <v>0</v>
      </c>
      <c r="E602" s="12" t="n">
        <f aca="false">D602*$J$5</f>
        <v>0</v>
      </c>
      <c r="F602" s="12" t="n">
        <f aca="false">E602-C602</f>
        <v>-1</v>
      </c>
      <c r="G602" s="21" t="n">
        <f aca="false">IF(AND(C602=0,E602=0),0,IF(C602=0,"New",(E602-C602)/C602))</f>
        <v>-1</v>
      </c>
      <c r="H602" s="12" t="n">
        <f aca="false">SUMIFS('בתי מרקחת Raw'!$E$6:$E$1616,'בתי מרקחת Raw'!$F$6:$F$1616,$A602,'בתי מרקחת Raw'!$C$6:$C$1616,2025)</f>
        <v>140.57</v>
      </c>
      <c r="I602" s="12" t="n">
        <f aca="false">SUMIFS('בתי מרקחת Raw'!$E$6:$E$1616,'בתי מרקחת Raw'!$F$6:$F$1616,$A602,'בתי מרקחת Raw'!$C$6:$C$1616,2026)</f>
        <v>0</v>
      </c>
      <c r="J602" s="12" t="n">
        <f aca="false">I602*$J$5</f>
        <v>0</v>
      </c>
    </row>
    <row r="603" customFormat="false" ht="15" hidden="false" customHeight="true" outlineLevel="0" collapsed="false">
      <c r="A603" s="12" t="s">
        <v>874</v>
      </c>
      <c r="B603" s="12" t="str">
        <f aca="false">IFERROR(INDEX('בתי מרקחת Raw'!$B:$B,MATCH($A603,'בתי מרקחת Raw'!$F:$F,0)),"")</f>
        <v>07UB-L-XL</v>
      </c>
      <c r="C603" s="12" t="n">
        <f aca="false">SUMIFS('בתי מרקחת Raw'!$D$6:$D$1616,'בתי מרקחת Raw'!$F$6:$F$1616,$A603,'בתי מרקחת Raw'!$C$6:$C$1616,2025)</f>
        <v>50</v>
      </c>
      <c r="D603" s="12" t="n">
        <f aca="false">SUMIFS('בתי מרקחת Raw'!$D$6:$D$1616,'בתי מרקחת Raw'!$F$6:$F$1616,$A603,'בתי מרקחת Raw'!$C$6:$C$1616,2026)</f>
        <v>1</v>
      </c>
      <c r="E603" s="12" t="n">
        <f aca="false">D603*$J$5</f>
        <v>1.26315789473684</v>
      </c>
      <c r="F603" s="12" t="n">
        <f aca="false">E603-C603</f>
        <v>-48.7368421052632</v>
      </c>
      <c r="G603" s="21" t="n">
        <f aca="false">IF(AND(C603=0,E603=0),0,IF(C603=0,"New",(E603-C603)/C603))</f>
        <v>-0.974736842105263</v>
      </c>
      <c r="H603" s="12" t="n">
        <f aca="false">SUMIFS('בתי מרקחת Raw'!$E$6:$E$1616,'בתי מרקחת Raw'!$F$6:$F$1616,$A603,'בתי מרקחת Raw'!$C$6:$C$1616,2025)</f>
        <v>6250</v>
      </c>
      <c r="I603" s="12" t="n">
        <f aca="false">SUMIFS('בתי מרקחת Raw'!$E$6:$E$1616,'בתי מרקחת Raw'!$F$6:$F$1616,$A603,'בתי מרקחת Raw'!$C$6:$C$1616,2026)</f>
        <v>234.31</v>
      </c>
      <c r="J603" s="12" t="n">
        <f aca="false">I603*$J$5</f>
        <v>295.970526315789</v>
      </c>
    </row>
    <row r="604" customFormat="false" ht="15" hidden="false" customHeight="true" outlineLevel="0" collapsed="false">
      <c r="A604" s="12" t="s">
        <v>875</v>
      </c>
      <c r="B604" s="12" t="str">
        <f aca="false">IFERROR(INDEX('בתי מרקחת Raw'!$B:$B,MATCH($A604,'בתי מרקחת Raw'!$F:$F,0)),"")</f>
        <v>07UB-S-M</v>
      </c>
      <c r="C604" s="12" t="n">
        <f aca="false">SUMIFS('בתי מרקחת Raw'!$D$6:$D$1616,'בתי מרקחת Raw'!$F$6:$F$1616,$A604,'בתי מרקחת Raw'!$C$6:$C$1616,2025)</f>
        <v>10</v>
      </c>
      <c r="D604" s="12" t="n">
        <f aca="false">SUMIFS('בתי מרקחת Raw'!$D$6:$D$1616,'בתי מרקחת Raw'!$F$6:$F$1616,$A604,'בתי מרקחת Raw'!$C$6:$C$1616,2026)</f>
        <v>0</v>
      </c>
      <c r="E604" s="12" t="n">
        <f aca="false">D604*$J$5</f>
        <v>0</v>
      </c>
      <c r="F604" s="12" t="n">
        <f aca="false">E604-C604</f>
        <v>-10</v>
      </c>
      <c r="G604" s="21" t="n">
        <f aca="false">IF(AND(C604=0,E604=0),0,IF(C604=0,"New",(E604-C604)/C604))</f>
        <v>-1</v>
      </c>
      <c r="H604" s="12" t="n">
        <f aca="false">SUMIFS('בתי מרקחת Raw'!$E$6:$E$1616,'בתי מרקחת Raw'!$F$6:$F$1616,$A604,'בתי מרקחת Raw'!$C$6:$C$1616,2025)</f>
        <v>1250</v>
      </c>
      <c r="I604" s="12" t="n">
        <f aca="false">SUMIFS('בתי מרקחת Raw'!$E$6:$E$1616,'בתי מרקחת Raw'!$F$6:$F$1616,$A604,'בתי מרקחת Raw'!$C$6:$C$1616,2026)</f>
        <v>0</v>
      </c>
      <c r="J604" s="12" t="n">
        <f aca="false">I604*$J$5</f>
        <v>0</v>
      </c>
    </row>
    <row r="605" customFormat="false" ht="15" hidden="false" customHeight="true" outlineLevel="0" collapsed="false">
      <c r="A605" s="12" t="s">
        <v>876</v>
      </c>
      <c r="B605" s="12" t="str">
        <f aca="false">IFERROR(INDEX('בתי מרקחת Raw'!$B:$B,MATCH($A605,'בתי מרקחת Raw'!$F:$F,0)),"")</f>
        <v>10 XXL</v>
      </c>
      <c r="C605" s="12" t="n">
        <f aca="false">SUMIFS('בתי מרקחת Raw'!$D$6:$D$1616,'בתי מרקחת Raw'!$F$6:$F$1616,$A605,'בתי מרקחת Raw'!$C$6:$C$1616,2025)</f>
        <v>10</v>
      </c>
      <c r="D605" s="12" t="n">
        <f aca="false">SUMIFS('בתי מרקחת Raw'!$D$6:$D$1616,'בתי מרקחת Raw'!$F$6:$F$1616,$A605,'בתי מרקחת Raw'!$C$6:$C$1616,2026)</f>
        <v>0</v>
      </c>
      <c r="E605" s="12" t="n">
        <f aca="false">D605*$J$5</f>
        <v>0</v>
      </c>
      <c r="F605" s="12" t="n">
        <f aca="false">E605-C605</f>
        <v>-10</v>
      </c>
      <c r="G605" s="21" t="n">
        <f aca="false">IF(AND(C605=0,E605=0),0,IF(C605=0,"New",(E605-C605)/C605))</f>
        <v>-1</v>
      </c>
      <c r="H605" s="12" t="n">
        <f aca="false">SUMIFS('בתי מרקחת Raw'!$E$6:$E$1616,'בתי מרקחת Raw'!$F$6:$F$1616,$A605,'בתי מרקחת Raw'!$C$6:$C$1616,2025)</f>
        <v>1300</v>
      </c>
      <c r="I605" s="12" t="n">
        <f aca="false">SUMIFS('בתי מרקחת Raw'!$E$6:$E$1616,'בתי מרקחת Raw'!$F$6:$F$1616,$A605,'בתי מרקחת Raw'!$C$6:$C$1616,2026)</f>
        <v>0</v>
      </c>
      <c r="J605" s="12" t="n">
        <f aca="false">I605*$J$5</f>
        <v>0</v>
      </c>
    </row>
    <row r="606" customFormat="false" ht="15" hidden="false" customHeight="true" outlineLevel="0" collapsed="false">
      <c r="A606" s="12" t="s">
        <v>877</v>
      </c>
      <c r="B606" s="12" t="str">
        <f aca="false">IFERROR(INDEX('בתי מרקחת Raw'!$B:$B,MATCH($A606,'בתי מרקחת Raw'!$F:$F,0)),"")</f>
        <v>11EU S</v>
      </c>
      <c r="C606" s="12" t="n">
        <f aca="false">SUMIFS('בתי מרקחת Raw'!$D$6:$D$1616,'בתי מרקחת Raw'!$F$6:$F$1616,$A606,'בתי מרקחת Raw'!$C$6:$C$1616,2025)</f>
        <v>1</v>
      </c>
      <c r="D606" s="12" t="n">
        <f aca="false">SUMIFS('בתי מרקחת Raw'!$D$6:$D$1616,'בתי מרקחת Raw'!$F$6:$F$1616,$A606,'בתי מרקחת Raw'!$C$6:$C$1616,2026)</f>
        <v>1</v>
      </c>
      <c r="E606" s="12" t="n">
        <f aca="false">D606*$J$5</f>
        <v>1.26315789473684</v>
      </c>
      <c r="F606" s="12" t="n">
        <f aca="false">E606-C606</f>
        <v>0.263157894736842</v>
      </c>
      <c r="G606" s="21" t="n">
        <f aca="false">IF(AND(C606=0,E606=0),0,IF(C606=0,"New",(E606-C606)/C606))</f>
        <v>0.263157894736842</v>
      </c>
      <c r="H606" s="12" t="n">
        <f aca="false">SUMIFS('בתי מרקחת Raw'!$E$6:$E$1616,'בתי מרקחת Raw'!$F$6:$F$1616,$A606,'בתי מרקחת Raw'!$C$6:$C$1616,2025)</f>
        <v>69.01</v>
      </c>
      <c r="I606" s="12" t="n">
        <f aca="false">SUMIFS('בתי מרקחת Raw'!$E$6:$E$1616,'בתי מרקחת Raw'!$F$6:$F$1616,$A606,'בתי מרקחת Raw'!$C$6:$C$1616,2026)</f>
        <v>85</v>
      </c>
      <c r="J606" s="12" t="n">
        <f aca="false">I606*$J$5</f>
        <v>107.368421052632</v>
      </c>
    </row>
    <row r="607" customFormat="false" ht="15" hidden="false" customHeight="true" outlineLevel="0" collapsed="false">
      <c r="A607" s="12" t="s">
        <v>878</v>
      </c>
      <c r="B607" s="12" t="str">
        <f aca="false">IFERROR(INDEX('בתי מרקחת Raw'!$B:$B,MATCH($A607,'בתי מרקחת Raw'!$F:$F,0)),"")</f>
        <v>11EU XS</v>
      </c>
      <c r="C607" s="12" t="n">
        <f aca="false">SUMIFS('בתי מרקחת Raw'!$D$6:$D$1616,'בתי מרקחת Raw'!$F$6:$F$1616,$A607,'בתי מרקחת Raw'!$C$6:$C$1616,2025)</f>
        <v>1</v>
      </c>
      <c r="D607" s="12" t="n">
        <f aca="false">SUMIFS('בתי מרקחת Raw'!$D$6:$D$1616,'בתי מרקחת Raw'!$F$6:$F$1616,$A607,'בתי מרקחת Raw'!$C$6:$C$1616,2026)</f>
        <v>0</v>
      </c>
      <c r="E607" s="12" t="n">
        <f aca="false">D607*$J$5</f>
        <v>0</v>
      </c>
      <c r="F607" s="12" t="n">
        <f aca="false">E607-C607</f>
        <v>-1</v>
      </c>
      <c r="G607" s="21" t="n">
        <f aca="false">IF(AND(C607=0,E607=0),0,IF(C607=0,"New",(E607-C607)/C607))</f>
        <v>-1</v>
      </c>
      <c r="H607" s="12" t="n">
        <f aca="false">SUMIFS('בתי מרקחת Raw'!$E$6:$E$1616,'בתי מרקחת Raw'!$F$6:$F$1616,$A607,'בתי מרקחת Raw'!$C$6:$C$1616,2025)</f>
        <v>69</v>
      </c>
      <c r="I607" s="12" t="n">
        <f aca="false">SUMIFS('בתי מרקחת Raw'!$E$6:$E$1616,'בתי מרקחת Raw'!$F$6:$F$1616,$A607,'בתי מרקחת Raw'!$C$6:$C$1616,2026)</f>
        <v>0</v>
      </c>
      <c r="J607" s="12" t="n">
        <f aca="false">I607*$J$5</f>
        <v>0</v>
      </c>
    </row>
    <row r="608" customFormat="false" ht="15" hidden="false" customHeight="true" outlineLevel="0" collapsed="false">
      <c r="A608" s="12" t="s">
        <v>879</v>
      </c>
      <c r="B608" s="12" t="str">
        <f aca="false">IFERROR(INDEX('בתי מרקחת Raw'!$B:$B,MATCH($A608,'בתי מרקחת Raw'!$F:$F,0)),"")</f>
        <v>11PS M</v>
      </c>
      <c r="C608" s="12" t="n">
        <f aca="false">SUMIFS('בתי מרקחת Raw'!$D$6:$D$1616,'בתי מרקחת Raw'!$F$6:$F$1616,$A608,'בתי מרקחת Raw'!$C$6:$C$1616,2025)</f>
        <v>1</v>
      </c>
      <c r="D608" s="12" t="n">
        <f aca="false">SUMIFS('בתי מרקחת Raw'!$D$6:$D$1616,'בתי מרקחת Raw'!$F$6:$F$1616,$A608,'בתי מרקחת Raw'!$C$6:$C$1616,2026)</f>
        <v>0</v>
      </c>
      <c r="E608" s="12" t="n">
        <f aca="false">D608*$J$5</f>
        <v>0</v>
      </c>
      <c r="F608" s="12" t="n">
        <f aca="false">E608-C608</f>
        <v>-1</v>
      </c>
      <c r="G608" s="21" t="n">
        <f aca="false">IF(AND(C608=0,E608=0),0,IF(C608=0,"New",(E608-C608)/C608))</f>
        <v>-1</v>
      </c>
      <c r="H608" s="12" t="n">
        <f aca="false">SUMIFS('בתי מרקחת Raw'!$E$6:$E$1616,'בתי מרקחת Raw'!$F$6:$F$1616,$A608,'בתי מרקחת Raw'!$C$6:$C$1616,2025)</f>
        <v>135.88</v>
      </c>
      <c r="I608" s="12" t="n">
        <f aca="false">SUMIFS('בתי מרקחת Raw'!$E$6:$E$1616,'בתי מרקחת Raw'!$F$6:$F$1616,$A608,'בתי מרקחת Raw'!$C$6:$C$1616,2026)</f>
        <v>0</v>
      </c>
      <c r="J608" s="12" t="n">
        <f aca="false">I608*$J$5</f>
        <v>0</v>
      </c>
    </row>
    <row r="609" customFormat="false" ht="15" hidden="false" customHeight="true" outlineLevel="0" collapsed="false">
      <c r="A609" s="12" t="s">
        <v>880</v>
      </c>
      <c r="B609" s="12" t="str">
        <f aca="false">IFERROR(INDEX('בתי מרקחת Raw'!$B:$B,MATCH($A609,'בתי מרקחת Raw'!$F:$F,0)),"")</f>
        <v>13 L</v>
      </c>
      <c r="C609" s="12" t="n">
        <f aca="false">SUMIFS('בתי מרקחת Raw'!$D$6:$D$1616,'בתי מרקחת Raw'!$F$6:$F$1616,$A609,'בתי מרקחת Raw'!$C$6:$C$1616,2025)</f>
        <v>0</v>
      </c>
      <c r="D609" s="12" t="n">
        <f aca="false">SUMIFS('בתי מרקחת Raw'!$D$6:$D$1616,'בתי מרקחת Raw'!$F$6:$F$1616,$A609,'בתי מרקחת Raw'!$C$6:$C$1616,2026)</f>
        <v>1</v>
      </c>
      <c r="E609" s="12" t="n">
        <f aca="false">D609*$J$5</f>
        <v>1.26315789473684</v>
      </c>
      <c r="F609" s="12" t="n">
        <f aca="false">E609-C609</f>
        <v>1.26315789473684</v>
      </c>
      <c r="G609" s="21" t="str">
        <f aca="false">IF(AND(C609=0,E609=0),0,IF(C609=0,"New",(E609-C609)/C609))</f>
        <v>New</v>
      </c>
      <c r="H609" s="12" t="n">
        <f aca="false">SUMIFS('בתי מרקחת Raw'!$E$6:$E$1616,'בתי מרקחת Raw'!$F$6:$F$1616,$A609,'בתי מרקחת Raw'!$C$6:$C$1616,2025)</f>
        <v>0</v>
      </c>
      <c r="I609" s="12" t="n">
        <f aca="false">SUMIFS('בתי מרקחת Raw'!$E$6:$E$1616,'בתי מרקחת Raw'!$F$6:$F$1616,$A609,'בתי מרקחת Raw'!$C$6:$C$1616,2026)</f>
        <v>156.97</v>
      </c>
      <c r="J609" s="12" t="n">
        <f aca="false">I609*$J$5</f>
        <v>198.277894736842</v>
      </c>
    </row>
    <row r="610" customFormat="false" ht="15" hidden="false" customHeight="true" outlineLevel="0" collapsed="false">
      <c r="A610" s="12" t="s">
        <v>881</v>
      </c>
      <c r="B610" s="12" t="str">
        <f aca="false">IFERROR(INDEX('בתי מרקחת Raw'!$B:$B,MATCH($A610,'בתי מרקחת Raw'!$F:$F,0)),"")</f>
        <v>13 M</v>
      </c>
      <c r="C610" s="12" t="n">
        <f aca="false">SUMIFS('בתי מרקחת Raw'!$D$6:$D$1616,'בתי מרקחת Raw'!$F$6:$F$1616,$A610,'בתי מרקחת Raw'!$C$6:$C$1616,2025)</f>
        <v>1</v>
      </c>
      <c r="D610" s="12" t="n">
        <f aca="false">SUMIFS('בתי מרקחת Raw'!$D$6:$D$1616,'בתי מרקחת Raw'!$F$6:$F$1616,$A610,'בתי מרקחת Raw'!$C$6:$C$1616,2026)</f>
        <v>0</v>
      </c>
      <c r="E610" s="12" t="n">
        <f aca="false">D610*$J$5</f>
        <v>0</v>
      </c>
      <c r="F610" s="12" t="n">
        <f aca="false">E610-C610</f>
        <v>-1</v>
      </c>
      <c r="G610" s="21" t="n">
        <f aca="false">IF(AND(C610=0,E610=0),0,IF(C610=0,"New",(E610-C610)/C610))</f>
        <v>-1</v>
      </c>
      <c r="H610" s="12" t="n">
        <f aca="false">SUMIFS('בתי מרקחת Raw'!$E$6:$E$1616,'בתי מרקחת Raw'!$F$6:$F$1616,$A610,'בתי מרקחת Raw'!$C$6:$C$1616,2025)</f>
        <v>156.98</v>
      </c>
      <c r="I610" s="12" t="n">
        <f aca="false">SUMIFS('בתי מרקחת Raw'!$E$6:$E$1616,'בתי מרקחת Raw'!$F$6:$F$1616,$A610,'בתי מרקחת Raw'!$C$6:$C$1616,2026)</f>
        <v>0</v>
      </c>
      <c r="J610" s="12" t="n">
        <f aca="false">I610*$J$5</f>
        <v>0</v>
      </c>
    </row>
    <row r="611" customFormat="false" ht="15" hidden="false" customHeight="true" outlineLevel="0" collapsed="false">
      <c r="A611" s="12" t="s">
        <v>882</v>
      </c>
      <c r="B611" s="12" t="str">
        <f aca="false">IFERROR(INDEX('בתי מרקחת Raw'!$B:$B,MATCH($A611,'בתי מרקחת Raw'!$F:$F,0)),"")</f>
        <v>15M L</v>
      </c>
      <c r="C611" s="12" t="n">
        <f aca="false">SUMIFS('בתי מרקחת Raw'!$D$6:$D$1616,'בתי מרקחת Raw'!$F$6:$F$1616,$A611,'בתי מרקחת Raw'!$C$6:$C$1616,2025)</f>
        <v>1</v>
      </c>
      <c r="D611" s="12" t="n">
        <f aca="false">SUMIFS('בתי מרקחת Raw'!$D$6:$D$1616,'בתי מרקחת Raw'!$F$6:$F$1616,$A611,'בתי מרקחת Raw'!$C$6:$C$1616,2026)</f>
        <v>1</v>
      </c>
      <c r="E611" s="12" t="n">
        <f aca="false">D611*$J$5</f>
        <v>1.26315789473684</v>
      </c>
      <c r="F611" s="12" t="n">
        <f aca="false">E611-C611</f>
        <v>0.263157894736842</v>
      </c>
      <c r="G611" s="21" t="n">
        <f aca="false">IF(AND(C611=0,E611=0),0,IF(C611=0,"New",(E611-C611)/C611))</f>
        <v>0.263157894736842</v>
      </c>
      <c r="H611" s="12" t="n">
        <f aca="false">SUMIFS('בתי מרקחת Raw'!$E$6:$E$1616,'בתי מרקחת Raw'!$F$6:$F$1616,$A611,'בתי מרקחת Raw'!$C$6:$C$1616,2025)</f>
        <v>140.57</v>
      </c>
      <c r="I611" s="12" t="n">
        <f aca="false">SUMIFS('בתי מרקחת Raw'!$E$6:$E$1616,'בתי מרקחת Raw'!$F$6:$F$1616,$A611,'בתי מרקחת Raw'!$C$6:$C$1616,2026)</f>
        <v>140.58</v>
      </c>
      <c r="J611" s="12" t="n">
        <f aca="false">I611*$J$5</f>
        <v>177.574736842105</v>
      </c>
    </row>
    <row r="612" customFormat="false" ht="15" hidden="false" customHeight="true" outlineLevel="0" collapsed="false">
      <c r="A612" s="12" t="s">
        <v>883</v>
      </c>
      <c r="B612" s="12" t="str">
        <f aca="false">IFERROR(INDEX('בתי מרקחת Raw'!$B:$B,MATCH($A612,'בתי מרקחת Raw'!$F:$F,0)),"")</f>
        <v>15M XL</v>
      </c>
      <c r="C612" s="12" t="n">
        <f aca="false">SUMIFS('בתי מרקחת Raw'!$D$6:$D$1616,'בתי מרקחת Raw'!$F$6:$F$1616,$A612,'בתי מרקחת Raw'!$C$6:$C$1616,2025)</f>
        <v>0</v>
      </c>
      <c r="D612" s="12" t="n">
        <f aca="false">SUMIFS('בתי מרקחת Raw'!$D$6:$D$1616,'בתי מרקחת Raw'!$F$6:$F$1616,$A612,'בתי מרקחת Raw'!$C$6:$C$1616,2026)</f>
        <v>2</v>
      </c>
      <c r="E612" s="12" t="n">
        <f aca="false">D612*$J$5</f>
        <v>2.52631578947368</v>
      </c>
      <c r="F612" s="12" t="n">
        <f aca="false">E612-C612</f>
        <v>2.52631578947368</v>
      </c>
      <c r="G612" s="21" t="str">
        <f aca="false">IF(AND(C612=0,E612=0),0,IF(C612=0,"New",(E612-C612)/C612))</f>
        <v>New</v>
      </c>
      <c r="H612" s="12" t="n">
        <f aca="false">SUMIFS('בתי מרקחת Raw'!$E$6:$E$1616,'בתי מרקחת Raw'!$F$6:$F$1616,$A612,'בתי מרקחת Raw'!$C$6:$C$1616,2025)</f>
        <v>0</v>
      </c>
      <c r="I612" s="12" t="n">
        <f aca="false">SUMIFS('בתי מרקחת Raw'!$E$6:$E$1616,'בתי מרקחת Raw'!$F$6:$F$1616,$A612,'בתי מרקחת Raw'!$C$6:$C$1616,2026)</f>
        <v>281.14</v>
      </c>
      <c r="J612" s="12" t="n">
        <f aca="false">I612*$J$5</f>
        <v>355.124210526316</v>
      </c>
    </row>
    <row r="613" customFormat="false" ht="15" hidden="false" customHeight="true" outlineLevel="0" collapsed="false">
      <c r="A613" s="12" t="s">
        <v>884</v>
      </c>
      <c r="B613" s="12" t="str">
        <f aca="false">IFERROR(INDEX('בתי מרקחת Raw'!$B:$B,MATCH($A613,'בתי מרקחת Raw'!$F:$F,0)),"")</f>
        <v>15W S</v>
      </c>
      <c r="C613" s="12" t="n">
        <f aca="false">SUMIFS('בתי מרקחת Raw'!$D$6:$D$1616,'בתי מרקחת Raw'!$F$6:$F$1616,$A613,'בתי מרקחת Raw'!$C$6:$C$1616,2025)</f>
        <v>1</v>
      </c>
      <c r="D613" s="12" t="n">
        <f aca="false">SUMIFS('בתי מרקחת Raw'!$D$6:$D$1616,'בתי מרקחת Raw'!$F$6:$F$1616,$A613,'בתי מרקחת Raw'!$C$6:$C$1616,2026)</f>
        <v>0</v>
      </c>
      <c r="E613" s="12" t="n">
        <f aca="false">D613*$J$5</f>
        <v>0</v>
      </c>
      <c r="F613" s="12" t="n">
        <f aca="false">E613-C613</f>
        <v>-1</v>
      </c>
      <c r="G613" s="21" t="n">
        <f aca="false">IF(AND(C613=0,E613=0),0,IF(C613=0,"New",(E613-C613)/C613))</f>
        <v>-1</v>
      </c>
      <c r="H613" s="12" t="n">
        <f aca="false">SUMIFS('בתי מרקחת Raw'!$E$6:$E$1616,'בתי מרקחת Raw'!$F$6:$F$1616,$A613,'בתי מרקחת Raw'!$C$6:$C$1616,2025)</f>
        <v>140.58</v>
      </c>
      <c r="I613" s="12" t="n">
        <f aca="false">SUMIFS('בתי מרקחת Raw'!$E$6:$E$1616,'בתי מרקחת Raw'!$F$6:$F$1616,$A613,'בתי מרקחת Raw'!$C$6:$C$1616,2026)</f>
        <v>0</v>
      </c>
      <c r="J613" s="12" t="n">
        <f aca="false">I613*$J$5</f>
        <v>0</v>
      </c>
    </row>
    <row r="614" customFormat="false" ht="15" hidden="false" customHeight="true" outlineLevel="0" collapsed="false">
      <c r="A614" s="12" t="s">
        <v>885</v>
      </c>
      <c r="B614" s="12" t="str">
        <f aca="false">IFERROR(INDEX('בתי מרקחת Raw'!$B:$B,MATCH($A614,'בתי מרקחת Raw'!$F:$F,0)),"")</f>
        <v>15W XL</v>
      </c>
      <c r="C614" s="12" t="n">
        <f aca="false">SUMIFS('בתי מרקחת Raw'!$D$6:$D$1616,'בתי מרקחת Raw'!$F$6:$F$1616,$A614,'בתי מרקחת Raw'!$C$6:$C$1616,2025)</f>
        <v>1</v>
      </c>
      <c r="D614" s="12" t="n">
        <f aca="false">SUMIFS('בתי מרקחת Raw'!$D$6:$D$1616,'בתי מרקחת Raw'!$F$6:$F$1616,$A614,'בתי מרקחת Raw'!$C$6:$C$1616,2026)</f>
        <v>0</v>
      </c>
      <c r="E614" s="12" t="n">
        <f aca="false">D614*$J$5</f>
        <v>0</v>
      </c>
      <c r="F614" s="12" t="n">
        <f aca="false">E614-C614</f>
        <v>-1</v>
      </c>
      <c r="G614" s="21" t="n">
        <f aca="false">IF(AND(C614=0,E614=0),0,IF(C614=0,"New",(E614-C614)/C614))</f>
        <v>-1</v>
      </c>
      <c r="H614" s="12" t="n">
        <f aca="false">SUMIFS('בתי מרקחת Raw'!$E$6:$E$1616,'בתי מרקחת Raw'!$F$6:$F$1616,$A614,'בתי מרקחת Raw'!$C$6:$C$1616,2025)</f>
        <v>132.33</v>
      </c>
      <c r="I614" s="12" t="n">
        <f aca="false">SUMIFS('בתי מרקחת Raw'!$E$6:$E$1616,'בתי מרקחת Raw'!$F$6:$F$1616,$A614,'בתי מרקחת Raw'!$C$6:$C$1616,2026)</f>
        <v>0</v>
      </c>
      <c r="J614" s="12" t="n">
        <f aca="false">I614*$J$5</f>
        <v>0</v>
      </c>
    </row>
    <row r="615" customFormat="false" ht="15" hidden="false" customHeight="true" outlineLevel="0" collapsed="false">
      <c r="A615" s="12" t="s">
        <v>886</v>
      </c>
      <c r="B615" s="12" t="str">
        <f aca="false">IFERROR(INDEX('בתי מרקחת Raw'!$B:$B,MATCH($A615,'בתי מרקחת Raw'!$F:$F,0)),"")</f>
        <v>18 L</v>
      </c>
      <c r="C615" s="12" t="n">
        <f aca="false">SUMIFS('בתי מרקחת Raw'!$D$6:$D$1616,'בתי מרקחת Raw'!$F$6:$F$1616,$A615,'בתי מרקחת Raw'!$C$6:$C$1616,2025)</f>
        <v>1</v>
      </c>
      <c r="D615" s="12" t="n">
        <f aca="false">SUMIFS('בתי מרקחת Raw'!$D$6:$D$1616,'בתי מרקחת Raw'!$F$6:$F$1616,$A615,'בתי מרקחת Raw'!$C$6:$C$1616,2026)</f>
        <v>1</v>
      </c>
      <c r="E615" s="12" t="n">
        <f aca="false">D615*$J$5</f>
        <v>1.26315789473684</v>
      </c>
      <c r="F615" s="12" t="n">
        <f aca="false">E615-C615</f>
        <v>0.263157894736842</v>
      </c>
      <c r="G615" s="21" t="n">
        <f aca="false">IF(AND(C615=0,E615=0),0,IF(C615=0,"New",(E615-C615)/C615))</f>
        <v>0.263157894736842</v>
      </c>
      <c r="H615" s="12" t="n">
        <f aca="false">SUMIFS('בתי מרקחת Raw'!$E$6:$E$1616,'בתי מרקחת Raw'!$F$6:$F$1616,$A615,'בתי מרקחת Raw'!$C$6:$C$1616,2025)</f>
        <v>268</v>
      </c>
      <c r="I615" s="12" t="n">
        <f aca="false">SUMIFS('בתי מרקחת Raw'!$E$6:$E$1616,'בתי מרקחת Raw'!$F$6:$F$1616,$A615,'בתי מרקחת Raw'!$C$6:$C$1616,2026)</f>
        <v>309.32</v>
      </c>
      <c r="J615" s="12" t="n">
        <f aca="false">I615*$J$5</f>
        <v>390.72</v>
      </c>
    </row>
    <row r="616" customFormat="false" ht="15" hidden="false" customHeight="true" outlineLevel="0" collapsed="false">
      <c r="A616" s="12" t="s">
        <v>887</v>
      </c>
      <c r="B616" s="12" t="str">
        <f aca="false">IFERROR(INDEX('בתי מרקחת Raw'!$B:$B,MATCH($A616,'בתי מרקחת Raw'!$F:$F,0)),"")</f>
        <v>18 M</v>
      </c>
      <c r="C616" s="12" t="n">
        <f aca="false">SUMIFS('בתי מרקחת Raw'!$D$6:$D$1616,'בתי מרקחת Raw'!$F$6:$F$1616,$A616,'בתי מרקחת Raw'!$C$6:$C$1616,2025)</f>
        <v>1</v>
      </c>
      <c r="D616" s="12" t="n">
        <f aca="false">SUMIFS('בתי מרקחת Raw'!$D$6:$D$1616,'בתי מרקחת Raw'!$F$6:$F$1616,$A616,'בתי מרקחת Raw'!$C$6:$C$1616,2026)</f>
        <v>1</v>
      </c>
      <c r="E616" s="12" t="n">
        <f aca="false">D616*$J$5</f>
        <v>1.26315789473684</v>
      </c>
      <c r="F616" s="12" t="n">
        <f aca="false">E616-C616</f>
        <v>0.263157894736842</v>
      </c>
      <c r="G616" s="21" t="n">
        <f aca="false">IF(AND(C616=0,E616=0),0,IF(C616=0,"New",(E616-C616)/C616))</f>
        <v>0.263157894736842</v>
      </c>
      <c r="H616" s="12" t="n">
        <f aca="false">SUMIFS('בתי מרקחת Raw'!$E$6:$E$1616,'בתי מרקחת Raw'!$F$6:$F$1616,$A616,'בתי מרקחת Raw'!$C$6:$C$1616,2025)</f>
        <v>268</v>
      </c>
      <c r="I616" s="12" t="n">
        <f aca="false">SUMIFS('בתי מרקחת Raw'!$E$6:$E$1616,'בתי מרקחת Raw'!$F$6:$F$1616,$A616,'בתי מרקחת Raw'!$C$6:$C$1616,2026)</f>
        <v>268</v>
      </c>
      <c r="J616" s="12" t="n">
        <f aca="false">I616*$J$5</f>
        <v>338.526315789474</v>
      </c>
    </row>
    <row r="617" customFormat="false" ht="15" hidden="false" customHeight="true" outlineLevel="0" collapsed="false">
      <c r="A617" s="12" t="s">
        <v>888</v>
      </c>
      <c r="B617" s="12" t="str">
        <f aca="false">IFERROR(INDEX('בתי מרקחת Raw'!$B:$B,MATCH($A617,'בתי מרקחת Raw'!$F:$F,0)),"")</f>
        <v>18 S</v>
      </c>
      <c r="C617" s="12" t="n">
        <f aca="false">SUMIFS('בתי מרקחת Raw'!$D$6:$D$1616,'בתי מרקחת Raw'!$F$6:$F$1616,$A617,'בתי מרקחת Raw'!$C$6:$C$1616,2025)</f>
        <v>1</v>
      </c>
      <c r="D617" s="12" t="n">
        <f aca="false">SUMIFS('בתי מרקחת Raw'!$D$6:$D$1616,'בתי מרקחת Raw'!$F$6:$F$1616,$A617,'בתי מרקחת Raw'!$C$6:$C$1616,2026)</f>
        <v>0</v>
      </c>
      <c r="E617" s="12" t="n">
        <f aca="false">D617*$J$5</f>
        <v>0</v>
      </c>
      <c r="F617" s="12" t="n">
        <f aca="false">E617-C617</f>
        <v>-1</v>
      </c>
      <c r="G617" s="21" t="n">
        <f aca="false">IF(AND(C617=0,E617=0),0,IF(C617=0,"New",(E617-C617)/C617))</f>
        <v>-1</v>
      </c>
      <c r="H617" s="12" t="n">
        <f aca="false">SUMIFS('בתי מרקחת Raw'!$E$6:$E$1616,'בתי מרקחת Raw'!$F$6:$F$1616,$A617,'בתי מרקחת Raw'!$C$6:$C$1616,2025)</f>
        <v>268</v>
      </c>
      <c r="I617" s="12" t="n">
        <f aca="false">SUMIFS('בתי מרקחת Raw'!$E$6:$E$1616,'בתי מרקחת Raw'!$F$6:$F$1616,$A617,'בתי מרקחת Raw'!$C$6:$C$1616,2026)</f>
        <v>0</v>
      </c>
      <c r="J617" s="12" t="n">
        <f aca="false">I617*$J$5</f>
        <v>0</v>
      </c>
    </row>
    <row r="618" customFormat="false" ht="15" hidden="false" customHeight="true" outlineLevel="0" collapsed="false">
      <c r="A618" s="12" t="s">
        <v>889</v>
      </c>
      <c r="B618" s="12" t="str">
        <f aca="false">IFERROR(INDEX('בתי מרקחת Raw'!$B:$B,MATCH($A618,'בתי מרקחת Raw'!$F:$F,0)),"")</f>
        <v>18 XL</v>
      </c>
      <c r="C618" s="12" t="n">
        <f aca="false">SUMIFS('בתי מרקחת Raw'!$D$6:$D$1616,'בתי מרקחת Raw'!$F$6:$F$1616,$A618,'בתי מרקחת Raw'!$C$6:$C$1616,2025)</f>
        <v>1</v>
      </c>
      <c r="D618" s="12" t="n">
        <f aca="false">SUMIFS('בתי מרקחת Raw'!$D$6:$D$1616,'בתי מרקחת Raw'!$F$6:$F$1616,$A618,'בתי מרקחת Raw'!$C$6:$C$1616,2026)</f>
        <v>1</v>
      </c>
      <c r="E618" s="12" t="n">
        <f aca="false">D618*$J$5</f>
        <v>1.26315789473684</v>
      </c>
      <c r="F618" s="12" t="n">
        <f aca="false">E618-C618</f>
        <v>0.263157894736842</v>
      </c>
      <c r="G618" s="21" t="n">
        <f aca="false">IF(AND(C618=0,E618=0),0,IF(C618=0,"New",(E618-C618)/C618))</f>
        <v>0.263157894736842</v>
      </c>
      <c r="H618" s="12" t="n">
        <f aca="false">SUMIFS('בתי מרקחת Raw'!$E$6:$E$1616,'בתי מרקחת Raw'!$F$6:$F$1616,$A618,'בתי מרקחת Raw'!$C$6:$C$1616,2025)</f>
        <v>268</v>
      </c>
      <c r="I618" s="12" t="n">
        <f aca="false">SUMIFS('בתי מרקחת Raw'!$E$6:$E$1616,'בתי מרקחת Raw'!$F$6:$F$1616,$A618,'בתי מרקחת Raw'!$C$6:$C$1616,2026)</f>
        <v>309.31</v>
      </c>
      <c r="J618" s="12" t="n">
        <f aca="false">I618*$J$5</f>
        <v>390.707368421053</v>
      </c>
    </row>
    <row r="619" customFormat="false" ht="15" hidden="false" customHeight="true" outlineLevel="0" collapsed="false">
      <c r="A619" s="12" t="s">
        <v>890</v>
      </c>
      <c r="B619" s="12" t="str">
        <f aca="false">IFERROR(INDEX('בתי מרקחת Raw'!$B:$B,MATCH($A619,'בתי מרקחת Raw'!$F:$F,0)),"")</f>
        <v>18 XXL</v>
      </c>
      <c r="C619" s="12" t="n">
        <f aca="false">SUMIFS('בתי מרקחת Raw'!$D$6:$D$1616,'בתי מרקחת Raw'!$F$6:$F$1616,$A619,'בתי מרקחת Raw'!$C$6:$C$1616,2025)</f>
        <v>0</v>
      </c>
      <c r="D619" s="12" t="n">
        <f aca="false">SUMIFS('בתי מרקחת Raw'!$D$6:$D$1616,'בתי מרקחת Raw'!$F$6:$F$1616,$A619,'בתי מרקחת Raw'!$C$6:$C$1616,2026)</f>
        <v>1</v>
      </c>
      <c r="E619" s="12" t="n">
        <f aca="false">D619*$J$5</f>
        <v>1.26315789473684</v>
      </c>
      <c r="F619" s="12" t="n">
        <f aca="false">E619-C619</f>
        <v>1.26315789473684</v>
      </c>
      <c r="G619" s="21" t="str">
        <f aca="false">IF(AND(C619=0,E619=0),0,IF(C619=0,"New",(E619-C619)/C619))</f>
        <v>New</v>
      </c>
      <c r="H619" s="12" t="n">
        <f aca="false">SUMIFS('בתי מרקחת Raw'!$E$6:$E$1616,'בתי מרקחת Raw'!$F$6:$F$1616,$A619,'בתי מרקחת Raw'!$C$6:$C$1616,2025)</f>
        <v>0</v>
      </c>
      <c r="I619" s="12" t="n">
        <f aca="false">SUMIFS('בתי מרקחת Raw'!$E$6:$E$1616,'בתי מרקחת Raw'!$F$6:$F$1616,$A619,'בתי מרקחת Raw'!$C$6:$C$1616,2026)</f>
        <v>309.32</v>
      </c>
      <c r="J619" s="12" t="n">
        <f aca="false">I619*$J$5</f>
        <v>390.72</v>
      </c>
    </row>
    <row r="620" customFormat="false" ht="15" hidden="false" customHeight="true" outlineLevel="0" collapsed="false">
      <c r="A620" s="12" t="s">
        <v>891</v>
      </c>
      <c r="B620" s="12" t="str">
        <f aca="false">IFERROR(INDEX('בתי מרקחת Raw'!$B:$B,MATCH($A620,'בתי מרקחת Raw'!$F:$F,0)),"")</f>
        <v>239P-S-M</v>
      </c>
      <c r="C620" s="12" t="n">
        <f aca="false">SUMIFS('בתי מרקחת Raw'!$D$6:$D$1616,'בתי מרקחת Raw'!$F$6:$F$1616,$A620,'בתי מרקחת Raw'!$C$6:$C$1616,2025)</f>
        <v>2</v>
      </c>
      <c r="D620" s="12" t="n">
        <f aca="false">SUMIFS('בתי מרקחת Raw'!$D$6:$D$1616,'בתי מרקחת Raw'!$F$6:$F$1616,$A620,'בתי מרקחת Raw'!$C$6:$C$1616,2026)</f>
        <v>0</v>
      </c>
      <c r="E620" s="12" t="n">
        <f aca="false">D620*$J$5</f>
        <v>0</v>
      </c>
      <c r="F620" s="12" t="n">
        <f aca="false">E620-C620</f>
        <v>-2</v>
      </c>
      <c r="G620" s="21" t="n">
        <f aca="false">IF(AND(C620=0,E620=0),0,IF(C620=0,"New",(E620-C620)/C620))</f>
        <v>-1</v>
      </c>
      <c r="H620" s="12" t="n">
        <f aca="false">SUMIFS('בתי מרקחת Raw'!$E$6:$E$1616,'בתי מרקחת Raw'!$F$6:$F$1616,$A620,'בתי מרקחת Raw'!$C$6:$C$1616,2025)</f>
        <v>38.34</v>
      </c>
      <c r="I620" s="12" t="n">
        <f aca="false">SUMIFS('בתי מרקחת Raw'!$E$6:$E$1616,'בתי מרקחת Raw'!$F$6:$F$1616,$A620,'בתי מרקחת Raw'!$C$6:$C$1616,2026)</f>
        <v>0</v>
      </c>
      <c r="J620" s="12" t="n">
        <f aca="false">I620*$J$5</f>
        <v>0</v>
      </c>
    </row>
    <row r="621" customFormat="false" ht="15" hidden="false" customHeight="true" outlineLevel="0" collapsed="false">
      <c r="A621" s="12" t="s">
        <v>892</v>
      </c>
      <c r="B621" s="12" t="str">
        <f aca="false">IFERROR(INDEX('בתי מרקחת Raw'!$B:$B,MATCH($A621,'בתי מרקחת Raw'!$F:$F,0)),"")</f>
        <v>30 S</v>
      </c>
      <c r="C621" s="12" t="n">
        <f aca="false">SUMIFS('בתי מרקחת Raw'!$D$6:$D$1616,'בתי מרקחת Raw'!$F$6:$F$1616,$A621,'בתי מרקחת Raw'!$C$6:$C$1616,2025)</f>
        <v>3</v>
      </c>
      <c r="D621" s="12" t="n">
        <f aca="false">SUMIFS('בתי מרקחת Raw'!$D$6:$D$1616,'בתי מרקחת Raw'!$F$6:$F$1616,$A621,'בתי מרקחת Raw'!$C$6:$C$1616,2026)</f>
        <v>0</v>
      </c>
      <c r="E621" s="12" t="n">
        <f aca="false">D621*$J$5</f>
        <v>0</v>
      </c>
      <c r="F621" s="12" t="n">
        <f aca="false">E621-C621</f>
        <v>-3</v>
      </c>
      <c r="G621" s="21" t="n">
        <f aca="false">IF(AND(C621=0,E621=0),0,IF(C621=0,"New",(E621-C621)/C621))</f>
        <v>-1</v>
      </c>
      <c r="H621" s="12" t="n">
        <f aca="false">SUMIFS('בתי מרקחת Raw'!$E$6:$E$1616,'בתי מרקחת Raw'!$F$6:$F$1616,$A621,'בתי מרקחת Raw'!$C$6:$C$1616,2025)</f>
        <v>198.4</v>
      </c>
      <c r="I621" s="12" t="n">
        <f aca="false">SUMIFS('בתי מרקחת Raw'!$E$6:$E$1616,'בתי מרקחת Raw'!$F$6:$F$1616,$A621,'בתי מרקחת Raw'!$C$6:$C$1616,2026)</f>
        <v>0</v>
      </c>
      <c r="J621" s="12" t="n">
        <f aca="false">I621*$J$5</f>
        <v>0</v>
      </c>
    </row>
    <row r="622" customFormat="false" ht="15" hidden="false" customHeight="true" outlineLevel="0" collapsed="false">
      <c r="A622" s="12" t="s">
        <v>893</v>
      </c>
      <c r="B622" s="12" t="str">
        <f aca="false">IFERROR(INDEX('בתי מרקחת Raw'!$B:$B,MATCH($A622,'בתי מרקחת Raw'!$F:$F,0)),"")</f>
        <v>303-43-44</v>
      </c>
      <c r="C622" s="12" t="n">
        <f aca="false">SUMIFS('בתי מרקחת Raw'!$D$6:$D$1616,'בתי מרקחת Raw'!$F$6:$F$1616,$A622,'בתי מרקחת Raw'!$C$6:$C$1616,2025)</f>
        <v>6</v>
      </c>
      <c r="D622" s="12" t="n">
        <f aca="false">SUMIFS('בתי מרקחת Raw'!$D$6:$D$1616,'בתי מרקחת Raw'!$F$6:$F$1616,$A622,'בתי מרקחת Raw'!$C$6:$C$1616,2026)</f>
        <v>0</v>
      </c>
      <c r="E622" s="12" t="n">
        <f aca="false">D622*$J$5</f>
        <v>0</v>
      </c>
      <c r="F622" s="12" t="n">
        <f aca="false">E622-C622</f>
        <v>-6</v>
      </c>
      <c r="G622" s="21" t="n">
        <f aca="false">IF(AND(C622=0,E622=0),0,IF(C622=0,"New",(E622-C622)/C622))</f>
        <v>-1</v>
      </c>
      <c r="H622" s="12" t="n">
        <f aca="false">SUMIFS('בתי מרקחת Raw'!$E$6:$E$1616,'בתי מרקחת Raw'!$F$6:$F$1616,$A622,'בתי מרקחת Raw'!$C$6:$C$1616,2025)</f>
        <v>711.22</v>
      </c>
      <c r="I622" s="12" t="n">
        <f aca="false">SUMIFS('בתי מרקחת Raw'!$E$6:$E$1616,'בתי מרקחת Raw'!$F$6:$F$1616,$A622,'בתי מרקחת Raw'!$C$6:$C$1616,2026)</f>
        <v>0</v>
      </c>
      <c r="J622" s="12" t="n">
        <f aca="false">I622*$J$5</f>
        <v>0</v>
      </c>
    </row>
    <row r="623" customFormat="false" ht="15" hidden="false" customHeight="true" outlineLevel="0" collapsed="false">
      <c r="A623" s="12" t="s">
        <v>894</v>
      </c>
      <c r="B623" s="12" t="str">
        <f aca="false">IFERROR(INDEX('בתי מרקחת Raw'!$B:$B,MATCH($A623,'בתי מרקחת Raw'!$F:$F,0)),"")</f>
        <v>305GA-35-36</v>
      </c>
      <c r="C623" s="12" t="n">
        <f aca="false">SUMIFS('בתי מרקחת Raw'!$D$6:$D$1616,'בתי מרקחת Raw'!$F$6:$F$1616,$A623,'בתי מרקחת Raw'!$C$6:$C$1616,2025)</f>
        <v>2</v>
      </c>
      <c r="D623" s="12" t="n">
        <f aca="false">SUMIFS('בתי מרקחת Raw'!$D$6:$D$1616,'בתי מרקחת Raw'!$F$6:$F$1616,$A623,'בתי מרקחת Raw'!$C$6:$C$1616,2026)</f>
        <v>0</v>
      </c>
      <c r="E623" s="12" t="n">
        <f aca="false">D623*$J$5</f>
        <v>0</v>
      </c>
      <c r="F623" s="12" t="n">
        <f aca="false">E623-C623</f>
        <v>-2</v>
      </c>
      <c r="G623" s="21" t="n">
        <f aca="false">IF(AND(C623=0,E623=0),0,IF(C623=0,"New",(E623-C623)/C623))</f>
        <v>-1</v>
      </c>
      <c r="H623" s="12" t="n">
        <f aca="false">SUMIFS('בתי מרקחת Raw'!$E$6:$E$1616,'בתי מרקחת Raw'!$F$6:$F$1616,$A623,'בתי מרקחת Raw'!$C$6:$C$1616,2025)</f>
        <v>187.4</v>
      </c>
      <c r="I623" s="12" t="n">
        <f aca="false">SUMIFS('בתי מרקחת Raw'!$E$6:$E$1616,'בתי מרקחת Raw'!$F$6:$F$1616,$A623,'בתי מרקחת Raw'!$C$6:$C$1616,2026)</f>
        <v>0</v>
      </c>
      <c r="J623" s="12" t="n">
        <f aca="false">I623*$J$5</f>
        <v>0</v>
      </c>
    </row>
    <row r="624" customFormat="false" ht="15" hidden="false" customHeight="true" outlineLevel="0" collapsed="false">
      <c r="A624" s="12" t="s">
        <v>895</v>
      </c>
      <c r="B624" s="12" t="str">
        <f aca="false">IFERROR(INDEX('בתי מרקחת Raw'!$B:$B,MATCH($A624,'בתי מרקחת Raw'!$F:$F,0)),"")</f>
        <v>32 M</v>
      </c>
      <c r="C624" s="12" t="n">
        <f aca="false">SUMIFS('בתי מרקחת Raw'!$D$6:$D$1616,'בתי מרקחת Raw'!$F$6:$F$1616,$A624,'בתי מרקחת Raw'!$C$6:$C$1616,2025)</f>
        <v>0</v>
      </c>
      <c r="D624" s="12" t="n">
        <f aca="false">SUMIFS('בתי מרקחת Raw'!$D$6:$D$1616,'בתי מרקחת Raw'!$F$6:$F$1616,$A624,'בתי מרקחת Raw'!$C$6:$C$1616,2026)</f>
        <v>1</v>
      </c>
      <c r="E624" s="12" t="n">
        <f aca="false">D624*$J$5</f>
        <v>1.26315789473684</v>
      </c>
      <c r="F624" s="12" t="n">
        <f aca="false">E624-C624</f>
        <v>1.26315789473684</v>
      </c>
      <c r="G624" s="21" t="str">
        <f aca="false">IF(AND(C624=0,E624=0),0,IF(C624=0,"New",(E624-C624)/C624))</f>
        <v>New</v>
      </c>
      <c r="H624" s="12" t="n">
        <f aca="false">SUMIFS('בתי מרקחת Raw'!$E$6:$E$1616,'בתי מרקחת Raw'!$F$6:$F$1616,$A624,'בתי מרקחת Raw'!$C$6:$C$1616,2025)</f>
        <v>0</v>
      </c>
      <c r="I624" s="12" t="n">
        <f aca="false">SUMIFS('בתי מרקחת Raw'!$E$6:$E$1616,'בתי מרקחת Raw'!$F$6:$F$1616,$A624,'בתי מרקחת Raw'!$C$6:$C$1616,2026)</f>
        <v>212.75</v>
      </c>
      <c r="J624" s="12" t="n">
        <f aca="false">I624*$J$5</f>
        <v>268.736842105263</v>
      </c>
    </row>
    <row r="625" customFormat="false" ht="15" hidden="false" customHeight="true" outlineLevel="0" collapsed="false">
      <c r="A625" s="12" t="s">
        <v>896</v>
      </c>
      <c r="B625" s="12" t="str">
        <f aca="false">IFERROR(INDEX('בתי מרקחת Raw'!$B:$B,MATCH($A625,'בתי מרקחת Raw'!$F:$F,0)),"")</f>
        <v>322B M</v>
      </c>
      <c r="C625" s="12" t="n">
        <f aca="false">SUMIFS('בתי מרקחת Raw'!$D$6:$D$1616,'בתי מרקחת Raw'!$F$6:$F$1616,$A625,'בתי מרקחת Raw'!$C$6:$C$1616,2025)</f>
        <v>5</v>
      </c>
      <c r="D625" s="12" t="n">
        <f aca="false">SUMIFS('בתי מרקחת Raw'!$D$6:$D$1616,'בתי מרקחת Raw'!$F$6:$F$1616,$A625,'בתי מרקחת Raw'!$C$6:$C$1616,2026)</f>
        <v>0</v>
      </c>
      <c r="E625" s="12" t="n">
        <f aca="false">D625*$J$5</f>
        <v>0</v>
      </c>
      <c r="F625" s="12" t="n">
        <f aca="false">E625-C625</f>
        <v>-5</v>
      </c>
      <c r="G625" s="21" t="n">
        <f aca="false">IF(AND(C625=0,E625=0),0,IF(C625=0,"New",(E625-C625)/C625))</f>
        <v>-1</v>
      </c>
      <c r="H625" s="12" t="n">
        <f aca="false">SUMIFS('בתי מרקחת Raw'!$E$6:$E$1616,'בתי מרקחת Raw'!$F$6:$F$1616,$A625,'בתי מרקחת Raw'!$C$6:$C$1616,2025)</f>
        <v>523.08</v>
      </c>
      <c r="I625" s="12" t="n">
        <f aca="false">SUMIFS('בתי מרקחת Raw'!$E$6:$E$1616,'בתי מרקחת Raw'!$F$6:$F$1616,$A625,'בתי מרקחת Raw'!$C$6:$C$1616,2026)</f>
        <v>0</v>
      </c>
      <c r="J625" s="12" t="n">
        <f aca="false">I625*$J$5</f>
        <v>0</v>
      </c>
    </row>
    <row r="626" customFormat="false" ht="15" hidden="false" customHeight="true" outlineLevel="0" collapsed="false">
      <c r="A626" s="12" t="s">
        <v>897</v>
      </c>
      <c r="B626" s="12" t="str">
        <f aca="false">IFERROR(INDEX('בתי מרקחת Raw'!$B:$B,MATCH($A626,'בתי מרקחת Raw'!$F:$F,0)),"")</f>
        <v>332B L</v>
      </c>
      <c r="C626" s="12" t="n">
        <f aca="false">SUMIFS('בתי מרקחת Raw'!$D$6:$D$1616,'בתי מרקחת Raw'!$F$6:$F$1616,$A626,'בתי מרקחת Raw'!$C$6:$C$1616,2025)</f>
        <v>0</v>
      </c>
      <c r="D626" s="12" t="n">
        <f aca="false">SUMIFS('בתי מרקחת Raw'!$D$6:$D$1616,'בתי מרקחת Raw'!$F$6:$F$1616,$A626,'בתי מרקחת Raw'!$C$6:$C$1616,2026)</f>
        <v>1</v>
      </c>
      <c r="E626" s="12" t="n">
        <f aca="false">D626*$J$5</f>
        <v>1.26315789473684</v>
      </c>
      <c r="F626" s="12" t="n">
        <f aca="false">E626-C626</f>
        <v>1.26315789473684</v>
      </c>
      <c r="G626" s="21" t="str">
        <f aca="false">IF(AND(C626=0,E626=0),0,IF(C626=0,"New",(E626-C626)/C626))</f>
        <v>New</v>
      </c>
      <c r="H626" s="12" t="n">
        <f aca="false">SUMIFS('בתי מרקחת Raw'!$E$6:$E$1616,'בתי מרקחת Raw'!$F$6:$F$1616,$A626,'בתי מרקחת Raw'!$C$6:$C$1616,2025)</f>
        <v>0</v>
      </c>
      <c r="I626" s="12" t="n">
        <f aca="false">SUMIFS('בתי מרקחת Raw'!$E$6:$E$1616,'בתי מרקחת Raw'!$F$6:$F$1616,$A626,'בתי מרקחת Raw'!$C$6:$C$1616,2026)</f>
        <v>123.23</v>
      </c>
      <c r="J626" s="12" t="n">
        <f aca="false">I626*$J$5</f>
        <v>155.658947368421</v>
      </c>
    </row>
    <row r="627" customFormat="false" ht="15" hidden="false" customHeight="true" outlineLevel="0" collapsed="false">
      <c r="A627" s="12" t="s">
        <v>898</v>
      </c>
      <c r="B627" s="12" t="str">
        <f aca="false">IFERROR(INDEX('בתי מרקחת Raw'!$B:$B,MATCH($A627,'בתי מרקחת Raw'!$F:$F,0)),"")</f>
        <v>332B M</v>
      </c>
      <c r="C627" s="12" t="n">
        <f aca="false">SUMIFS('בתי מרקחת Raw'!$D$6:$D$1616,'בתי מרקחת Raw'!$F$6:$F$1616,$A627,'בתי מרקחת Raw'!$C$6:$C$1616,2025)</f>
        <v>1</v>
      </c>
      <c r="D627" s="12" t="n">
        <f aca="false">SUMIFS('בתי מרקחת Raw'!$D$6:$D$1616,'בתי מרקחת Raw'!$F$6:$F$1616,$A627,'בתי מרקחת Raw'!$C$6:$C$1616,2026)</f>
        <v>0</v>
      </c>
      <c r="E627" s="12" t="n">
        <f aca="false">D627*$J$5</f>
        <v>0</v>
      </c>
      <c r="F627" s="12" t="n">
        <f aca="false">E627-C627</f>
        <v>-1</v>
      </c>
      <c r="G627" s="21" t="n">
        <f aca="false">IF(AND(C627=0,E627=0),0,IF(C627=0,"New",(E627-C627)/C627))</f>
        <v>-1</v>
      </c>
      <c r="H627" s="12" t="n">
        <f aca="false">SUMIFS('בתי מרקחת Raw'!$E$6:$E$1616,'בתי מרקחת Raw'!$F$6:$F$1616,$A627,'בתי מרקחת Raw'!$C$6:$C$1616,2025)</f>
        <v>123.23</v>
      </c>
      <c r="I627" s="12" t="n">
        <f aca="false">SUMIFS('בתי מרקחת Raw'!$E$6:$E$1616,'בתי מרקחת Raw'!$F$6:$F$1616,$A627,'בתי מרקחת Raw'!$C$6:$C$1616,2026)</f>
        <v>0</v>
      </c>
      <c r="J627" s="12" t="n">
        <f aca="false">I627*$J$5</f>
        <v>0</v>
      </c>
    </row>
    <row r="628" customFormat="false" ht="15" hidden="false" customHeight="true" outlineLevel="0" collapsed="false">
      <c r="A628" s="12" t="s">
        <v>899</v>
      </c>
      <c r="B628" s="12" t="str">
        <f aca="false">IFERROR(INDEX('בתי מרקחת Raw'!$B:$B,MATCH($A628,'בתי מרקחת Raw'!$F:$F,0)),"")</f>
        <v>35 XS</v>
      </c>
      <c r="C628" s="12" t="n">
        <f aca="false">SUMIFS('בתי מרקחת Raw'!$D$6:$D$1616,'בתי מרקחת Raw'!$F$6:$F$1616,$A628,'בתי מרקחת Raw'!$C$6:$C$1616,2025)</f>
        <v>4</v>
      </c>
      <c r="D628" s="12" t="n">
        <f aca="false">SUMIFS('בתי מרקחת Raw'!$D$6:$D$1616,'בתי מרקחת Raw'!$F$6:$F$1616,$A628,'בתי מרקחת Raw'!$C$6:$C$1616,2026)</f>
        <v>0</v>
      </c>
      <c r="E628" s="12" t="n">
        <f aca="false">D628*$J$5</f>
        <v>0</v>
      </c>
      <c r="F628" s="12" t="n">
        <f aca="false">E628-C628</f>
        <v>-4</v>
      </c>
      <c r="G628" s="21" t="n">
        <f aca="false">IF(AND(C628=0,E628=0),0,IF(C628=0,"New",(E628-C628)/C628))</f>
        <v>-1</v>
      </c>
      <c r="H628" s="12" t="n">
        <f aca="false">SUMIFS('בתי מרקחת Raw'!$E$6:$E$1616,'בתי מרקחת Raw'!$F$6:$F$1616,$A628,'בתי מרקחת Raw'!$C$6:$C$1616,2025)</f>
        <v>121.26</v>
      </c>
      <c r="I628" s="12" t="n">
        <f aca="false">SUMIFS('בתי מרקחת Raw'!$E$6:$E$1616,'בתי מרקחת Raw'!$F$6:$F$1616,$A628,'בתי מרקחת Raw'!$C$6:$C$1616,2026)</f>
        <v>0</v>
      </c>
      <c r="J628" s="12" t="n">
        <f aca="false">I628*$J$5</f>
        <v>0</v>
      </c>
    </row>
    <row r="629" customFormat="false" ht="15" hidden="false" customHeight="true" outlineLevel="0" collapsed="false">
      <c r="A629" s="12" t="s">
        <v>900</v>
      </c>
      <c r="B629" s="12" t="str">
        <f aca="false">IFERROR(INDEX('בתי מרקחת Raw'!$B:$B,MATCH($A629,'בתי מרקחת Raw'!$F:$F,0)),"")</f>
        <v>376-38-40</v>
      </c>
      <c r="C629" s="12" t="n">
        <f aca="false">SUMIFS('בתי מרקחת Raw'!$D$6:$D$1616,'בתי מרקחת Raw'!$F$6:$F$1616,$A629,'בתי מרקחת Raw'!$C$6:$C$1616,2025)</f>
        <v>2</v>
      </c>
      <c r="D629" s="12" t="n">
        <f aca="false">SUMIFS('בתי מרקחת Raw'!$D$6:$D$1616,'בתי מרקחת Raw'!$F$6:$F$1616,$A629,'בתי מרקחת Raw'!$C$6:$C$1616,2026)</f>
        <v>0</v>
      </c>
      <c r="E629" s="12" t="n">
        <f aca="false">D629*$J$5</f>
        <v>0</v>
      </c>
      <c r="F629" s="12" t="n">
        <f aca="false">E629-C629</f>
        <v>-2</v>
      </c>
      <c r="G629" s="21" t="n">
        <f aca="false">IF(AND(C629=0,E629=0),0,IF(C629=0,"New",(E629-C629)/C629))</f>
        <v>-1</v>
      </c>
      <c r="H629" s="12" t="n">
        <f aca="false">SUMIFS('בתי מרקחת Raw'!$E$6:$E$1616,'בתי מרקחת Raw'!$F$6:$F$1616,$A629,'בתי מרקחת Raw'!$C$6:$C$1616,2025)</f>
        <v>66.09</v>
      </c>
      <c r="I629" s="12" t="n">
        <f aca="false">SUMIFS('בתי מרקחת Raw'!$E$6:$E$1616,'בתי מרקחת Raw'!$F$6:$F$1616,$A629,'בתי מרקחת Raw'!$C$6:$C$1616,2026)</f>
        <v>0</v>
      </c>
      <c r="J629" s="12" t="n">
        <f aca="false">I629*$J$5</f>
        <v>0</v>
      </c>
    </row>
    <row r="630" customFormat="false" ht="15" hidden="false" customHeight="true" outlineLevel="0" collapsed="false">
      <c r="A630" s="12" t="s">
        <v>901</v>
      </c>
      <c r="B630" s="12" t="str">
        <f aca="false">IFERROR(INDEX('בתי מרקחת Raw'!$B:$B,MATCH($A630,'בתי מרקחת Raw'!$F:$F,0)),"")</f>
        <v>376-44-45</v>
      </c>
      <c r="C630" s="12" t="n">
        <f aca="false">SUMIFS('בתי מרקחת Raw'!$D$6:$D$1616,'בתי מרקחת Raw'!$F$6:$F$1616,$A630,'בתי מרקחת Raw'!$C$6:$C$1616,2025)</f>
        <v>0</v>
      </c>
      <c r="D630" s="12" t="n">
        <f aca="false">SUMIFS('בתי מרקחת Raw'!$D$6:$D$1616,'בתי מרקחת Raw'!$F$6:$F$1616,$A630,'בתי מרקחת Raw'!$C$6:$C$1616,2026)</f>
        <v>2</v>
      </c>
      <c r="E630" s="12" t="n">
        <f aca="false">D630*$J$5</f>
        <v>2.52631578947368</v>
      </c>
      <c r="F630" s="12" t="n">
        <f aca="false">E630-C630</f>
        <v>2.52631578947368</v>
      </c>
      <c r="G630" s="21" t="str">
        <f aca="false">IF(AND(C630=0,E630=0),0,IF(C630=0,"New",(E630-C630)/C630))</f>
        <v>New</v>
      </c>
      <c r="H630" s="12" t="n">
        <f aca="false">SUMIFS('בתי מרקחת Raw'!$E$6:$E$1616,'בתי מרקחת Raw'!$F$6:$F$1616,$A630,'בתי מרקחת Raw'!$C$6:$C$1616,2025)</f>
        <v>0</v>
      </c>
      <c r="I630" s="12" t="n">
        <f aca="false">SUMIFS('בתי מרקחת Raw'!$E$6:$E$1616,'בתי מרקחת Raw'!$F$6:$F$1616,$A630,'בתי מרקחת Raw'!$C$6:$C$1616,2026)</f>
        <v>70.21</v>
      </c>
      <c r="J630" s="12" t="n">
        <f aca="false">I630*$J$5</f>
        <v>88.6863157894737</v>
      </c>
    </row>
    <row r="631" customFormat="false" ht="15" hidden="false" customHeight="true" outlineLevel="0" collapsed="false">
      <c r="A631" s="12" t="s">
        <v>902</v>
      </c>
      <c r="B631" s="12" t="str">
        <f aca="false">IFERROR(INDEX('בתי מרקחת Raw'!$B:$B,MATCH($A631,'בתי מרקחת Raw'!$F:$F,0)),"")</f>
        <v>390G-39-42</v>
      </c>
      <c r="C631" s="12" t="n">
        <f aca="false">SUMIFS('בתי מרקחת Raw'!$D$6:$D$1616,'בתי מרקחת Raw'!$F$6:$F$1616,$A631,'בתי מרקחת Raw'!$C$6:$C$1616,2025)</f>
        <v>6</v>
      </c>
      <c r="D631" s="12" t="n">
        <f aca="false">SUMIFS('בתי מרקחת Raw'!$D$6:$D$1616,'בתי מרקחת Raw'!$F$6:$F$1616,$A631,'בתי מרקחת Raw'!$C$6:$C$1616,2026)</f>
        <v>0</v>
      </c>
      <c r="E631" s="12" t="n">
        <f aca="false">D631*$J$5</f>
        <v>0</v>
      </c>
      <c r="F631" s="12" t="n">
        <f aca="false">E631-C631</f>
        <v>-6</v>
      </c>
      <c r="G631" s="21" t="n">
        <f aca="false">IF(AND(C631=0,E631=0),0,IF(C631=0,"New",(E631-C631)/C631))</f>
        <v>-1</v>
      </c>
      <c r="H631" s="12" t="n">
        <f aca="false">SUMIFS('בתי מרקחת Raw'!$E$6:$E$1616,'בתי מרקחת Raw'!$F$6:$F$1616,$A631,'בתי מרקחת Raw'!$C$6:$C$1616,2025)</f>
        <v>188.76</v>
      </c>
      <c r="I631" s="12" t="n">
        <f aca="false">SUMIFS('בתי מרקחת Raw'!$E$6:$E$1616,'בתי מרקחת Raw'!$F$6:$F$1616,$A631,'בתי מרקחת Raw'!$C$6:$C$1616,2026)</f>
        <v>0</v>
      </c>
      <c r="J631" s="12" t="n">
        <f aca="false">I631*$J$5</f>
        <v>0</v>
      </c>
    </row>
    <row r="632" customFormat="false" ht="15" hidden="false" customHeight="true" outlineLevel="0" collapsed="false">
      <c r="A632" s="12" t="s">
        <v>903</v>
      </c>
      <c r="B632" s="12" t="str">
        <f aca="false">IFERROR(INDEX('בתי מרקחת Raw'!$B:$B,MATCH($A632,'בתי מרקחת Raw'!$F:$F,0)),"")</f>
        <v>422 XL</v>
      </c>
      <c r="C632" s="12" t="n">
        <f aca="false">SUMIFS('בתי מרקחת Raw'!$D$6:$D$1616,'בתי מרקחת Raw'!$F$6:$F$1616,$A632,'בתי מרקחת Raw'!$C$6:$C$1616,2025)</f>
        <v>1</v>
      </c>
      <c r="D632" s="12" t="n">
        <f aca="false">SUMIFS('בתי מרקחת Raw'!$D$6:$D$1616,'בתי מרקחת Raw'!$F$6:$F$1616,$A632,'בתי מרקחת Raw'!$C$6:$C$1616,2026)</f>
        <v>0</v>
      </c>
      <c r="E632" s="12" t="n">
        <f aca="false">D632*$J$5</f>
        <v>0</v>
      </c>
      <c r="F632" s="12" t="n">
        <f aca="false">E632-C632</f>
        <v>-1</v>
      </c>
      <c r="G632" s="21" t="n">
        <f aca="false">IF(AND(C632=0,E632=0),0,IF(C632=0,"New",(E632-C632)/C632))</f>
        <v>-1</v>
      </c>
      <c r="H632" s="12" t="n">
        <f aca="false">SUMIFS('בתי מרקחת Raw'!$E$6:$E$1616,'בתי מרקחת Raw'!$F$6:$F$1616,$A632,'בתי מרקחת Raw'!$C$6:$C$1616,2025)</f>
        <v>174.86</v>
      </c>
      <c r="I632" s="12" t="n">
        <f aca="false">SUMIFS('בתי מרקחת Raw'!$E$6:$E$1616,'בתי מרקחת Raw'!$F$6:$F$1616,$A632,'בתי מרקחת Raw'!$C$6:$C$1616,2026)</f>
        <v>0</v>
      </c>
      <c r="J632" s="12" t="n">
        <f aca="false">I632*$J$5</f>
        <v>0</v>
      </c>
    </row>
    <row r="633" customFormat="false" ht="15" hidden="false" customHeight="true" outlineLevel="0" collapsed="false">
      <c r="A633" s="12" t="s">
        <v>904</v>
      </c>
      <c r="B633" s="12" t="str">
        <f aca="false">IFERROR(INDEX('בתי מרקחת Raw'!$B:$B,MATCH($A633,'בתי מרקחת Raw'!$F:$F,0)),"")</f>
        <v>422 XXL</v>
      </c>
      <c r="C633" s="12" t="n">
        <f aca="false">SUMIFS('בתי מרקחת Raw'!$D$6:$D$1616,'בתי מרקחת Raw'!$F$6:$F$1616,$A633,'בתי מרקחת Raw'!$C$6:$C$1616,2025)</f>
        <v>1</v>
      </c>
      <c r="D633" s="12" t="n">
        <f aca="false">SUMIFS('בתי מרקחת Raw'!$D$6:$D$1616,'בתי מרקחת Raw'!$F$6:$F$1616,$A633,'בתי מרקחת Raw'!$C$6:$C$1616,2026)</f>
        <v>0</v>
      </c>
      <c r="E633" s="12" t="n">
        <f aca="false">D633*$J$5</f>
        <v>0</v>
      </c>
      <c r="F633" s="12" t="n">
        <f aca="false">E633-C633</f>
        <v>-1</v>
      </c>
      <c r="G633" s="21" t="n">
        <f aca="false">IF(AND(C633=0,E633=0),0,IF(C633=0,"New",(E633-C633)/C633))</f>
        <v>-1</v>
      </c>
      <c r="H633" s="12" t="n">
        <f aca="false">SUMIFS('בתי מרקחת Raw'!$E$6:$E$1616,'בתי מרקחת Raw'!$F$6:$F$1616,$A633,'בתי מרקחת Raw'!$C$6:$C$1616,2025)</f>
        <v>187.45</v>
      </c>
      <c r="I633" s="12" t="n">
        <f aca="false">SUMIFS('בתי מרקחת Raw'!$E$6:$E$1616,'בתי מרקחת Raw'!$F$6:$F$1616,$A633,'בתי מרקחת Raw'!$C$6:$C$1616,2026)</f>
        <v>0</v>
      </c>
      <c r="J633" s="12" t="n">
        <f aca="false">I633*$J$5</f>
        <v>0</v>
      </c>
    </row>
    <row r="634" customFormat="false" ht="15" hidden="false" customHeight="true" outlineLevel="0" collapsed="false">
      <c r="A634" s="12" t="s">
        <v>905</v>
      </c>
      <c r="B634" s="12" t="str">
        <f aca="false">IFERROR(INDEX('בתי מרקחת Raw'!$B:$B,MATCH($A634,'בתי מרקחת Raw'!$F:$F,0)),"")</f>
        <v>422E XL</v>
      </c>
      <c r="C634" s="12" t="n">
        <f aca="false">SUMIFS('בתי מרקחת Raw'!$D$6:$D$1616,'בתי מרקחת Raw'!$F$6:$F$1616,$A634,'בתי מרקחת Raw'!$C$6:$C$1616,2025)</f>
        <v>1</v>
      </c>
      <c r="D634" s="12" t="n">
        <f aca="false">SUMIFS('בתי מרקחת Raw'!$D$6:$D$1616,'בתי מרקחת Raw'!$F$6:$F$1616,$A634,'בתי מרקחת Raw'!$C$6:$C$1616,2026)</f>
        <v>0</v>
      </c>
      <c r="E634" s="12" t="n">
        <f aca="false">D634*$J$5</f>
        <v>0</v>
      </c>
      <c r="F634" s="12" t="n">
        <f aca="false">E634-C634</f>
        <v>-1</v>
      </c>
      <c r="G634" s="21" t="n">
        <f aca="false">IF(AND(C634=0,E634=0),0,IF(C634=0,"New",(E634-C634)/C634))</f>
        <v>-1</v>
      </c>
      <c r="H634" s="12" t="n">
        <f aca="false">SUMIFS('בתי מרקחת Raw'!$E$6:$E$1616,'בתי מרקחת Raw'!$F$6:$F$1616,$A634,'בתי מרקחת Raw'!$C$6:$C$1616,2025)</f>
        <v>203.38</v>
      </c>
      <c r="I634" s="12" t="n">
        <f aca="false">SUMIFS('בתי מרקחת Raw'!$E$6:$E$1616,'בתי מרקחת Raw'!$F$6:$F$1616,$A634,'בתי מרקחת Raw'!$C$6:$C$1616,2026)</f>
        <v>0</v>
      </c>
      <c r="J634" s="12" t="n">
        <f aca="false">I634*$J$5</f>
        <v>0</v>
      </c>
    </row>
    <row r="635" customFormat="false" ht="15" hidden="false" customHeight="true" outlineLevel="0" collapsed="false">
      <c r="A635" s="12" t="s">
        <v>906</v>
      </c>
      <c r="B635" s="12" t="str">
        <f aca="false">IFERROR(INDEX('בתי מרקחת Raw'!$B:$B,MATCH($A635,'בתי מרקחת Raw'!$F:$F,0)),"")</f>
        <v>422EB L</v>
      </c>
      <c r="C635" s="12" t="n">
        <f aca="false">SUMIFS('בתי מרקחת Raw'!$D$6:$D$1616,'בתי מרקחת Raw'!$F$6:$F$1616,$A635,'בתי מרקחת Raw'!$C$6:$C$1616,2025)</f>
        <v>1</v>
      </c>
      <c r="D635" s="12" t="n">
        <f aca="false">SUMIFS('בתי מרקחת Raw'!$D$6:$D$1616,'בתי מרקחת Raw'!$F$6:$F$1616,$A635,'בתי מרקחת Raw'!$C$6:$C$1616,2026)</f>
        <v>0</v>
      </c>
      <c r="E635" s="12" t="n">
        <f aca="false">D635*$J$5</f>
        <v>0</v>
      </c>
      <c r="F635" s="12" t="n">
        <f aca="false">E635-C635</f>
        <v>-1</v>
      </c>
      <c r="G635" s="21" t="n">
        <f aca="false">IF(AND(C635=0,E635=0),0,IF(C635=0,"New",(E635-C635)/C635))</f>
        <v>-1</v>
      </c>
      <c r="H635" s="12" t="n">
        <f aca="false">SUMIFS('בתי מרקחת Raw'!$E$6:$E$1616,'בתי מרקחת Raw'!$F$6:$F$1616,$A635,'בתי מרקחת Raw'!$C$6:$C$1616,2025)</f>
        <v>203.38</v>
      </c>
      <c r="I635" s="12" t="n">
        <f aca="false">SUMIFS('בתי מרקחת Raw'!$E$6:$E$1616,'בתי מרקחת Raw'!$F$6:$F$1616,$A635,'בתי מרקחת Raw'!$C$6:$C$1616,2026)</f>
        <v>0</v>
      </c>
      <c r="J635" s="12" t="n">
        <f aca="false">I635*$J$5</f>
        <v>0</v>
      </c>
    </row>
    <row r="636" customFormat="false" ht="15" hidden="false" customHeight="true" outlineLevel="0" collapsed="false">
      <c r="A636" s="12" t="s">
        <v>907</v>
      </c>
      <c r="B636" s="12" t="str">
        <f aca="false">IFERROR(INDEX('בתי מרקחת Raw'!$B:$B,MATCH($A636,'בתי מרקחת Raw'!$F:$F,0)),"")</f>
        <v>422ED L</v>
      </c>
      <c r="C636" s="12" t="n">
        <f aca="false">SUMIFS('בתי מרקחת Raw'!$D$6:$D$1616,'בתי מרקחת Raw'!$F$6:$F$1616,$A636,'בתי מרקחת Raw'!$C$6:$C$1616,2025)</f>
        <v>0</v>
      </c>
      <c r="D636" s="12" t="n">
        <f aca="false">SUMIFS('בתי מרקחת Raw'!$D$6:$D$1616,'בתי מרקחת Raw'!$F$6:$F$1616,$A636,'בתי מרקחת Raw'!$C$6:$C$1616,2026)</f>
        <v>1</v>
      </c>
      <c r="E636" s="12" t="n">
        <f aca="false">D636*$J$5</f>
        <v>1.26315789473684</v>
      </c>
      <c r="F636" s="12" t="n">
        <f aca="false">E636-C636</f>
        <v>1.26315789473684</v>
      </c>
      <c r="G636" s="21" t="str">
        <f aca="false">IF(AND(C636=0,E636=0),0,IF(C636=0,"New",(E636-C636)/C636))</f>
        <v>New</v>
      </c>
      <c r="H636" s="12" t="n">
        <f aca="false">SUMIFS('בתי מרקחת Raw'!$E$6:$E$1616,'בתי מרקחת Raw'!$F$6:$F$1616,$A636,'בתי מרקחת Raw'!$C$6:$C$1616,2025)</f>
        <v>0</v>
      </c>
      <c r="I636" s="12" t="n">
        <f aca="false">SUMIFS('בתי מרקחת Raw'!$E$6:$E$1616,'בתי מרקחת Raw'!$F$6:$F$1616,$A636,'בתי מרקחת Raw'!$C$6:$C$1616,2026)</f>
        <v>330.88</v>
      </c>
      <c r="J636" s="12" t="n">
        <f aca="false">I636*$J$5</f>
        <v>417.953684210526</v>
      </c>
    </row>
    <row r="637" customFormat="false" ht="15" hidden="false" customHeight="true" outlineLevel="0" collapsed="false">
      <c r="A637" s="12" t="s">
        <v>908</v>
      </c>
      <c r="B637" s="12" t="str">
        <f aca="false">IFERROR(INDEX('בתי מרקחת Raw'!$B:$B,MATCH($A637,'בתי מרקחת Raw'!$F:$F,0)),"")</f>
        <v>45C XXL</v>
      </c>
      <c r="C637" s="12" t="n">
        <f aca="false">SUMIFS('בתי מרקחת Raw'!$D$6:$D$1616,'בתי מרקחת Raw'!$F$6:$F$1616,$A637,'בתי מרקחת Raw'!$C$6:$C$1616,2025)</f>
        <v>2</v>
      </c>
      <c r="D637" s="12" t="n">
        <f aca="false">SUMIFS('בתי מרקחת Raw'!$D$6:$D$1616,'בתי מרקחת Raw'!$F$6:$F$1616,$A637,'בתי מרקחת Raw'!$C$6:$C$1616,2026)</f>
        <v>1</v>
      </c>
      <c r="E637" s="12" t="n">
        <f aca="false">D637*$J$5</f>
        <v>1.26315789473684</v>
      </c>
      <c r="F637" s="12" t="n">
        <f aca="false">E637-C637</f>
        <v>-0.736842105263158</v>
      </c>
      <c r="G637" s="21" t="n">
        <f aca="false">IF(AND(C637=0,E637=0),0,IF(C637=0,"New",(E637-C637)/C637))</f>
        <v>-0.368421052631579</v>
      </c>
      <c r="H637" s="12" t="n">
        <f aca="false">SUMIFS('בתי מרקחת Raw'!$E$6:$E$1616,'בתי מרקחת Raw'!$F$6:$F$1616,$A637,'בתי מרקחת Raw'!$C$6:$C$1616,2025)</f>
        <v>61.78</v>
      </c>
      <c r="I637" s="12" t="n">
        <f aca="false">SUMIFS('בתי מרקחת Raw'!$E$6:$E$1616,'בתי מרקחת Raw'!$F$6:$F$1616,$A637,'בתי מרקחת Raw'!$C$6:$C$1616,2026)</f>
        <v>30.89</v>
      </c>
      <c r="J637" s="12" t="n">
        <f aca="false">I637*$J$5</f>
        <v>39.0189473684211</v>
      </c>
    </row>
    <row r="638" customFormat="false" ht="15" hidden="false" customHeight="true" outlineLevel="0" collapsed="false">
      <c r="A638" s="12" t="s">
        <v>909</v>
      </c>
      <c r="B638" s="12" t="str">
        <f aca="false">IFERROR(INDEX('בתי מרקחת Raw'!$B:$B,MATCH($A638,'בתי מרקחת Raw'!$F:$F,0)),"")</f>
        <v>48 S</v>
      </c>
      <c r="C638" s="12" t="n">
        <f aca="false">SUMIFS('בתי מרקחת Raw'!$D$6:$D$1616,'בתי מרקחת Raw'!$F$6:$F$1616,$A638,'בתי מרקחת Raw'!$C$6:$C$1616,2025)</f>
        <v>0</v>
      </c>
      <c r="D638" s="12" t="n">
        <f aca="false">SUMIFS('בתי מרקחת Raw'!$D$6:$D$1616,'בתי מרקחת Raw'!$F$6:$F$1616,$A638,'בתי מרקחת Raw'!$C$6:$C$1616,2026)</f>
        <v>2</v>
      </c>
      <c r="E638" s="12" t="n">
        <f aca="false">D638*$J$5</f>
        <v>2.52631578947368</v>
      </c>
      <c r="F638" s="12" t="n">
        <f aca="false">E638-C638</f>
        <v>2.52631578947368</v>
      </c>
      <c r="G638" s="21" t="str">
        <f aca="false">IF(AND(C638=0,E638=0),0,IF(C638=0,"New",(E638-C638)/C638))</f>
        <v>New</v>
      </c>
      <c r="H638" s="12" t="n">
        <f aca="false">SUMIFS('בתי מרקחת Raw'!$E$6:$E$1616,'בתי מרקחת Raw'!$F$6:$F$1616,$A638,'בתי מרקחת Raw'!$C$6:$C$1616,2025)</f>
        <v>0</v>
      </c>
      <c r="I638" s="12" t="n">
        <f aca="false">SUMIFS('בתי מרקחת Raw'!$E$6:$E$1616,'בתי מרקחת Raw'!$F$6:$F$1616,$A638,'בתי מרקחת Raw'!$C$6:$C$1616,2026)</f>
        <v>113.34</v>
      </c>
      <c r="J638" s="12" t="n">
        <f aca="false">I638*$J$5</f>
        <v>143.166315789474</v>
      </c>
    </row>
    <row r="639" customFormat="false" ht="15" hidden="false" customHeight="true" outlineLevel="0" collapsed="false">
      <c r="A639" s="12" t="s">
        <v>910</v>
      </c>
      <c r="B639" s="12" t="str">
        <f aca="false">IFERROR(INDEX('בתי מרקחת Raw'!$B:$B,MATCH($A639,'בתי מרקחת Raw'!$F:$F,0)),"")</f>
        <v>48 XL</v>
      </c>
      <c r="C639" s="12" t="n">
        <f aca="false">SUMIFS('בתי מרקחת Raw'!$D$6:$D$1616,'בתי מרקחת Raw'!$F$6:$F$1616,$A639,'בתי מרקחת Raw'!$C$6:$C$1616,2025)</f>
        <v>4</v>
      </c>
      <c r="D639" s="12" t="n">
        <f aca="false">SUMIFS('בתי מרקחת Raw'!$D$6:$D$1616,'בתי מרקחת Raw'!$F$6:$F$1616,$A639,'בתי מרקחת Raw'!$C$6:$C$1616,2026)</f>
        <v>0</v>
      </c>
      <c r="E639" s="12" t="n">
        <f aca="false">D639*$J$5</f>
        <v>0</v>
      </c>
      <c r="F639" s="12" t="n">
        <f aca="false">E639-C639</f>
        <v>-4</v>
      </c>
      <c r="G639" s="21" t="n">
        <f aca="false">IF(AND(C639=0,E639=0),0,IF(C639=0,"New",(E639-C639)/C639))</f>
        <v>-1</v>
      </c>
      <c r="H639" s="12" t="n">
        <f aca="false">SUMIFS('בתי מרקחת Raw'!$E$6:$E$1616,'בתי מרקחת Raw'!$F$6:$F$1616,$A639,'בתי מרקחת Raw'!$C$6:$C$1616,2025)</f>
        <v>226.69</v>
      </c>
      <c r="I639" s="12" t="n">
        <f aca="false">SUMIFS('בתי מרקחת Raw'!$E$6:$E$1616,'בתי מרקחת Raw'!$F$6:$F$1616,$A639,'בתי מרקחת Raw'!$C$6:$C$1616,2026)</f>
        <v>0</v>
      </c>
      <c r="J639" s="12" t="n">
        <f aca="false">I639*$J$5</f>
        <v>0</v>
      </c>
    </row>
    <row r="640" customFormat="false" ht="15" hidden="false" customHeight="true" outlineLevel="0" collapsed="false">
      <c r="A640" s="12" t="s">
        <v>911</v>
      </c>
      <c r="B640" s="12" t="str">
        <f aca="false">IFERROR(INDEX('בתי מרקחת Raw'!$B:$B,MATCH($A640,'בתי מרקחת Raw'!$F:$F,0)),"")</f>
        <v>49PS L</v>
      </c>
      <c r="C640" s="12" t="n">
        <f aca="false">SUMIFS('בתי מרקחת Raw'!$D$6:$D$1616,'בתי מרקחת Raw'!$F$6:$F$1616,$A640,'בתי מרקחת Raw'!$C$6:$C$1616,2025)</f>
        <v>2</v>
      </c>
      <c r="D640" s="12" t="n">
        <f aca="false">SUMIFS('בתי מרקחת Raw'!$D$6:$D$1616,'בתי מרקחת Raw'!$F$6:$F$1616,$A640,'בתי מרקחת Raw'!$C$6:$C$1616,2026)</f>
        <v>1</v>
      </c>
      <c r="E640" s="12" t="n">
        <f aca="false">D640*$J$5</f>
        <v>1.26315789473684</v>
      </c>
      <c r="F640" s="12" t="n">
        <f aca="false">E640-C640</f>
        <v>-0.736842105263158</v>
      </c>
      <c r="G640" s="21" t="n">
        <f aca="false">IF(AND(C640=0,E640=0),0,IF(C640=0,"New",(E640-C640)/C640))</f>
        <v>-0.368421052631579</v>
      </c>
      <c r="H640" s="12" t="n">
        <f aca="false">SUMIFS('בתי מרקחת Raw'!$E$6:$E$1616,'בתי מרקחת Raw'!$F$6:$F$1616,$A640,'בתי מרקחת Raw'!$C$6:$C$1616,2025)</f>
        <v>228.54</v>
      </c>
      <c r="I640" s="12" t="n">
        <f aca="false">SUMIFS('בתי מרקחת Raw'!$E$6:$E$1616,'בתי מרקחת Raw'!$F$6:$F$1616,$A640,'בתי מרקחת Raw'!$C$6:$C$1616,2026)</f>
        <v>133.54</v>
      </c>
      <c r="J640" s="12" t="n">
        <f aca="false">I640*$J$5</f>
        <v>168.682105263158</v>
      </c>
    </row>
    <row r="641" customFormat="false" ht="15" hidden="false" customHeight="true" outlineLevel="0" collapsed="false">
      <c r="A641" s="12" t="s">
        <v>912</v>
      </c>
      <c r="B641" s="12" t="str">
        <f aca="false">IFERROR(INDEX('בתי מרקחת Raw'!$B:$B,MATCH($A641,'בתי מרקחת Raw'!$F:$F,0)),"")</f>
        <v>49PS M</v>
      </c>
      <c r="C641" s="12" t="n">
        <f aca="false">SUMIFS('בתי מרקחת Raw'!$D$6:$D$1616,'בתי מרקחת Raw'!$F$6:$F$1616,$A641,'בתי מרקחת Raw'!$C$6:$C$1616,2025)</f>
        <v>1</v>
      </c>
      <c r="D641" s="12" t="n">
        <f aca="false">SUMIFS('בתי מרקחת Raw'!$D$6:$D$1616,'בתי מרקחת Raw'!$F$6:$F$1616,$A641,'בתי מרקחת Raw'!$C$6:$C$1616,2026)</f>
        <v>0</v>
      </c>
      <c r="E641" s="12" t="n">
        <f aca="false">D641*$J$5</f>
        <v>0</v>
      </c>
      <c r="F641" s="12" t="n">
        <f aca="false">E641-C641</f>
        <v>-1</v>
      </c>
      <c r="G641" s="21" t="n">
        <f aca="false">IF(AND(C641=0,E641=0),0,IF(C641=0,"New",(E641-C641)/C641))</f>
        <v>-1</v>
      </c>
      <c r="H641" s="12" t="n">
        <f aca="false">SUMIFS('בתי מרקחת Raw'!$E$6:$E$1616,'בתי מרקחת Raw'!$F$6:$F$1616,$A641,'בתי מרקחת Raw'!$C$6:$C$1616,2025)</f>
        <v>133.54</v>
      </c>
      <c r="I641" s="12" t="n">
        <f aca="false">SUMIFS('בתי מרקחת Raw'!$E$6:$E$1616,'בתי מרקחת Raw'!$F$6:$F$1616,$A641,'בתי מרקחת Raw'!$C$6:$C$1616,2026)</f>
        <v>0</v>
      </c>
      <c r="J641" s="12" t="n">
        <f aca="false">I641*$J$5</f>
        <v>0</v>
      </c>
    </row>
    <row r="642" customFormat="false" ht="15" hidden="false" customHeight="true" outlineLevel="0" collapsed="false">
      <c r="A642" s="12" t="s">
        <v>913</v>
      </c>
      <c r="B642" s="12" t="str">
        <f aca="false">IFERROR(INDEX('בתי מרקחת Raw'!$B:$B,MATCH($A642,'בתי מרקחת Raw'!$F:$F,0)),"")</f>
        <v>49PS XL</v>
      </c>
      <c r="C642" s="12" t="n">
        <f aca="false">SUMIFS('בתי מרקחת Raw'!$D$6:$D$1616,'בתי מרקחת Raw'!$F$6:$F$1616,$A642,'בתי מרקחת Raw'!$C$6:$C$1616,2025)</f>
        <v>0</v>
      </c>
      <c r="D642" s="12" t="n">
        <f aca="false">SUMIFS('בתי מרקחת Raw'!$D$6:$D$1616,'בתי מרקחת Raw'!$F$6:$F$1616,$A642,'בתי מרקחת Raw'!$C$6:$C$1616,2026)</f>
        <v>1</v>
      </c>
      <c r="E642" s="12" t="n">
        <f aca="false">D642*$J$5</f>
        <v>1.26315789473684</v>
      </c>
      <c r="F642" s="12" t="n">
        <f aca="false">E642-C642</f>
        <v>1.26315789473684</v>
      </c>
      <c r="G642" s="21" t="str">
        <f aca="false">IF(AND(C642=0,E642=0),0,IF(C642=0,"New",(E642-C642)/C642))</f>
        <v>New</v>
      </c>
      <c r="H642" s="12" t="n">
        <f aca="false">SUMIFS('בתי מרקחת Raw'!$E$6:$E$1616,'בתי מרקחת Raw'!$F$6:$F$1616,$A642,'בתי מרקחת Raw'!$C$6:$C$1616,2025)</f>
        <v>0</v>
      </c>
      <c r="I642" s="12" t="n">
        <f aca="false">SUMIFS('בתי מרקחת Raw'!$E$6:$E$1616,'בתי מרקחת Raw'!$F$6:$F$1616,$A642,'בתי מרקחת Raw'!$C$6:$C$1616,2026)</f>
        <v>133.54</v>
      </c>
      <c r="J642" s="12" t="n">
        <f aca="false">I642*$J$5</f>
        <v>168.682105263158</v>
      </c>
    </row>
    <row r="643" customFormat="false" ht="15" hidden="false" customHeight="true" outlineLevel="0" collapsed="false">
      <c r="A643" s="12" t="s">
        <v>914</v>
      </c>
      <c r="B643" s="12" t="str">
        <f aca="false">IFERROR(INDEX('בתי מרקחת Raw'!$B:$B,MATCH($A643,'בתי מרקחת Raw'!$F:$F,0)),"")</f>
        <v>50 S</v>
      </c>
      <c r="C643" s="12" t="n">
        <f aca="false">SUMIFS('בתי מרקחת Raw'!$D$6:$D$1616,'בתי מרקחת Raw'!$F$6:$F$1616,$A643,'בתי מרקחת Raw'!$C$6:$C$1616,2025)</f>
        <v>0</v>
      </c>
      <c r="D643" s="12" t="n">
        <f aca="false">SUMIFS('בתי מרקחת Raw'!$D$6:$D$1616,'בתי מרקחת Raw'!$F$6:$F$1616,$A643,'בתי מרקחת Raw'!$C$6:$C$1616,2026)</f>
        <v>2</v>
      </c>
      <c r="E643" s="12" t="n">
        <f aca="false">D643*$J$5</f>
        <v>2.52631578947368</v>
      </c>
      <c r="F643" s="12" t="n">
        <f aca="false">E643-C643</f>
        <v>2.52631578947368</v>
      </c>
      <c r="G643" s="21" t="str">
        <f aca="false">IF(AND(C643=0,E643=0),0,IF(C643=0,"New",(E643-C643)/C643))</f>
        <v>New</v>
      </c>
      <c r="H643" s="12" t="n">
        <f aca="false">SUMIFS('בתי מרקחת Raw'!$E$6:$E$1616,'בתי מרקחת Raw'!$F$6:$F$1616,$A643,'בתי מרקחת Raw'!$C$6:$C$1616,2025)</f>
        <v>0</v>
      </c>
      <c r="I643" s="12" t="n">
        <f aca="false">SUMIFS('בתי מרקחת Raw'!$E$6:$E$1616,'בתי מרקחת Raw'!$F$6:$F$1616,$A643,'בתי מרקחת Raw'!$C$6:$C$1616,2026)</f>
        <v>222.08</v>
      </c>
      <c r="J643" s="12" t="n">
        <f aca="false">I643*$J$5</f>
        <v>280.522105263158</v>
      </c>
    </row>
    <row r="644" customFormat="false" ht="15" hidden="false" customHeight="true" outlineLevel="0" collapsed="false">
      <c r="A644" s="12" t="s">
        <v>915</v>
      </c>
      <c r="B644" s="12" t="str">
        <f aca="false">IFERROR(INDEX('בתי מרקחת Raw'!$B:$B,MATCH($A644,'בתי מרקחת Raw'!$F:$F,0)),"")</f>
        <v>50 XXL</v>
      </c>
      <c r="C644" s="12" t="n">
        <f aca="false">SUMIFS('בתי מרקחת Raw'!$D$6:$D$1616,'בתי מרקחת Raw'!$F$6:$F$1616,$A644,'בתי מרקחת Raw'!$C$6:$C$1616,2025)</f>
        <v>2</v>
      </c>
      <c r="D644" s="12" t="n">
        <f aca="false">SUMIFS('בתי מרקחת Raw'!$D$6:$D$1616,'בתי מרקחת Raw'!$F$6:$F$1616,$A644,'בתי מרקחת Raw'!$C$6:$C$1616,2026)</f>
        <v>3</v>
      </c>
      <c r="E644" s="12" t="n">
        <f aca="false">D644*$J$5</f>
        <v>3.78947368421053</v>
      </c>
      <c r="F644" s="12" t="n">
        <f aca="false">E644-C644</f>
        <v>1.78947368421053</v>
      </c>
      <c r="G644" s="21" t="n">
        <f aca="false">IF(AND(C644=0,E644=0),0,IF(C644=0,"New",(E644-C644)/C644))</f>
        <v>0.894736842105263</v>
      </c>
      <c r="H644" s="12" t="n">
        <f aca="false">SUMIFS('בתי מרקחת Raw'!$E$6:$E$1616,'בתי מרקחת Raw'!$F$6:$F$1616,$A644,'בתי מרקחת Raw'!$C$6:$C$1616,2025)</f>
        <v>180.04</v>
      </c>
      <c r="I644" s="12" t="n">
        <f aca="false">SUMIFS('בתי מרקחת Raw'!$E$6:$E$1616,'בתי מרקחת Raw'!$F$6:$F$1616,$A644,'בתי מרקחת Raw'!$C$6:$C$1616,2026)</f>
        <v>333.11</v>
      </c>
      <c r="J644" s="12" t="n">
        <f aca="false">I644*$J$5</f>
        <v>420.77052631579</v>
      </c>
    </row>
    <row r="645" customFormat="false" ht="15" hidden="false" customHeight="true" outlineLevel="0" collapsed="false">
      <c r="A645" s="12" t="s">
        <v>916</v>
      </c>
      <c r="B645" s="12" t="str">
        <f aca="false">IFERROR(INDEX('בתי מרקחת Raw'!$B:$B,MATCH($A645,'בתי מרקחת Raw'!$F:$F,0)),"")</f>
        <v>55 M</v>
      </c>
      <c r="C645" s="12" t="n">
        <f aca="false">SUMIFS('בתי מרקחת Raw'!$D$6:$D$1616,'בתי מרקחת Raw'!$F$6:$F$1616,$A645,'בתי מרקחת Raw'!$C$6:$C$1616,2025)</f>
        <v>1</v>
      </c>
      <c r="D645" s="12" t="n">
        <f aca="false">SUMIFS('בתי מרקחת Raw'!$D$6:$D$1616,'בתי מרקחת Raw'!$F$6:$F$1616,$A645,'בתי מרקחת Raw'!$C$6:$C$1616,2026)</f>
        <v>2</v>
      </c>
      <c r="E645" s="12" t="n">
        <f aca="false">D645*$J$5</f>
        <v>2.52631578947368</v>
      </c>
      <c r="F645" s="12" t="n">
        <f aca="false">E645-C645</f>
        <v>1.52631578947368</v>
      </c>
      <c r="G645" s="21" t="n">
        <f aca="false">IF(AND(C645=0,E645=0),0,IF(C645=0,"New",(E645-C645)/C645))</f>
        <v>1.52631578947368</v>
      </c>
      <c r="H645" s="12" t="n">
        <f aca="false">SUMIFS('בתי מרקחת Raw'!$E$6:$E$1616,'בתי מרקחת Raw'!$F$6:$F$1616,$A645,'בתי מרקחת Raw'!$C$6:$C$1616,2025)</f>
        <v>80.32</v>
      </c>
      <c r="I645" s="12" t="n">
        <f aca="false">SUMIFS('בתי מרקחת Raw'!$E$6:$E$1616,'בתי מרקחת Raw'!$F$6:$F$1616,$A645,'בתי מרקחת Raw'!$C$6:$C$1616,2026)</f>
        <v>168.64</v>
      </c>
      <c r="J645" s="12" t="n">
        <f aca="false">I645*$J$5</f>
        <v>213.018947368421</v>
      </c>
    </row>
    <row r="646" customFormat="false" ht="15" hidden="false" customHeight="true" outlineLevel="0" collapsed="false">
      <c r="A646" s="12" t="s">
        <v>917</v>
      </c>
      <c r="B646" s="12" t="str">
        <f aca="false">IFERROR(INDEX('בתי מרקחת Raw'!$B:$B,MATCH($A646,'בתי מרקחת Raw'!$F:$F,0)),"")</f>
        <v>55 XXL</v>
      </c>
      <c r="C646" s="12" t="n">
        <f aca="false">SUMIFS('בתי מרקחת Raw'!$D$6:$D$1616,'בתי מרקחת Raw'!$F$6:$F$1616,$A646,'בתי מרקחת Raw'!$C$6:$C$1616,2025)</f>
        <v>3</v>
      </c>
      <c r="D646" s="12" t="n">
        <f aca="false">SUMIFS('בתי מרקחת Raw'!$D$6:$D$1616,'בתי מרקחת Raw'!$F$6:$F$1616,$A646,'בתי מרקחת Raw'!$C$6:$C$1616,2026)</f>
        <v>1</v>
      </c>
      <c r="E646" s="12" t="n">
        <f aca="false">D646*$J$5</f>
        <v>1.26315789473684</v>
      </c>
      <c r="F646" s="12" t="n">
        <f aca="false">E646-C646</f>
        <v>-1.73684210526316</v>
      </c>
      <c r="G646" s="21" t="n">
        <f aca="false">IF(AND(C646=0,E646=0),0,IF(C646=0,"New",(E646-C646)/C646))</f>
        <v>-0.578947368421053</v>
      </c>
      <c r="H646" s="12" t="n">
        <f aca="false">SUMIFS('בתי מרקחת Raw'!$E$6:$E$1616,'בתי מרקחת Raw'!$F$6:$F$1616,$A646,'בתי מרקחת Raw'!$C$6:$C$1616,2025)</f>
        <v>252.96</v>
      </c>
      <c r="I646" s="12" t="n">
        <f aca="false">SUMIFS('בתי מרקחת Raw'!$E$6:$E$1616,'בתי מרקחת Raw'!$F$6:$F$1616,$A646,'בתי מרקחת Raw'!$C$6:$C$1616,2026)</f>
        <v>84.32</v>
      </c>
      <c r="J646" s="12" t="n">
        <f aca="false">I646*$J$5</f>
        <v>106.509473684211</v>
      </c>
    </row>
    <row r="647" customFormat="false" ht="15" hidden="false" customHeight="true" outlineLevel="0" collapsed="false">
      <c r="A647" s="12" t="s">
        <v>918</v>
      </c>
      <c r="B647" s="12" t="str">
        <f aca="false">IFERROR(INDEX('בתי מרקחת Raw'!$B:$B,MATCH($A647,'בתי מרקחת Raw'!$F:$F,0)),"")</f>
        <v>56B XL</v>
      </c>
      <c r="C647" s="12" t="n">
        <f aca="false">SUMIFS('בתי מרקחת Raw'!$D$6:$D$1616,'בתי מרקחת Raw'!$F$6:$F$1616,$A647,'בתי מרקחת Raw'!$C$6:$C$1616,2025)</f>
        <v>0</v>
      </c>
      <c r="D647" s="12" t="n">
        <f aca="false">SUMIFS('בתי מרקחת Raw'!$D$6:$D$1616,'בתי מרקחת Raw'!$F$6:$F$1616,$A647,'בתי מרקחת Raw'!$C$6:$C$1616,2026)</f>
        <v>3</v>
      </c>
      <c r="E647" s="12" t="n">
        <f aca="false">D647*$J$5</f>
        <v>3.78947368421053</v>
      </c>
      <c r="F647" s="12" t="n">
        <f aca="false">E647-C647</f>
        <v>3.78947368421053</v>
      </c>
      <c r="G647" s="21" t="str">
        <f aca="false">IF(AND(C647=0,E647=0),0,IF(C647=0,"New",(E647-C647)/C647))</f>
        <v>New</v>
      </c>
      <c r="H647" s="12" t="n">
        <f aca="false">SUMIFS('בתי מרקחת Raw'!$E$6:$E$1616,'בתי מרקחת Raw'!$F$6:$F$1616,$A647,'בתי מרקחת Raw'!$C$6:$C$1616,2025)</f>
        <v>0</v>
      </c>
      <c r="I647" s="12" t="n">
        <f aca="false">SUMIFS('בתי מרקחת Raw'!$E$6:$E$1616,'בתי מרקחת Raw'!$F$6:$F$1616,$A647,'בתי מרקחת Raw'!$C$6:$C$1616,2026)</f>
        <v>252.96</v>
      </c>
      <c r="J647" s="12" t="n">
        <f aca="false">I647*$J$5</f>
        <v>319.528421052632</v>
      </c>
    </row>
    <row r="648" customFormat="false" ht="15" hidden="false" customHeight="true" outlineLevel="0" collapsed="false">
      <c r="A648" s="12" t="s">
        <v>919</v>
      </c>
      <c r="B648" s="12" t="str">
        <f aca="false">IFERROR(INDEX('בתי מרקחת Raw'!$B:$B,MATCH($A648,'בתי מרקחת Raw'!$F:$F,0)),"")</f>
        <v>59R XXL</v>
      </c>
      <c r="C648" s="12" t="n">
        <f aca="false">SUMIFS('בתי מרקחת Raw'!$D$6:$D$1616,'בתי מרקחת Raw'!$F$6:$F$1616,$A648,'בתי מרקחת Raw'!$C$6:$C$1616,2025)</f>
        <v>0</v>
      </c>
      <c r="D648" s="12" t="n">
        <f aca="false">SUMIFS('בתי מרקחת Raw'!$D$6:$D$1616,'בתי מרקחת Raw'!$F$6:$F$1616,$A648,'בתי מרקחת Raw'!$C$6:$C$1616,2026)</f>
        <v>1</v>
      </c>
      <c r="E648" s="12" t="n">
        <f aca="false">D648*$J$5</f>
        <v>1.26315789473684</v>
      </c>
      <c r="F648" s="12" t="n">
        <f aca="false">E648-C648</f>
        <v>1.26315789473684</v>
      </c>
      <c r="G648" s="21" t="str">
        <f aca="false">IF(AND(C648=0,E648=0),0,IF(C648=0,"New",(E648-C648)/C648))</f>
        <v>New</v>
      </c>
      <c r="H648" s="12" t="n">
        <f aca="false">SUMIFS('בתי מרקחת Raw'!$E$6:$E$1616,'בתי מרקחת Raw'!$F$6:$F$1616,$A648,'בתי מרקחת Raw'!$C$6:$C$1616,2025)</f>
        <v>0</v>
      </c>
      <c r="I648" s="12" t="n">
        <f aca="false">SUMIFS('בתי מרקחת Raw'!$E$6:$E$1616,'בתי מרקחת Raw'!$F$6:$F$1616,$A648,'בתי מרקחת Raw'!$C$6:$C$1616,2026)</f>
        <v>187.45</v>
      </c>
      <c r="J648" s="12" t="n">
        <f aca="false">I648*$J$5</f>
        <v>236.778947368421</v>
      </c>
    </row>
    <row r="649" customFormat="false" ht="15" hidden="false" customHeight="true" outlineLevel="0" collapsed="false">
      <c r="A649" s="12" t="s">
        <v>920</v>
      </c>
      <c r="B649" s="12" t="str">
        <f aca="false">IFERROR(INDEX('בתי מרקחת Raw'!$B:$B,MATCH($A649,'בתי מרקחת Raw'!$F:$F,0)),"")</f>
        <v>63 L</v>
      </c>
      <c r="C649" s="12" t="n">
        <f aca="false">SUMIFS('בתי מרקחת Raw'!$D$6:$D$1616,'בתי מרקחת Raw'!$F$6:$F$1616,$A649,'בתי מרקחת Raw'!$C$6:$C$1616,2025)</f>
        <v>1</v>
      </c>
      <c r="D649" s="12" t="n">
        <f aca="false">SUMIFS('בתי מרקחת Raw'!$D$6:$D$1616,'בתי מרקחת Raw'!$F$6:$F$1616,$A649,'בתי מרקחת Raw'!$C$6:$C$1616,2026)</f>
        <v>0</v>
      </c>
      <c r="E649" s="12" t="n">
        <f aca="false">D649*$J$5</f>
        <v>0</v>
      </c>
      <c r="F649" s="12" t="n">
        <f aca="false">E649-C649</f>
        <v>-1</v>
      </c>
      <c r="G649" s="21" t="n">
        <f aca="false">IF(AND(C649=0,E649=0),0,IF(C649=0,"New",(E649-C649)/C649))</f>
        <v>-1</v>
      </c>
      <c r="H649" s="12" t="n">
        <f aca="false">SUMIFS('בתי מרקחת Raw'!$E$6:$E$1616,'בתי מרקחת Raw'!$F$6:$F$1616,$A649,'בתי מרקחת Raw'!$C$6:$C$1616,2025)</f>
        <v>66.51</v>
      </c>
      <c r="I649" s="12" t="n">
        <f aca="false">SUMIFS('בתי מרקחת Raw'!$E$6:$E$1616,'בתי מרקחת Raw'!$F$6:$F$1616,$A649,'בתי מרקחת Raw'!$C$6:$C$1616,2026)</f>
        <v>0</v>
      </c>
      <c r="J649" s="12" t="n">
        <f aca="false">I649*$J$5</f>
        <v>0</v>
      </c>
    </row>
    <row r="650" customFormat="false" ht="15" hidden="false" customHeight="true" outlineLevel="0" collapsed="false">
      <c r="A650" s="12" t="s">
        <v>921</v>
      </c>
      <c r="B650" s="12" t="str">
        <f aca="false">IFERROR(INDEX('בתי מרקחת Raw'!$B:$B,MATCH($A650,'בתי מרקחת Raw'!$F:$F,0)),"")</f>
        <v>63 S</v>
      </c>
      <c r="C650" s="12" t="n">
        <f aca="false">SUMIFS('בתי מרקחת Raw'!$D$6:$D$1616,'בתי מרקחת Raw'!$F$6:$F$1616,$A650,'בתי מרקחת Raw'!$C$6:$C$1616,2025)</f>
        <v>0</v>
      </c>
      <c r="D650" s="12" t="n">
        <f aca="false">SUMIFS('בתי מרקחת Raw'!$D$6:$D$1616,'בתי מרקחת Raw'!$F$6:$F$1616,$A650,'בתי מרקחת Raw'!$C$6:$C$1616,2026)</f>
        <v>1</v>
      </c>
      <c r="E650" s="12" t="n">
        <f aca="false">D650*$J$5</f>
        <v>1.26315789473684</v>
      </c>
      <c r="F650" s="12" t="n">
        <f aca="false">E650-C650</f>
        <v>1.26315789473684</v>
      </c>
      <c r="G650" s="21" t="str">
        <f aca="false">IF(AND(C650=0,E650=0),0,IF(C650=0,"New",(E650-C650)/C650))</f>
        <v>New</v>
      </c>
      <c r="H650" s="12" t="n">
        <f aca="false">SUMIFS('בתי מרקחת Raw'!$E$6:$E$1616,'בתי מרקחת Raw'!$F$6:$F$1616,$A650,'בתי מרקחת Raw'!$C$6:$C$1616,2025)</f>
        <v>0</v>
      </c>
      <c r="I650" s="12" t="n">
        <f aca="false">SUMIFS('בתי מרקחת Raw'!$E$6:$E$1616,'בתי מרקחת Raw'!$F$6:$F$1616,$A650,'בתי מרקחת Raw'!$C$6:$C$1616,2026)</f>
        <v>66.51</v>
      </c>
      <c r="J650" s="12" t="n">
        <f aca="false">I650*$J$5</f>
        <v>84.0126315789474</v>
      </c>
    </row>
    <row r="651" customFormat="false" ht="15" hidden="false" customHeight="true" outlineLevel="0" collapsed="false">
      <c r="A651" s="12" t="s">
        <v>922</v>
      </c>
      <c r="B651" s="12" t="str">
        <f aca="false">IFERROR(INDEX('בתי מרקחת Raw'!$B:$B,MATCH($A651,'בתי מרקחת Raw'!$F:$F,0)),"")</f>
        <v>67 0</v>
      </c>
      <c r="C651" s="12" t="n">
        <f aca="false">SUMIFS('בתי מרקחת Raw'!$D$6:$D$1616,'בתי מרקחת Raw'!$F$6:$F$1616,$A651,'בתי מרקחת Raw'!$C$6:$C$1616,2025)</f>
        <v>108</v>
      </c>
      <c r="D651" s="12" t="n">
        <f aca="false">SUMIFS('בתי מרקחת Raw'!$D$6:$D$1616,'בתי מרקחת Raw'!$F$6:$F$1616,$A651,'בתי מרקחת Raw'!$C$6:$C$1616,2026)</f>
        <v>51</v>
      </c>
      <c r="E651" s="12" t="n">
        <f aca="false">D651*$J$5</f>
        <v>64.421052631579</v>
      </c>
      <c r="F651" s="12" t="n">
        <f aca="false">E651-C651</f>
        <v>-43.5789473684211</v>
      </c>
      <c r="G651" s="21" t="n">
        <f aca="false">IF(AND(C651=0,E651=0),0,IF(C651=0,"New",(E651-C651)/C651))</f>
        <v>-0.403508771929825</v>
      </c>
      <c r="H651" s="12" t="n">
        <f aca="false">SUMIFS('בתי מרקחת Raw'!$E$6:$E$1616,'בתי מרקחת Raw'!$F$6:$F$1616,$A651,'בתי מרקחת Raw'!$C$6:$C$1616,2025)</f>
        <v>13580.19</v>
      </c>
      <c r="I651" s="12" t="n">
        <f aca="false">SUMIFS('בתי מרקחת Raw'!$E$6:$E$1616,'בתי מרקחת Raw'!$F$6:$F$1616,$A651,'בתי מרקחת Raw'!$C$6:$C$1616,2026)</f>
        <v>8495.51</v>
      </c>
      <c r="J651" s="12" t="n">
        <f aca="false">I651*$J$5</f>
        <v>10731.1705263158</v>
      </c>
    </row>
    <row r="652" customFormat="false" ht="15" hidden="false" customHeight="true" outlineLevel="0" collapsed="false">
      <c r="A652" s="12" t="s">
        <v>923</v>
      </c>
      <c r="B652" s="12" t="str">
        <f aca="false">IFERROR(INDEX('בתי מרקחת Raw'!$B:$B,MATCH($A652,'בתי מרקחת Raw'!$F:$F,0)),"")</f>
        <v>67600000</v>
      </c>
      <c r="C652" s="12" t="n">
        <f aca="false">SUMIFS('בתי מרקחת Raw'!$D$6:$D$1616,'בתי מרקחת Raw'!$F$6:$F$1616,$A652,'בתי מרקחת Raw'!$C$6:$C$1616,2025)</f>
        <v>0</v>
      </c>
      <c r="D652" s="12" t="n">
        <f aca="false">SUMIFS('בתי מרקחת Raw'!$D$6:$D$1616,'בתי מרקחת Raw'!$F$6:$F$1616,$A652,'בתי מרקחת Raw'!$C$6:$C$1616,2026)</f>
        <v>3</v>
      </c>
      <c r="E652" s="12" t="n">
        <f aca="false">D652*$J$5</f>
        <v>3.78947368421053</v>
      </c>
      <c r="F652" s="12" t="n">
        <f aca="false">E652-C652</f>
        <v>3.78947368421053</v>
      </c>
      <c r="G652" s="21" t="str">
        <f aca="false">IF(AND(C652=0,E652=0),0,IF(C652=0,"New",(E652-C652)/C652))</f>
        <v>New</v>
      </c>
      <c r="H652" s="12" t="n">
        <f aca="false">SUMIFS('בתי מרקחת Raw'!$E$6:$E$1616,'בתי מרקחת Raw'!$F$6:$F$1616,$A652,'בתי מרקחת Raw'!$C$6:$C$1616,2025)</f>
        <v>0</v>
      </c>
      <c r="I652" s="12" t="n">
        <f aca="false">SUMIFS('בתי מרקחת Raw'!$E$6:$E$1616,'בתי מרקחת Raw'!$F$6:$F$1616,$A652,'בתי מרקחת Raw'!$C$6:$C$1616,2026)</f>
        <v>0</v>
      </c>
      <c r="J652" s="12" t="n">
        <f aca="false">I652*$J$5</f>
        <v>0</v>
      </c>
    </row>
    <row r="653" customFormat="false" ht="15" hidden="false" customHeight="true" outlineLevel="0" collapsed="false">
      <c r="A653" s="12" t="s">
        <v>924</v>
      </c>
      <c r="B653" s="12" t="str">
        <f aca="false">IFERROR(INDEX('בתי מרקחת Raw'!$B:$B,MATCH($A653,'בתי מרקחת Raw'!$F:$F,0)),"")</f>
        <v>776 L</v>
      </c>
      <c r="C653" s="12" t="n">
        <f aca="false">SUMIFS('בתי מרקחת Raw'!$D$6:$D$1616,'בתי מרקחת Raw'!$F$6:$F$1616,$A653,'בתי מרקחת Raw'!$C$6:$C$1616,2025)</f>
        <v>1</v>
      </c>
      <c r="D653" s="12" t="n">
        <f aca="false">SUMIFS('בתי מרקחת Raw'!$D$6:$D$1616,'בתי מרקחת Raw'!$F$6:$F$1616,$A653,'בתי מרקחת Raw'!$C$6:$C$1616,2026)</f>
        <v>0</v>
      </c>
      <c r="E653" s="12" t="n">
        <f aca="false">D653*$J$5</f>
        <v>0</v>
      </c>
      <c r="F653" s="12" t="n">
        <f aca="false">E653-C653</f>
        <v>-1</v>
      </c>
      <c r="G653" s="21" t="n">
        <f aca="false">IF(AND(C653=0,E653=0),0,IF(C653=0,"New",(E653-C653)/C653))</f>
        <v>-1</v>
      </c>
      <c r="H653" s="12" t="n">
        <f aca="false">SUMIFS('בתי מרקחת Raw'!$E$6:$E$1616,'בתי מרקחת Raw'!$F$6:$F$1616,$A653,'בתי מרקחת Raw'!$C$6:$C$1616,2025)</f>
        <v>472.68</v>
      </c>
      <c r="I653" s="12" t="n">
        <f aca="false">SUMIFS('בתי מרקחת Raw'!$E$6:$E$1616,'בתי מרקחת Raw'!$F$6:$F$1616,$A653,'בתי מרקחת Raw'!$C$6:$C$1616,2026)</f>
        <v>0</v>
      </c>
      <c r="J653" s="12" t="n">
        <f aca="false">I653*$J$5</f>
        <v>0</v>
      </c>
    </row>
    <row r="654" customFormat="false" ht="15" hidden="false" customHeight="true" outlineLevel="0" collapsed="false">
      <c r="A654" s="12" t="s">
        <v>925</v>
      </c>
      <c r="B654" s="12" t="str">
        <f aca="false">IFERROR(INDEX('בתי מרקחת Raw'!$B:$B,MATCH($A654,'בתי מרקחת Raw'!$F:$F,0)),"")</f>
        <v>776 M</v>
      </c>
      <c r="C654" s="12" t="n">
        <f aca="false">SUMIFS('בתי מרקחת Raw'!$D$6:$D$1616,'בתי מרקחת Raw'!$F$6:$F$1616,$A654,'בתי מרקחת Raw'!$C$6:$C$1616,2025)</f>
        <v>1</v>
      </c>
      <c r="D654" s="12" t="n">
        <f aca="false">SUMIFS('בתי מרקחת Raw'!$D$6:$D$1616,'בתי מרקחת Raw'!$F$6:$F$1616,$A654,'בתי מרקחת Raw'!$C$6:$C$1616,2026)</f>
        <v>0</v>
      </c>
      <c r="E654" s="12" t="n">
        <f aca="false">D654*$J$5</f>
        <v>0</v>
      </c>
      <c r="F654" s="12" t="n">
        <f aca="false">E654-C654</f>
        <v>-1</v>
      </c>
      <c r="G654" s="21" t="n">
        <f aca="false">IF(AND(C654=0,E654=0),0,IF(C654=0,"New",(E654-C654)/C654))</f>
        <v>-1</v>
      </c>
      <c r="H654" s="12" t="n">
        <f aca="false">SUMIFS('בתי מרקחת Raw'!$E$6:$E$1616,'בתי מרקחת Raw'!$F$6:$F$1616,$A654,'בתי מרקחת Raw'!$C$6:$C$1616,2025)</f>
        <v>472.7</v>
      </c>
      <c r="I654" s="12" t="n">
        <f aca="false">SUMIFS('בתי מרקחת Raw'!$E$6:$E$1616,'בתי מרקחת Raw'!$F$6:$F$1616,$A654,'בתי מרקחת Raw'!$C$6:$C$1616,2026)</f>
        <v>0</v>
      </c>
      <c r="J654" s="12" t="n">
        <f aca="false">I654*$J$5</f>
        <v>0</v>
      </c>
    </row>
    <row r="655" customFormat="false" ht="15" hidden="false" customHeight="true" outlineLevel="0" collapsed="false">
      <c r="A655" s="12" t="s">
        <v>926</v>
      </c>
      <c r="B655" s="12" t="str">
        <f aca="false">IFERROR(INDEX('בתי מרקחת Raw'!$B:$B,MATCH($A655,'בתי מרקחת Raw'!$F:$F,0)),"")</f>
        <v>776 XXL</v>
      </c>
      <c r="C655" s="12" t="n">
        <f aca="false">SUMIFS('בתי מרקחת Raw'!$D$6:$D$1616,'בתי מרקחת Raw'!$F$6:$F$1616,$A655,'בתי מרקחת Raw'!$C$6:$C$1616,2025)</f>
        <v>1</v>
      </c>
      <c r="D655" s="12" t="n">
        <f aca="false">SUMIFS('בתי מרקחת Raw'!$D$6:$D$1616,'בתי מרקחת Raw'!$F$6:$F$1616,$A655,'בתי מרקחת Raw'!$C$6:$C$1616,2026)</f>
        <v>0</v>
      </c>
      <c r="E655" s="12" t="n">
        <f aca="false">D655*$J$5</f>
        <v>0</v>
      </c>
      <c r="F655" s="12" t="n">
        <f aca="false">E655-C655</f>
        <v>-1</v>
      </c>
      <c r="G655" s="21" t="n">
        <f aca="false">IF(AND(C655=0,E655=0),0,IF(C655=0,"New",(E655-C655)/C655))</f>
        <v>-1</v>
      </c>
      <c r="H655" s="12" t="n">
        <f aca="false">SUMIFS('בתי מרקחת Raw'!$E$6:$E$1616,'בתי מרקחת Raw'!$F$6:$F$1616,$A655,'בתי מרקחת Raw'!$C$6:$C$1616,2025)</f>
        <v>472.9</v>
      </c>
      <c r="I655" s="12" t="n">
        <f aca="false">SUMIFS('בתי מרקחת Raw'!$E$6:$E$1616,'בתי מרקחת Raw'!$F$6:$F$1616,$A655,'בתי מרקחת Raw'!$C$6:$C$1616,2026)</f>
        <v>0</v>
      </c>
      <c r="J655" s="12" t="n">
        <f aca="false">I655*$J$5</f>
        <v>0</v>
      </c>
    </row>
    <row r="656" customFormat="false" ht="15" hidden="false" customHeight="true" outlineLevel="0" collapsed="false">
      <c r="A656" s="12" t="s">
        <v>927</v>
      </c>
      <c r="B656" s="12" t="str">
        <f aca="false">IFERROR(INDEX('בתי מרקחת Raw'!$B:$B,MATCH($A656,'בתי מרקחת Raw'!$F:$F,0)),"")</f>
        <v>78A S</v>
      </c>
      <c r="C656" s="12" t="n">
        <f aca="false">SUMIFS('בתי מרקחת Raw'!$D$6:$D$1616,'בתי מרקחת Raw'!$F$6:$F$1616,$A656,'בתי מרקחת Raw'!$C$6:$C$1616,2025)</f>
        <v>1</v>
      </c>
      <c r="D656" s="12" t="n">
        <f aca="false">SUMIFS('בתי מרקחת Raw'!$D$6:$D$1616,'בתי מרקחת Raw'!$F$6:$F$1616,$A656,'בתי מרקחת Raw'!$C$6:$C$1616,2026)</f>
        <v>0</v>
      </c>
      <c r="E656" s="12" t="n">
        <f aca="false">D656*$J$5</f>
        <v>0</v>
      </c>
      <c r="F656" s="12" t="n">
        <f aca="false">E656-C656</f>
        <v>-1</v>
      </c>
      <c r="G656" s="21" t="n">
        <f aca="false">IF(AND(C656=0,E656=0),0,IF(C656=0,"New",(E656-C656)/C656))</f>
        <v>-1</v>
      </c>
      <c r="H656" s="12" t="n">
        <f aca="false">SUMIFS('בתי מרקחת Raw'!$E$6:$E$1616,'בתי מרקחת Raw'!$F$6:$F$1616,$A656,'בתי מרקחת Raw'!$C$6:$C$1616,2025)</f>
        <v>165.41</v>
      </c>
      <c r="I656" s="12" t="n">
        <f aca="false">SUMIFS('בתי מרקחת Raw'!$E$6:$E$1616,'בתי מרקחת Raw'!$F$6:$F$1616,$A656,'בתי מרקחת Raw'!$C$6:$C$1616,2026)</f>
        <v>0</v>
      </c>
      <c r="J656" s="12" t="n">
        <f aca="false">I656*$J$5</f>
        <v>0</v>
      </c>
    </row>
    <row r="657" customFormat="false" ht="15" hidden="false" customHeight="true" outlineLevel="0" collapsed="false">
      <c r="A657" s="12" t="s">
        <v>928</v>
      </c>
      <c r="B657" s="12" t="str">
        <f aca="false">IFERROR(INDEX('בתי מרקחת Raw'!$B:$B,MATCH($A657,'בתי מרקחת Raw'!$F:$F,0)),"")</f>
        <v>84-S-M</v>
      </c>
      <c r="C657" s="12" t="n">
        <f aca="false">SUMIFS('בתי מרקחת Raw'!$D$6:$D$1616,'בתי מרקחת Raw'!$F$6:$F$1616,$A657,'בתי מרקחת Raw'!$C$6:$C$1616,2025)</f>
        <v>1</v>
      </c>
      <c r="D657" s="12" t="n">
        <f aca="false">SUMIFS('בתי מרקחת Raw'!$D$6:$D$1616,'בתי מרקחת Raw'!$F$6:$F$1616,$A657,'בתי מרקחת Raw'!$C$6:$C$1616,2026)</f>
        <v>0</v>
      </c>
      <c r="E657" s="12" t="n">
        <f aca="false">D657*$J$5</f>
        <v>0</v>
      </c>
      <c r="F657" s="12" t="n">
        <f aca="false">E657-C657</f>
        <v>-1</v>
      </c>
      <c r="G657" s="21" t="n">
        <f aca="false">IF(AND(C657=0,E657=0),0,IF(C657=0,"New",(E657-C657)/C657))</f>
        <v>-1</v>
      </c>
      <c r="H657" s="12" t="n">
        <f aca="false">SUMIFS('בתי מרקחת Raw'!$E$6:$E$1616,'בתי מרקחת Raw'!$F$6:$F$1616,$A657,'בתי מרקחת Raw'!$C$6:$C$1616,2025)</f>
        <v>140.24</v>
      </c>
      <c r="I657" s="12" t="n">
        <f aca="false">SUMIFS('בתי מרקחת Raw'!$E$6:$E$1616,'בתי מרקחת Raw'!$F$6:$F$1616,$A657,'בתי מרקחת Raw'!$C$6:$C$1616,2026)</f>
        <v>0</v>
      </c>
      <c r="J657" s="12" t="n">
        <f aca="false">I657*$J$5</f>
        <v>0</v>
      </c>
    </row>
    <row r="658" customFormat="false" ht="15" hidden="false" customHeight="true" outlineLevel="0" collapsed="false">
      <c r="A658" s="12" t="s">
        <v>929</v>
      </c>
      <c r="B658" s="12" t="str">
        <f aca="false">IFERROR(INDEX('בתי מרקחת Raw'!$B:$B,MATCH($A658,'בתי מרקחת Raw'!$F:$F,0)),"")</f>
        <v>FC316 0</v>
      </c>
      <c r="C658" s="12" t="n">
        <f aca="false">SUMIFS('בתי מרקחת Raw'!$D$6:$D$1616,'בתי מרקחת Raw'!$F$6:$F$1616,$A658,'בתי מרקחת Raw'!$C$6:$C$1616,2025)</f>
        <v>-1</v>
      </c>
      <c r="D658" s="12" t="n">
        <f aca="false">SUMIFS('בתי מרקחת Raw'!$D$6:$D$1616,'בתי מרקחת Raw'!$F$6:$F$1616,$A658,'בתי מרקחת Raw'!$C$6:$C$1616,2026)</f>
        <v>0</v>
      </c>
      <c r="E658" s="12" t="n">
        <f aca="false">D658*$J$5</f>
        <v>0</v>
      </c>
      <c r="F658" s="12" t="n">
        <f aca="false">E658-C658</f>
        <v>1</v>
      </c>
      <c r="G658" s="21" t="n">
        <f aca="false">IF(AND(C658=0,E658=0),0,IF(C658=0,"New",(E658-C658)/C658))</f>
        <v>-1</v>
      </c>
      <c r="H658" s="12" t="n">
        <f aca="false">SUMIFS('בתי מרקחת Raw'!$E$6:$E$1616,'בתי מרקחת Raw'!$F$6:$F$1616,$A658,'בתי מרקחת Raw'!$C$6:$C$1616,2025)</f>
        <v>-37.77</v>
      </c>
      <c r="I658" s="12" t="n">
        <f aca="false">SUMIFS('בתי מרקחת Raw'!$E$6:$E$1616,'בתי מרקחת Raw'!$F$6:$F$1616,$A658,'בתי מרקחת Raw'!$C$6:$C$1616,2026)</f>
        <v>0</v>
      </c>
      <c r="J658" s="12" t="n">
        <f aca="false">I658*$J$5</f>
        <v>0</v>
      </c>
    </row>
    <row r="659" customFormat="false" ht="15" hidden="false" customHeight="true" outlineLevel="0" collapsed="false">
      <c r="A659" s="12" t="s">
        <v>930</v>
      </c>
      <c r="B659" s="12" t="str">
        <f aca="false">IFERROR(INDEX('בתי מרקחת Raw'!$B:$B,MATCH($A659,'בתי מרקחת Raw'!$F:$F,0)),"")</f>
        <v>M93</v>
      </c>
      <c r="C659" s="12" t="n">
        <f aca="false">SUMIFS('בתי מרקחת Raw'!$D$6:$D$1616,'בתי מרקחת Raw'!$F$6:$F$1616,$A659,'בתי מרקחת Raw'!$C$6:$C$1616,2025)</f>
        <v>17</v>
      </c>
      <c r="D659" s="12" t="n">
        <f aca="false">SUMIFS('בתי מרקחת Raw'!$D$6:$D$1616,'בתי מרקחת Raw'!$F$6:$F$1616,$A659,'בתי מרקחת Raw'!$C$6:$C$1616,2026)</f>
        <v>5</v>
      </c>
      <c r="E659" s="12" t="n">
        <f aca="false">D659*$J$5</f>
        <v>6.31578947368421</v>
      </c>
      <c r="F659" s="12" t="n">
        <f aca="false">E659-C659</f>
        <v>-10.6842105263158</v>
      </c>
      <c r="G659" s="21" t="n">
        <f aca="false">IF(AND(C659=0,E659=0),0,IF(C659=0,"New",(E659-C659)/C659))</f>
        <v>-0.628482972136223</v>
      </c>
      <c r="H659" s="12" t="n">
        <f aca="false">SUMIFS('בתי מרקחת Raw'!$E$6:$E$1616,'בתי מרקחת Raw'!$F$6:$F$1616,$A659,'בתי מרקחת Raw'!$C$6:$C$1616,2025)</f>
        <v>511.6</v>
      </c>
      <c r="I659" s="12" t="n">
        <f aca="false">SUMIFS('בתי מרקחת Raw'!$E$6:$E$1616,'בתי מרקחת Raw'!$F$6:$F$1616,$A659,'בתי מרקחת Raw'!$C$6:$C$1616,2026)</f>
        <v>136.26</v>
      </c>
      <c r="J659" s="12" t="n">
        <f aca="false">I659*$J$5</f>
        <v>172.117894736842</v>
      </c>
    </row>
    <row r="660" customFormat="false" ht="15" hidden="false" customHeight="true" outlineLevel="0" collapsed="false">
      <c r="A660" s="12" t="s">
        <v>931</v>
      </c>
      <c r="B660" s="12" t="str">
        <f aca="false">IFERROR(INDEX('בתי מרקחת Raw'!$B:$B,MATCH($A660,'בתי מרקחת Raw'!$F:$F,0)),"")</f>
        <v>SH776 L</v>
      </c>
      <c r="C660" s="12" t="n">
        <f aca="false">SUMIFS('בתי מרקחת Raw'!$D$6:$D$1616,'בתי מרקחת Raw'!$F$6:$F$1616,$A660,'בתי מרקחת Raw'!$C$6:$C$1616,2025)</f>
        <v>0</v>
      </c>
      <c r="D660" s="12" t="n">
        <f aca="false">SUMIFS('בתי מרקחת Raw'!$D$6:$D$1616,'בתי מרקחת Raw'!$F$6:$F$1616,$A660,'בתי מרקחת Raw'!$C$6:$C$1616,2026)</f>
        <v>1</v>
      </c>
      <c r="E660" s="12" t="n">
        <f aca="false">D660*$J$5</f>
        <v>1.26315789473684</v>
      </c>
      <c r="F660" s="12" t="n">
        <f aca="false">E660-C660</f>
        <v>1.26315789473684</v>
      </c>
      <c r="G660" s="21" t="str">
        <f aca="false">IF(AND(C660=0,E660=0),0,IF(C660=0,"New",(E660-C660)/C660))</f>
        <v>New</v>
      </c>
      <c r="H660" s="12" t="n">
        <f aca="false">SUMIFS('בתי מרקחת Raw'!$E$6:$E$1616,'בתי מרקחת Raw'!$F$6:$F$1616,$A660,'בתי מרקחת Raw'!$C$6:$C$1616,2025)</f>
        <v>0</v>
      </c>
      <c r="I660" s="12" t="n">
        <f aca="false">SUMIFS('בתי מרקחת Raw'!$E$6:$E$1616,'בתי מרקחת Raw'!$F$6:$F$1616,$A660,'בתי מרקחת Raw'!$C$6:$C$1616,2026)</f>
        <v>350</v>
      </c>
      <c r="J660" s="12" t="n">
        <f aca="false">I660*$J$5</f>
        <v>442.105263157895</v>
      </c>
    </row>
    <row r="661" customFormat="false" ht="15" hidden="false" customHeight="true" outlineLevel="0" collapsed="false">
      <c r="A661" s="12" t="s">
        <v>932</v>
      </c>
      <c r="B661" s="12" t="str">
        <f aca="false">IFERROR(INDEX('בתי מרקחת Raw'!$B:$B,MATCH($A661,'בתי מרקחת Raw'!$F:$F,0)),"")</f>
        <v>T28A XS</v>
      </c>
      <c r="C661" s="12" t="n">
        <f aca="false">SUMIFS('בתי מרקחת Raw'!$D$6:$D$1616,'בתי מרקחת Raw'!$F$6:$F$1616,$A661,'בתי מרקחת Raw'!$C$6:$C$1616,2025)</f>
        <v>2</v>
      </c>
      <c r="D661" s="12" t="n">
        <f aca="false">SUMIFS('בתי מרקחת Raw'!$D$6:$D$1616,'בתי מרקחת Raw'!$F$6:$F$1616,$A661,'בתי מרקחת Raw'!$C$6:$C$1616,2026)</f>
        <v>0</v>
      </c>
      <c r="E661" s="12" t="n">
        <f aca="false">D661*$J$5</f>
        <v>0</v>
      </c>
      <c r="F661" s="12" t="n">
        <f aca="false">E661-C661</f>
        <v>-2</v>
      </c>
      <c r="G661" s="21" t="n">
        <f aca="false">IF(AND(C661=0,E661=0),0,IF(C661=0,"New",(E661-C661)/C661))</f>
        <v>-1</v>
      </c>
      <c r="H661" s="12" t="n">
        <f aca="false">SUMIFS('בתי מרקחת Raw'!$E$6:$E$1616,'בתי מרקחת Raw'!$F$6:$F$1616,$A661,'בתי מרקחת Raw'!$C$6:$C$1616,2025)</f>
        <v>140.54</v>
      </c>
      <c r="I661" s="12" t="n">
        <f aca="false">SUMIFS('בתי מרקחת Raw'!$E$6:$E$1616,'בתי מרקחת Raw'!$F$6:$F$1616,$A661,'בתי מרקחת Raw'!$C$6:$C$1616,2026)</f>
        <v>0</v>
      </c>
      <c r="J661" s="12" t="n">
        <f aca="false">I661*$J$5</f>
        <v>0</v>
      </c>
    </row>
    <row r="662" customFormat="false" ht="15" hidden="false" customHeight="true" outlineLevel="0" collapsed="false">
      <c r="A662" s="12" t="s">
        <v>933</v>
      </c>
      <c r="B662" s="12" t="str">
        <f aca="false">IFERROR(INDEX('בתי מרקחת Raw'!$B:$B,MATCH($A662,'בתי מרקחת Raw'!$F:$F,0)),"")</f>
        <v>T28AC XS</v>
      </c>
      <c r="C662" s="12" t="n">
        <f aca="false">SUMIFS('בתי מרקחת Raw'!$D$6:$D$1616,'בתי מרקחת Raw'!$F$6:$F$1616,$A662,'בתי מרקחת Raw'!$C$6:$C$1616,2025)</f>
        <v>2</v>
      </c>
      <c r="D662" s="12" t="n">
        <f aca="false">SUMIFS('בתי מרקחת Raw'!$D$6:$D$1616,'בתי מרקחת Raw'!$F$6:$F$1616,$A662,'בתי מרקחת Raw'!$C$6:$C$1616,2026)</f>
        <v>0</v>
      </c>
      <c r="E662" s="12" t="n">
        <f aca="false">D662*$J$5</f>
        <v>0</v>
      </c>
      <c r="F662" s="12" t="n">
        <f aca="false">E662-C662</f>
        <v>-2</v>
      </c>
      <c r="G662" s="21" t="n">
        <f aca="false">IF(AND(C662=0,E662=0),0,IF(C662=0,"New",(E662-C662)/C662))</f>
        <v>-1</v>
      </c>
      <c r="H662" s="12" t="n">
        <f aca="false">SUMIFS('בתי מרקחת Raw'!$E$6:$E$1616,'בתי מרקחת Raw'!$F$6:$F$1616,$A662,'בתי מרקחת Raw'!$C$6:$C$1616,2025)</f>
        <v>140.52</v>
      </c>
      <c r="I662" s="12" t="n">
        <f aca="false">SUMIFS('בתי מרקחת Raw'!$E$6:$E$1616,'בתי מרקחת Raw'!$F$6:$F$1616,$A662,'בתי מרקחת Raw'!$C$6:$C$1616,2026)</f>
        <v>0</v>
      </c>
      <c r="J662" s="12" t="n">
        <f aca="false">I662*$J$5</f>
        <v>0</v>
      </c>
    </row>
    <row r="663" customFormat="false" ht="15" hidden="false" customHeight="true" outlineLevel="0" collapsed="false">
      <c r="A663" s="12" t="s">
        <v>934</v>
      </c>
      <c r="B663" s="12" t="str">
        <f aca="false">IFERROR(INDEX('בתי מרקחת Raw'!$B:$B,MATCH($A663,'בתי מרקחת Raw'!$F:$F,0)),"")</f>
        <v>T39 L</v>
      </c>
      <c r="C663" s="12" t="n">
        <f aca="false">SUMIFS('בתי מרקחת Raw'!$D$6:$D$1616,'בתי מרקחת Raw'!$F$6:$F$1616,$A663,'בתי מרקחת Raw'!$C$6:$C$1616,2025)</f>
        <v>2</v>
      </c>
      <c r="D663" s="12" t="n">
        <f aca="false">SUMIFS('בתי מרקחת Raw'!$D$6:$D$1616,'בתי מרקחת Raw'!$F$6:$F$1616,$A663,'בתי מרקחת Raw'!$C$6:$C$1616,2026)</f>
        <v>0</v>
      </c>
      <c r="E663" s="12" t="n">
        <f aca="false">D663*$J$5</f>
        <v>0</v>
      </c>
      <c r="F663" s="12" t="n">
        <f aca="false">E663-C663</f>
        <v>-2</v>
      </c>
      <c r="G663" s="21" t="n">
        <f aca="false">IF(AND(C663=0,E663=0),0,IF(C663=0,"New",(E663-C663)/C663))</f>
        <v>-1</v>
      </c>
      <c r="H663" s="12" t="n">
        <f aca="false">SUMIFS('בתי מרקחת Raw'!$E$6:$E$1616,'בתי מרקחת Raw'!$F$6:$F$1616,$A663,'בתי מרקחת Raw'!$C$6:$C$1616,2025)</f>
        <v>215.52</v>
      </c>
      <c r="I663" s="12" t="n">
        <f aca="false">SUMIFS('בתי מרקחת Raw'!$E$6:$E$1616,'בתי מרקחת Raw'!$F$6:$F$1616,$A663,'בתי מרקחת Raw'!$C$6:$C$1616,2026)</f>
        <v>0</v>
      </c>
      <c r="J663" s="12" t="n">
        <f aca="false">I663*$J$5</f>
        <v>0</v>
      </c>
    </row>
    <row r="664" customFormat="false" ht="15" hidden="false" customHeight="true" outlineLevel="0" collapsed="false">
      <c r="A664" s="12" t="s">
        <v>935</v>
      </c>
      <c r="B664" s="12" t="str">
        <f aca="false">IFERROR(INDEX('בתי מרקחת Raw'!$B:$B,MATCH($A664,'בתי מרקחת Raw'!$F:$F,0)),"")</f>
        <v>T39 M</v>
      </c>
      <c r="C664" s="12" t="n">
        <f aca="false">SUMIFS('בתי מרקחת Raw'!$D$6:$D$1616,'בתי מרקחת Raw'!$F$6:$F$1616,$A664,'בתי מרקחת Raw'!$C$6:$C$1616,2025)</f>
        <v>1</v>
      </c>
      <c r="D664" s="12" t="n">
        <f aca="false">SUMIFS('בתי מרקחת Raw'!$D$6:$D$1616,'בתי מרקחת Raw'!$F$6:$F$1616,$A664,'בתי מרקחת Raw'!$C$6:$C$1616,2026)</f>
        <v>0</v>
      </c>
      <c r="E664" s="12" t="n">
        <f aca="false">D664*$J$5</f>
        <v>0</v>
      </c>
      <c r="F664" s="12" t="n">
        <f aca="false">E664-C664</f>
        <v>-1</v>
      </c>
      <c r="G664" s="21" t="n">
        <f aca="false">IF(AND(C664=0,E664=0),0,IF(C664=0,"New",(E664-C664)/C664))</f>
        <v>-1</v>
      </c>
      <c r="H664" s="12" t="n">
        <f aca="false">SUMIFS('בתי מרקחת Raw'!$E$6:$E$1616,'בתי מרקחת Raw'!$F$6:$F$1616,$A664,'בתי מרקחת Raw'!$C$6:$C$1616,2025)</f>
        <v>107.76</v>
      </c>
      <c r="I664" s="12" t="n">
        <f aca="false">SUMIFS('בתי מרקחת Raw'!$E$6:$E$1616,'בתי מרקחת Raw'!$F$6:$F$1616,$A664,'בתי מרקחת Raw'!$C$6:$C$1616,2026)</f>
        <v>0</v>
      </c>
      <c r="J664" s="12" t="n">
        <f aca="false">I664*$J$5</f>
        <v>0</v>
      </c>
    </row>
    <row r="665" customFormat="false" ht="15" hidden="false" customHeight="true" outlineLevel="0" collapsed="false">
      <c r="A665" s="12" t="s">
        <v>936</v>
      </c>
      <c r="B665" s="12" t="str">
        <f aca="false">IFERROR(INDEX('בתי מרקחת Raw'!$B:$B,MATCH($A665,'בתי מרקחת Raw'!$F:$F,0)),"")</f>
        <v>T402 L</v>
      </c>
      <c r="C665" s="12" t="n">
        <f aca="false">SUMIFS('בתי מרקחת Raw'!$D$6:$D$1616,'בתי מרקחת Raw'!$F$6:$F$1616,$A665,'בתי מרקחת Raw'!$C$6:$C$1616,2025)</f>
        <v>3</v>
      </c>
      <c r="D665" s="12" t="n">
        <f aca="false">SUMIFS('בתי מרקחת Raw'!$D$6:$D$1616,'בתי מרקחת Raw'!$F$6:$F$1616,$A665,'בתי מרקחת Raw'!$C$6:$C$1616,2026)</f>
        <v>3</v>
      </c>
      <c r="E665" s="12" t="n">
        <f aca="false">D665*$J$5</f>
        <v>3.78947368421053</v>
      </c>
      <c r="F665" s="12" t="n">
        <f aca="false">E665-C665</f>
        <v>0.789473684210526</v>
      </c>
      <c r="G665" s="21" t="n">
        <f aca="false">IF(AND(C665=0,E665=0),0,IF(C665=0,"New",(E665-C665)/C665))</f>
        <v>0.263157894736842</v>
      </c>
      <c r="H665" s="12" t="n">
        <f aca="false">SUMIFS('בתי מרקחת Raw'!$E$6:$E$1616,'בתי מרקחת Raw'!$F$6:$F$1616,$A665,'בתי מרקחת Raw'!$C$6:$C$1616,2025)</f>
        <v>283.89</v>
      </c>
      <c r="I665" s="12" t="n">
        <f aca="false">SUMIFS('בתי מרקחת Raw'!$E$6:$E$1616,'בתי מרקחת Raw'!$F$6:$F$1616,$A665,'בתי מרקחת Raw'!$C$6:$C$1616,2026)</f>
        <v>283.9</v>
      </c>
      <c r="J665" s="12" t="n">
        <f aca="false">I665*$J$5</f>
        <v>358.610526315789</v>
      </c>
    </row>
    <row r="666" customFormat="false" ht="15" hidden="false" customHeight="true" outlineLevel="0" collapsed="false">
      <c r="A666" s="12" t="s">
        <v>937</v>
      </c>
      <c r="B666" s="12" t="str">
        <f aca="false">IFERROR(INDEX('בתי מרקחת Raw'!$B:$B,MATCH($A666,'בתי מרקחת Raw'!$F:$F,0)),"")</f>
        <v>T402 M</v>
      </c>
      <c r="C666" s="12" t="n">
        <f aca="false">SUMIFS('בתי מרקחת Raw'!$D$6:$D$1616,'בתי מרקחת Raw'!$F$6:$F$1616,$A666,'בתי מרקחת Raw'!$C$6:$C$1616,2025)</f>
        <v>4</v>
      </c>
      <c r="D666" s="12" t="n">
        <f aca="false">SUMIFS('בתי מרקחת Raw'!$D$6:$D$1616,'בתי מרקחת Raw'!$F$6:$F$1616,$A666,'בתי מרקחת Raw'!$C$6:$C$1616,2026)</f>
        <v>2</v>
      </c>
      <c r="E666" s="12" t="n">
        <f aca="false">D666*$J$5</f>
        <v>2.52631578947368</v>
      </c>
      <c r="F666" s="12" t="n">
        <f aca="false">E666-C666</f>
        <v>-1.47368421052632</v>
      </c>
      <c r="G666" s="21" t="n">
        <f aca="false">IF(AND(C666=0,E666=0),0,IF(C666=0,"New",(E666-C666)/C666))</f>
        <v>-0.368421052631579</v>
      </c>
      <c r="H666" s="12" t="n">
        <f aca="false">SUMIFS('בתי מרקחת Raw'!$E$6:$E$1616,'בתי מרקחת Raw'!$F$6:$F$1616,$A666,'בתי מרקחת Raw'!$C$6:$C$1616,2025)</f>
        <v>378.54</v>
      </c>
      <c r="I666" s="12" t="n">
        <f aca="false">SUMIFS('בתי מרקחת Raw'!$E$6:$E$1616,'בתי מרקחת Raw'!$F$6:$F$1616,$A666,'בתי מרקחת Raw'!$C$6:$C$1616,2026)</f>
        <v>189.26</v>
      </c>
      <c r="J666" s="12" t="n">
        <f aca="false">I666*$J$5</f>
        <v>239.065263157895</v>
      </c>
    </row>
    <row r="667" customFormat="false" ht="15" hidden="false" customHeight="true" outlineLevel="0" collapsed="false">
      <c r="A667" s="12" t="s">
        <v>938</v>
      </c>
      <c r="B667" s="12" t="str">
        <f aca="false">IFERROR(INDEX('בתי מרקחת Raw'!$B:$B,MATCH($A667,'בתי מרקחת Raw'!$F:$F,0)),"")</f>
        <v>T402 XL</v>
      </c>
      <c r="C667" s="12" t="n">
        <f aca="false">SUMIFS('בתי מרקחת Raw'!$D$6:$D$1616,'בתי מרקחת Raw'!$F$6:$F$1616,$A667,'בתי מרקחת Raw'!$C$6:$C$1616,2025)</f>
        <v>0</v>
      </c>
      <c r="D667" s="12" t="n">
        <f aca="false">SUMIFS('בתי מרקחת Raw'!$D$6:$D$1616,'בתי מרקחת Raw'!$F$6:$F$1616,$A667,'בתי מרקחת Raw'!$C$6:$C$1616,2026)</f>
        <v>1</v>
      </c>
      <c r="E667" s="12" t="n">
        <f aca="false">D667*$J$5</f>
        <v>1.26315789473684</v>
      </c>
      <c r="F667" s="12" t="n">
        <f aca="false">E667-C667</f>
        <v>1.26315789473684</v>
      </c>
      <c r="G667" s="21" t="str">
        <f aca="false">IF(AND(C667=0,E667=0),0,IF(C667=0,"New",(E667-C667)/C667))</f>
        <v>New</v>
      </c>
      <c r="H667" s="12" t="n">
        <f aca="false">SUMIFS('בתי מרקחת Raw'!$E$6:$E$1616,'בתי מרקחת Raw'!$F$6:$F$1616,$A667,'בתי מרקחת Raw'!$C$6:$C$1616,2025)</f>
        <v>0</v>
      </c>
      <c r="I667" s="12" t="n">
        <f aca="false">SUMIFS('בתי מרקחת Raw'!$E$6:$E$1616,'בתי מרקחת Raw'!$F$6:$F$1616,$A667,'בתי מרקחת Raw'!$C$6:$C$1616,2026)</f>
        <v>94.63</v>
      </c>
      <c r="J667" s="12" t="n">
        <f aca="false">I667*$J$5</f>
        <v>119.532631578947</v>
      </c>
    </row>
    <row r="668" customFormat="false" ht="15" hidden="false" customHeight="true" outlineLevel="0" collapsed="false">
      <c r="A668" s="12" t="s">
        <v>939</v>
      </c>
      <c r="B668" s="12" t="str">
        <f aca="false">IFERROR(INDEX('בתי מרקחת Raw'!$B:$B,MATCH($A668,'בתי מרקחת Raw'!$F:$F,0)),"")</f>
        <v>T402 XXL</v>
      </c>
      <c r="C668" s="12" t="n">
        <f aca="false">SUMIFS('בתי מרקחת Raw'!$D$6:$D$1616,'בתי מרקחת Raw'!$F$6:$F$1616,$A668,'בתי מרקחת Raw'!$C$6:$C$1616,2025)</f>
        <v>0</v>
      </c>
      <c r="D668" s="12" t="n">
        <f aca="false">SUMIFS('בתי מרקחת Raw'!$D$6:$D$1616,'בתי מרקחת Raw'!$F$6:$F$1616,$A668,'בתי מרקחת Raw'!$C$6:$C$1616,2026)</f>
        <v>1</v>
      </c>
      <c r="E668" s="12" t="n">
        <f aca="false">D668*$J$5</f>
        <v>1.26315789473684</v>
      </c>
      <c r="F668" s="12" t="n">
        <f aca="false">E668-C668</f>
        <v>1.26315789473684</v>
      </c>
      <c r="G668" s="21" t="str">
        <f aca="false">IF(AND(C668=0,E668=0),0,IF(C668=0,"New",(E668-C668)/C668))</f>
        <v>New</v>
      </c>
      <c r="H668" s="12" t="n">
        <f aca="false">SUMIFS('בתי מרקחת Raw'!$E$6:$E$1616,'בתי מרקחת Raw'!$F$6:$F$1616,$A668,'בתי מרקחת Raw'!$C$6:$C$1616,2025)</f>
        <v>0</v>
      </c>
      <c r="I668" s="12" t="n">
        <f aca="false">SUMIFS('בתי מרקחת Raw'!$E$6:$E$1616,'בתי מרקחת Raw'!$F$6:$F$1616,$A668,'בתי מרקחת Raw'!$C$6:$C$1616,2026)</f>
        <v>94.63</v>
      </c>
      <c r="J668" s="12" t="n">
        <f aca="false">I668*$J$5</f>
        <v>119.532631578947</v>
      </c>
    </row>
    <row r="669" customFormat="false" ht="15" hidden="false" customHeight="true" outlineLevel="0" collapsed="false">
      <c r="A669" s="12" t="s">
        <v>940</v>
      </c>
      <c r="B669" s="12" t="str">
        <f aca="false">IFERROR(INDEX('בתי מרקחת Raw'!$B:$B,MATCH($A669,'בתי מרקחת Raw'!$F:$F,0)),"")</f>
        <v>T45X L</v>
      </c>
      <c r="C669" s="12" t="n">
        <f aca="false">SUMIFS('בתי מרקחת Raw'!$D$6:$D$1616,'בתי מרקחת Raw'!$F$6:$F$1616,$A669,'בתי מרקחת Raw'!$C$6:$C$1616,2025)</f>
        <v>0</v>
      </c>
      <c r="D669" s="12" t="n">
        <f aca="false">SUMIFS('בתי מרקחת Raw'!$D$6:$D$1616,'בתי מרקחת Raw'!$F$6:$F$1616,$A669,'בתי מרקחת Raw'!$C$6:$C$1616,2026)</f>
        <v>1</v>
      </c>
      <c r="E669" s="12" t="n">
        <f aca="false">D669*$J$5</f>
        <v>1.26315789473684</v>
      </c>
      <c r="F669" s="12" t="n">
        <f aca="false">E669-C669</f>
        <v>1.26315789473684</v>
      </c>
      <c r="G669" s="21" t="str">
        <f aca="false">IF(AND(C669=0,E669=0),0,IF(C669=0,"New",(E669-C669)/C669))</f>
        <v>New</v>
      </c>
      <c r="H669" s="12" t="n">
        <f aca="false">SUMIFS('בתי מרקחת Raw'!$E$6:$E$1616,'בתי מרקחת Raw'!$F$6:$F$1616,$A669,'בתי מרקחת Raw'!$C$6:$C$1616,2025)</f>
        <v>0</v>
      </c>
      <c r="I669" s="12" t="n">
        <f aca="false">SUMIFS('בתי מרקחת Raw'!$E$6:$E$1616,'בתי מרקחת Raw'!$F$6:$F$1616,$A669,'בתי מרקחת Raw'!$C$6:$C$1616,2026)</f>
        <v>118.13</v>
      </c>
      <c r="J669" s="12" t="n">
        <f aca="false">I669*$J$5</f>
        <v>149.216842105263</v>
      </c>
    </row>
    <row r="670" customFormat="false" ht="15" hidden="false" customHeight="true" outlineLevel="0" collapsed="false">
      <c r="A670" s="12" t="s">
        <v>941</v>
      </c>
      <c r="B670" s="12" t="str">
        <f aca="false">IFERROR(INDEX('בתי מרקחת Raw'!$B:$B,MATCH($A670,'בתי מרקחת Raw'!$F:$F,0)),"")</f>
        <v>T45X M</v>
      </c>
      <c r="C670" s="12" t="n">
        <f aca="false">SUMIFS('בתי מרקחת Raw'!$D$6:$D$1616,'בתי מרקחת Raw'!$F$6:$F$1616,$A670,'בתי מרקחת Raw'!$C$6:$C$1616,2025)</f>
        <v>0</v>
      </c>
      <c r="D670" s="12" t="n">
        <f aca="false">SUMIFS('בתי מרקחת Raw'!$D$6:$D$1616,'בתי מרקחת Raw'!$F$6:$F$1616,$A670,'בתי מרקחת Raw'!$C$6:$C$1616,2026)</f>
        <v>2</v>
      </c>
      <c r="E670" s="12" t="n">
        <f aca="false">D670*$J$5</f>
        <v>2.52631578947368</v>
      </c>
      <c r="F670" s="12" t="n">
        <f aca="false">E670-C670</f>
        <v>2.52631578947368</v>
      </c>
      <c r="G670" s="21" t="str">
        <f aca="false">IF(AND(C670=0,E670=0),0,IF(C670=0,"New",(E670-C670)/C670))</f>
        <v>New</v>
      </c>
      <c r="H670" s="12" t="n">
        <f aca="false">SUMIFS('בתי מרקחת Raw'!$E$6:$E$1616,'בתי מרקחת Raw'!$F$6:$F$1616,$A670,'בתי מרקחת Raw'!$C$6:$C$1616,2025)</f>
        <v>0</v>
      </c>
      <c r="I670" s="12" t="n">
        <f aca="false">SUMIFS('בתי מרקחת Raw'!$E$6:$E$1616,'בתי מרקחת Raw'!$F$6:$F$1616,$A670,'בתי מרקחת Raw'!$C$6:$C$1616,2026)</f>
        <v>236.26</v>
      </c>
      <c r="J670" s="12" t="n">
        <f aca="false">I670*$J$5</f>
        <v>298.433684210526</v>
      </c>
    </row>
    <row r="672" customFormat="false" ht="15" hidden="false" customHeight="true" outlineLevel="0" collapsed="false">
      <c r="A672" s="27"/>
      <c r="B672" s="25" t="s">
        <v>942</v>
      </c>
      <c r="C672" s="25" t="n">
        <f aca="false">SUM(C9:C670)</f>
        <v>56675</v>
      </c>
      <c r="D672" s="25" t="n">
        <f aca="false">SUM(D9:D670)</f>
        <v>35110</v>
      </c>
      <c r="E672" s="25" t="n">
        <f aca="false">SUM(E9:E670)</f>
        <v>44349.4736842105</v>
      </c>
      <c r="F672" s="25" t="n">
        <f aca="false">SUM(F9:F670)</f>
        <v>-12325.5263157895</v>
      </c>
      <c r="G672" s="28" t="n">
        <f aca="false">IF(C672=0,"N/A",F672/C672)</f>
        <v>-0.217477305968937</v>
      </c>
      <c r="H672" s="25" t="n">
        <f aca="false">SUM(H9:H670)</f>
        <v>2120059.06</v>
      </c>
      <c r="I672" s="25" t="n">
        <f aca="false">SUM(I9:I670)</f>
        <v>1404694.87</v>
      </c>
      <c r="J672" s="25" t="n">
        <f aca="false">SUM(J9:J670)</f>
        <v>1774351.41473684</v>
      </c>
    </row>
  </sheetData>
  <mergeCells count="2">
    <mergeCell ref="A3:J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0"/>
    <col collapsed="false" customWidth="true" hidden="false" outlineLevel="0" max="2" min="2" style="1" width="42"/>
    <col collapsed="false" customWidth="true" hidden="false" outlineLevel="0" max="3" min="3" style="1" width="8"/>
    <col collapsed="false" customWidth="true" hidden="false" outlineLevel="0" max="4" min="4" style="1" width="12"/>
    <col collapsed="false" customWidth="true" hidden="false" outlineLevel="0" max="5" min="5" style="1" width="14"/>
    <col collapsed="false" customWidth="true" hidden="false" outlineLevel="0" max="6" min="6" style="1" width="22"/>
  </cols>
  <sheetData>
    <row r="1" customFormat="false" ht="15" hidden="false" customHeight="true" outlineLevel="0" collapsed="false">
      <c r="A1" s="11" t="s">
        <v>943</v>
      </c>
    </row>
    <row r="2" customFormat="false" ht="15" hidden="false" customHeight="true" outlineLevel="0" collapsed="false">
      <c r="A2" s="3" t="s">
        <v>1</v>
      </c>
      <c r="B2" s="4" t="n">
        <v>46290</v>
      </c>
    </row>
    <row r="3" customFormat="false" ht="116.25" hidden="false" customHeight="true" outlineLevel="0" collapsed="false">
      <c r="A3" s="5" t="s">
        <v>944</v>
      </c>
      <c r="B3" s="5"/>
      <c r="C3" s="5"/>
      <c r="D3" s="5"/>
      <c r="E3" s="5"/>
      <c r="F3" s="5"/>
      <c r="G3" s="5"/>
    </row>
    <row r="5" customFormat="false" ht="26.25" hidden="false" customHeight="true" outlineLevel="0" collapsed="false">
      <c r="A5" s="19" t="s">
        <v>945</v>
      </c>
      <c r="B5" s="19" t="s">
        <v>946</v>
      </c>
      <c r="C5" s="19" t="s">
        <v>947</v>
      </c>
      <c r="D5" s="19" t="s">
        <v>948</v>
      </c>
      <c r="E5" s="19" t="s">
        <v>949</v>
      </c>
      <c r="F5" s="19" t="s">
        <v>950</v>
      </c>
    </row>
    <row r="6" customFormat="false" ht="15" hidden="false" customHeight="true" outlineLevel="0" collapsed="false">
      <c r="A6" s="12" t="s">
        <v>951</v>
      </c>
      <c r="B6" s="12" t="s">
        <v>564</v>
      </c>
      <c r="C6" s="12" t="n">
        <v>2025</v>
      </c>
      <c r="D6" s="12" t="n">
        <v>328</v>
      </c>
      <c r="E6" s="12" t="n">
        <v>7458.3</v>
      </c>
      <c r="F6" s="12" t="n">
        <v>4401000</v>
      </c>
    </row>
    <row r="7" customFormat="false" ht="15" hidden="false" customHeight="true" outlineLevel="0" collapsed="false">
      <c r="A7" s="12" t="s">
        <v>951</v>
      </c>
      <c r="B7" s="12" t="s">
        <v>564</v>
      </c>
      <c r="C7" s="12" t="n">
        <v>2026</v>
      </c>
      <c r="D7" s="12" t="n">
        <v>246</v>
      </c>
      <c r="E7" s="12" t="n">
        <v>5653.1</v>
      </c>
      <c r="F7" s="12" t="n">
        <v>4401000</v>
      </c>
    </row>
    <row r="8" customFormat="false" ht="15" hidden="false" customHeight="true" outlineLevel="0" collapsed="false">
      <c r="A8" s="12" t="s">
        <v>951</v>
      </c>
      <c r="B8" s="12" t="s">
        <v>563</v>
      </c>
      <c r="C8" s="12" t="n">
        <v>2025</v>
      </c>
      <c r="D8" s="12" t="n">
        <v>415</v>
      </c>
      <c r="E8" s="12" t="n">
        <v>10264.8</v>
      </c>
      <c r="F8" s="12" t="n">
        <v>4401001</v>
      </c>
    </row>
    <row r="9" customFormat="false" ht="15" hidden="false" customHeight="true" outlineLevel="0" collapsed="false">
      <c r="A9" s="12" t="s">
        <v>951</v>
      </c>
      <c r="B9" s="12" t="s">
        <v>563</v>
      </c>
      <c r="C9" s="12" t="n">
        <v>2026</v>
      </c>
      <c r="D9" s="12" t="n">
        <v>288</v>
      </c>
      <c r="E9" s="12" t="n">
        <v>7178.1</v>
      </c>
      <c r="F9" s="12" t="n">
        <v>4401001</v>
      </c>
    </row>
    <row r="10" customFormat="false" ht="15" hidden="false" customHeight="true" outlineLevel="0" collapsed="false">
      <c r="A10" s="12" t="s">
        <v>951</v>
      </c>
      <c r="B10" s="12" t="s">
        <v>572</v>
      </c>
      <c r="C10" s="12" t="n">
        <v>2025</v>
      </c>
      <c r="D10" s="12" t="n">
        <v>261</v>
      </c>
      <c r="E10" s="12" t="n">
        <v>2230.9</v>
      </c>
      <c r="F10" s="12" t="n">
        <v>4401002</v>
      </c>
    </row>
    <row r="11" customFormat="false" ht="15" hidden="false" customHeight="true" outlineLevel="0" collapsed="false">
      <c r="A11" s="12" t="s">
        <v>951</v>
      </c>
      <c r="B11" s="12" t="s">
        <v>572</v>
      </c>
      <c r="C11" s="12" t="n">
        <v>2026</v>
      </c>
      <c r="D11" s="12" t="n">
        <v>184</v>
      </c>
      <c r="E11" s="12" t="n">
        <v>1578.6</v>
      </c>
      <c r="F11" s="12" t="n">
        <v>4401002</v>
      </c>
    </row>
    <row r="12" customFormat="false" ht="15" hidden="false" customHeight="true" outlineLevel="0" collapsed="false">
      <c r="A12" s="12" t="s">
        <v>951</v>
      </c>
      <c r="B12" s="12" t="s">
        <v>349</v>
      </c>
      <c r="C12" s="12" t="n">
        <v>2025</v>
      </c>
      <c r="D12" s="12" t="n">
        <v>70</v>
      </c>
      <c r="E12" s="12" t="n">
        <v>1089.5</v>
      </c>
      <c r="F12" s="12" t="n">
        <v>4401011</v>
      </c>
    </row>
    <row r="13" customFormat="false" ht="15" hidden="false" customHeight="true" outlineLevel="0" collapsed="false">
      <c r="A13" s="12" t="s">
        <v>951</v>
      </c>
      <c r="B13" s="12" t="s">
        <v>349</v>
      </c>
      <c r="C13" s="12" t="n">
        <v>2026</v>
      </c>
      <c r="D13" s="12" t="n">
        <v>48</v>
      </c>
      <c r="E13" s="12" t="n">
        <v>788.6</v>
      </c>
      <c r="F13" s="12" t="n">
        <v>4401011</v>
      </c>
    </row>
    <row r="14" customFormat="false" ht="15" hidden="false" customHeight="true" outlineLevel="0" collapsed="false">
      <c r="A14" s="12" t="s">
        <v>951</v>
      </c>
      <c r="B14" s="12" t="s">
        <v>347</v>
      </c>
      <c r="C14" s="12" t="n">
        <v>2025</v>
      </c>
      <c r="D14" s="12" t="n">
        <v>20</v>
      </c>
      <c r="E14" s="12" t="n">
        <v>318.7</v>
      </c>
      <c r="F14" s="12" t="n">
        <v>4401012</v>
      </c>
    </row>
    <row r="15" customFormat="false" ht="15" hidden="false" customHeight="true" outlineLevel="0" collapsed="false">
      <c r="A15" s="12" t="s">
        <v>951</v>
      </c>
      <c r="B15" s="12" t="s">
        <v>347</v>
      </c>
      <c r="C15" s="12" t="n">
        <v>2026</v>
      </c>
      <c r="D15" s="12" t="n">
        <v>21</v>
      </c>
      <c r="E15" s="12" t="n">
        <v>358.6</v>
      </c>
      <c r="F15" s="12" t="n">
        <v>4401012</v>
      </c>
    </row>
    <row r="16" customFormat="false" ht="15" hidden="false" customHeight="true" outlineLevel="0" collapsed="false">
      <c r="A16" s="12" t="s">
        <v>951</v>
      </c>
      <c r="B16" s="12" t="s">
        <v>348</v>
      </c>
      <c r="C16" s="12" t="n">
        <v>2025</v>
      </c>
      <c r="D16" s="12" t="n">
        <v>19</v>
      </c>
      <c r="E16" s="12" t="n">
        <v>301.4</v>
      </c>
      <c r="F16" s="12" t="n">
        <v>4401013</v>
      </c>
    </row>
    <row r="17" customFormat="false" ht="15" hidden="false" customHeight="true" outlineLevel="0" collapsed="false">
      <c r="A17" s="12" t="s">
        <v>951</v>
      </c>
      <c r="B17" s="12" t="s">
        <v>348</v>
      </c>
      <c r="C17" s="12" t="n">
        <v>2026</v>
      </c>
      <c r="D17" s="12" t="n">
        <v>19</v>
      </c>
      <c r="E17" s="12" t="n">
        <v>319.4</v>
      </c>
      <c r="F17" s="12" t="n">
        <v>4401013</v>
      </c>
    </row>
    <row r="18" customFormat="false" ht="15" hidden="false" customHeight="true" outlineLevel="0" collapsed="false">
      <c r="A18" s="12" t="s">
        <v>951</v>
      </c>
      <c r="B18" s="12" t="s">
        <v>350</v>
      </c>
      <c r="C18" s="12" t="n">
        <v>2025</v>
      </c>
      <c r="D18" s="12" t="n">
        <v>47</v>
      </c>
      <c r="E18" s="12" t="n">
        <v>719.1</v>
      </c>
      <c r="F18" s="12" t="n">
        <v>4401014</v>
      </c>
    </row>
    <row r="19" customFormat="false" ht="15" hidden="false" customHeight="true" outlineLevel="0" collapsed="false">
      <c r="A19" s="12" t="s">
        <v>951</v>
      </c>
      <c r="B19" s="12" t="s">
        <v>350</v>
      </c>
      <c r="C19" s="12" t="n">
        <v>2026</v>
      </c>
      <c r="D19" s="12" t="n">
        <v>41</v>
      </c>
      <c r="E19" s="12" t="n">
        <v>665.2</v>
      </c>
      <c r="F19" s="12" t="n">
        <v>4401014</v>
      </c>
    </row>
    <row r="20" customFormat="false" ht="15" hidden="false" customHeight="true" outlineLevel="0" collapsed="false">
      <c r="A20" s="12" t="s">
        <v>951</v>
      </c>
      <c r="B20" s="12" t="s">
        <v>550</v>
      </c>
      <c r="C20" s="12" t="n">
        <v>2025</v>
      </c>
      <c r="D20" s="12" t="n">
        <v>124</v>
      </c>
      <c r="E20" s="12" t="n">
        <v>3220.9</v>
      </c>
      <c r="F20" s="12" t="n">
        <v>4402000</v>
      </c>
    </row>
    <row r="21" customFormat="false" ht="15" hidden="false" customHeight="true" outlineLevel="0" collapsed="false">
      <c r="A21" s="12" t="s">
        <v>951</v>
      </c>
      <c r="B21" s="12" t="s">
        <v>550</v>
      </c>
      <c r="C21" s="12" t="n">
        <v>2026</v>
      </c>
      <c r="D21" s="12" t="n">
        <v>105</v>
      </c>
      <c r="E21" s="12" t="n">
        <v>2749.1</v>
      </c>
      <c r="F21" s="12" t="n">
        <v>4402000</v>
      </c>
    </row>
    <row r="22" customFormat="false" ht="15" hidden="false" customHeight="true" outlineLevel="0" collapsed="false">
      <c r="A22" s="12" t="s">
        <v>951</v>
      </c>
      <c r="B22" s="12" t="s">
        <v>546</v>
      </c>
      <c r="C22" s="12" t="n">
        <v>2025</v>
      </c>
      <c r="D22" s="12" t="n">
        <v>343</v>
      </c>
      <c r="E22" s="12" t="n">
        <v>6288.6</v>
      </c>
      <c r="F22" s="12" t="n">
        <v>4402007</v>
      </c>
    </row>
    <row r="23" customFormat="false" ht="15" hidden="false" customHeight="true" outlineLevel="0" collapsed="false">
      <c r="A23" s="12" t="s">
        <v>951</v>
      </c>
      <c r="B23" s="12" t="s">
        <v>546</v>
      </c>
      <c r="C23" s="12" t="n">
        <v>2026</v>
      </c>
      <c r="D23" s="12" t="n">
        <v>222</v>
      </c>
      <c r="E23" s="12" t="n">
        <v>4074.7</v>
      </c>
      <c r="F23" s="12" t="n">
        <v>4402007</v>
      </c>
    </row>
    <row r="24" customFormat="false" ht="15" hidden="false" customHeight="true" outlineLevel="0" collapsed="false">
      <c r="A24" s="12" t="s">
        <v>951</v>
      </c>
      <c r="B24" s="12" t="s">
        <v>188</v>
      </c>
      <c r="C24" s="12" t="n">
        <v>2025</v>
      </c>
      <c r="D24" s="12" t="n">
        <v>21</v>
      </c>
      <c r="E24" s="12" t="n">
        <v>614.1</v>
      </c>
      <c r="F24" s="12" t="n">
        <v>4403000</v>
      </c>
    </row>
    <row r="25" customFormat="false" ht="15" hidden="false" customHeight="true" outlineLevel="0" collapsed="false">
      <c r="A25" s="12" t="s">
        <v>951</v>
      </c>
      <c r="B25" s="12" t="s">
        <v>188</v>
      </c>
      <c r="C25" s="12" t="n">
        <v>2026</v>
      </c>
      <c r="D25" s="12" t="n">
        <v>11</v>
      </c>
      <c r="E25" s="12" t="n">
        <v>360.4</v>
      </c>
      <c r="F25" s="12" t="n">
        <v>4403000</v>
      </c>
    </row>
    <row r="26" customFormat="false" ht="15" hidden="false" customHeight="true" outlineLevel="0" collapsed="false">
      <c r="A26" s="12" t="s">
        <v>951</v>
      </c>
      <c r="B26" s="12" t="s">
        <v>186</v>
      </c>
      <c r="C26" s="12" t="n">
        <v>2025</v>
      </c>
      <c r="D26" s="12" t="n">
        <v>42</v>
      </c>
      <c r="E26" s="12" t="n">
        <v>1277.4</v>
      </c>
      <c r="F26" s="12" t="n">
        <v>4403001</v>
      </c>
    </row>
    <row r="27" customFormat="false" ht="15" hidden="false" customHeight="true" outlineLevel="0" collapsed="false">
      <c r="A27" s="12" t="s">
        <v>951</v>
      </c>
      <c r="B27" s="12" t="s">
        <v>186</v>
      </c>
      <c r="C27" s="12" t="n">
        <v>2026</v>
      </c>
      <c r="D27" s="12" t="n">
        <v>15</v>
      </c>
      <c r="E27" s="12" t="n">
        <v>507.9</v>
      </c>
      <c r="F27" s="12" t="n">
        <v>4403001</v>
      </c>
    </row>
    <row r="28" customFormat="false" ht="15" hidden="false" customHeight="true" outlineLevel="0" collapsed="false">
      <c r="A28" s="12" t="s">
        <v>951</v>
      </c>
      <c r="B28" s="12" t="s">
        <v>187</v>
      </c>
      <c r="C28" s="12" t="n">
        <v>2025</v>
      </c>
      <c r="D28" s="12" t="n">
        <v>73</v>
      </c>
      <c r="E28" s="12" t="n">
        <v>2296</v>
      </c>
      <c r="F28" s="12" t="n">
        <v>4403002</v>
      </c>
    </row>
    <row r="29" customFormat="false" ht="15" hidden="false" customHeight="true" outlineLevel="0" collapsed="false">
      <c r="A29" s="12" t="s">
        <v>951</v>
      </c>
      <c r="B29" s="12" t="s">
        <v>187</v>
      </c>
      <c r="C29" s="12" t="n">
        <v>2026</v>
      </c>
      <c r="D29" s="12" t="n">
        <v>23</v>
      </c>
      <c r="E29" s="12" t="n">
        <v>763</v>
      </c>
      <c r="F29" s="12" t="n">
        <v>4403002</v>
      </c>
    </row>
    <row r="30" customFormat="false" ht="15" hidden="false" customHeight="true" outlineLevel="0" collapsed="false">
      <c r="A30" s="12" t="s">
        <v>951</v>
      </c>
      <c r="B30" s="12" t="s">
        <v>190</v>
      </c>
      <c r="C30" s="12" t="n">
        <v>2025</v>
      </c>
      <c r="D30" s="12" t="n">
        <v>2</v>
      </c>
      <c r="E30" s="12" t="n">
        <v>51</v>
      </c>
      <c r="F30" s="12" t="n">
        <v>4403003</v>
      </c>
    </row>
    <row r="31" customFormat="false" ht="15" hidden="false" customHeight="true" outlineLevel="0" collapsed="false">
      <c r="A31" s="12" t="s">
        <v>951</v>
      </c>
      <c r="B31" s="12" t="s">
        <v>190</v>
      </c>
      <c r="C31" s="12" t="n">
        <v>2026</v>
      </c>
      <c r="D31" s="12" t="n">
        <v>11</v>
      </c>
      <c r="E31" s="12" t="n">
        <v>376.8</v>
      </c>
      <c r="F31" s="12" t="n">
        <v>4403003</v>
      </c>
    </row>
    <row r="32" customFormat="false" ht="15" hidden="false" customHeight="true" outlineLevel="0" collapsed="false">
      <c r="A32" s="12" t="s">
        <v>951</v>
      </c>
      <c r="B32" s="12" t="s">
        <v>189</v>
      </c>
      <c r="C32" s="12" t="n">
        <v>2025</v>
      </c>
      <c r="D32" s="12" t="n">
        <v>16</v>
      </c>
      <c r="E32" s="12" t="n">
        <v>549.5</v>
      </c>
      <c r="F32" s="12" t="n">
        <v>4403004</v>
      </c>
    </row>
    <row r="33" customFormat="false" ht="15" hidden="false" customHeight="true" outlineLevel="0" collapsed="false">
      <c r="A33" s="12" t="s">
        <v>951</v>
      </c>
      <c r="B33" s="12" t="s">
        <v>189</v>
      </c>
      <c r="C33" s="12" t="n">
        <v>2026</v>
      </c>
      <c r="D33" s="12" t="n">
        <v>4</v>
      </c>
      <c r="E33" s="12" t="n">
        <v>140.4</v>
      </c>
      <c r="F33" s="12" t="n">
        <v>4403004</v>
      </c>
    </row>
    <row r="34" customFormat="false" ht="15" hidden="false" customHeight="true" outlineLevel="0" collapsed="false">
      <c r="A34" s="12" t="s">
        <v>951</v>
      </c>
      <c r="B34" s="12" t="s">
        <v>213</v>
      </c>
      <c r="C34" s="12" t="n">
        <v>2025</v>
      </c>
      <c r="D34" s="12" t="n">
        <v>12</v>
      </c>
      <c r="E34" s="12" t="n">
        <v>384.1</v>
      </c>
      <c r="F34" s="12" t="n">
        <v>4403005</v>
      </c>
    </row>
    <row r="35" customFormat="false" ht="15" hidden="false" customHeight="true" outlineLevel="0" collapsed="false">
      <c r="A35" s="12" t="s">
        <v>951</v>
      </c>
      <c r="B35" s="12" t="s">
        <v>191</v>
      </c>
      <c r="C35" s="12" t="n">
        <v>2025</v>
      </c>
      <c r="D35" s="12" t="n">
        <v>12</v>
      </c>
      <c r="E35" s="12" t="n">
        <v>345</v>
      </c>
      <c r="F35" s="12" t="n">
        <v>4403006</v>
      </c>
    </row>
    <row r="36" customFormat="false" ht="15" hidden="false" customHeight="true" outlineLevel="0" collapsed="false">
      <c r="A36" s="12" t="s">
        <v>951</v>
      </c>
      <c r="B36" s="12" t="s">
        <v>191</v>
      </c>
      <c r="C36" s="12" t="n">
        <v>2026</v>
      </c>
      <c r="D36" s="12" t="n">
        <v>12</v>
      </c>
      <c r="E36" s="12" t="n">
        <v>421.3</v>
      </c>
      <c r="F36" s="12" t="n">
        <v>4403006</v>
      </c>
    </row>
    <row r="37" customFormat="false" ht="15" hidden="false" customHeight="true" outlineLevel="0" collapsed="false">
      <c r="A37" s="12" t="s">
        <v>951</v>
      </c>
      <c r="B37" s="12" t="s">
        <v>192</v>
      </c>
      <c r="C37" s="12" t="n">
        <v>2025</v>
      </c>
      <c r="D37" s="12" t="n">
        <v>18</v>
      </c>
      <c r="E37" s="12" t="n">
        <v>559.9</v>
      </c>
      <c r="F37" s="12" t="n">
        <v>4403007</v>
      </c>
    </row>
    <row r="38" customFormat="false" ht="15" hidden="false" customHeight="true" outlineLevel="0" collapsed="false">
      <c r="A38" s="12" t="s">
        <v>951</v>
      </c>
      <c r="B38" s="12" t="s">
        <v>192</v>
      </c>
      <c r="C38" s="12" t="n">
        <v>2026</v>
      </c>
      <c r="D38" s="12" t="n">
        <v>13</v>
      </c>
      <c r="E38" s="12" t="n">
        <v>433</v>
      </c>
      <c r="F38" s="12" t="n">
        <v>4403007</v>
      </c>
    </row>
    <row r="39" customFormat="false" ht="15" hidden="false" customHeight="true" outlineLevel="0" collapsed="false">
      <c r="A39" s="12" t="s">
        <v>951</v>
      </c>
      <c r="B39" s="12" t="s">
        <v>193</v>
      </c>
      <c r="C39" s="12" t="n">
        <v>2025</v>
      </c>
      <c r="D39" s="12" t="n">
        <v>20</v>
      </c>
      <c r="E39" s="12" t="n">
        <v>601.1</v>
      </c>
      <c r="F39" s="12" t="n">
        <v>4403008</v>
      </c>
    </row>
    <row r="40" customFormat="false" ht="15" hidden="false" customHeight="true" outlineLevel="0" collapsed="false">
      <c r="A40" s="12" t="s">
        <v>951</v>
      </c>
      <c r="B40" s="12" t="s">
        <v>193</v>
      </c>
      <c r="C40" s="12" t="n">
        <v>2026</v>
      </c>
      <c r="D40" s="12" t="n">
        <v>13</v>
      </c>
      <c r="E40" s="12" t="n">
        <v>456.4</v>
      </c>
      <c r="F40" s="12" t="n">
        <v>4403008</v>
      </c>
    </row>
    <row r="41" customFormat="false" ht="15" hidden="false" customHeight="true" outlineLevel="0" collapsed="false">
      <c r="A41" s="12" t="s">
        <v>951</v>
      </c>
      <c r="B41" s="12" t="s">
        <v>194</v>
      </c>
      <c r="C41" s="12" t="n">
        <v>2025</v>
      </c>
      <c r="D41" s="12" t="n">
        <v>62</v>
      </c>
      <c r="E41" s="12" t="n">
        <v>1588.5</v>
      </c>
      <c r="F41" s="12" t="n">
        <v>4403017</v>
      </c>
    </row>
    <row r="42" customFormat="false" ht="15" hidden="false" customHeight="true" outlineLevel="0" collapsed="false">
      <c r="A42" s="12" t="s">
        <v>951</v>
      </c>
      <c r="B42" s="12" t="s">
        <v>194</v>
      </c>
      <c r="C42" s="12" t="n">
        <v>2026</v>
      </c>
      <c r="D42" s="12" t="n">
        <v>27</v>
      </c>
      <c r="E42" s="12" t="n">
        <v>741.3</v>
      </c>
      <c r="F42" s="12" t="n">
        <v>4403017</v>
      </c>
    </row>
    <row r="43" customFormat="false" ht="15" hidden="false" customHeight="true" outlineLevel="0" collapsed="false">
      <c r="A43" s="12" t="s">
        <v>951</v>
      </c>
      <c r="B43" s="12" t="s">
        <v>195</v>
      </c>
      <c r="C43" s="12" t="n">
        <v>2025</v>
      </c>
      <c r="D43" s="12" t="n">
        <v>123</v>
      </c>
      <c r="E43" s="12" t="n">
        <v>3121.1</v>
      </c>
      <c r="F43" s="12" t="n">
        <v>4403018</v>
      </c>
    </row>
    <row r="44" customFormat="false" ht="15" hidden="false" customHeight="true" outlineLevel="0" collapsed="false">
      <c r="A44" s="12" t="s">
        <v>951</v>
      </c>
      <c r="B44" s="12" t="s">
        <v>195</v>
      </c>
      <c r="C44" s="12" t="n">
        <v>2026</v>
      </c>
      <c r="D44" s="12" t="n">
        <v>61</v>
      </c>
      <c r="E44" s="12" t="n">
        <v>1578.1</v>
      </c>
      <c r="F44" s="12" t="n">
        <v>4403018</v>
      </c>
    </row>
    <row r="45" customFormat="false" ht="15" hidden="false" customHeight="true" outlineLevel="0" collapsed="false">
      <c r="A45" s="12" t="s">
        <v>951</v>
      </c>
      <c r="B45" s="12" t="s">
        <v>196</v>
      </c>
      <c r="C45" s="12" t="n">
        <v>2025</v>
      </c>
      <c r="D45" s="12" t="n">
        <v>180</v>
      </c>
      <c r="E45" s="12" t="n">
        <v>4578</v>
      </c>
      <c r="F45" s="12" t="n">
        <v>4403019</v>
      </c>
    </row>
    <row r="46" customFormat="false" ht="15" hidden="false" customHeight="true" outlineLevel="0" collapsed="false">
      <c r="A46" s="12" t="s">
        <v>951</v>
      </c>
      <c r="B46" s="12" t="s">
        <v>196</v>
      </c>
      <c r="C46" s="12" t="n">
        <v>2026</v>
      </c>
      <c r="D46" s="12" t="n">
        <v>65</v>
      </c>
      <c r="E46" s="12" t="n">
        <v>1731.5</v>
      </c>
      <c r="F46" s="12" t="n">
        <v>4403019</v>
      </c>
    </row>
    <row r="47" customFormat="false" ht="15" hidden="false" customHeight="true" outlineLevel="0" collapsed="false">
      <c r="A47" s="12" t="s">
        <v>951</v>
      </c>
      <c r="B47" s="12" t="s">
        <v>197</v>
      </c>
      <c r="C47" s="12" t="n">
        <v>2025</v>
      </c>
      <c r="D47" s="12" t="n">
        <v>17</v>
      </c>
      <c r="E47" s="12" t="n">
        <v>426.2</v>
      </c>
      <c r="F47" s="12" t="n">
        <v>4403020</v>
      </c>
    </row>
    <row r="48" customFormat="false" ht="15" hidden="false" customHeight="true" outlineLevel="0" collapsed="false">
      <c r="A48" s="12" t="s">
        <v>951</v>
      </c>
      <c r="B48" s="12" t="s">
        <v>198</v>
      </c>
      <c r="C48" s="12" t="n">
        <v>2025</v>
      </c>
      <c r="D48" s="12" t="n">
        <v>30</v>
      </c>
      <c r="E48" s="12" t="n">
        <v>780.5</v>
      </c>
      <c r="F48" s="12" t="n">
        <v>4403021</v>
      </c>
    </row>
    <row r="49" customFormat="false" ht="15" hidden="false" customHeight="true" outlineLevel="0" collapsed="false">
      <c r="A49" s="12" t="s">
        <v>951</v>
      </c>
      <c r="B49" s="12" t="s">
        <v>199</v>
      </c>
      <c r="C49" s="12" t="n">
        <v>2025</v>
      </c>
      <c r="D49" s="12" t="n">
        <v>37</v>
      </c>
      <c r="E49" s="12" t="n">
        <v>940.8</v>
      </c>
      <c r="F49" s="12" t="n">
        <v>4403022</v>
      </c>
    </row>
    <row r="50" customFormat="false" ht="15" hidden="false" customHeight="true" outlineLevel="0" collapsed="false">
      <c r="A50" s="12" t="s">
        <v>951</v>
      </c>
      <c r="B50" s="12" t="s">
        <v>200</v>
      </c>
      <c r="C50" s="12" t="n">
        <v>2025</v>
      </c>
      <c r="D50" s="12" t="n">
        <v>34</v>
      </c>
      <c r="E50" s="12" t="n">
        <v>843.2</v>
      </c>
      <c r="F50" s="12" t="n">
        <v>4403023</v>
      </c>
    </row>
    <row r="51" customFormat="false" ht="15" hidden="false" customHeight="true" outlineLevel="0" collapsed="false">
      <c r="A51" s="12" t="s">
        <v>951</v>
      </c>
      <c r="B51" s="12" t="s">
        <v>200</v>
      </c>
      <c r="C51" s="12" t="n">
        <v>2026</v>
      </c>
      <c r="D51" s="12" t="n">
        <v>22</v>
      </c>
      <c r="E51" s="12" t="n">
        <v>585.9</v>
      </c>
      <c r="F51" s="12" t="n">
        <v>4403023</v>
      </c>
    </row>
    <row r="52" customFormat="false" ht="15" hidden="false" customHeight="true" outlineLevel="0" collapsed="false">
      <c r="A52" s="12" t="s">
        <v>951</v>
      </c>
      <c r="B52" s="12" t="s">
        <v>201</v>
      </c>
      <c r="C52" s="12" t="n">
        <v>2025</v>
      </c>
      <c r="D52" s="12" t="n">
        <v>66</v>
      </c>
      <c r="E52" s="12" t="n">
        <v>1656.7</v>
      </c>
      <c r="F52" s="12" t="n">
        <v>4403024</v>
      </c>
    </row>
    <row r="53" customFormat="false" ht="15" hidden="false" customHeight="true" outlineLevel="0" collapsed="false">
      <c r="A53" s="12" t="s">
        <v>951</v>
      </c>
      <c r="B53" s="12" t="s">
        <v>201</v>
      </c>
      <c r="C53" s="12" t="n">
        <v>2026</v>
      </c>
      <c r="D53" s="12" t="n">
        <v>44</v>
      </c>
      <c r="E53" s="12" t="n">
        <v>1170.1</v>
      </c>
      <c r="F53" s="12" t="n">
        <v>4403024</v>
      </c>
    </row>
    <row r="54" customFormat="false" ht="15" hidden="false" customHeight="true" outlineLevel="0" collapsed="false">
      <c r="A54" s="12" t="s">
        <v>951</v>
      </c>
      <c r="B54" s="12" t="s">
        <v>202</v>
      </c>
      <c r="C54" s="12" t="n">
        <v>2025</v>
      </c>
      <c r="D54" s="12" t="n">
        <v>78</v>
      </c>
      <c r="E54" s="12" t="n">
        <v>1916.4</v>
      </c>
      <c r="F54" s="12" t="n">
        <v>4403025</v>
      </c>
    </row>
    <row r="55" customFormat="false" ht="15" hidden="false" customHeight="true" outlineLevel="0" collapsed="false">
      <c r="A55" s="12" t="s">
        <v>951</v>
      </c>
      <c r="B55" s="12" t="s">
        <v>202</v>
      </c>
      <c r="C55" s="12" t="n">
        <v>2026</v>
      </c>
      <c r="D55" s="12" t="n">
        <v>45</v>
      </c>
      <c r="E55" s="12" t="n">
        <v>1205.6</v>
      </c>
      <c r="F55" s="12" t="n">
        <v>4403025</v>
      </c>
    </row>
    <row r="56" customFormat="false" ht="15" hidden="false" customHeight="true" outlineLevel="0" collapsed="false">
      <c r="A56" s="12" t="s">
        <v>951</v>
      </c>
      <c r="B56" s="12" t="s">
        <v>207</v>
      </c>
      <c r="C56" s="12" t="n">
        <v>2025</v>
      </c>
      <c r="D56" s="12" t="n">
        <v>125</v>
      </c>
      <c r="E56" s="12" t="n">
        <v>7355.3</v>
      </c>
      <c r="F56" s="12" t="n">
        <v>4403028</v>
      </c>
    </row>
    <row r="57" customFormat="false" ht="15" hidden="false" customHeight="true" outlineLevel="0" collapsed="false">
      <c r="A57" s="12" t="s">
        <v>951</v>
      </c>
      <c r="B57" s="12" t="s">
        <v>207</v>
      </c>
      <c r="C57" s="12" t="n">
        <v>2026</v>
      </c>
      <c r="D57" s="12" t="n">
        <v>-1</v>
      </c>
      <c r="E57" s="12" t="n">
        <v>-52.8</v>
      </c>
      <c r="F57" s="12" t="n">
        <v>4403028</v>
      </c>
    </row>
    <row r="58" customFormat="false" ht="15" hidden="false" customHeight="true" outlineLevel="0" collapsed="false">
      <c r="A58" s="12" t="s">
        <v>951</v>
      </c>
      <c r="B58" s="12" t="s">
        <v>208</v>
      </c>
      <c r="C58" s="12" t="n">
        <v>2025</v>
      </c>
      <c r="D58" s="12" t="n">
        <v>201</v>
      </c>
      <c r="E58" s="12" t="n">
        <v>11825.2</v>
      </c>
      <c r="F58" s="12" t="n">
        <v>4403029</v>
      </c>
    </row>
    <row r="59" customFormat="false" ht="15" hidden="false" customHeight="true" outlineLevel="0" collapsed="false">
      <c r="A59" s="12" t="s">
        <v>951</v>
      </c>
      <c r="B59" s="12" t="s">
        <v>208</v>
      </c>
      <c r="C59" s="12" t="n">
        <v>2026</v>
      </c>
      <c r="D59" s="12" t="n">
        <v>2</v>
      </c>
      <c r="E59" s="12" t="n">
        <v>134.9</v>
      </c>
      <c r="F59" s="12" t="n">
        <v>4403029</v>
      </c>
    </row>
    <row r="60" customFormat="false" ht="15" hidden="false" customHeight="true" outlineLevel="0" collapsed="false">
      <c r="A60" s="12" t="s">
        <v>951</v>
      </c>
      <c r="B60" s="12" t="s">
        <v>209</v>
      </c>
      <c r="C60" s="12" t="n">
        <v>2025</v>
      </c>
      <c r="D60" s="12" t="n">
        <v>211</v>
      </c>
      <c r="E60" s="12" t="n">
        <v>12491.9</v>
      </c>
      <c r="F60" s="12" t="n">
        <v>4403030</v>
      </c>
    </row>
    <row r="61" customFormat="false" ht="15" hidden="false" customHeight="true" outlineLevel="0" collapsed="false">
      <c r="A61" s="12" t="s">
        <v>951</v>
      </c>
      <c r="B61" s="12" t="s">
        <v>209</v>
      </c>
      <c r="C61" s="12" t="n">
        <v>2026</v>
      </c>
      <c r="D61" s="12" t="n">
        <v>-3</v>
      </c>
      <c r="E61" s="12" t="n">
        <v>-164.4</v>
      </c>
      <c r="F61" s="12" t="n">
        <v>4403030</v>
      </c>
    </row>
    <row r="62" customFormat="false" ht="15" hidden="false" customHeight="true" outlineLevel="0" collapsed="false">
      <c r="A62" s="12" t="s">
        <v>951</v>
      </c>
      <c r="B62" s="12" t="s">
        <v>214</v>
      </c>
      <c r="C62" s="12" t="n">
        <v>2025</v>
      </c>
      <c r="D62" s="12" t="n">
        <v>1</v>
      </c>
      <c r="E62" s="12" t="n">
        <v>92.1</v>
      </c>
      <c r="F62" s="12" t="n">
        <v>4403034</v>
      </c>
    </row>
    <row r="63" customFormat="false" ht="15" hidden="false" customHeight="true" outlineLevel="0" collapsed="false">
      <c r="A63" s="12" t="s">
        <v>951</v>
      </c>
      <c r="B63" s="12" t="s">
        <v>214</v>
      </c>
      <c r="C63" s="12" t="n">
        <v>2026</v>
      </c>
      <c r="D63" s="12" t="n">
        <v>2</v>
      </c>
      <c r="E63" s="12" t="n">
        <v>184.6</v>
      </c>
      <c r="F63" s="12" t="n">
        <v>4403034</v>
      </c>
    </row>
    <row r="64" customFormat="false" ht="15" hidden="false" customHeight="true" outlineLevel="0" collapsed="false">
      <c r="A64" s="12" t="s">
        <v>951</v>
      </c>
      <c r="B64" s="12" t="s">
        <v>215</v>
      </c>
      <c r="C64" s="12" t="n">
        <v>2026</v>
      </c>
      <c r="D64" s="12" t="n">
        <v>1</v>
      </c>
      <c r="E64" s="12" t="n">
        <v>92.3</v>
      </c>
      <c r="F64" s="12" t="n">
        <v>4403035</v>
      </c>
    </row>
    <row r="65" customFormat="false" ht="15" hidden="false" customHeight="true" outlineLevel="0" collapsed="false">
      <c r="A65" s="12" t="s">
        <v>951</v>
      </c>
      <c r="B65" s="12" t="s">
        <v>184</v>
      </c>
      <c r="C65" s="12" t="n">
        <v>2025</v>
      </c>
      <c r="D65" s="12" t="n">
        <v>110</v>
      </c>
      <c r="E65" s="12" t="n">
        <v>4004.4</v>
      </c>
      <c r="F65" s="12" t="n">
        <v>4403040</v>
      </c>
    </row>
    <row r="66" customFormat="false" ht="15" hidden="false" customHeight="true" outlineLevel="0" collapsed="false">
      <c r="A66" s="12" t="s">
        <v>951</v>
      </c>
      <c r="B66" s="12" t="s">
        <v>184</v>
      </c>
      <c r="C66" s="12" t="n">
        <v>2026</v>
      </c>
      <c r="D66" s="12" t="n">
        <v>20</v>
      </c>
      <c r="E66" s="12" t="n">
        <v>693.6</v>
      </c>
      <c r="F66" s="12" t="n">
        <v>4403040</v>
      </c>
    </row>
    <row r="67" customFormat="false" ht="15" hidden="false" customHeight="true" outlineLevel="0" collapsed="false">
      <c r="A67" s="12" t="s">
        <v>951</v>
      </c>
      <c r="B67" s="12" t="s">
        <v>210</v>
      </c>
      <c r="C67" s="12" t="n">
        <v>2026</v>
      </c>
      <c r="D67" s="12" t="n">
        <v>116</v>
      </c>
      <c r="E67" s="12" t="n">
        <v>6879.5</v>
      </c>
      <c r="F67" s="12" t="n">
        <v>4403041</v>
      </c>
    </row>
    <row r="68" customFormat="false" ht="15" hidden="false" customHeight="true" outlineLevel="0" collapsed="false">
      <c r="A68" s="12" t="s">
        <v>951</v>
      </c>
      <c r="B68" s="12" t="s">
        <v>211</v>
      </c>
      <c r="C68" s="12" t="n">
        <v>2026</v>
      </c>
      <c r="D68" s="12" t="n">
        <v>190</v>
      </c>
      <c r="E68" s="12" t="n">
        <v>11246.6</v>
      </c>
      <c r="F68" s="12" t="n">
        <v>4403042</v>
      </c>
    </row>
    <row r="69" customFormat="false" ht="15" hidden="false" customHeight="true" outlineLevel="0" collapsed="false">
      <c r="A69" s="12" t="s">
        <v>951</v>
      </c>
      <c r="B69" s="12" t="s">
        <v>212</v>
      </c>
      <c r="C69" s="12" t="n">
        <v>2026</v>
      </c>
      <c r="D69" s="12" t="n">
        <v>150</v>
      </c>
      <c r="E69" s="12" t="n">
        <v>8894.4</v>
      </c>
      <c r="F69" s="12" t="n">
        <v>4403043</v>
      </c>
    </row>
    <row r="70" customFormat="false" ht="15" hidden="false" customHeight="true" outlineLevel="0" collapsed="false">
      <c r="A70" s="12" t="s">
        <v>951</v>
      </c>
      <c r="B70" s="12" t="s">
        <v>203</v>
      </c>
      <c r="C70" s="12" t="n">
        <v>2026</v>
      </c>
      <c r="D70" s="12" t="n">
        <v>21</v>
      </c>
      <c r="E70" s="12" t="n">
        <v>606.4</v>
      </c>
      <c r="F70" s="12" t="n">
        <v>4403044</v>
      </c>
    </row>
    <row r="71" customFormat="false" ht="15" hidden="false" customHeight="true" outlineLevel="0" collapsed="false">
      <c r="A71" s="12" t="s">
        <v>951</v>
      </c>
      <c r="B71" s="12" t="s">
        <v>204</v>
      </c>
      <c r="C71" s="12" t="n">
        <v>2026</v>
      </c>
      <c r="D71" s="12" t="n">
        <v>16</v>
      </c>
      <c r="E71" s="12" t="n">
        <v>454.3</v>
      </c>
      <c r="F71" s="12" t="n">
        <v>4403045</v>
      </c>
    </row>
    <row r="72" customFormat="false" ht="15" hidden="false" customHeight="true" outlineLevel="0" collapsed="false">
      <c r="A72" s="12" t="s">
        <v>951</v>
      </c>
      <c r="B72" s="12" t="s">
        <v>705</v>
      </c>
      <c r="C72" s="12" t="n">
        <v>2025</v>
      </c>
      <c r="D72" s="12" t="n">
        <v>-6</v>
      </c>
      <c r="E72" s="12" t="n">
        <v>-173.3</v>
      </c>
      <c r="F72" s="12" t="n">
        <v>4404000</v>
      </c>
    </row>
    <row r="73" customFormat="false" ht="15" hidden="false" customHeight="true" outlineLevel="0" collapsed="false">
      <c r="A73" s="12" t="s">
        <v>951</v>
      </c>
      <c r="B73" s="12" t="s">
        <v>217</v>
      </c>
      <c r="C73" s="12" t="n">
        <v>2025</v>
      </c>
      <c r="D73" s="12" t="n">
        <v>-1</v>
      </c>
      <c r="E73" s="12" t="n">
        <v>-170.1</v>
      </c>
      <c r="F73" s="12" t="n">
        <v>4408003</v>
      </c>
    </row>
    <row r="74" customFormat="false" ht="15" hidden="false" customHeight="true" outlineLevel="0" collapsed="false">
      <c r="A74" s="12" t="s">
        <v>951</v>
      </c>
      <c r="B74" s="12" t="s">
        <v>219</v>
      </c>
      <c r="C74" s="12" t="n">
        <v>2025</v>
      </c>
      <c r="D74" s="12" t="n">
        <v>1</v>
      </c>
      <c r="E74" s="12" t="n">
        <v>170.1</v>
      </c>
      <c r="F74" s="12" t="n">
        <v>4408004</v>
      </c>
    </row>
    <row r="75" customFormat="false" ht="15" hidden="false" customHeight="true" outlineLevel="0" collapsed="false">
      <c r="A75" s="12" t="s">
        <v>951</v>
      </c>
      <c r="B75" s="12" t="s">
        <v>244</v>
      </c>
      <c r="C75" s="12" t="n">
        <v>2025</v>
      </c>
      <c r="D75" s="12" t="n">
        <v>3</v>
      </c>
      <c r="E75" s="12" t="n">
        <v>260.9</v>
      </c>
      <c r="F75" s="12" t="n">
        <v>4408009</v>
      </c>
    </row>
    <row r="76" customFormat="false" ht="15" hidden="false" customHeight="true" outlineLevel="0" collapsed="false">
      <c r="A76" s="12" t="s">
        <v>951</v>
      </c>
      <c r="B76" s="12" t="s">
        <v>244</v>
      </c>
      <c r="C76" s="12" t="n">
        <v>2026</v>
      </c>
      <c r="D76" s="12" t="n">
        <v>0</v>
      </c>
      <c r="E76" s="12" t="n">
        <v>7.2</v>
      </c>
      <c r="F76" s="12" t="n">
        <v>4408009</v>
      </c>
    </row>
    <row r="77" customFormat="false" ht="15" hidden="false" customHeight="true" outlineLevel="0" collapsed="false">
      <c r="A77" s="12" t="s">
        <v>951</v>
      </c>
      <c r="B77" s="12" t="s">
        <v>243</v>
      </c>
      <c r="C77" s="12" t="n">
        <v>2025</v>
      </c>
      <c r="D77" s="12" t="n">
        <v>2</v>
      </c>
      <c r="E77" s="12" t="n">
        <v>195.7</v>
      </c>
      <c r="F77" s="12" t="n">
        <v>4408010</v>
      </c>
    </row>
    <row r="78" customFormat="false" ht="15" hidden="false" customHeight="true" outlineLevel="0" collapsed="false">
      <c r="A78" s="12" t="s">
        <v>951</v>
      </c>
      <c r="B78" s="12" t="s">
        <v>243</v>
      </c>
      <c r="C78" s="12" t="n">
        <v>2026</v>
      </c>
      <c r="D78" s="12" t="n">
        <v>1</v>
      </c>
      <c r="E78" s="12" t="n">
        <v>101.5</v>
      </c>
      <c r="F78" s="12" t="n">
        <v>4408010</v>
      </c>
    </row>
    <row r="79" customFormat="false" ht="15" hidden="false" customHeight="true" outlineLevel="0" collapsed="false">
      <c r="A79" s="12" t="s">
        <v>951</v>
      </c>
      <c r="B79" s="12" t="s">
        <v>242</v>
      </c>
      <c r="C79" s="12" t="n">
        <v>2025</v>
      </c>
      <c r="D79" s="12" t="n">
        <v>3</v>
      </c>
      <c r="E79" s="12" t="n">
        <v>268.1</v>
      </c>
      <c r="F79" s="12" t="n">
        <v>4408011</v>
      </c>
    </row>
    <row r="80" customFormat="false" ht="15" hidden="false" customHeight="true" outlineLevel="0" collapsed="false">
      <c r="A80" s="12" t="s">
        <v>951</v>
      </c>
      <c r="B80" s="12" t="s">
        <v>245</v>
      </c>
      <c r="C80" s="12" t="n">
        <v>2025</v>
      </c>
      <c r="D80" s="12" t="n">
        <v>7</v>
      </c>
      <c r="E80" s="12" t="n">
        <v>720.2</v>
      </c>
      <c r="F80" s="12" t="n">
        <v>4408012</v>
      </c>
    </row>
    <row r="81" customFormat="false" ht="15" hidden="false" customHeight="true" outlineLevel="0" collapsed="false">
      <c r="A81" s="12" t="s">
        <v>951</v>
      </c>
      <c r="B81" s="12" t="s">
        <v>245</v>
      </c>
      <c r="C81" s="12" t="n">
        <v>2026</v>
      </c>
      <c r="D81" s="12" t="n">
        <v>1</v>
      </c>
      <c r="E81" s="12" t="n">
        <v>108.7</v>
      </c>
      <c r="F81" s="12" t="n">
        <v>4408012</v>
      </c>
    </row>
    <row r="82" customFormat="false" ht="15" hidden="false" customHeight="true" outlineLevel="0" collapsed="false">
      <c r="A82" s="12" t="s">
        <v>951</v>
      </c>
      <c r="B82" s="12" t="s">
        <v>246</v>
      </c>
      <c r="C82" s="12" t="n">
        <v>2025</v>
      </c>
      <c r="D82" s="12" t="n">
        <v>5</v>
      </c>
      <c r="E82" s="12" t="n">
        <v>471</v>
      </c>
      <c r="F82" s="12" t="n">
        <v>4408013</v>
      </c>
    </row>
    <row r="83" customFormat="false" ht="15" hidden="false" customHeight="true" outlineLevel="0" collapsed="false">
      <c r="A83" s="12" t="s">
        <v>951</v>
      </c>
      <c r="B83" s="12" t="s">
        <v>249</v>
      </c>
      <c r="C83" s="12" t="n">
        <v>2025</v>
      </c>
      <c r="D83" s="12" t="n">
        <v>1</v>
      </c>
      <c r="E83" s="12" t="n">
        <v>262.4</v>
      </c>
      <c r="F83" s="12" t="n">
        <v>4408014</v>
      </c>
    </row>
    <row r="84" customFormat="false" ht="15" hidden="false" customHeight="true" outlineLevel="0" collapsed="false">
      <c r="A84" s="12" t="s">
        <v>951</v>
      </c>
      <c r="B84" s="12" t="s">
        <v>249</v>
      </c>
      <c r="C84" s="12" t="n">
        <v>2026</v>
      </c>
      <c r="D84" s="12" t="n">
        <v>1</v>
      </c>
      <c r="E84" s="12" t="n">
        <v>262.4</v>
      </c>
      <c r="F84" s="12" t="n">
        <v>4408014</v>
      </c>
    </row>
    <row r="85" customFormat="false" ht="15" hidden="false" customHeight="true" outlineLevel="0" collapsed="false">
      <c r="A85" s="12" t="s">
        <v>951</v>
      </c>
      <c r="B85" s="12" t="s">
        <v>247</v>
      </c>
      <c r="C85" s="12" t="n">
        <v>2025</v>
      </c>
      <c r="D85" s="12" t="n">
        <v>4</v>
      </c>
      <c r="E85" s="12" t="n">
        <v>975.1</v>
      </c>
      <c r="F85" s="12" t="n">
        <v>4408015</v>
      </c>
    </row>
    <row r="86" customFormat="false" ht="15" hidden="false" customHeight="true" outlineLevel="0" collapsed="false">
      <c r="A86" s="12" t="s">
        <v>951</v>
      </c>
      <c r="B86" s="12" t="s">
        <v>247</v>
      </c>
      <c r="C86" s="12" t="n">
        <v>2026</v>
      </c>
      <c r="D86" s="12" t="n">
        <v>-3</v>
      </c>
      <c r="E86" s="12" t="n">
        <v>-710.5</v>
      </c>
      <c r="F86" s="12" t="n">
        <v>4408015</v>
      </c>
    </row>
    <row r="87" customFormat="false" ht="15" hidden="false" customHeight="true" outlineLevel="0" collapsed="false">
      <c r="A87" s="12" t="s">
        <v>951</v>
      </c>
      <c r="B87" s="12" t="s">
        <v>248</v>
      </c>
      <c r="C87" s="12" t="n">
        <v>2025</v>
      </c>
      <c r="D87" s="12" t="n">
        <v>0</v>
      </c>
      <c r="E87" s="12" t="n">
        <v>2.5</v>
      </c>
      <c r="F87" s="12" t="n">
        <v>4408016</v>
      </c>
    </row>
    <row r="88" customFormat="false" ht="15" hidden="false" customHeight="true" outlineLevel="0" collapsed="false">
      <c r="A88" s="12" t="s">
        <v>951</v>
      </c>
      <c r="B88" s="12" t="s">
        <v>248</v>
      </c>
      <c r="C88" s="12" t="n">
        <v>2026</v>
      </c>
      <c r="D88" s="12" t="n">
        <v>-2</v>
      </c>
      <c r="E88" s="12" t="n">
        <v>-485.2</v>
      </c>
      <c r="F88" s="12" t="n">
        <v>4408016</v>
      </c>
    </row>
    <row r="89" customFormat="false" ht="15" hidden="false" customHeight="true" outlineLevel="0" collapsed="false">
      <c r="A89" s="12" t="s">
        <v>951</v>
      </c>
      <c r="B89" s="12" t="s">
        <v>250</v>
      </c>
      <c r="C89" s="12" t="n">
        <v>2025</v>
      </c>
      <c r="D89" s="12" t="n">
        <v>4</v>
      </c>
      <c r="E89" s="12" t="n">
        <v>975.1</v>
      </c>
      <c r="F89" s="12" t="n">
        <v>4408017</v>
      </c>
    </row>
    <row r="90" customFormat="false" ht="15" hidden="false" customHeight="true" outlineLevel="0" collapsed="false">
      <c r="A90" s="12" t="s">
        <v>951</v>
      </c>
      <c r="B90" s="12" t="s">
        <v>250</v>
      </c>
      <c r="C90" s="12" t="n">
        <v>2026</v>
      </c>
      <c r="D90" s="12" t="n">
        <v>2</v>
      </c>
      <c r="E90" s="12" t="n">
        <v>454.9</v>
      </c>
      <c r="F90" s="12" t="n">
        <v>4408017</v>
      </c>
    </row>
    <row r="91" customFormat="false" ht="15" hidden="false" customHeight="true" outlineLevel="0" collapsed="false">
      <c r="A91" s="12" t="s">
        <v>951</v>
      </c>
      <c r="B91" s="12" t="s">
        <v>251</v>
      </c>
      <c r="C91" s="12" t="n">
        <v>2025</v>
      </c>
      <c r="D91" s="12" t="n">
        <v>0</v>
      </c>
      <c r="E91" s="12" t="n">
        <v>19.8</v>
      </c>
      <c r="F91" s="12" t="n">
        <v>4408018</v>
      </c>
    </row>
    <row r="92" customFormat="false" ht="15" hidden="false" customHeight="true" outlineLevel="0" collapsed="false">
      <c r="A92" s="12" t="s">
        <v>951</v>
      </c>
      <c r="B92" s="12" t="s">
        <v>252</v>
      </c>
      <c r="C92" s="12" t="n">
        <v>2025</v>
      </c>
      <c r="D92" s="12" t="n">
        <v>1</v>
      </c>
      <c r="E92" s="12" t="n">
        <v>231.6</v>
      </c>
      <c r="F92" s="12" t="n">
        <v>4408024</v>
      </c>
    </row>
    <row r="93" customFormat="false" ht="15" hidden="false" customHeight="true" outlineLevel="0" collapsed="false">
      <c r="A93" s="12" t="s">
        <v>951</v>
      </c>
      <c r="B93" s="12" t="s">
        <v>255</v>
      </c>
      <c r="C93" s="12" t="n">
        <v>2026</v>
      </c>
      <c r="D93" s="12" t="n">
        <v>0</v>
      </c>
      <c r="E93" s="12" t="n">
        <v>13.7</v>
      </c>
      <c r="F93" s="12" t="n">
        <v>4408026</v>
      </c>
    </row>
    <row r="94" customFormat="false" ht="15" hidden="false" customHeight="true" outlineLevel="0" collapsed="false">
      <c r="A94" s="12" t="s">
        <v>951</v>
      </c>
      <c r="B94" s="12" t="s">
        <v>253</v>
      </c>
      <c r="C94" s="12" t="n">
        <v>2025</v>
      </c>
      <c r="D94" s="12" t="n">
        <v>12</v>
      </c>
      <c r="E94" s="12" t="n">
        <v>1742.7</v>
      </c>
      <c r="F94" s="12" t="n">
        <v>4408027</v>
      </c>
    </row>
    <row r="95" customFormat="false" ht="15" hidden="false" customHeight="true" outlineLevel="0" collapsed="false">
      <c r="A95" s="12" t="s">
        <v>951</v>
      </c>
      <c r="B95" s="12" t="s">
        <v>253</v>
      </c>
      <c r="C95" s="12" t="n">
        <v>2026</v>
      </c>
      <c r="D95" s="12" t="n">
        <v>17</v>
      </c>
      <c r="E95" s="12" t="n">
        <v>2529.7</v>
      </c>
      <c r="F95" s="12" t="n">
        <v>4408027</v>
      </c>
    </row>
    <row r="96" customFormat="false" ht="15" hidden="false" customHeight="true" outlineLevel="0" collapsed="false">
      <c r="A96" s="12" t="s">
        <v>951</v>
      </c>
      <c r="B96" s="12" t="s">
        <v>254</v>
      </c>
      <c r="C96" s="12" t="n">
        <v>2025</v>
      </c>
      <c r="D96" s="12" t="n">
        <v>15</v>
      </c>
      <c r="E96" s="12" t="n">
        <v>2114.2</v>
      </c>
      <c r="F96" s="12" t="n">
        <v>4408028</v>
      </c>
    </row>
    <row r="97" customFormat="false" ht="15" hidden="false" customHeight="true" outlineLevel="0" collapsed="false">
      <c r="A97" s="12" t="s">
        <v>951</v>
      </c>
      <c r="B97" s="12" t="s">
        <v>254</v>
      </c>
      <c r="C97" s="12" t="n">
        <v>2026</v>
      </c>
      <c r="D97" s="12" t="n">
        <v>8</v>
      </c>
      <c r="E97" s="12" t="n">
        <v>1158</v>
      </c>
      <c r="F97" s="12" t="n">
        <v>4408028</v>
      </c>
    </row>
    <row r="98" customFormat="false" ht="15" hidden="false" customHeight="true" outlineLevel="0" collapsed="false">
      <c r="A98" s="12" t="s">
        <v>951</v>
      </c>
      <c r="B98" s="12" t="s">
        <v>256</v>
      </c>
      <c r="C98" s="12" t="n">
        <v>2025</v>
      </c>
      <c r="D98" s="12" t="n">
        <v>16</v>
      </c>
      <c r="E98" s="12" t="n">
        <v>2378.6</v>
      </c>
      <c r="F98" s="12" t="n">
        <v>4408029</v>
      </c>
    </row>
    <row r="99" customFormat="false" ht="15" hidden="false" customHeight="true" outlineLevel="0" collapsed="false">
      <c r="A99" s="12" t="s">
        <v>951</v>
      </c>
      <c r="B99" s="12" t="s">
        <v>256</v>
      </c>
      <c r="C99" s="12" t="n">
        <v>2026</v>
      </c>
      <c r="D99" s="12" t="n">
        <v>13</v>
      </c>
      <c r="E99" s="12" t="n">
        <v>1896.8</v>
      </c>
      <c r="F99" s="12" t="n">
        <v>4408029</v>
      </c>
    </row>
    <row r="100" customFormat="false" ht="15" hidden="false" customHeight="true" outlineLevel="0" collapsed="false">
      <c r="A100" s="12" t="s">
        <v>951</v>
      </c>
      <c r="B100" s="12" t="s">
        <v>257</v>
      </c>
      <c r="C100" s="12" t="n">
        <v>2025</v>
      </c>
      <c r="D100" s="12" t="n">
        <v>1</v>
      </c>
      <c r="E100" s="12" t="n">
        <v>145.2</v>
      </c>
      <c r="F100" s="12" t="n">
        <v>4408030</v>
      </c>
    </row>
    <row r="101" customFormat="false" ht="15" hidden="false" customHeight="true" outlineLevel="0" collapsed="false">
      <c r="A101" s="12" t="s">
        <v>951</v>
      </c>
      <c r="B101" s="12" t="s">
        <v>257</v>
      </c>
      <c r="C101" s="12" t="n">
        <v>2026</v>
      </c>
      <c r="D101" s="12" t="n">
        <v>1</v>
      </c>
      <c r="E101" s="12" t="n">
        <v>148.4</v>
      </c>
      <c r="F101" s="12" t="n">
        <v>4408030</v>
      </c>
    </row>
    <row r="102" customFormat="false" ht="15" hidden="false" customHeight="true" outlineLevel="0" collapsed="false">
      <c r="A102" s="12" t="s">
        <v>951</v>
      </c>
      <c r="B102" s="12" t="s">
        <v>260</v>
      </c>
      <c r="C102" s="12" t="n">
        <v>2025</v>
      </c>
      <c r="D102" s="12" t="n">
        <v>5</v>
      </c>
      <c r="E102" s="12" t="n">
        <v>495.9</v>
      </c>
      <c r="F102" s="12" t="n">
        <v>4408031</v>
      </c>
    </row>
    <row r="103" customFormat="false" ht="15" hidden="false" customHeight="true" outlineLevel="0" collapsed="false">
      <c r="A103" s="12" t="s">
        <v>951</v>
      </c>
      <c r="B103" s="12" t="s">
        <v>260</v>
      </c>
      <c r="C103" s="12" t="n">
        <v>2026</v>
      </c>
      <c r="D103" s="12" t="n">
        <v>5</v>
      </c>
      <c r="E103" s="12" t="n">
        <v>534.5</v>
      </c>
      <c r="F103" s="12" t="n">
        <v>4408031</v>
      </c>
    </row>
    <row r="104" customFormat="false" ht="15" hidden="false" customHeight="true" outlineLevel="0" collapsed="false">
      <c r="A104" s="12" t="s">
        <v>951</v>
      </c>
      <c r="B104" s="12" t="s">
        <v>258</v>
      </c>
      <c r="C104" s="12" t="n">
        <v>2025</v>
      </c>
      <c r="D104" s="12" t="n">
        <v>45</v>
      </c>
      <c r="E104" s="12" t="n">
        <v>4620.2</v>
      </c>
      <c r="F104" s="12" t="n">
        <v>4408032</v>
      </c>
    </row>
    <row r="105" customFormat="false" ht="15" hidden="false" customHeight="true" outlineLevel="0" collapsed="false">
      <c r="A105" s="12" t="s">
        <v>951</v>
      </c>
      <c r="B105" s="12" t="s">
        <v>258</v>
      </c>
      <c r="C105" s="12" t="n">
        <v>2026</v>
      </c>
      <c r="D105" s="12" t="n">
        <v>25</v>
      </c>
      <c r="E105" s="12" t="n">
        <v>2629.3</v>
      </c>
      <c r="F105" s="12" t="n">
        <v>4408032</v>
      </c>
    </row>
    <row r="106" customFormat="false" ht="15" hidden="false" customHeight="true" outlineLevel="0" collapsed="false">
      <c r="A106" s="12" t="s">
        <v>951</v>
      </c>
      <c r="B106" s="12" t="s">
        <v>259</v>
      </c>
      <c r="C106" s="12" t="n">
        <v>2025</v>
      </c>
      <c r="D106" s="12" t="n">
        <v>43</v>
      </c>
      <c r="E106" s="12" t="n">
        <v>4517.5</v>
      </c>
      <c r="F106" s="12" t="n">
        <v>4408033</v>
      </c>
    </row>
    <row r="107" customFormat="false" ht="15" hidden="false" customHeight="true" outlineLevel="0" collapsed="false">
      <c r="A107" s="12" t="s">
        <v>951</v>
      </c>
      <c r="B107" s="12" t="s">
        <v>259</v>
      </c>
      <c r="C107" s="12" t="n">
        <v>2026</v>
      </c>
      <c r="D107" s="12" t="n">
        <v>24</v>
      </c>
      <c r="E107" s="12" t="n">
        <v>2466.9</v>
      </c>
      <c r="F107" s="12" t="n">
        <v>4408033</v>
      </c>
    </row>
    <row r="108" customFormat="false" ht="15" hidden="false" customHeight="true" outlineLevel="0" collapsed="false">
      <c r="A108" s="12" t="s">
        <v>951</v>
      </c>
      <c r="B108" s="12" t="s">
        <v>261</v>
      </c>
      <c r="C108" s="12" t="n">
        <v>2025</v>
      </c>
      <c r="D108" s="12" t="n">
        <v>45</v>
      </c>
      <c r="E108" s="12" t="n">
        <v>4656.5</v>
      </c>
      <c r="F108" s="12" t="n">
        <v>4408034</v>
      </c>
    </row>
    <row r="109" customFormat="false" ht="15" hidden="false" customHeight="true" outlineLevel="0" collapsed="false">
      <c r="A109" s="12" t="s">
        <v>951</v>
      </c>
      <c r="B109" s="12" t="s">
        <v>261</v>
      </c>
      <c r="C109" s="12" t="n">
        <v>2026</v>
      </c>
      <c r="D109" s="12" t="n">
        <v>24</v>
      </c>
      <c r="E109" s="12" t="n">
        <v>2502.9</v>
      </c>
      <c r="F109" s="12" t="n">
        <v>4408034</v>
      </c>
    </row>
    <row r="110" customFormat="false" ht="15" hidden="false" customHeight="true" outlineLevel="0" collapsed="false">
      <c r="A110" s="12" t="s">
        <v>951</v>
      </c>
      <c r="B110" s="12" t="s">
        <v>263</v>
      </c>
      <c r="C110" s="12" t="n">
        <v>2025</v>
      </c>
      <c r="D110" s="12" t="n">
        <v>29</v>
      </c>
      <c r="E110" s="12" t="n">
        <v>3013.9</v>
      </c>
      <c r="F110" s="12" t="n">
        <v>4408035</v>
      </c>
    </row>
    <row r="111" customFormat="false" ht="15" hidden="false" customHeight="true" outlineLevel="0" collapsed="false">
      <c r="A111" s="12" t="s">
        <v>951</v>
      </c>
      <c r="B111" s="12" t="s">
        <v>263</v>
      </c>
      <c r="C111" s="12" t="n">
        <v>2026</v>
      </c>
      <c r="D111" s="12" t="n">
        <v>10</v>
      </c>
      <c r="E111" s="12" t="n">
        <v>1077.6</v>
      </c>
      <c r="F111" s="12" t="n">
        <v>4408035</v>
      </c>
    </row>
    <row r="112" customFormat="false" ht="15" hidden="false" customHeight="true" outlineLevel="0" collapsed="false">
      <c r="A112" s="12" t="s">
        <v>951</v>
      </c>
      <c r="B112" s="12" t="s">
        <v>313</v>
      </c>
      <c r="C112" s="12" t="n">
        <v>2026</v>
      </c>
      <c r="D112" s="12" t="n">
        <v>-1</v>
      </c>
      <c r="E112" s="12" t="n">
        <v>-247.5</v>
      </c>
      <c r="F112" s="12" t="n">
        <v>4408041</v>
      </c>
    </row>
    <row r="113" customFormat="false" ht="15" hidden="false" customHeight="true" outlineLevel="0" collapsed="false">
      <c r="A113" s="12" t="s">
        <v>951</v>
      </c>
      <c r="B113" s="12" t="s">
        <v>311</v>
      </c>
      <c r="C113" s="12" t="n">
        <v>2025</v>
      </c>
      <c r="D113" s="12" t="n">
        <v>-1</v>
      </c>
      <c r="E113" s="12" t="n">
        <v>-307.2</v>
      </c>
      <c r="F113" s="12" t="n">
        <v>4408042</v>
      </c>
    </row>
    <row r="114" customFormat="false" ht="15" hidden="false" customHeight="true" outlineLevel="0" collapsed="false">
      <c r="A114" s="12" t="s">
        <v>951</v>
      </c>
      <c r="B114" s="12" t="s">
        <v>311</v>
      </c>
      <c r="C114" s="12" t="n">
        <v>2026</v>
      </c>
      <c r="D114" s="12" t="n">
        <v>-1</v>
      </c>
      <c r="E114" s="12" t="n">
        <v>-247.5</v>
      </c>
      <c r="F114" s="12" t="n">
        <v>4408042</v>
      </c>
    </row>
    <row r="115" customFormat="false" ht="15" hidden="false" customHeight="true" outlineLevel="0" collapsed="false">
      <c r="A115" s="12" t="s">
        <v>951</v>
      </c>
      <c r="B115" s="12" t="s">
        <v>312</v>
      </c>
      <c r="C115" s="12" t="n">
        <v>2026</v>
      </c>
      <c r="D115" s="12" t="n">
        <v>-1</v>
      </c>
      <c r="E115" s="12" t="n">
        <v>-247.5</v>
      </c>
      <c r="F115" s="12" t="n">
        <v>4408043</v>
      </c>
    </row>
    <row r="116" customFormat="false" ht="15" hidden="false" customHeight="true" outlineLevel="0" collapsed="false">
      <c r="A116" s="12" t="s">
        <v>951</v>
      </c>
      <c r="B116" s="12" t="s">
        <v>310</v>
      </c>
      <c r="C116" s="12" t="n">
        <v>2026</v>
      </c>
      <c r="D116" s="12" t="n">
        <v>-1</v>
      </c>
      <c r="E116" s="12" t="n">
        <v>-247.5</v>
      </c>
      <c r="F116" s="12" t="n">
        <v>4408044</v>
      </c>
    </row>
    <row r="117" customFormat="false" ht="15" hidden="false" customHeight="true" outlineLevel="0" collapsed="false">
      <c r="A117" s="12" t="s">
        <v>951</v>
      </c>
      <c r="B117" s="12" t="s">
        <v>580</v>
      </c>
      <c r="C117" s="12" t="n">
        <v>2025</v>
      </c>
      <c r="D117" s="12" t="n">
        <v>169</v>
      </c>
      <c r="E117" s="12" t="n">
        <v>5535</v>
      </c>
      <c r="F117" s="12" t="n">
        <v>4408046</v>
      </c>
    </row>
    <row r="118" customFormat="false" ht="15" hidden="false" customHeight="true" outlineLevel="0" collapsed="false">
      <c r="A118" s="12" t="s">
        <v>951</v>
      </c>
      <c r="B118" s="12" t="s">
        <v>580</v>
      </c>
      <c r="C118" s="12" t="n">
        <v>2026</v>
      </c>
      <c r="D118" s="12" t="n">
        <v>95</v>
      </c>
      <c r="E118" s="12" t="n">
        <v>3068.3</v>
      </c>
      <c r="F118" s="12" t="n">
        <v>4408046</v>
      </c>
    </row>
    <row r="119" customFormat="false" ht="15" hidden="false" customHeight="true" outlineLevel="0" collapsed="false">
      <c r="A119" s="12" t="s">
        <v>951</v>
      </c>
      <c r="B119" s="12" t="s">
        <v>581</v>
      </c>
      <c r="C119" s="12" t="n">
        <v>2025</v>
      </c>
      <c r="D119" s="12" t="n">
        <v>194</v>
      </c>
      <c r="E119" s="12" t="n">
        <v>6304</v>
      </c>
      <c r="F119" s="12" t="n">
        <v>4408047</v>
      </c>
    </row>
    <row r="120" customFormat="false" ht="15" hidden="false" customHeight="true" outlineLevel="0" collapsed="false">
      <c r="A120" s="12" t="s">
        <v>951</v>
      </c>
      <c r="B120" s="12" t="s">
        <v>581</v>
      </c>
      <c r="C120" s="12" t="n">
        <v>2026</v>
      </c>
      <c r="D120" s="12" t="n">
        <v>103</v>
      </c>
      <c r="E120" s="12" t="n">
        <v>3352.3</v>
      </c>
      <c r="F120" s="12" t="n">
        <v>4408047</v>
      </c>
    </row>
    <row r="121" customFormat="false" ht="15" hidden="false" customHeight="true" outlineLevel="0" collapsed="false">
      <c r="A121" s="12" t="s">
        <v>951</v>
      </c>
      <c r="B121" s="12" t="s">
        <v>582</v>
      </c>
      <c r="C121" s="12" t="n">
        <v>2025</v>
      </c>
      <c r="D121" s="12" t="n">
        <v>129</v>
      </c>
      <c r="E121" s="12" t="n">
        <v>4216.3</v>
      </c>
      <c r="F121" s="12" t="n">
        <v>4408048</v>
      </c>
    </row>
    <row r="122" customFormat="false" ht="15" hidden="false" customHeight="true" outlineLevel="0" collapsed="false">
      <c r="A122" s="12" t="s">
        <v>951</v>
      </c>
      <c r="B122" s="12" t="s">
        <v>582</v>
      </c>
      <c r="C122" s="12" t="n">
        <v>2026</v>
      </c>
      <c r="D122" s="12" t="n">
        <v>57</v>
      </c>
      <c r="E122" s="12" t="n">
        <v>1860</v>
      </c>
      <c r="F122" s="12" t="n">
        <v>4408048</v>
      </c>
    </row>
    <row r="123" customFormat="false" ht="15" hidden="false" customHeight="true" outlineLevel="0" collapsed="false">
      <c r="A123" s="12" t="s">
        <v>951</v>
      </c>
      <c r="B123" s="12" t="s">
        <v>583</v>
      </c>
      <c r="C123" s="12" t="n">
        <v>2025</v>
      </c>
      <c r="D123" s="12" t="n">
        <v>80</v>
      </c>
      <c r="E123" s="12" t="n">
        <v>2603.8</v>
      </c>
      <c r="F123" s="12" t="n">
        <v>4408049</v>
      </c>
    </row>
    <row r="124" customFormat="false" ht="15" hidden="false" customHeight="true" outlineLevel="0" collapsed="false">
      <c r="A124" s="12" t="s">
        <v>951</v>
      </c>
      <c r="B124" s="12" t="s">
        <v>583</v>
      </c>
      <c r="C124" s="12" t="n">
        <v>2026</v>
      </c>
      <c r="D124" s="12" t="n">
        <v>30</v>
      </c>
      <c r="E124" s="12" t="n">
        <v>971.3</v>
      </c>
      <c r="F124" s="12" t="n">
        <v>4408049</v>
      </c>
    </row>
    <row r="125" customFormat="false" ht="15" hidden="false" customHeight="true" outlineLevel="0" collapsed="false">
      <c r="A125" s="12" t="s">
        <v>951</v>
      </c>
      <c r="B125" s="12" t="s">
        <v>584</v>
      </c>
      <c r="C125" s="12" t="n">
        <v>2025</v>
      </c>
      <c r="D125" s="12" t="n">
        <v>4</v>
      </c>
      <c r="E125" s="12" t="n">
        <v>130.7</v>
      </c>
      <c r="F125" s="12" t="n">
        <v>4408050</v>
      </c>
    </row>
    <row r="126" customFormat="false" ht="15" hidden="false" customHeight="true" outlineLevel="0" collapsed="false">
      <c r="A126" s="12" t="s">
        <v>951</v>
      </c>
      <c r="B126" s="12" t="s">
        <v>584</v>
      </c>
      <c r="C126" s="12" t="n">
        <v>2026</v>
      </c>
      <c r="D126" s="12" t="n">
        <v>2</v>
      </c>
      <c r="E126" s="12" t="n">
        <v>66.5</v>
      </c>
      <c r="F126" s="12" t="n">
        <v>4408050</v>
      </c>
    </row>
    <row r="127" customFormat="false" ht="15" hidden="false" customHeight="true" outlineLevel="0" collapsed="false">
      <c r="A127" s="12" t="s">
        <v>951</v>
      </c>
      <c r="B127" s="12" t="s">
        <v>588</v>
      </c>
      <c r="C127" s="12" t="n">
        <v>2025</v>
      </c>
      <c r="D127" s="12" t="n">
        <v>346</v>
      </c>
      <c r="E127" s="12" t="n">
        <v>13452.1</v>
      </c>
      <c r="F127" s="12" t="n">
        <v>4408051</v>
      </c>
    </row>
    <row r="128" customFormat="false" ht="15" hidden="false" customHeight="true" outlineLevel="0" collapsed="false">
      <c r="A128" s="12" t="s">
        <v>951</v>
      </c>
      <c r="B128" s="12" t="s">
        <v>588</v>
      </c>
      <c r="C128" s="12" t="n">
        <v>2026</v>
      </c>
      <c r="D128" s="12" t="n">
        <v>162</v>
      </c>
      <c r="E128" s="12" t="n">
        <v>6356.1</v>
      </c>
      <c r="F128" s="12" t="n">
        <v>4408051</v>
      </c>
    </row>
    <row r="129" customFormat="false" ht="15" hidden="false" customHeight="true" outlineLevel="0" collapsed="false">
      <c r="A129" s="12" t="s">
        <v>951</v>
      </c>
      <c r="B129" s="12" t="s">
        <v>586</v>
      </c>
      <c r="C129" s="12" t="n">
        <v>2025</v>
      </c>
      <c r="D129" s="12" t="n">
        <v>613</v>
      </c>
      <c r="E129" s="12" t="n">
        <v>23671.9</v>
      </c>
      <c r="F129" s="12" t="n">
        <v>4408052</v>
      </c>
    </row>
    <row r="130" customFormat="false" ht="15" hidden="false" customHeight="true" outlineLevel="0" collapsed="false">
      <c r="A130" s="12" t="s">
        <v>951</v>
      </c>
      <c r="B130" s="12" t="s">
        <v>586</v>
      </c>
      <c r="C130" s="12" t="n">
        <v>2026</v>
      </c>
      <c r="D130" s="12" t="n">
        <v>290</v>
      </c>
      <c r="E130" s="12" t="n">
        <v>11311.7</v>
      </c>
      <c r="F130" s="12" t="n">
        <v>4408052</v>
      </c>
    </row>
    <row r="131" customFormat="false" ht="15" hidden="false" customHeight="true" outlineLevel="0" collapsed="false">
      <c r="A131" s="12" t="s">
        <v>951</v>
      </c>
      <c r="B131" s="12" t="s">
        <v>587</v>
      </c>
      <c r="C131" s="12" t="n">
        <v>2025</v>
      </c>
      <c r="D131" s="12" t="n">
        <v>665</v>
      </c>
      <c r="E131" s="12" t="n">
        <v>25850.9</v>
      </c>
      <c r="F131" s="12" t="n">
        <v>4408053</v>
      </c>
    </row>
    <row r="132" customFormat="false" ht="15" hidden="false" customHeight="true" outlineLevel="0" collapsed="false">
      <c r="A132" s="12" t="s">
        <v>951</v>
      </c>
      <c r="B132" s="12" t="s">
        <v>587</v>
      </c>
      <c r="C132" s="12" t="n">
        <v>2026</v>
      </c>
      <c r="D132" s="12" t="n">
        <v>380</v>
      </c>
      <c r="E132" s="12" t="n">
        <v>14853.3</v>
      </c>
      <c r="F132" s="12" t="n">
        <v>4408053</v>
      </c>
    </row>
    <row r="133" customFormat="false" ht="15" hidden="false" customHeight="true" outlineLevel="0" collapsed="false">
      <c r="A133" s="12" t="s">
        <v>951</v>
      </c>
      <c r="B133" s="12" t="s">
        <v>589</v>
      </c>
      <c r="C133" s="12" t="n">
        <v>2025</v>
      </c>
      <c r="D133" s="12" t="n">
        <v>245</v>
      </c>
      <c r="E133" s="12" t="n">
        <v>9483.1</v>
      </c>
      <c r="F133" s="12" t="n">
        <v>4408054</v>
      </c>
    </row>
    <row r="134" customFormat="false" ht="15" hidden="false" customHeight="true" outlineLevel="0" collapsed="false">
      <c r="A134" s="12" t="s">
        <v>951</v>
      </c>
      <c r="B134" s="12" t="s">
        <v>589</v>
      </c>
      <c r="C134" s="12" t="n">
        <v>2026</v>
      </c>
      <c r="D134" s="12" t="n">
        <v>113</v>
      </c>
      <c r="E134" s="12" t="n">
        <v>4321.4</v>
      </c>
      <c r="F134" s="12" t="n">
        <v>4408054</v>
      </c>
    </row>
    <row r="135" customFormat="false" ht="15" hidden="false" customHeight="true" outlineLevel="0" collapsed="false">
      <c r="A135" s="12" t="s">
        <v>951</v>
      </c>
      <c r="B135" s="12" t="s">
        <v>610</v>
      </c>
      <c r="C135" s="12" t="n">
        <v>2025</v>
      </c>
      <c r="D135" s="12" t="n">
        <v>2</v>
      </c>
      <c r="E135" s="12" t="n">
        <v>132.6</v>
      </c>
      <c r="F135" s="12" t="n">
        <v>4408059</v>
      </c>
    </row>
    <row r="136" customFormat="false" ht="15" hidden="false" customHeight="true" outlineLevel="0" collapsed="false">
      <c r="A136" s="12" t="s">
        <v>951</v>
      </c>
      <c r="B136" s="12" t="s">
        <v>611</v>
      </c>
      <c r="C136" s="12" t="n">
        <v>2025</v>
      </c>
      <c r="D136" s="12" t="n">
        <v>-1</v>
      </c>
      <c r="E136" s="12" t="n">
        <v>-50.9</v>
      </c>
      <c r="F136" s="12" t="n">
        <v>4408060</v>
      </c>
    </row>
    <row r="137" customFormat="false" ht="15" hidden="false" customHeight="true" outlineLevel="0" collapsed="false">
      <c r="A137" s="12" t="s">
        <v>951</v>
      </c>
      <c r="B137" s="12" t="s">
        <v>612</v>
      </c>
      <c r="C137" s="12" t="n">
        <v>2025</v>
      </c>
      <c r="D137" s="12" t="n">
        <v>0</v>
      </c>
      <c r="E137" s="12" t="n">
        <v>7.8</v>
      </c>
      <c r="F137" s="12" t="n">
        <v>4408061</v>
      </c>
    </row>
    <row r="138" customFormat="false" ht="15" hidden="false" customHeight="true" outlineLevel="0" collapsed="false">
      <c r="A138" s="12" t="s">
        <v>951</v>
      </c>
      <c r="B138" s="12" t="s">
        <v>613</v>
      </c>
      <c r="C138" s="12" t="n">
        <v>2025</v>
      </c>
      <c r="D138" s="12" t="n">
        <v>2</v>
      </c>
      <c r="E138" s="12" t="n">
        <v>132.3</v>
      </c>
      <c r="F138" s="12" t="n">
        <v>4408062</v>
      </c>
    </row>
    <row r="139" customFormat="false" ht="15" hidden="false" customHeight="true" outlineLevel="0" collapsed="false">
      <c r="A139" s="12" t="s">
        <v>951</v>
      </c>
      <c r="B139" s="12" t="s">
        <v>613</v>
      </c>
      <c r="C139" s="12" t="n">
        <v>2026</v>
      </c>
      <c r="D139" s="12" t="n">
        <v>-1</v>
      </c>
      <c r="E139" s="12" t="n">
        <v>-53.2</v>
      </c>
      <c r="F139" s="12" t="n">
        <v>4408062</v>
      </c>
    </row>
    <row r="140" customFormat="false" ht="15" hidden="false" customHeight="true" outlineLevel="0" collapsed="false">
      <c r="A140" s="12" t="s">
        <v>951</v>
      </c>
      <c r="B140" s="12" t="s">
        <v>565</v>
      </c>
      <c r="C140" s="12" t="n">
        <v>2026</v>
      </c>
      <c r="D140" s="12" t="n">
        <v>2</v>
      </c>
      <c r="E140" s="12" t="n">
        <v>178</v>
      </c>
      <c r="F140" s="12" t="n">
        <v>4408069</v>
      </c>
    </row>
    <row r="141" customFormat="false" ht="15" hidden="false" customHeight="true" outlineLevel="0" collapsed="false">
      <c r="A141" s="12" t="s">
        <v>951</v>
      </c>
      <c r="B141" s="12" t="s">
        <v>454</v>
      </c>
      <c r="C141" s="12" t="n">
        <v>2025</v>
      </c>
      <c r="D141" s="12" t="n">
        <v>2</v>
      </c>
      <c r="E141" s="12" t="n">
        <v>628</v>
      </c>
      <c r="F141" s="12" t="n">
        <v>4408071</v>
      </c>
    </row>
    <row r="142" customFormat="false" ht="15" hidden="false" customHeight="true" outlineLevel="0" collapsed="false">
      <c r="A142" s="12" t="s">
        <v>951</v>
      </c>
      <c r="B142" s="12" t="s">
        <v>454</v>
      </c>
      <c r="C142" s="12" t="n">
        <v>2026</v>
      </c>
      <c r="D142" s="12" t="n">
        <v>3</v>
      </c>
      <c r="E142" s="12" t="n">
        <v>879.2</v>
      </c>
      <c r="F142" s="12" t="n">
        <v>4408071</v>
      </c>
    </row>
    <row r="143" customFormat="false" ht="15" hidden="false" customHeight="true" outlineLevel="0" collapsed="false">
      <c r="A143" s="12" t="s">
        <v>951</v>
      </c>
      <c r="B143" s="12" t="s">
        <v>455</v>
      </c>
      <c r="C143" s="12" t="n">
        <v>2025</v>
      </c>
      <c r="D143" s="12" t="n">
        <v>2</v>
      </c>
      <c r="E143" s="12" t="n">
        <v>628</v>
      </c>
      <c r="F143" s="12" t="n">
        <v>4408072</v>
      </c>
    </row>
    <row r="144" customFormat="false" ht="15" hidden="false" customHeight="true" outlineLevel="0" collapsed="false">
      <c r="A144" s="12" t="s">
        <v>951</v>
      </c>
      <c r="B144" s="12" t="s">
        <v>455</v>
      </c>
      <c r="C144" s="12" t="n">
        <v>2026</v>
      </c>
      <c r="D144" s="12" t="n">
        <v>1</v>
      </c>
      <c r="E144" s="12" t="n">
        <v>314</v>
      </c>
      <c r="F144" s="12" t="n">
        <v>4408072</v>
      </c>
    </row>
    <row r="145" customFormat="false" ht="15" hidden="false" customHeight="true" outlineLevel="0" collapsed="false">
      <c r="A145" s="12" t="s">
        <v>951</v>
      </c>
      <c r="B145" s="12" t="s">
        <v>457</v>
      </c>
      <c r="C145" s="12" t="n">
        <v>2025</v>
      </c>
      <c r="D145" s="12" t="n">
        <v>2</v>
      </c>
      <c r="E145" s="12" t="n">
        <v>628</v>
      </c>
      <c r="F145" s="12" t="n">
        <v>4408073</v>
      </c>
    </row>
    <row r="146" customFormat="false" ht="15" hidden="false" customHeight="true" outlineLevel="0" collapsed="false">
      <c r="A146" s="12" t="s">
        <v>951</v>
      </c>
      <c r="B146" s="12" t="s">
        <v>457</v>
      </c>
      <c r="C146" s="12" t="n">
        <v>2026</v>
      </c>
      <c r="D146" s="12" t="n">
        <v>1</v>
      </c>
      <c r="E146" s="12" t="n">
        <v>316.1</v>
      </c>
      <c r="F146" s="12" t="n">
        <v>4408073</v>
      </c>
    </row>
    <row r="147" customFormat="false" ht="15" hidden="false" customHeight="true" outlineLevel="0" collapsed="false">
      <c r="A147" s="12" t="s">
        <v>951</v>
      </c>
      <c r="B147" s="12" t="s">
        <v>461</v>
      </c>
      <c r="C147" s="12" t="n">
        <v>2026</v>
      </c>
      <c r="D147" s="12" t="n">
        <v>1</v>
      </c>
      <c r="E147" s="12" t="n">
        <v>187.4</v>
      </c>
      <c r="F147" s="12" t="n">
        <v>4408075</v>
      </c>
    </row>
    <row r="148" customFormat="false" ht="15" hidden="false" customHeight="true" outlineLevel="0" collapsed="false">
      <c r="A148" s="12" t="s">
        <v>951</v>
      </c>
      <c r="B148" s="12" t="s">
        <v>459</v>
      </c>
      <c r="C148" s="12" t="n">
        <v>2025</v>
      </c>
      <c r="D148" s="12" t="n">
        <v>4</v>
      </c>
      <c r="E148" s="12" t="n">
        <v>743.5</v>
      </c>
      <c r="F148" s="12" t="n">
        <v>4408076</v>
      </c>
    </row>
    <row r="149" customFormat="false" ht="15" hidden="false" customHeight="true" outlineLevel="0" collapsed="false">
      <c r="A149" s="12" t="s">
        <v>951</v>
      </c>
      <c r="B149" s="12" t="s">
        <v>459</v>
      </c>
      <c r="C149" s="12" t="n">
        <v>2026</v>
      </c>
      <c r="D149" s="12" t="n">
        <v>3</v>
      </c>
      <c r="E149" s="12" t="n">
        <v>537.3</v>
      </c>
      <c r="F149" s="12" t="n">
        <v>4408076</v>
      </c>
    </row>
    <row r="150" customFormat="false" ht="15" hidden="false" customHeight="true" outlineLevel="0" collapsed="false">
      <c r="A150" s="12" t="s">
        <v>951</v>
      </c>
      <c r="B150" s="12" t="s">
        <v>460</v>
      </c>
      <c r="C150" s="12" t="n">
        <v>2025</v>
      </c>
      <c r="D150" s="12" t="n">
        <v>2</v>
      </c>
      <c r="E150" s="12" t="n">
        <v>346.8</v>
      </c>
      <c r="F150" s="12" t="n">
        <v>4408077</v>
      </c>
    </row>
    <row r="151" customFormat="false" ht="15" hidden="false" customHeight="true" outlineLevel="0" collapsed="false">
      <c r="A151" s="12" t="s">
        <v>951</v>
      </c>
      <c r="B151" s="12" t="s">
        <v>460</v>
      </c>
      <c r="C151" s="12" t="n">
        <v>2026</v>
      </c>
      <c r="D151" s="12" t="n">
        <v>2</v>
      </c>
      <c r="E151" s="12" t="n">
        <v>374.9</v>
      </c>
      <c r="F151" s="12" t="n">
        <v>4408077</v>
      </c>
    </row>
    <row r="152" customFormat="false" ht="15" hidden="false" customHeight="true" outlineLevel="0" collapsed="false">
      <c r="A152" s="12" t="s">
        <v>951</v>
      </c>
      <c r="B152" s="12" t="s">
        <v>462</v>
      </c>
      <c r="C152" s="12" t="n">
        <v>2026</v>
      </c>
      <c r="D152" s="12" t="n">
        <v>1</v>
      </c>
      <c r="E152" s="12" t="n">
        <v>187.4</v>
      </c>
      <c r="F152" s="12" t="n">
        <v>4408078</v>
      </c>
    </row>
    <row r="153" customFormat="false" ht="15" hidden="false" customHeight="true" outlineLevel="0" collapsed="false">
      <c r="A153" s="12" t="s">
        <v>951</v>
      </c>
      <c r="B153" s="12" t="s">
        <v>465</v>
      </c>
      <c r="C153" s="12" t="n">
        <v>2025</v>
      </c>
      <c r="D153" s="12" t="n">
        <v>3</v>
      </c>
      <c r="E153" s="12" t="n">
        <v>549.8</v>
      </c>
      <c r="F153" s="12" t="n">
        <v>4408079</v>
      </c>
    </row>
    <row r="154" customFormat="false" ht="15" hidden="false" customHeight="true" outlineLevel="0" collapsed="false">
      <c r="A154" s="12" t="s">
        <v>951</v>
      </c>
      <c r="B154" s="12" t="s">
        <v>465</v>
      </c>
      <c r="C154" s="12" t="n">
        <v>2026</v>
      </c>
      <c r="D154" s="12" t="n">
        <v>0</v>
      </c>
      <c r="E154" s="12" t="n">
        <v>-22.4</v>
      </c>
      <c r="F154" s="12" t="n">
        <v>4408079</v>
      </c>
    </row>
    <row r="155" customFormat="false" ht="15" hidden="false" customHeight="true" outlineLevel="0" collapsed="false">
      <c r="A155" s="12" t="s">
        <v>951</v>
      </c>
      <c r="B155" s="12" t="s">
        <v>463</v>
      </c>
      <c r="C155" s="12" t="n">
        <v>2025</v>
      </c>
      <c r="D155" s="12" t="n">
        <v>6</v>
      </c>
      <c r="E155" s="12" t="n">
        <v>1087.2</v>
      </c>
      <c r="F155" s="12" t="n">
        <v>4408080</v>
      </c>
    </row>
    <row r="156" customFormat="false" ht="15" hidden="false" customHeight="true" outlineLevel="0" collapsed="false">
      <c r="A156" s="12" t="s">
        <v>951</v>
      </c>
      <c r="B156" s="12" t="s">
        <v>463</v>
      </c>
      <c r="C156" s="12" t="n">
        <v>2026</v>
      </c>
      <c r="D156" s="12" t="n">
        <v>4</v>
      </c>
      <c r="E156" s="12" t="n">
        <v>762.3</v>
      </c>
      <c r="F156" s="12" t="n">
        <v>4408080</v>
      </c>
    </row>
    <row r="157" customFormat="false" ht="15" hidden="false" customHeight="true" outlineLevel="0" collapsed="false">
      <c r="A157" s="12" t="s">
        <v>951</v>
      </c>
      <c r="B157" s="12" t="s">
        <v>464</v>
      </c>
      <c r="C157" s="12" t="n">
        <v>2025</v>
      </c>
      <c r="D157" s="12" t="n">
        <v>7</v>
      </c>
      <c r="E157" s="12" t="n">
        <v>1274.6</v>
      </c>
      <c r="F157" s="12" t="n">
        <v>4408081</v>
      </c>
    </row>
    <row r="158" customFormat="false" ht="15" hidden="false" customHeight="true" outlineLevel="0" collapsed="false">
      <c r="A158" s="12" t="s">
        <v>951</v>
      </c>
      <c r="B158" s="12" t="s">
        <v>464</v>
      </c>
      <c r="C158" s="12" t="n">
        <v>2026</v>
      </c>
      <c r="D158" s="12" t="n">
        <v>6</v>
      </c>
      <c r="E158" s="12" t="n">
        <v>1087.2</v>
      </c>
      <c r="F158" s="12" t="n">
        <v>4408081</v>
      </c>
    </row>
    <row r="159" customFormat="false" ht="15" hidden="false" customHeight="true" outlineLevel="0" collapsed="false">
      <c r="A159" s="12" t="s">
        <v>951</v>
      </c>
      <c r="B159" s="12" t="s">
        <v>466</v>
      </c>
      <c r="C159" s="12" t="n">
        <v>2025</v>
      </c>
      <c r="D159" s="12" t="n">
        <v>4</v>
      </c>
      <c r="E159" s="12" t="n">
        <v>718.9</v>
      </c>
      <c r="F159" s="12" t="n">
        <v>4408082</v>
      </c>
    </row>
    <row r="160" customFormat="false" ht="15" hidden="false" customHeight="true" outlineLevel="0" collapsed="false">
      <c r="A160" s="12" t="s">
        <v>951</v>
      </c>
      <c r="B160" s="12" t="s">
        <v>466</v>
      </c>
      <c r="C160" s="12" t="n">
        <v>2026</v>
      </c>
      <c r="D160" s="12" t="n">
        <v>2</v>
      </c>
      <c r="E160" s="12" t="n">
        <v>374.9</v>
      </c>
      <c r="F160" s="12" t="n">
        <v>4408082</v>
      </c>
    </row>
    <row r="161" customFormat="false" ht="15" hidden="false" customHeight="true" outlineLevel="0" collapsed="false">
      <c r="A161" s="12" t="s">
        <v>951</v>
      </c>
      <c r="B161" s="12" t="s">
        <v>474</v>
      </c>
      <c r="C161" s="12" t="n">
        <v>2025</v>
      </c>
      <c r="D161" s="12" t="n">
        <v>1</v>
      </c>
      <c r="E161" s="12" t="n">
        <v>141.8</v>
      </c>
      <c r="F161" s="12" t="n">
        <v>4408084</v>
      </c>
    </row>
    <row r="162" customFormat="false" ht="15" hidden="false" customHeight="true" outlineLevel="0" collapsed="false">
      <c r="A162" s="12" t="s">
        <v>951</v>
      </c>
      <c r="B162" s="12" t="s">
        <v>474</v>
      </c>
      <c r="C162" s="12" t="n">
        <v>2026</v>
      </c>
      <c r="D162" s="12" t="n">
        <v>2</v>
      </c>
      <c r="E162" s="12" t="n">
        <v>283.9</v>
      </c>
      <c r="F162" s="12" t="n">
        <v>4408084</v>
      </c>
    </row>
    <row r="163" customFormat="false" ht="15" hidden="false" customHeight="true" outlineLevel="0" collapsed="false">
      <c r="A163" s="12" t="s">
        <v>951</v>
      </c>
      <c r="B163" s="12" t="s">
        <v>475</v>
      </c>
      <c r="C163" s="12" t="n">
        <v>2025</v>
      </c>
      <c r="D163" s="12" t="n">
        <v>1</v>
      </c>
      <c r="E163" s="12" t="n">
        <v>142</v>
      </c>
      <c r="F163" s="12" t="n">
        <v>4408085</v>
      </c>
    </row>
    <row r="164" customFormat="false" ht="15" hidden="false" customHeight="true" outlineLevel="0" collapsed="false">
      <c r="A164" s="12" t="s">
        <v>951</v>
      </c>
      <c r="B164" s="12" t="s">
        <v>477</v>
      </c>
      <c r="C164" s="12" t="n">
        <v>2026</v>
      </c>
      <c r="D164" s="12" t="n">
        <v>1</v>
      </c>
      <c r="E164" s="12" t="n">
        <v>142</v>
      </c>
      <c r="F164" s="12" t="n">
        <v>4408087</v>
      </c>
    </row>
    <row r="165" customFormat="false" ht="15" hidden="false" customHeight="true" outlineLevel="0" collapsed="false">
      <c r="A165" s="12" t="s">
        <v>951</v>
      </c>
      <c r="B165" s="12" t="s">
        <v>471</v>
      </c>
      <c r="C165" s="12" t="n">
        <v>2025</v>
      </c>
      <c r="D165" s="12" t="n">
        <v>25</v>
      </c>
      <c r="E165" s="12" t="n">
        <v>1952.8</v>
      </c>
      <c r="F165" s="12" t="n">
        <v>4408088</v>
      </c>
    </row>
    <row r="166" customFormat="false" ht="15" hidden="false" customHeight="true" outlineLevel="0" collapsed="false">
      <c r="A166" s="12" t="s">
        <v>951</v>
      </c>
      <c r="B166" s="12" t="s">
        <v>471</v>
      </c>
      <c r="C166" s="12" t="n">
        <v>2026</v>
      </c>
      <c r="D166" s="12" t="n">
        <v>11</v>
      </c>
      <c r="E166" s="12" t="n">
        <v>859.4</v>
      </c>
      <c r="F166" s="12" t="n">
        <v>4408088</v>
      </c>
    </row>
    <row r="167" customFormat="false" ht="15" hidden="false" customHeight="true" outlineLevel="0" collapsed="false">
      <c r="A167" s="12" t="s">
        <v>951</v>
      </c>
      <c r="B167" s="12" t="s">
        <v>338</v>
      </c>
      <c r="C167" s="12" t="n">
        <v>2026</v>
      </c>
      <c r="D167" s="12" t="n">
        <v>1</v>
      </c>
      <c r="E167" s="12" t="n">
        <v>107.4</v>
      </c>
      <c r="F167" s="12" t="n">
        <v>4408089</v>
      </c>
    </row>
    <row r="168" customFormat="false" ht="15" hidden="false" customHeight="true" outlineLevel="0" collapsed="false">
      <c r="A168" s="12" t="s">
        <v>951</v>
      </c>
      <c r="B168" s="12" t="s">
        <v>336</v>
      </c>
      <c r="C168" s="12" t="n">
        <v>2025</v>
      </c>
      <c r="D168" s="12" t="n">
        <v>8</v>
      </c>
      <c r="E168" s="12" t="n">
        <v>740.1</v>
      </c>
      <c r="F168" s="12" t="n">
        <v>4408090</v>
      </c>
    </row>
    <row r="169" customFormat="false" ht="15" hidden="false" customHeight="true" outlineLevel="0" collapsed="false">
      <c r="A169" s="12" t="s">
        <v>951</v>
      </c>
      <c r="B169" s="12" t="s">
        <v>336</v>
      </c>
      <c r="C169" s="12" t="n">
        <v>2026</v>
      </c>
      <c r="D169" s="12" t="n">
        <v>4</v>
      </c>
      <c r="E169" s="12" t="n">
        <v>365.9</v>
      </c>
      <c r="F169" s="12" t="n">
        <v>4408090</v>
      </c>
    </row>
    <row r="170" customFormat="false" ht="15" hidden="false" customHeight="true" outlineLevel="0" collapsed="false">
      <c r="A170" s="12" t="s">
        <v>951</v>
      </c>
      <c r="B170" s="12" t="s">
        <v>337</v>
      </c>
      <c r="C170" s="12" t="n">
        <v>2025</v>
      </c>
      <c r="D170" s="12" t="n">
        <v>0</v>
      </c>
      <c r="E170" s="12" t="n">
        <v>0.1</v>
      </c>
      <c r="F170" s="12" t="n">
        <v>4408091</v>
      </c>
    </row>
    <row r="171" customFormat="false" ht="15" hidden="false" customHeight="true" outlineLevel="0" collapsed="false">
      <c r="A171" s="12" t="s">
        <v>951</v>
      </c>
      <c r="B171" s="12" t="s">
        <v>337</v>
      </c>
      <c r="C171" s="12" t="n">
        <v>2026</v>
      </c>
      <c r="D171" s="12" t="n">
        <v>2</v>
      </c>
      <c r="E171" s="12" t="n">
        <v>189.3</v>
      </c>
      <c r="F171" s="12" t="n">
        <v>4408091</v>
      </c>
    </row>
    <row r="172" customFormat="false" ht="15" hidden="false" customHeight="true" outlineLevel="0" collapsed="false">
      <c r="A172" s="12" t="s">
        <v>951</v>
      </c>
      <c r="B172" s="12" t="s">
        <v>339</v>
      </c>
      <c r="C172" s="12" t="n">
        <v>2025</v>
      </c>
      <c r="D172" s="12" t="n">
        <v>10</v>
      </c>
      <c r="E172" s="12" t="n">
        <v>925.7</v>
      </c>
      <c r="F172" s="12" t="n">
        <v>4408092</v>
      </c>
    </row>
    <row r="173" customFormat="false" ht="15" hidden="false" customHeight="true" outlineLevel="0" collapsed="false">
      <c r="A173" s="12" t="s">
        <v>951</v>
      </c>
      <c r="B173" s="12" t="s">
        <v>339</v>
      </c>
      <c r="C173" s="12" t="n">
        <v>2026</v>
      </c>
      <c r="D173" s="12" t="n">
        <v>7</v>
      </c>
      <c r="E173" s="12" t="n">
        <v>637.3</v>
      </c>
      <c r="F173" s="12" t="n">
        <v>4408092</v>
      </c>
    </row>
    <row r="174" customFormat="false" ht="15" hidden="false" customHeight="true" outlineLevel="0" collapsed="false">
      <c r="A174" s="12" t="s">
        <v>951</v>
      </c>
      <c r="B174" s="12" t="s">
        <v>340</v>
      </c>
      <c r="C174" s="12" t="n">
        <v>2025</v>
      </c>
      <c r="D174" s="12" t="n">
        <v>8</v>
      </c>
      <c r="E174" s="12" t="n">
        <v>752.9</v>
      </c>
      <c r="F174" s="12" t="n">
        <v>4408093</v>
      </c>
    </row>
    <row r="175" customFormat="false" ht="15" hidden="false" customHeight="true" outlineLevel="0" collapsed="false">
      <c r="A175" s="12" t="s">
        <v>951</v>
      </c>
      <c r="B175" s="12" t="s">
        <v>340</v>
      </c>
      <c r="C175" s="12" t="n">
        <v>2026</v>
      </c>
      <c r="D175" s="12" t="n">
        <v>5</v>
      </c>
      <c r="E175" s="12" t="n">
        <v>460.5</v>
      </c>
      <c r="F175" s="12" t="n">
        <v>4408093</v>
      </c>
    </row>
    <row r="176" customFormat="false" ht="15" hidden="false" customHeight="true" outlineLevel="0" collapsed="false">
      <c r="A176" s="12" t="s">
        <v>951</v>
      </c>
      <c r="B176" s="12" t="s">
        <v>653</v>
      </c>
      <c r="C176" s="12" t="n">
        <v>2025</v>
      </c>
      <c r="D176" s="12" t="n">
        <v>104</v>
      </c>
      <c r="E176" s="12" t="n">
        <v>3639.3</v>
      </c>
      <c r="F176" s="12" t="n">
        <v>4408094</v>
      </c>
    </row>
    <row r="177" customFormat="false" ht="15" hidden="false" customHeight="true" outlineLevel="0" collapsed="false">
      <c r="A177" s="12" t="s">
        <v>951</v>
      </c>
      <c r="B177" s="12" t="s">
        <v>653</v>
      </c>
      <c r="C177" s="12" t="n">
        <v>2026</v>
      </c>
      <c r="D177" s="12" t="n">
        <v>61</v>
      </c>
      <c r="E177" s="12" t="n">
        <v>2134.4</v>
      </c>
      <c r="F177" s="12" t="n">
        <v>4408094</v>
      </c>
    </row>
    <row r="178" customFormat="false" ht="15" hidden="false" customHeight="true" outlineLevel="0" collapsed="false">
      <c r="A178" s="12" t="s">
        <v>951</v>
      </c>
      <c r="B178" s="12" t="s">
        <v>652</v>
      </c>
      <c r="C178" s="12" t="n">
        <v>2025</v>
      </c>
      <c r="D178" s="12" t="n">
        <v>47</v>
      </c>
      <c r="E178" s="12" t="n">
        <v>1639.6</v>
      </c>
      <c r="F178" s="12" t="n">
        <v>4408095</v>
      </c>
    </row>
    <row r="179" customFormat="false" ht="15" hidden="false" customHeight="true" outlineLevel="0" collapsed="false">
      <c r="A179" s="12" t="s">
        <v>951</v>
      </c>
      <c r="B179" s="12" t="s">
        <v>652</v>
      </c>
      <c r="C179" s="12" t="n">
        <v>2026</v>
      </c>
      <c r="D179" s="12" t="n">
        <v>61</v>
      </c>
      <c r="E179" s="12" t="n">
        <v>2136.4</v>
      </c>
      <c r="F179" s="12" t="n">
        <v>4408095</v>
      </c>
    </row>
    <row r="180" customFormat="false" ht="15" hidden="false" customHeight="true" outlineLevel="0" collapsed="false">
      <c r="A180" s="12" t="s">
        <v>951</v>
      </c>
      <c r="B180" s="12" t="s">
        <v>655</v>
      </c>
      <c r="C180" s="12" t="n">
        <v>2025</v>
      </c>
      <c r="D180" s="12" t="n">
        <v>108</v>
      </c>
      <c r="E180" s="12" t="n">
        <v>3773.9</v>
      </c>
      <c r="F180" s="12" t="n">
        <v>4408096</v>
      </c>
    </row>
    <row r="181" customFormat="false" ht="15" hidden="false" customHeight="true" outlineLevel="0" collapsed="false">
      <c r="A181" s="12" t="s">
        <v>951</v>
      </c>
      <c r="B181" s="12" t="s">
        <v>655</v>
      </c>
      <c r="C181" s="12" t="n">
        <v>2026</v>
      </c>
      <c r="D181" s="12" t="n">
        <v>32</v>
      </c>
      <c r="E181" s="12" t="n">
        <v>854.1</v>
      </c>
      <c r="F181" s="12" t="n">
        <v>4408096</v>
      </c>
    </row>
    <row r="182" customFormat="false" ht="15" hidden="false" customHeight="true" outlineLevel="0" collapsed="false">
      <c r="A182" s="12" t="s">
        <v>951</v>
      </c>
      <c r="B182" s="12" t="s">
        <v>654</v>
      </c>
      <c r="C182" s="12" t="n">
        <v>2025</v>
      </c>
      <c r="D182" s="12" t="n">
        <v>77</v>
      </c>
      <c r="E182" s="12" t="n">
        <v>2689.7</v>
      </c>
      <c r="F182" s="12" t="n">
        <v>4408097</v>
      </c>
    </row>
    <row r="183" customFormat="false" ht="15" hidden="false" customHeight="true" outlineLevel="0" collapsed="false">
      <c r="A183" s="12" t="s">
        <v>951</v>
      </c>
      <c r="B183" s="12" t="s">
        <v>654</v>
      </c>
      <c r="C183" s="12" t="n">
        <v>2026</v>
      </c>
      <c r="D183" s="12" t="n">
        <v>37</v>
      </c>
      <c r="E183" s="12" t="n">
        <v>1290.3</v>
      </c>
      <c r="F183" s="12" t="n">
        <v>4408097</v>
      </c>
    </row>
    <row r="184" customFormat="false" ht="15" hidden="false" customHeight="true" outlineLevel="0" collapsed="false">
      <c r="A184" s="12" t="s">
        <v>951</v>
      </c>
      <c r="B184" s="12" t="s">
        <v>656</v>
      </c>
      <c r="C184" s="12" t="n">
        <v>2025</v>
      </c>
      <c r="D184" s="12" t="n">
        <v>554</v>
      </c>
      <c r="E184" s="12" t="n">
        <v>24683.5</v>
      </c>
      <c r="F184" s="12" t="n">
        <v>4408098</v>
      </c>
    </row>
    <row r="185" customFormat="false" ht="15" hidden="false" customHeight="true" outlineLevel="0" collapsed="false">
      <c r="A185" s="12" t="s">
        <v>951</v>
      </c>
      <c r="B185" s="12" t="s">
        <v>656</v>
      </c>
      <c r="C185" s="12" t="n">
        <v>2026</v>
      </c>
      <c r="D185" s="12" t="n">
        <v>299</v>
      </c>
      <c r="E185" s="12" t="n">
        <v>13677.8</v>
      </c>
      <c r="F185" s="12" t="n">
        <v>4408098</v>
      </c>
    </row>
    <row r="186" customFormat="false" ht="15" hidden="false" customHeight="true" outlineLevel="0" collapsed="false">
      <c r="A186" s="12" t="s">
        <v>951</v>
      </c>
      <c r="B186" s="12" t="s">
        <v>658</v>
      </c>
      <c r="C186" s="12" t="n">
        <v>2025</v>
      </c>
      <c r="D186" s="12" t="n">
        <v>478</v>
      </c>
      <c r="E186" s="12" t="n">
        <v>21311.1</v>
      </c>
      <c r="F186" s="12" t="n">
        <v>4408099</v>
      </c>
    </row>
    <row r="187" customFormat="false" ht="15" hidden="false" customHeight="true" outlineLevel="0" collapsed="false">
      <c r="A187" s="12" t="s">
        <v>951</v>
      </c>
      <c r="B187" s="12" t="s">
        <v>658</v>
      </c>
      <c r="C187" s="12" t="n">
        <v>2026</v>
      </c>
      <c r="D187" s="12" t="n">
        <v>347</v>
      </c>
      <c r="E187" s="12" t="n">
        <v>15612.2</v>
      </c>
      <c r="F187" s="12" t="n">
        <v>4408099</v>
      </c>
    </row>
    <row r="188" customFormat="false" ht="15" hidden="false" customHeight="true" outlineLevel="0" collapsed="false">
      <c r="A188" s="12" t="s">
        <v>951</v>
      </c>
      <c r="B188" s="12" t="s">
        <v>284</v>
      </c>
      <c r="C188" s="12" t="n">
        <v>2025</v>
      </c>
      <c r="D188" s="12" t="n">
        <v>1</v>
      </c>
      <c r="E188" s="12" t="n">
        <v>94.5</v>
      </c>
      <c r="F188" s="12" t="n">
        <v>4408100</v>
      </c>
    </row>
    <row r="189" customFormat="false" ht="15" hidden="false" customHeight="true" outlineLevel="0" collapsed="false">
      <c r="A189" s="12" t="s">
        <v>951</v>
      </c>
      <c r="B189" s="12" t="s">
        <v>315</v>
      </c>
      <c r="C189" s="12" t="n">
        <v>2025</v>
      </c>
      <c r="D189" s="12" t="n">
        <v>1</v>
      </c>
      <c r="E189" s="12" t="n">
        <v>213</v>
      </c>
      <c r="F189" s="12" t="n">
        <v>4408105</v>
      </c>
    </row>
    <row r="190" customFormat="false" ht="15" hidden="false" customHeight="true" outlineLevel="0" collapsed="false">
      <c r="A190" s="12" t="s">
        <v>951</v>
      </c>
      <c r="B190" s="12" t="s">
        <v>266</v>
      </c>
      <c r="C190" s="12" t="n">
        <v>2025</v>
      </c>
      <c r="D190" s="12" t="n">
        <v>3</v>
      </c>
      <c r="E190" s="12" t="n">
        <v>324.2</v>
      </c>
      <c r="F190" s="12" t="n">
        <v>4408113</v>
      </c>
    </row>
    <row r="191" customFormat="false" ht="15" hidden="false" customHeight="true" outlineLevel="0" collapsed="false">
      <c r="A191" s="12" t="s">
        <v>951</v>
      </c>
      <c r="B191" s="12" t="s">
        <v>266</v>
      </c>
      <c r="C191" s="12" t="n">
        <v>2026</v>
      </c>
      <c r="D191" s="12" t="n">
        <v>1</v>
      </c>
      <c r="E191" s="12" t="n">
        <v>102.8</v>
      </c>
      <c r="F191" s="12" t="n">
        <v>4408113</v>
      </c>
    </row>
    <row r="192" customFormat="false" ht="15" hidden="false" customHeight="true" outlineLevel="0" collapsed="false">
      <c r="A192" s="12" t="s">
        <v>951</v>
      </c>
      <c r="B192" s="12" t="s">
        <v>265</v>
      </c>
      <c r="C192" s="12" t="n">
        <v>2025</v>
      </c>
      <c r="D192" s="12" t="n">
        <v>10</v>
      </c>
      <c r="E192" s="12" t="n">
        <v>1052.8</v>
      </c>
      <c r="F192" s="12" t="n">
        <v>4408114</v>
      </c>
    </row>
    <row r="193" customFormat="false" ht="15" hidden="false" customHeight="true" outlineLevel="0" collapsed="false">
      <c r="A193" s="12" t="s">
        <v>951</v>
      </c>
      <c r="B193" s="12" t="s">
        <v>265</v>
      </c>
      <c r="C193" s="12" t="n">
        <v>2026</v>
      </c>
      <c r="D193" s="12" t="n">
        <v>6</v>
      </c>
      <c r="E193" s="12" t="n">
        <v>660.6</v>
      </c>
      <c r="F193" s="12" t="n">
        <v>4408114</v>
      </c>
    </row>
    <row r="194" customFormat="false" ht="15" hidden="false" customHeight="true" outlineLevel="0" collapsed="false">
      <c r="A194" s="12" t="s">
        <v>951</v>
      </c>
      <c r="B194" s="12" t="s">
        <v>264</v>
      </c>
      <c r="C194" s="12" t="n">
        <v>2025</v>
      </c>
      <c r="D194" s="12" t="n">
        <v>19</v>
      </c>
      <c r="E194" s="12" t="n">
        <v>1981.6</v>
      </c>
      <c r="F194" s="12" t="n">
        <v>4408115</v>
      </c>
    </row>
    <row r="195" customFormat="false" ht="15" hidden="false" customHeight="true" outlineLevel="0" collapsed="false">
      <c r="A195" s="12" t="s">
        <v>951</v>
      </c>
      <c r="B195" s="12" t="s">
        <v>264</v>
      </c>
      <c r="C195" s="12" t="n">
        <v>2026</v>
      </c>
      <c r="D195" s="12" t="n">
        <v>10</v>
      </c>
      <c r="E195" s="12" t="n">
        <v>1108.4</v>
      </c>
      <c r="F195" s="12" t="n">
        <v>4408115</v>
      </c>
    </row>
    <row r="196" customFormat="false" ht="15" hidden="false" customHeight="true" outlineLevel="0" collapsed="false">
      <c r="A196" s="12" t="s">
        <v>951</v>
      </c>
      <c r="B196" s="12" t="s">
        <v>267</v>
      </c>
      <c r="C196" s="12" t="n">
        <v>2025</v>
      </c>
      <c r="D196" s="12" t="n">
        <v>34</v>
      </c>
      <c r="E196" s="12" t="n">
        <v>3540</v>
      </c>
      <c r="F196" s="12" t="n">
        <v>4408116</v>
      </c>
    </row>
    <row r="197" customFormat="false" ht="15" hidden="false" customHeight="true" outlineLevel="0" collapsed="false">
      <c r="A197" s="12" t="s">
        <v>951</v>
      </c>
      <c r="B197" s="12" t="s">
        <v>267</v>
      </c>
      <c r="C197" s="12" t="n">
        <v>2026</v>
      </c>
      <c r="D197" s="12" t="n">
        <v>9</v>
      </c>
      <c r="E197" s="12" t="n">
        <v>990.9</v>
      </c>
      <c r="F197" s="12" t="n">
        <v>4408116</v>
      </c>
    </row>
    <row r="198" customFormat="false" ht="15" hidden="false" customHeight="true" outlineLevel="0" collapsed="false">
      <c r="A198" s="12" t="s">
        <v>951</v>
      </c>
      <c r="B198" s="12" t="s">
        <v>222</v>
      </c>
      <c r="C198" s="12" t="n">
        <v>2025</v>
      </c>
      <c r="D198" s="12" t="n">
        <v>2</v>
      </c>
      <c r="E198" s="12" t="n">
        <v>281.1</v>
      </c>
      <c r="F198" s="12" t="n">
        <v>4408119</v>
      </c>
    </row>
    <row r="199" customFormat="false" ht="15" hidden="false" customHeight="true" outlineLevel="0" collapsed="false">
      <c r="A199" s="12" t="s">
        <v>951</v>
      </c>
      <c r="B199" s="12" t="s">
        <v>222</v>
      </c>
      <c r="C199" s="12" t="n">
        <v>2026</v>
      </c>
      <c r="D199" s="12" t="n">
        <v>1</v>
      </c>
      <c r="E199" s="12" t="n">
        <v>140.6</v>
      </c>
      <c r="F199" s="12" t="n">
        <v>4408119</v>
      </c>
    </row>
    <row r="200" customFormat="false" ht="15" hidden="false" customHeight="true" outlineLevel="0" collapsed="false">
      <c r="A200" s="12" t="s">
        <v>951</v>
      </c>
      <c r="B200" s="12" t="s">
        <v>224</v>
      </c>
      <c r="C200" s="12" t="n">
        <v>2025</v>
      </c>
      <c r="D200" s="12" t="n">
        <v>2</v>
      </c>
      <c r="E200" s="12" t="n">
        <v>281.1</v>
      </c>
      <c r="F200" s="12" t="n">
        <v>4408120</v>
      </c>
    </row>
    <row r="201" customFormat="false" ht="15" hidden="false" customHeight="true" outlineLevel="0" collapsed="false">
      <c r="A201" s="12" t="s">
        <v>951</v>
      </c>
      <c r="B201" s="12" t="s">
        <v>224</v>
      </c>
      <c r="C201" s="12" t="n">
        <v>2026</v>
      </c>
      <c r="D201" s="12" t="n">
        <v>1</v>
      </c>
      <c r="E201" s="12" t="n">
        <v>112.5</v>
      </c>
      <c r="F201" s="12" t="n">
        <v>4408120</v>
      </c>
    </row>
    <row r="202" customFormat="false" ht="15" hidden="false" customHeight="true" outlineLevel="0" collapsed="false">
      <c r="A202" s="12" t="s">
        <v>951</v>
      </c>
      <c r="B202" s="12" t="s">
        <v>300</v>
      </c>
      <c r="C202" s="12" t="n">
        <v>2025</v>
      </c>
      <c r="D202" s="12" t="n">
        <v>2</v>
      </c>
      <c r="E202" s="12" t="n">
        <v>272.9</v>
      </c>
      <c r="F202" s="12" t="n">
        <v>4408122</v>
      </c>
    </row>
    <row r="203" customFormat="false" ht="15" hidden="false" customHeight="true" outlineLevel="0" collapsed="false">
      <c r="A203" s="12" t="s">
        <v>951</v>
      </c>
      <c r="B203" s="12" t="s">
        <v>305</v>
      </c>
      <c r="C203" s="12" t="n">
        <v>2025</v>
      </c>
      <c r="D203" s="12" t="n">
        <v>1</v>
      </c>
      <c r="E203" s="12" t="n">
        <v>140.6</v>
      </c>
      <c r="F203" s="12" t="n">
        <v>4408126</v>
      </c>
    </row>
    <row r="204" customFormat="false" ht="15" hidden="false" customHeight="true" outlineLevel="0" collapsed="false">
      <c r="A204" s="12" t="s">
        <v>951</v>
      </c>
      <c r="B204" s="12" t="s">
        <v>301</v>
      </c>
      <c r="C204" s="12" t="n">
        <v>2025</v>
      </c>
      <c r="D204" s="12" t="n">
        <v>1</v>
      </c>
      <c r="E204" s="12" t="n">
        <v>140.6</v>
      </c>
      <c r="F204" s="12" t="n">
        <v>4408129</v>
      </c>
    </row>
    <row r="205" customFormat="false" ht="15" hidden="false" customHeight="true" outlineLevel="0" collapsed="false">
      <c r="A205" s="12" t="s">
        <v>951</v>
      </c>
      <c r="B205" s="12" t="s">
        <v>304</v>
      </c>
      <c r="C205" s="12" t="n">
        <v>2026</v>
      </c>
      <c r="D205" s="12" t="n">
        <v>-1</v>
      </c>
      <c r="E205" s="12" t="n">
        <v>-140.6</v>
      </c>
      <c r="F205" s="12" t="n">
        <v>4408130</v>
      </c>
    </row>
    <row r="206" customFormat="false" ht="15" hidden="false" customHeight="true" outlineLevel="0" collapsed="false">
      <c r="A206" s="12" t="s">
        <v>951</v>
      </c>
      <c r="B206" s="12" t="s">
        <v>303</v>
      </c>
      <c r="C206" s="12" t="n">
        <v>2026</v>
      </c>
      <c r="D206" s="12" t="n">
        <v>1</v>
      </c>
      <c r="E206" s="12" t="n">
        <v>140.6</v>
      </c>
      <c r="F206" s="12" t="n">
        <v>4408131</v>
      </c>
    </row>
    <row r="207" customFormat="false" ht="15" hidden="false" customHeight="true" outlineLevel="0" collapsed="false">
      <c r="A207" s="12" t="s">
        <v>951</v>
      </c>
      <c r="B207" s="12" t="s">
        <v>268</v>
      </c>
      <c r="C207" s="12" t="n">
        <v>2025</v>
      </c>
      <c r="D207" s="12" t="n">
        <v>22</v>
      </c>
      <c r="E207" s="12" t="n">
        <v>2284.5</v>
      </c>
      <c r="F207" s="12" t="n">
        <v>4408132</v>
      </c>
    </row>
    <row r="208" customFormat="false" ht="15" hidden="false" customHeight="true" outlineLevel="0" collapsed="false">
      <c r="A208" s="12" t="s">
        <v>951</v>
      </c>
      <c r="B208" s="12" t="s">
        <v>268</v>
      </c>
      <c r="C208" s="12" t="n">
        <v>2026</v>
      </c>
      <c r="D208" s="12" t="n">
        <v>18</v>
      </c>
      <c r="E208" s="12" t="n">
        <v>1981.8</v>
      </c>
      <c r="F208" s="12" t="n">
        <v>4408132</v>
      </c>
    </row>
    <row r="209" customFormat="false" ht="15" hidden="false" customHeight="true" outlineLevel="0" collapsed="false">
      <c r="A209" s="12" t="s">
        <v>951</v>
      </c>
      <c r="B209" s="12" t="s">
        <v>228</v>
      </c>
      <c r="C209" s="12" t="n">
        <v>2025</v>
      </c>
      <c r="D209" s="12" t="n">
        <v>7</v>
      </c>
      <c r="E209" s="12" t="n">
        <v>1044.4</v>
      </c>
      <c r="F209" s="12" t="n">
        <v>4408134</v>
      </c>
    </row>
    <row r="210" customFormat="false" ht="15" hidden="false" customHeight="true" outlineLevel="0" collapsed="false">
      <c r="A210" s="12" t="s">
        <v>951</v>
      </c>
      <c r="B210" s="12" t="s">
        <v>228</v>
      </c>
      <c r="C210" s="12" t="n">
        <v>2026</v>
      </c>
      <c r="D210" s="12" t="n">
        <v>8</v>
      </c>
      <c r="E210" s="12" t="n">
        <v>1093</v>
      </c>
      <c r="F210" s="12" t="n">
        <v>4408134</v>
      </c>
    </row>
    <row r="211" customFormat="false" ht="15" hidden="false" customHeight="true" outlineLevel="0" collapsed="false">
      <c r="A211" s="12" t="s">
        <v>951</v>
      </c>
      <c r="B211" s="12" t="s">
        <v>227</v>
      </c>
      <c r="C211" s="12" t="n">
        <v>2025</v>
      </c>
      <c r="D211" s="12" t="n">
        <v>20</v>
      </c>
      <c r="E211" s="12" t="n">
        <v>2803.8</v>
      </c>
      <c r="F211" s="12" t="n">
        <v>4408135</v>
      </c>
    </row>
    <row r="212" customFormat="false" ht="15" hidden="false" customHeight="true" outlineLevel="0" collapsed="false">
      <c r="A212" s="12" t="s">
        <v>951</v>
      </c>
      <c r="B212" s="12" t="s">
        <v>227</v>
      </c>
      <c r="C212" s="12" t="n">
        <v>2026</v>
      </c>
      <c r="D212" s="12" t="n">
        <v>8</v>
      </c>
      <c r="E212" s="12" t="n">
        <v>1113.6</v>
      </c>
      <c r="F212" s="12" t="n">
        <v>4408135</v>
      </c>
    </row>
    <row r="213" customFormat="false" ht="15" hidden="false" customHeight="true" outlineLevel="0" collapsed="false">
      <c r="A213" s="12" t="s">
        <v>951</v>
      </c>
      <c r="B213" s="12" t="s">
        <v>225</v>
      </c>
      <c r="C213" s="12" t="n">
        <v>2025</v>
      </c>
      <c r="D213" s="12" t="n">
        <v>1</v>
      </c>
      <c r="E213" s="12" t="n">
        <v>154.4</v>
      </c>
      <c r="F213" s="12" t="n">
        <v>4408140</v>
      </c>
    </row>
    <row r="214" customFormat="false" ht="15" hidden="false" customHeight="true" outlineLevel="0" collapsed="false">
      <c r="A214" s="12" t="s">
        <v>951</v>
      </c>
      <c r="B214" s="12" t="s">
        <v>383</v>
      </c>
      <c r="C214" s="12" t="n">
        <v>2025</v>
      </c>
      <c r="D214" s="12" t="n">
        <v>1</v>
      </c>
      <c r="E214" s="12" t="n">
        <v>472.7</v>
      </c>
      <c r="F214" s="12" t="n">
        <v>4408141</v>
      </c>
    </row>
    <row r="215" customFormat="false" ht="15" hidden="false" customHeight="true" outlineLevel="0" collapsed="false">
      <c r="A215" s="12" t="s">
        <v>951</v>
      </c>
      <c r="B215" s="12" t="s">
        <v>324</v>
      </c>
      <c r="C215" s="12" t="n">
        <v>2025</v>
      </c>
      <c r="D215" s="12" t="n">
        <v>1</v>
      </c>
      <c r="E215" s="12" t="n">
        <v>472.7</v>
      </c>
      <c r="F215" s="12" t="n">
        <v>4408142</v>
      </c>
    </row>
    <row r="216" customFormat="false" ht="15" hidden="false" customHeight="true" outlineLevel="0" collapsed="false">
      <c r="A216" s="12" t="s">
        <v>951</v>
      </c>
      <c r="B216" s="12" t="s">
        <v>269</v>
      </c>
      <c r="C216" s="12" t="n">
        <v>2025</v>
      </c>
      <c r="D216" s="12" t="n">
        <v>1</v>
      </c>
      <c r="E216" s="12" t="n">
        <v>110.6</v>
      </c>
      <c r="F216" s="12" t="n">
        <v>4408147</v>
      </c>
    </row>
    <row r="217" customFormat="false" ht="15" hidden="false" customHeight="true" outlineLevel="0" collapsed="false">
      <c r="A217" s="12" t="s">
        <v>951</v>
      </c>
      <c r="B217" s="12" t="s">
        <v>269</v>
      </c>
      <c r="C217" s="12" t="n">
        <v>2026</v>
      </c>
      <c r="D217" s="12" t="n">
        <v>1</v>
      </c>
      <c r="E217" s="12" t="n">
        <v>135.9</v>
      </c>
      <c r="F217" s="12" t="n">
        <v>4408147</v>
      </c>
    </row>
    <row r="218" customFormat="false" ht="15" hidden="false" customHeight="true" outlineLevel="0" collapsed="false">
      <c r="A218" s="12" t="s">
        <v>951</v>
      </c>
      <c r="B218" s="12" t="s">
        <v>272</v>
      </c>
      <c r="C218" s="12" t="n">
        <v>2025</v>
      </c>
      <c r="D218" s="12" t="n">
        <v>2</v>
      </c>
      <c r="E218" s="12" t="n">
        <v>263.3</v>
      </c>
      <c r="F218" s="12" t="n">
        <v>4408148</v>
      </c>
    </row>
    <row r="219" customFormat="false" ht="15" hidden="false" customHeight="true" outlineLevel="0" collapsed="false">
      <c r="A219" s="12" t="s">
        <v>951</v>
      </c>
      <c r="B219" s="12" t="s">
        <v>273</v>
      </c>
      <c r="C219" s="12" t="n">
        <v>2025</v>
      </c>
      <c r="D219" s="12" t="n">
        <v>2</v>
      </c>
      <c r="E219" s="12" t="n">
        <v>271.8</v>
      </c>
      <c r="F219" s="12" t="n">
        <v>4408149</v>
      </c>
    </row>
    <row r="220" customFormat="false" ht="15" hidden="false" customHeight="true" outlineLevel="0" collapsed="false">
      <c r="A220" s="12" t="s">
        <v>951</v>
      </c>
      <c r="B220" s="12" t="s">
        <v>273</v>
      </c>
      <c r="C220" s="12" t="n">
        <v>2026</v>
      </c>
      <c r="D220" s="12" t="n">
        <v>1</v>
      </c>
      <c r="E220" s="12" t="n">
        <v>135.9</v>
      </c>
      <c r="F220" s="12" t="n">
        <v>4408149</v>
      </c>
    </row>
    <row r="221" customFormat="false" ht="15" hidden="false" customHeight="true" outlineLevel="0" collapsed="false">
      <c r="A221" s="12" t="s">
        <v>951</v>
      </c>
      <c r="B221" s="12" t="s">
        <v>281</v>
      </c>
      <c r="C221" s="12" t="n">
        <v>2025</v>
      </c>
      <c r="D221" s="12" t="n">
        <v>-1</v>
      </c>
      <c r="E221" s="12" t="n">
        <v>-209.3</v>
      </c>
      <c r="F221" s="12" t="n">
        <v>4408150</v>
      </c>
    </row>
    <row r="222" customFormat="false" ht="15" hidden="false" customHeight="true" outlineLevel="0" collapsed="false">
      <c r="A222" s="12" t="s">
        <v>951</v>
      </c>
      <c r="B222" s="12" t="s">
        <v>280</v>
      </c>
      <c r="C222" s="12" t="n">
        <v>2025</v>
      </c>
      <c r="D222" s="12" t="n">
        <v>2</v>
      </c>
      <c r="E222" s="12" t="n">
        <v>282.6</v>
      </c>
      <c r="F222" s="12" t="n">
        <v>4408151</v>
      </c>
    </row>
    <row r="223" customFormat="false" ht="15" hidden="false" customHeight="true" outlineLevel="0" collapsed="false">
      <c r="A223" s="12" t="s">
        <v>951</v>
      </c>
      <c r="B223" s="12" t="s">
        <v>280</v>
      </c>
      <c r="C223" s="12" t="n">
        <v>2026</v>
      </c>
      <c r="D223" s="12" t="n">
        <v>0</v>
      </c>
      <c r="E223" s="12" t="n">
        <v>31.4</v>
      </c>
      <c r="F223" s="12" t="n">
        <v>4408151</v>
      </c>
    </row>
    <row r="224" customFormat="false" ht="15" hidden="false" customHeight="true" outlineLevel="0" collapsed="false">
      <c r="A224" s="12" t="s">
        <v>951</v>
      </c>
      <c r="B224" s="12" t="s">
        <v>279</v>
      </c>
      <c r="C224" s="12" t="n">
        <v>2025</v>
      </c>
      <c r="D224" s="12" t="n">
        <v>8</v>
      </c>
      <c r="E224" s="12" t="n">
        <v>1118.9</v>
      </c>
      <c r="F224" s="12" t="n">
        <v>4408152</v>
      </c>
    </row>
    <row r="225" customFormat="false" ht="15" hidden="false" customHeight="true" outlineLevel="0" collapsed="false">
      <c r="A225" s="12" t="s">
        <v>951</v>
      </c>
      <c r="B225" s="12" t="s">
        <v>279</v>
      </c>
      <c r="C225" s="12" t="n">
        <v>2026</v>
      </c>
      <c r="D225" s="12" t="n">
        <v>6</v>
      </c>
      <c r="E225" s="12" t="n">
        <v>920.9</v>
      </c>
      <c r="F225" s="12" t="n">
        <v>4408152</v>
      </c>
    </row>
    <row r="226" customFormat="false" ht="15" hidden="false" customHeight="true" outlineLevel="0" collapsed="false">
      <c r="A226" s="12" t="s">
        <v>951</v>
      </c>
      <c r="B226" s="12" t="s">
        <v>282</v>
      </c>
      <c r="C226" s="12" t="n">
        <v>2025</v>
      </c>
      <c r="D226" s="12" t="n">
        <v>14</v>
      </c>
      <c r="E226" s="12" t="n">
        <v>2112</v>
      </c>
      <c r="F226" s="12" t="n">
        <v>4408153</v>
      </c>
    </row>
    <row r="227" customFormat="false" ht="15" hidden="false" customHeight="true" outlineLevel="0" collapsed="false">
      <c r="A227" s="12" t="s">
        <v>951</v>
      </c>
      <c r="B227" s="12" t="s">
        <v>282</v>
      </c>
      <c r="C227" s="12" t="n">
        <v>2026</v>
      </c>
      <c r="D227" s="12" t="n">
        <v>11</v>
      </c>
      <c r="E227" s="12" t="n">
        <v>1726.7</v>
      </c>
      <c r="F227" s="12" t="n">
        <v>4408153</v>
      </c>
    </row>
    <row r="228" customFormat="false" ht="15" hidden="false" customHeight="true" outlineLevel="0" collapsed="false">
      <c r="A228" s="12" t="s">
        <v>951</v>
      </c>
      <c r="B228" s="12" t="s">
        <v>283</v>
      </c>
      <c r="C228" s="12" t="n">
        <v>2025</v>
      </c>
      <c r="D228" s="12" t="n">
        <v>6</v>
      </c>
      <c r="E228" s="12" t="n">
        <v>867.7</v>
      </c>
      <c r="F228" s="12" t="n">
        <v>4408154</v>
      </c>
    </row>
    <row r="229" customFormat="false" ht="15" hidden="false" customHeight="true" outlineLevel="0" collapsed="false">
      <c r="A229" s="12" t="s">
        <v>951</v>
      </c>
      <c r="B229" s="12" t="s">
        <v>283</v>
      </c>
      <c r="C229" s="12" t="n">
        <v>2026</v>
      </c>
      <c r="D229" s="12" t="n">
        <v>5</v>
      </c>
      <c r="E229" s="12" t="n">
        <v>763.9</v>
      </c>
      <c r="F229" s="12" t="n">
        <v>4408154</v>
      </c>
    </row>
    <row r="230" customFormat="false" ht="15" hidden="false" customHeight="true" outlineLevel="0" collapsed="false">
      <c r="A230" s="12" t="s">
        <v>951</v>
      </c>
      <c r="B230" s="12" t="s">
        <v>262</v>
      </c>
      <c r="C230" s="12" t="n">
        <v>2025</v>
      </c>
      <c r="D230" s="12" t="n">
        <v>2</v>
      </c>
      <c r="E230" s="12" t="n">
        <v>211.7</v>
      </c>
      <c r="F230" s="12" t="n">
        <v>4408175</v>
      </c>
    </row>
    <row r="231" customFormat="false" ht="15" hidden="false" customHeight="true" outlineLevel="0" collapsed="false">
      <c r="A231" s="12" t="s">
        <v>951</v>
      </c>
      <c r="B231" s="12" t="s">
        <v>295</v>
      </c>
      <c r="C231" s="12" t="n">
        <v>2025</v>
      </c>
      <c r="D231" s="12" t="n">
        <v>1</v>
      </c>
      <c r="E231" s="12" t="n">
        <v>157</v>
      </c>
      <c r="F231" s="12" t="n">
        <v>4408177</v>
      </c>
    </row>
    <row r="232" customFormat="false" ht="15" hidden="false" customHeight="true" outlineLevel="0" collapsed="false">
      <c r="A232" s="12" t="s">
        <v>951</v>
      </c>
      <c r="B232" s="12" t="s">
        <v>294</v>
      </c>
      <c r="C232" s="12" t="n">
        <v>2025</v>
      </c>
      <c r="D232" s="12" t="n">
        <v>1</v>
      </c>
      <c r="E232" s="12" t="n">
        <v>177.9</v>
      </c>
      <c r="F232" s="12" t="n">
        <v>4408178</v>
      </c>
    </row>
    <row r="233" customFormat="false" ht="15" hidden="false" customHeight="true" outlineLevel="0" collapsed="false">
      <c r="A233" s="12" t="s">
        <v>951</v>
      </c>
      <c r="B233" s="12" t="s">
        <v>297</v>
      </c>
      <c r="C233" s="12" t="n">
        <v>2025</v>
      </c>
      <c r="D233" s="12" t="n">
        <v>3</v>
      </c>
      <c r="E233" s="12" t="n">
        <v>468.9</v>
      </c>
      <c r="F233" s="12" t="n">
        <v>4408179</v>
      </c>
    </row>
    <row r="234" customFormat="false" ht="15" hidden="false" customHeight="true" outlineLevel="0" collapsed="false">
      <c r="A234" s="12" t="s">
        <v>951</v>
      </c>
      <c r="B234" s="12" t="s">
        <v>297</v>
      </c>
      <c r="C234" s="12" t="n">
        <v>2026</v>
      </c>
      <c r="D234" s="12" t="n">
        <v>1</v>
      </c>
      <c r="E234" s="12" t="n">
        <v>157</v>
      </c>
      <c r="F234" s="12" t="n">
        <v>4408179</v>
      </c>
    </row>
    <row r="235" customFormat="false" ht="15" hidden="false" customHeight="true" outlineLevel="0" collapsed="false">
      <c r="A235" s="12" t="s">
        <v>951</v>
      </c>
      <c r="B235" s="12" t="s">
        <v>298</v>
      </c>
      <c r="C235" s="12" t="n">
        <v>2025</v>
      </c>
      <c r="D235" s="12" t="n">
        <v>3</v>
      </c>
      <c r="E235" s="12" t="n">
        <v>429.1</v>
      </c>
      <c r="F235" s="12" t="n">
        <v>4408180</v>
      </c>
    </row>
    <row r="236" customFormat="false" ht="15" hidden="false" customHeight="true" outlineLevel="0" collapsed="false">
      <c r="A236" s="12" t="s">
        <v>951</v>
      </c>
      <c r="B236" s="12" t="s">
        <v>298</v>
      </c>
      <c r="C236" s="12" t="n">
        <v>2026</v>
      </c>
      <c r="D236" s="12" t="n">
        <v>1</v>
      </c>
      <c r="E236" s="12" t="n">
        <v>157</v>
      </c>
      <c r="F236" s="12" t="n">
        <v>4408180</v>
      </c>
    </row>
    <row r="237" customFormat="false" ht="15" hidden="false" customHeight="true" outlineLevel="0" collapsed="false">
      <c r="A237" s="12" t="s">
        <v>951</v>
      </c>
      <c r="B237" s="12" t="s">
        <v>331</v>
      </c>
      <c r="C237" s="12" t="n">
        <v>2025</v>
      </c>
      <c r="D237" s="12" t="n">
        <v>86</v>
      </c>
      <c r="E237" s="12" t="n">
        <v>9536.7</v>
      </c>
      <c r="F237" s="12" t="n">
        <v>4408190</v>
      </c>
    </row>
    <row r="238" customFormat="false" ht="15" hidden="false" customHeight="true" outlineLevel="0" collapsed="false">
      <c r="A238" s="12" t="s">
        <v>951</v>
      </c>
      <c r="B238" s="12" t="s">
        <v>331</v>
      </c>
      <c r="C238" s="12" t="n">
        <v>2026</v>
      </c>
      <c r="D238" s="12" t="n">
        <v>33</v>
      </c>
      <c r="E238" s="12" t="n">
        <v>3735.7</v>
      </c>
      <c r="F238" s="12" t="n">
        <v>4408190</v>
      </c>
    </row>
    <row r="239" customFormat="false" ht="15" hidden="false" customHeight="true" outlineLevel="0" collapsed="false">
      <c r="A239" s="12" t="s">
        <v>951</v>
      </c>
      <c r="B239" s="12" t="s">
        <v>229</v>
      </c>
      <c r="C239" s="12" t="n">
        <v>2025</v>
      </c>
      <c r="D239" s="12" t="n">
        <v>139</v>
      </c>
      <c r="E239" s="12" t="n">
        <v>15439</v>
      </c>
      <c r="F239" s="12" t="n">
        <v>4408192</v>
      </c>
    </row>
    <row r="240" customFormat="false" ht="15" hidden="false" customHeight="true" outlineLevel="0" collapsed="false">
      <c r="A240" s="12" t="s">
        <v>951</v>
      </c>
      <c r="B240" s="12" t="s">
        <v>229</v>
      </c>
      <c r="C240" s="12" t="n">
        <v>2026</v>
      </c>
      <c r="D240" s="12" t="n">
        <v>55</v>
      </c>
      <c r="E240" s="12" t="n">
        <v>6254.8</v>
      </c>
      <c r="F240" s="12" t="n">
        <v>4408192</v>
      </c>
    </row>
    <row r="241" customFormat="false" ht="15" hidden="false" customHeight="true" outlineLevel="0" collapsed="false">
      <c r="A241" s="12" t="s">
        <v>951</v>
      </c>
      <c r="B241" s="12" t="s">
        <v>299</v>
      </c>
      <c r="C241" s="12" t="n">
        <v>2025</v>
      </c>
      <c r="D241" s="12" t="n">
        <v>6</v>
      </c>
      <c r="E241" s="12" t="n">
        <v>1467.5</v>
      </c>
      <c r="F241" s="12" t="n">
        <v>4408203</v>
      </c>
    </row>
    <row r="242" customFormat="false" ht="15" hidden="false" customHeight="true" outlineLevel="0" collapsed="false">
      <c r="A242" s="12" t="s">
        <v>951</v>
      </c>
      <c r="B242" s="12" t="s">
        <v>299</v>
      </c>
      <c r="C242" s="12" t="n">
        <v>2026</v>
      </c>
      <c r="D242" s="12" t="n">
        <v>3</v>
      </c>
      <c r="E242" s="12" t="n">
        <v>774.8</v>
      </c>
      <c r="F242" s="12" t="n">
        <v>4408203</v>
      </c>
    </row>
    <row r="243" customFormat="false" ht="15" hidden="false" customHeight="true" outlineLevel="0" collapsed="false">
      <c r="A243" s="12" t="s">
        <v>951</v>
      </c>
      <c r="B243" s="12" t="s">
        <v>326</v>
      </c>
      <c r="C243" s="12" t="n">
        <v>2025</v>
      </c>
      <c r="D243" s="12" t="n">
        <v>1110</v>
      </c>
      <c r="E243" s="12" t="n">
        <v>94616.3</v>
      </c>
      <c r="F243" s="12" t="n">
        <v>4408205</v>
      </c>
    </row>
    <row r="244" customFormat="false" ht="15" hidden="false" customHeight="true" outlineLevel="0" collapsed="false">
      <c r="A244" s="12" t="s">
        <v>951</v>
      </c>
      <c r="B244" s="12" t="s">
        <v>326</v>
      </c>
      <c r="C244" s="12" t="n">
        <v>2026</v>
      </c>
      <c r="D244" s="12" t="n">
        <v>802</v>
      </c>
      <c r="E244" s="12" t="n">
        <v>69090.9</v>
      </c>
      <c r="F244" s="12" t="n">
        <v>4408205</v>
      </c>
    </row>
    <row r="245" customFormat="false" ht="15" hidden="false" customHeight="true" outlineLevel="0" collapsed="false">
      <c r="A245" s="12" t="s">
        <v>951</v>
      </c>
      <c r="B245" s="12" t="s">
        <v>327</v>
      </c>
      <c r="C245" s="12" t="n">
        <v>2025</v>
      </c>
      <c r="D245" s="12" t="n">
        <v>224</v>
      </c>
      <c r="E245" s="12" t="n">
        <v>14959.2</v>
      </c>
      <c r="F245" s="12" t="n">
        <v>4408206</v>
      </c>
    </row>
    <row r="246" customFormat="false" ht="15" hidden="false" customHeight="true" outlineLevel="0" collapsed="false">
      <c r="A246" s="12" t="s">
        <v>951</v>
      </c>
      <c r="B246" s="12" t="s">
        <v>327</v>
      </c>
      <c r="C246" s="12" t="n">
        <v>2026</v>
      </c>
      <c r="D246" s="12" t="n">
        <v>161</v>
      </c>
      <c r="E246" s="12" t="n">
        <v>10810.9</v>
      </c>
      <c r="F246" s="12" t="n">
        <v>4408206</v>
      </c>
    </row>
    <row r="247" customFormat="false" ht="15" hidden="false" customHeight="true" outlineLevel="0" collapsed="false">
      <c r="A247" s="12" t="s">
        <v>951</v>
      </c>
      <c r="B247" s="12" t="s">
        <v>808</v>
      </c>
      <c r="C247" s="12" t="n">
        <v>2025</v>
      </c>
      <c r="D247" s="12" t="n">
        <v>1143</v>
      </c>
      <c r="E247" s="12" t="n">
        <v>36486.6</v>
      </c>
      <c r="F247" s="12" t="n">
        <v>4408207</v>
      </c>
    </row>
    <row r="248" customFormat="false" ht="15" hidden="false" customHeight="true" outlineLevel="0" collapsed="false">
      <c r="A248" s="12" t="s">
        <v>951</v>
      </c>
      <c r="B248" s="12" t="s">
        <v>808</v>
      </c>
      <c r="C248" s="12" t="n">
        <v>2026</v>
      </c>
      <c r="D248" s="12" t="n">
        <v>801</v>
      </c>
      <c r="E248" s="12" t="n">
        <v>26891.9</v>
      </c>
      <c r="F248" s="12" t="n">
        <v>4408207</v>
      </c>
    </row>
    <row r="249" customFormat="false" ht="15" hidden="false" customHeight="true" outlineLevel="0" collapsed="false">
      <c r="A249" s="12" t="s">
        <v>951</v>
      </c>
      <c r="B249" s="12" t="s">
        <v>500</v>
      </c>
      <c r="C249" s="12" t="n">
        <v>2025</v>
      </c>
      <c r="D249" s="12" t="n">
        <v>394</v>
      </c>
      <c r="E249" s="12" t="n">
        <v>14192.7</v>
      </c>
      <c r="F249" s="12" t="n">
        <v>4408208</v>
      </c>
    </row>
    <row r="250" customFormat="false" ht="15" hidden="false" customHeight="true" outlineLevel="0" collapsed="false">
      <c r="A250" s="12" t="s">
        <v>951</v>
      </c>
      <c r="B250" s="12" t="s">
        <v>500</v>
      </c>
      <c r="C250" s="12" t="n">
        <v>2026</v>
      </c>
      <c r="D250" s="12" t="n">
        <v>314</v>
      </c>
      <c r="E250" s="12" t="n">
        <v>11799.5</v>
      </c>
      <c r="F250" s="12" t="n">
        <v>4408208</v>
      </c>
    </row>
    <row r="251" customFormat="false" ht="15" hidden="false" customHeight="true" outlineLevel="0" collapsed="false">
      <c r="A251" s="12" t="s">
        <v>951</v>
      </c>
      <c r="B251" s="12" t="s">
        <v>334</v>
      </c>
      <c r="C251" s="12" t="n">
        <v>2025</v>
      </c>
      <c r="D251" s="12" t="n">
        <v>21</v>
      </c>
      <c r="E251" s="12" t="n">
        <v>2324.2</v>
      </c>
      <c r="F251" s="12" t="n">
        <v>4408217</v>
      </c>
    </row>
    <row r="252" customFormat="false" ht="15" hidden="false" customHeight="true" outlineLevel="0" collapsed="false">
      <c r="A252" s="12" t="s">
        <v>951</v>
      </c>
      <c r="B252" s="12" t="s">
        <v>334</v>
      </c>
      <c r="C252" s="12" t="n">
        <v>2026</v>
      </c>
      <c r="D252" s="12" t="n">
        <v>8</v>
      </c>
      <c r="E252" s="12" t="n">
        <v>858.9</v>
      </c>
      <c r="F252" s="12" t="n">
        <v>4408217</v>
      </c>
    </row>
    <row r="253" customFormat="false" ht="15" hidden="false" customHeight="true" outlineLevel="0" collapsed="false">
      <c r="A253" s="12" t="s">
        <v>951</v>
      </c>
      <c r="B253" s="12" t="s">
        <v>240</v>
      </c>
      <c r="C253" s="12" t="n">
        <v>2025</v>
      </c>
      <c r="D253" s="12" t="n">
        <v>121</v>
      </c>
      <c r="E253" s="12" t="n">
        <v>13380.2</v>
      </c>
      <c r="F253" s="12" t="n">
        <v>4408218</v>
      </c>
    </row>
    <row r="254" customFormat="false" ht="15" hidden="false" customHeight="true" outlineLevel="0" collapsed="false">
      <c r="A254" s="12" t="s">
        <v>951</v>
      </c>
      <c r="B254" s="12" t="s">
        <v>240</v>
      </c>
      <c r="C254" s="12" t="n">
        <v>2026</v>
      </c>
      <c r="D254" s="12" t="n">
        <v>52</v>
      </c>
      <c r="E254" s="12" t="n">
        <v>5965.9</v>
      </c>
      <c r="F254" s="12" t="n">
        <v>4408218</v>
      </c>
    </row>
    <row r="255" customFormat="false" ht="15" hidden="false" customHeight="true" outlineLevel="0" collapsed="false">
      <c r="A255" s="12" t="s">
        <v>951</v>
      </c>
      <c r="B255" s="12" t="s">
        <v>237</v>
      </c>
      <c r="C255" s="12" t="n">
        <v>2025</v>
      </c>
      <c r="D255" s="12" t="n">
        <v>5</v>
      </c>
      <c r="E255" s="12" t="n">
        <v>577.8</v>
      </c>
      <c r="F255" s="12" t="n">
        <v>4408219</v>
      </c>
    </row>
    <row r="256" customFormat="false" ht="15" hidden="false" customHeight="true" outlineLevel="0" collapsed="false">
      <c r="A256" s="12" t="s">
        <v>951</v>
      </c>
      <c r="B256" s="12" t="s">
        <v>237</v>
      </c>
      <c r="C256" s="12" t="n">
        <v>2026</v>
      </c>
      <c r="D256" s="12" t="n">
        <v>5</v>
      </c>
      <c r="E256" s="12" t="n">
        <v>554.4</v>
      </c>
      <c r="F256" s="12" t="n">
        <v>4408219</v>
      </c>
    </row>
    <row r="257" customFormat="false" ht="15" hidden="false" customHeight="true" outlineLevel="0" collapsed="false">
      <c r="A257" s="12" t="s">
        <v>951</v>
      </c>
      <c r="B257" s="12" t="s">
        <v>236</v>
      </c>
      <c r="C257" s="12" t="n">
        <v>2025</v>
      </c>
      <c r="D257" s="12" t="n">
        <v>27</v>
      </c>
      <c r="E257" s="12" t="n">
        <v>2977.7</v>
      </c>
      <c r="F257" s="12" t="n">
        <v>4408220</v>
      </c>
    </row>
    <row r="258" customFormat="false" ht="15" hidden="false" customHeight="true" outlineLevel="0" collapsed="false">
      <c r="A258" s="12" t="s">
        <v>951</v>
      </c>
      <c r="B258" s="12" t="s">
        <v>236</v>
      </c>
      <c r="C258" s="12" t="n">
        <v>2026</v>
      </c>
      <c r="D258" s="12" t="n">
        <v>27</v>
      </c>
      <c r="E258" s="12" t="n">
        <v>3009.4</v>
      </c>
      <c r="F258" s="12" t="n">
        <v>4408220</v>
      </c>
    </row>
    <row r="259" customFormat="false" ht="15" hidden="false" customHeight="true" outlineLevel="0" collapsed="false">
      <c r="A259" s="12" t="s">
        <v>951</v>
      </c>
      <c r="B259" s="12" t="s">
        <v>235</v>
      </c>
      <c r="C259" s="12" t="n">
        <v>2025</v>
      </c>
      <c r="D259" s="12" t="n">
        <v>50</v>
      </c>
      <c r="E259" s="12" t="n">
        <v>5649.4</v>
      </c>
      <c r="F259" s="12" t="n">
        <v>4408221</v>
      </c>
    </row>
    <row r="260" customFormat="false" ht="15" hidden="false" customHeight="true" outlineLevel="0" collapsed="false">
      <c r="A260" s="12" t="s">
        <v>951</v>
      </c>
      <c r="B260" s="12" t="s">
        <v>235</v>
      </c>
      <c r="C260" s="12" t="n">
        <v>2026</v>
      </c>
      <c r="D260" s="12" t="n">
        <v>43</v>
      </c>
      <c r="E260" s="12" t="n">
        <v>4953.8</v>
      </c>
      <c r="F260" s="12" t="n">
        <v>4408221</v>
      </c>
    </row>
    <row r="261" customFormat="false" ht="15" hidden="false" customHeight="true" outlineLevel="0" collapsed="false">
      <c r="A261" s="12" t="s">
        <v>951</v>
      </c>
      <c r="B261" s="12" t="s">
        <v>238</v>
      </c>
      <c r="C261" s="12" t="n">
        <v>2025</v>
      </c>
      <c r="D261" s="12" t="n">
        <v>53</v>
      </c>
      <c r="E261" s="12" t="n">
        <v>5922.9</v>
      </c>
      <c r="F261" s="12" t="n">
        <v>4408222</v>
      </c>
    </row>
    <row r="262" customFormat="false" ht="15" hidden="false" customHeight="true" outlineLevel="0" collapsed="false">
      <c r="A262" s="12" t="s">
        <v>951</v>
      </c>
      <c r="B262" s="12" t="s">
        <v>238</v>
      </c>
      <c r="C262" s="12" t="n">
        <v>2026</v>
      </c>
      <c r="D262" s="12" t="n">
        <v>35</v>
      </c>
      <c r="E262" s="12" t="n">
        <v>3813.7</v>
      </c>
      <c r="F262" s="12" t="n">
        <v>4408222</v>
      </c>
    </row>
    <row r="263" customFormat="false" ht="15" hidden="false" customHeight="true" outlineLevel="0" collapsed="false">
      <c r="A263" s="12" t="s">
        <v>951</v>
      </c>
      <c r="B263" s="12" t="s">
        <v>239</v>
      </c>
      <c r="C263" s="12" t="n">
        <v>2025</v>
      </c>
      <c r="D263" s="12" t="n">
        <v>41</v>
      </c>
      <c r="E263" s="12" t="n">
        <v>4452.3</v>
      </c>
      <c r="F263" s="12" t="n">
        <v>4408223</v>
      </c>
    </row>
    <row r="264" customFormat="false" ht="15" hidden="false" customHeight="true" outlineLevel="0" collapsed="false">
      <c r="A264" s="12" t="s">
        <v>951</v>
      </c>
      <c r="B264" s="12" t="s">
        <v>239</v>
      </c>
      <c r="C264" s="12" t="n">
        <v>2026</v>
      </c>
      <c r="D264" s="12" t="n">
        <v>22</v>
      </c>
      <c r="E264" s="12" t="n">
        <v>2494.1</v>
      </c>
      <c r="F264" s="12" t="n">
        <v>4408223</v>
      </c>
    </row>
    <row r="265" customFormat="false" ht="15" hidden="false" customHeight="true" outlineLevel="0" collapsed="false">
      <c r="A265" s="12" t="s">
        <v>951</v>
      </c>
      <c r="B265" s="12" t="s">
        <v>330</v>
      </c>
      <c r="C265" s="12" t="n">
        <v>2025</v>
      </c>
      <c r="D265" s="12" t="n">
        <v>3</v>
      </c>
      <c r="E265" s="12" t="n">
        <v>288.7</v>
      </c>
      <c r="F265" s="12" t="n">
        <v>4408225</v>
      </c>
    </row>
    <row r="266" customFormat="false" ht="15" hidden="false" customHeight="true" outlineLevel="0" collapsed="false">
      <c r="A266" s="12" t="s">
        <v>951</v>
      </c>
      <c r="B266" s="12" t="s">
        <v>329</v>
      </c>
      <c r="C266" s="12" t="n">
        <v>2025</v>
      </c>
      <c r="D266" s="12" t="n">
        <v>2</v>
      </c>
      <c r="E266" s="12" t="n">
        <v>206.1</v>
      </c>
      <c r="F266" s="12" t="n">
        <v>4408226</v>
      </c>
    </row>
    <row r="267" customFormat="false" ht="15" hidden="false" customHeight="true" outlineLevel="0" collapsed="false">
      <c r="A267" s="12" t="s">
        <v>951</v>
      </c>
      <c r="B267" s="12" t="s">
        <v>341</v>
      </c>
      <c r="C267" s="12" t="n">
        <v>2025</v>
      </c>
      <c r="D267" s="12" t="n">
        <v>1</v>
      </c>
      <c r="E267" s="12" t="n">
        <v>103.1</v>
      </c>
      <c r="F267" s="12" t="n">
        <v>4408227</v>
      </c>
    </row>
    <row r="268" customFormat="false" ht="15" hidden="false" customHeight="true" outlineLevel="0" collapsed="false">
      <c r="A268" s="12" t="s">
        <v>951</v>
      </c>
      <c r="B268" s="12" t="s">
        <v>342</v>
      </c>
      <c r="C268" s="12" t="n">
        <v>2025</v>
      </c>
      <c r="D268" s="12" t="n">
        <v>1</v>
      </c>
      <c r="E268" s="12" t="n">
        <v>103.1</v>
      </c>
      <c r="F268" s="12" t="n">
        <v>4408229</v>
      </c>
    </row>
    <row r="269" customFormat="false" ht="15" hidden="false" customHeight="true" outlineLevel="0" collapsed="false">
      <c r="A269" s="12" t="s">
        <v>951</v>
      </c>
      <c r="B269" s="12" t="s">
        <v>342</v>
      </c>
      <c r="C269" s="12" t="n">
        <v>2026</v>
      </c>
      <c r="D269" s="12" t="n">
        <v>-1</v>
      </c>
      <c r="E269" s="12" t="n">
        <v>-92.8</v>
      </c>
      <c r="F269" s="12" t="n">
        <v>4408229</v>
      </c>
    </row>
    <row r="270" customFormat="false" ht="15" hidden="false" customHeight="true" outlineLevel="0" collapsed="false">
      <c r="A270" s="12" t="s">
        <v>951</v>
      </c>
      <c r="B270" s="12" t="s">
        <v>307</v>
      </c>
      <c r="C270" s="12" t="n">
        <v>2025</v>
      </c>
      <c r="D270" s="12" t="n">
        <v>13</v>
      </c>
      <c r="E270" s="12" t="n">
        <v>1544.1</v>
      </c>
      <c r="F270" s="12" t="n">
        <v>4408230</v>
      </c>
    </row>
    <row r="271" customFormat="false" ht="15" hidden="false" customHeight="true" outlineLevel="0" collapsed="false">
      <c r="A271" s="12" t="s">
        <v>951</v>
      </c>
      <c r="B271" s="12" t="s">
        <v>307</v>
      </c>
      <c r="C271" s="12" t="n">
        <v>2026</v>
      </c>
      <c r="D271" s="12" t="n">
        <v>17</v>
      </c>
      <c r="E271" s="12" t="n">
        <v>2074.7</v>
      </c>
      <c r="F271" s="12" t="n">
        <v>4408230</v>
      </c>
    </row>
    <row r="272" customFormat="false" ht="15" hidden="false" customHeight="true" outlineLevel="0" collapsed="false">
      <c r="A272" s="12" t="s">
        <v>951</v>
      </c>
      <c r="B272" s="12" t="s">
        <v>308</v>
      </c>
      <c r="C272" s="12" t="n">
        <v>2025</v>
      </c>
      <c r="D272" s="12" t="n">
        <v>3</v>
      </c>
      <c r="E272" s="12" t="n">
        <v>339.6</v>
      </c>
      <c r="F272" s="12" t="n">
        <v>4408231</v>
      </c>
    </row>
    <row r="273" customFormat="false" ht="15" hidden="false" customHeight="true" outlineLevel="0" collapsed="false">
      <c r="A273" s="12" t="s">
        <v>951</v>
      </c>
      <c r="B273" s="12" t="s">
        <v>308</v>
      </c>
      <c r="C273" s="12" t="n">
        <v>2026</v>
      </c>
      <c r="D273" s="12" t="n">
        <v>12</v>
      </c>
      <c r="E273" s="12" t="n">
        <v>1475.9</v>
      </c>
      <c r="F273" s="12" t="n">
        <v>4408231</v>
      </c>
    </row>
    <row r="274" customFormat="false" ht="15" hidden="false" customHeight="true" outlineLevel="0" collapsed="false">
      <c r="A274" s="12" t="s">
        <v>951</v>
      </c>
      <c r="B274" s="12" t="s">
        <v>309</v>
      </c>
      <c r="C274" s="12" t="n">
        <v>2025</v>
      </c>
      <c r="D274" s="12" t="n">
        <v>2</v>
      </c>
      <c r="E274" s="12" t="n">
        <v>236.2</v>
      </c>
      <c r="F274" s="12" t="n">
        <v>4408232</v>
      </c>
    </row>
    <row r="275" customFormat="false" ht="15" hidden="false" customHeight="true" outlineLevel="0" collapsed="false">
      <c r="A275" s="12" t="s">
        <v>951</v>
      </c>
      <c r="B275" s="12" t="s">
        <v>309</v>
      </c>
      <c r="C275" s="12" t="n">
        <v>2026</v>
      </c>
      <c r="D275" s="12" t="n">
        <v>4</v>
      </c>
      <c r="E275" s="12" t="n">
        <v>489.2</v>
      </c>
      <c r="F275" s="12" t="n">
        <v>4408232</v>
      </c>
    </row>
    <row r="276" customFormat="false" ht="15" hidden="false" customHeight="true" outlineLevel="0" collapsed="false">
      <c r="A276" s="12" t="s">
        <v>951</v>
      </c>
      <c r="B276" s="12" t="s">
        <v>231</v>
      </c>
      <c r="C276" s="12" t="n">
        <v>2025</v>
      </c>
      <c r="D276" s="12" t="n">
        <v>-1</v>
      </c>
      <c r="E276" s="12" t="n">
        <v>-133.3</v>
      </c>
      <c r="F276" s="12" t="n">
        <v>4408234</v>
      </c>
    </row>
    <row r="277" customFormat="false" ht="15" hidden="false" customHeight="true" outlineLevel="0" collapsed="false">
      <c r="A277" s="12" t="s">
        <v>951</v>
      </c>
      <c r="B277" s="12" t="s">
        <v>231</v>
      </c>
      <c r="C277" s="12" t="n">
        <v>2026</v>
      </c>
      <c r="D277" s="12" t="n">
        <v>0</v>
      </c>
      <c r="E277" s="12" t="n">
        <v>-37.1</v>
      </c>
      <c r="F277" s="12" t="n">
        <v>4408234</v>
      </c>
    </row>
    <row r="278" customFormat="false" ht="15" hidden="false" customHeight="true" outlineLevel="0" collapsed="false">
      <c r="A278" s="12" t="s">
        <v>951</v>
      </c>
      <c r="B278" s="12" t="s">
        <v>232</v>
      </c>
      <c r="C278" s="12" t="n">
        <v>2026</v>
      </c>
      <c r="D278" s="12" t="n">
        <v>1</v>
      </c>
      <c r="E278" s="12" t="n">
        <v>111</v>
      </c>
      <c r="F278" s="12" t="n">
        <v>4408235</v>
      </c>
    </row>
    <row r="279" customFormat="false" ht="15" hidden="false" customHeight="true" outlineLevel="0" collapsed="false">
      <c r="A279" s="12" t="s">
        <v>951</v>
      </c>
      <c r="B279" s="12" t="s">
        <v>226</v>
      </c>
      <c r="C279" s="12" t="n">
        <v>2025</v>
      </c>
      <c r="D279" s="12" t="n">
        <v>7</v>
      </c>
      <c r="E279" s="12" t="n">
        <v>999</v>
      </c>
      <c r="F279" s="12" t="n">
        <v>4408245</v>
      </c>
    </row>
    <row r="280" customFormat="false" ht="15" hidden="false" customHeight="true" outlineLevel="0" collapsed="false">
      <c r="A280" s="12" t="s">
        <v>951</v>
      </c>
      <c r="B280" s="12" t="s">
        <v>226</v>
      </c>
      <c r="C280" s="12" t="n">
        <v>2026</v>
      </c>
      <c r="D280" s="12" t="n">
        <v>3</v>
      </c>
      <c r="E280" s="12" t="n">
        <v>520.1</v>
      </c>
      <c r="F280" s="12" t="n">
        <v>4408245</v>
      </c>
    </row>
    <row r="281" customFormat="false" ht="15" hidden="false" customHeight="true" outlineLevel="0" collapsed="false">
      <c r="A281" s="12" t="s">
        <v>951</v>
      </c>
      <c r="B281" s="12" t="s">
        <v>813</v>
      </c>
      <c r="C281" s="12" t="n">
        <v>2025</v>
      </c>
      <c r="D281" s="12" t="n">
        <v>3</v>
      </c>
      <c r="E281" s="12" t="n">
        <v>248.3</v>
      </c>
      <c r="F281" s="12" t="n">
        <v>4408247</v>
      </c>
    </row>
    <row r="282" customFormat="false" ht="15" hidden="false" customHeight="true" outlineLevel="0" collapsed="false">
      <c r="A282" s="12" t="s">
        <v>951</v>
      </c>
      <c r="B282" s="12" t="s">
        <v>813</v>
      </c>
      <c r="C282" s="12" t="n">
        <v>2026</v>
      </c>
      <c r="D282" s="12" t="n">
        <v>13</v>
      </c>
      <c r="E282" s="12" t="n">
        <v>1167.8</v>
      </c>
      <c r="F282" s="12" t="n">
        <v>4408247</v>
      </c>
    </row>
    <row r="283" customFormat="false" ht="15" hidden="false" customHeight="true" outlineLevel="0" collapsed="false">
      <c r="A283" s="12" t="s">
        <v>951</v>
      </c>
      <c r="B283" s="12" t="s">
        <v>812</v>
      </c>
      <c r="C283" s="12" t="n">
        <v>2025</v>
      </c>
      <c r="D283" s="12" t="n">
        <v>13</v>
      </c>
      <c r="E283" s="12" t="n">
        <v>1102.3</v>
      </c>
      <c r="F283" s="12" t="n">
        <v>4408248</v>
      </c>
    </row>
    <row r="284" customFormat="false" ht="15" hidden="false" customHeight="true" outlineLevel="0" collapsed="false">
      <c r="A284" s="12" t="s">
        <v>951</v>
      </c>
      <c r="B284" s="12" t="s">
        <v>812</v>
      </c>
      <c r="C284" s="12" t="n">
        <v>2026</v>
      </c>
      <c r="D284" s="12" t="n">
        <v>15</v>
      </c>
      <c r="E284" s="12" t="n">
        <v>1342.6</v>
      </c>
      <c r="F284" s="12" t="n">
        <v>4408248</v>
      </c>
    </row>
    <row r="285" customFormat="false" ht="15" hidden="false" customHeight="true" outlineLevel="0" collapsed="false">
      <c r="A285" s="12" t="s">
        <v>951</v>
      </c>
      <c r="B285" s="12" t="s">
        <v>811</v>
      </c>
      <c r="C285" s="12" t="n">
        <v>2025</v>
      </c>
      <c r="D285" s="12" t="n">
        <v>10</v>
      </c>
      <c r="E285" s="12" t="n">
        <v>806</v>
      </c>
      <c r="F285" s="12" t="n">
        <v>4408249</v>
      </c>
    </row>
    <row r="286" customFormat="false" ht="15" hidden="false" customHeight="true" outlineLevel="0" collapsed="false">
      <c r="A286" s="12" t="s">
        <v>951</v>
      </c>
      <c r="B286" s="12" t="s">
        <v>811</v>
      </c>
      <c r="C286" s="12" t="n">
        <v>2026</v>
      </c>
      <c r="D286" s="12" t="n">
        <v>19</v>
      </c>
      <c r="E286" s="12" t="n">
        <v>1740</v>
      </c>
      <c r="F286" s="12" t="n">
        <v>4408249</v>
      </c>
    </row>
    <row r="287" customFormat="false" ht="15" hidden="false" customHeight="true" outlineLevel="0" collapsed="false">
      <c r="A287" s="12" t="s">
        <v>951</v>
      </c>
      <c r="B287" s="12" t="s">
        <v>814</v>
      </c>
      <c r="C287" s="12" t="n">
        <v>2025</v>
      </c>
      <c r="D287" s="12" t="n">
        <v>9</v>
      </c>
      <c r="E287" s="12" t="n">
        <v>718.1</v>
      </c>
      <c r="F287" s="12" t="n">
        <v>4408250</v>
      </c>
    </row>
    <row r="288" customFormat="false" ht="15" hidden="false" customHeight="true" outlineLevel="0" collapsed="false">
      <c r="A288" s="12" t="s">
        <v>951</v>
      </c>
      <c r="B288" s="12" t="s">
        <v>814</v>
      </c>
      <c r="C288" s="12" t="n">
        <v>2026</v>
      </c>
      <c r="D288" s="12" t="n">
        <v>10</v>
      </c>
      <c r="E288" s="12" t="n">
        <v>899.2</v>
      </c>
      <c r="F288" s="12" t="n">
        <v>4408250</v>
      </c>
    </row>
    <row r="289" customFormat="false" ht="15" hidden="false" customHeight="true" outlineLevel="0" collapsed="false">
      <c r="A289" s="12" t="s">
        <v>951</v>
      </c>
      <c r="B289" s="12" t="s">
        <v>276</v>
      </c>
      <c r="C289" s="12" t="n">
        <v>2026</v>
      </c>
      <c r="D289" s="12" t="n">
        <v>1</v>
      </c>
      <c r="E289" s="12" t="n">
        <v>166.4</v>
      </c>
      <c r="F289" s="12" t="n">
        <v>4408259</v>
      </c>
    </row>
    <row r="290" customFormat="false" ht="15" hidden="false" customHeight="true" outlineLevel="0" collapsed="false">
      <c r="A290" s="12" t="s">
        <v>951</v>
      </c>
      <c r="B290" s="12" t="s">
        <v>275</v>
      </c>
      <c r="C290" s="12" t="n">
        <v>2025</v>
      </c>
      <c r="D290" s="12" t="n">
        <v>2</v>
      </c>
      <c r="E290" s="12" t="n">
        <v>310.5</v>
      </c>
      <c r="F290" s="12" t="n">
        <v>4408260</v>
      </c>
    </row>
    <row r="291" customFormat="false" ht="15" hidden="false" customHeight="true" outlineLevel="0" collapsed="false">
      <c r="A291" s="12" t="s">
        <v>951</v>
      </c>
      <c r="B291" s="12" t="s">
        <v>275</v>
      </c>
      <c r="C291" s="12" t="n">
        <v>2026</v>
      </c>
      <c r="D291" s="12" t="n">
        <v>1</v>
      </c>
      <c r="E291" s="12" t="n">
        <v>166.4</v>
      </c>
      <c r="F291" s="12" t="n">
        <v>4408260</v>
      </c>
    </row>
    <row r="292" customFormat="false" ht="15" hidden="false" customHeight="true" outlineLevel="0" collapsed="false">
      <c r="A292" s="12" t="s">
        <v>951</v>
      </c>
      <c r="B292" s="12" t="s">
        <v>277</v>
      </c>
      <c r="C292" s="12" t="n">
        <v>2026</v>
      </c>
      <c r="D292" s="12" t="n">
        <v>2</v>
      </c>
      <c r="E292" s="12" t="n">
        <v>332.7</v>
      </c>
      <c r="F292" s="12" t="n">
        <v>4408262</v>
      </c>
    </row>
    <row r="293" customFormat="false" ht="15" hidden="false" customHeight="true" outlineLevel="0" collapsed="false">
      <c r="A293" s="12" t="s">
        <v>951</v>
      </c>
      <c r="B293" s="12" t="s">
        <v>657</v>
      </c>
      <c r="C293" s="12" t="n">
        <v>2025</v>
      </c>
      <c r="D293" s="12" t="n">
        <v>382</v>
      </c>
      <c r="E293" s="12" t="n">
        <v>15998.7</v>
      </c>
      <c r="F293" s="12" t="n">
        <v>4408264</v>
      </c>
    </row>
    <row r="294" customFormat="false" ht="15" hidden="false" customHeight="true" outlineLevel="0" collapsed="false">
      <c r="A294" s="12" t="s">
        <v>951</v>
      </c>
      <c r="B294" s="12" t="s">
        <v>657</v>
      </c>
      <c r="C294" s="12" t="n">
        <v>2026</v>
      </c>
      <c r="D294" s="12" t="n">
        <v>179</v>
      </c>
      <c r="E294" s="12" t="n">
        <v>8153</v>
      </c>
      <c r="F294" s="12" t="n">
        <v>4408264</v>
      </c>
    </row>
    <row r="295" customFormat="false" ht="15" hidden="false" customHeight="true" outlineLevel="0" collapsed="false">
      <c r="A295" s="12" t="s">
        <v>951</v>
      </c>
      <c r="B295" s="12" t="s">
        <v>241</v>
      </c>
      <c r="C295" s="12" t="n">
        <v>2025</v>
      </c>
      <c r="D295" s="12" t="n">
        <v>64</v>
      </c>
      <c r="E295" s="12" t="n">
        <v>6752.6</v>
      </c>
      <c r="F295" s="12" t="n">
        <v>4408265</v>
      </c>
    </row>
    <row r="296" customFormat="false" ht="15" hidden="false" customHeight="true" outlineLevel="0" collapsed="false">
      <c r="A296" s="12" t="s">
        <v>951</v>
      </c>
      <c r="B296" s="12" t="s">
        <v>241</v>
      </c>
      <c r="C296" s="12" t="n">
        <v>2026</v>
      </c>
      <c r="D296" s="12" t="n">
        <v>32</v>
      </c>
      <c r="E296" s="12" t="n">
        <v>3393.7</v>
      </c>
      <c r="F296" s="12" t="n">
        <v>4408265</v>
      </c>
    </row>
    <row r="297" customFormat="false" ht="15" hidden="false" customHeight="true" outlineLevel="0" collapsed="false">
      <c r="A297" s="12" t="s">
        <v>951</v>
      </c>
      <c r="B297" s="12" t="s">
        <v>473</v>
      </c>
      <c r="C297" s="12" t="n">
        <v>2025</v>
      </c>
      <c r="D297" s="12" t="n">
        <v>79</v>
      </c>
      <c r="E297" s="12" t="n">
        <v>6503.9</v>
      </c>
      <c r="F297" s="12" t="n">
        <v>4408266</v>
      </c>
    </row>
    <row r="298" customFormat="false" ht="15" hidden="false" customHeight="true" outlineLevel="0" collapsed="false">
      <c r="A298" s="12" t="s">
        <v>951</v>
      </c>
      <c r="B298" s="12" t="s">
        <v>473</v>
      </c>
      <c r="C298" s="12" t="n">
        <v>2026</v>
      </c>
      <c r="D298" s="12" t="n">
        <v>67</v>
      </c>
      <c r="E298" s="12" t="n">
        <v>5537</v>
      </c>
      <c r="F298" s="12" t="n">
        <v>4408266</v>
      </c>
    </row>
    <row r="299" customFormat="false" ht="15" hidden="false" customHeight="true" outlineLevel="0" collapsed="false">
      <c r="A299" s="12" t="s">
        <v>951</v>
      </c>
      <c r="B299" s="12" t="s">
        <v>321</v>
      </c>
      <c r="C299" s="12" t="n">
        <v>2026</v>
      </c>
      <c r="D299" s="12" t="n">
        <v>1</v>
      </c>
      <c r="E299" s="12" t="n">
        <v>323.4</v>
      </c>
      <c r="F299" s="12" t="n">
        <v>4408272</v>
      </c>
    </row>
    <row r="300" customFormat="false" ht="15" hidden="false" customHeight="true" outlineLevel="0" collapsed="false">
      <c r="A300" s="12" t="s">
        <v>951</v>
      </c>
      <c r="B300" s="12" t="s">
        <v>320</v>
      </c>
      <c r="C300" s="12" t="n">
        <v>2026</v>
      </c>
      <c r="D300" s="12" t="n">
        <v>1</v>
      </c>
      <c r="E300" s="12" t="n">
        <v>323.4</v>
      </c>
      <c r="F300" s="12" t="n">
        <v>4408273</v>
      </c>
    </row>
    <row r="301" customFormat="false" ht="15" hidden="false" customHeight="true" outlineLevel="0" collapsed="false">
      <c r="A301" s="12" t="s">
        <v>951</v>
      </c>
      <c r="B301" s="12" t="s">
        <v>319</v>
      </c>
      <c r="C301" s="12" t="n">
        <v>2026</v>
      </c>
      <c r="D301" s="12" t="n">
        <v>1</v>
      </c>
      <c r="E301" s="12" t="n">
        <v>323.4</v>
      </c>
      <c r="F301" s="12" t="n">
        <v>4408274</v>
      </c>
    </row>
    <row r="302" customFormat="false" ht="15" hidden="false" customHeight="true" outlineLevel="0" collapsed="false">
      <c r="A302" s="12" t="s">
        <v>951</v>
      </c>
      <c r="B302" s="12" t="s">
        <v>585</v>
      </c>
      <c r="C302" s="12" t="n">
        <v>2026</v>
      </c>
      <c r="D302" s="12" t="n">
        <v>22</v>
      </c>
      <c r="E302" s="12" t="n">
        <v>1035.8</v>
      </c>
      <c r="F302" s="12" t="n">
        <v>4408275</v>
      </c>
    </row>
    <row r="303" customFormat="false" ht="15" hidden="false" customHeight="true" outlineLevel="0" collapsed="false">
      <c r="A303" s="12" t="s">
        <v>951</v>
      </c>
      <c r="B303" s="12" t="s">
        <v>555</v>
      </c>
      <c r="C303" s="12" t="n">
        <v>2025</v>
      </c>
      <c r="D303" s="12" t="n">
        <v>407</v>
      </c>
      <c r="E303" s="12" t="n">
        <v>5513.6</v>
      </c>
      <c r="F303" s="12" t="n">
        <v>4409000</v>
      </c>
    </row>
    <row r="304" customFormat="false" ht="15" hidden="false" customHeight="true" outlineLevel="0" collapsed="false">
      <c r="A304" s="12" t="s">
        <v>951</v>
      </c>
      <c r="B304" s="12" t="s">
        <v>555</v>
      </c>
      <c r="C304" s="12" t="n">
        <v>2026</v>
      </c>
      <c r="D304" s="12" t="n">
        <v>337</v>
      </c>
      <c r="E304" s="12" t="n">
        <v>4572.7</v>
      </c>
      <c r="F304" s="12" t="n">
        <v>4409000</v>
      </c>
    </row>
    <row r="305" customFormat="false" ht="15" hidden="false" customHeight="true" outlineLevel="0" collapsed="false">
      <c r="A305" s="12" t="s">
        <v>951</v>
      </c>
      <c r="B305" s="12" t="s">
        <v>554</v>
      </c>
      <c r="C305" s="12" t="n">
        <v>2025</v>
      </c>
      <c r="D305" s="12" t="n">
        <v>259</v>
      </c>
      <c r="E305" s="12" t="n">
        <v>3377.2</v>
      </c>
      <c r="F305" s="12" t="n">
        <v>4409001</v>
      </c>
    </row>
    <row r="306" customFormat="false" ht="15" hidden="false" customHeight="true" outlineLevel="0" collapsed="false">
      <c r="A306" s="12" t="s">
        <v>951</v>
      </c>
      <c r="B306" s="12" t="s">
        <v>554</v>
      </c>
      <c r="C306" s="12" t="n">
        <v>2026</v>
      </c>
      <c r="D306" s="12" t="n">
        <v>140</v>
      </c>
      <c r="E306" s="12" t="n">
        <v>1798.7</v>
      </c>
      <c r="F306" s="12" t="n">
        <v>4409001</v>
      </c>
    </row>
    <row r="307" customFormat="false" ht="15" hidden="false" customHeight="true" outlineLevel="0" collapsed="false">
      <c r="A307" s="12" t="s">
        <v>951</v>
      </c>
      <c r="B307" s="12" t="s">
        <v>707</v>
      </c>
      <c r="C307" s="12" t="n">
        <v>2025</v>
      </c>
      <c r="D307" s="12" t="n">
        <v>-21</v>
      </c>
      <c r="E307" s="12" t="n">
        <v>-810.8</v>
      </c>
      <c r="F307" s="12" t="n">
        <v>4409002</v>
      </c>
    </row>
    <row r="308" customFormat="false" ht="15" hidden="false" customHeight="true" outlineLevel="0" collapsed="false">
      <c r="A308" s="12" t="s">
        <v>951</v>
      </c>
      <c r="B308" s="12" t="s">
        <v>707</v>
      </c>
      <c r="C308" s="12" t="n">
        <v>2026</v>
      </c>
      <c r="D308" s="12" t="n">
        <v>-4</v>
      </c>
      <c r="E308" s="12" t="n">
        <v>-113.3</v>
      </c>
      <c r="F308" s="12" t="n">
        <v>4409002</v>
      </c>
    </row>
    <row r="309" customFormat="false" ht="15" hidden="false" customHeight="true" outlineLevel="0" collapsed="false">
      <c r="A309" s="12" t="s">
        <v>951</v>
      </c>
      <c r="B309" s="12" t="s">
        <v>367</v>
      </c>
      <c r="C309" s="12" t="n">
        <v>2025</v>
      </c>
      <c r="D309" s="12" t="n">
        <v>686</v>
      </c>
      <c r="E309" s="12" t="n">
        <v>15450.1</v>
      </c>
      <c r="F309" s="12" t="n">
        <v>4409004</v>
      </c>
    </row>
    <row r="310" customFormat="false" ht="15" hidden="false" customHeight="true" outlineLevel="0" collapsed="false">
      <c r="A310" s="12" t="s">
        <v>951</v>
      </c>
      <c r="B310" s="12" t="s">
        <v>367</v>
      </c>
      <c r="C310" s="12" t="n">
        <v>2026</v>
      </c>
      <c r="D310" s="12" t="n">
        <v>278</v>
      </c>
      <c r="E310" s="12" t="n">
        <v>6368.9</v>
      </c>
      <c r="F310" s="12" t="n">
        <v>4409004</v>
      </c>
    </row>
    <row r="311" customFormat="false" ht="15" hidden="false" customHeight="true" outlineLevel="0" collapsed="false">
      <c r="A311" s="12" t="s">
        <v>951</v>
      </c>
      <c r="B311" s="12" t="s">
        <v>346</v>
      </c>
      <c r="C311" s="12" t="n">
        <v>2025</v>
      </c>
      <c r="D311" s="12" t="n">
        <v>10</v>
      </c>
      <c r="E311" s="12" t="n">
        <v>159.1</v>
      </c>
      <c r="F311" s="12" t="n">
        <v>4409010</v>
      </c>
    </row>
    <row r="312" customFormat="false" ht="15" hidden="false" customHeight="true" outlineLevel="0" collapsed="false">
      <c r="A312" s="12" t="s">
        <v>951</v>
      </c>
      <c r="B312" s="12" t="s">
        <v>346</v>
      </c>
      <c r="C312" s="12" t="n">
        <v>2026</v>
      </c>
      <c r="D312" s="12" t="n">
        <v>8</v>
      </c>
      <c r="E312" s="12" t="n">
        <v>136.1</v>
      </c>
      <c r="F312" s="12" t="n">
        <v>4409010</v>
      </c>
    </row>
    <row r="313" customFormat="false" ht="15" hidden="false" customHeight="true" outlineLevel="0" collapsed="false">
      <c r="A313" s="12" t="s">
        <v>951</v>
      </c>
      <c r="B313" s="12" t="s">
        <v>343</v>
      </c>
      <c r="C313" s="12" t="n">
        <v>2025</v>
      </c>
      <c r="D313" s="12" t="n">
        <v>26</v>
      </c>
      <c r="E313" s="12" t="n">
        <v>417.2</v>
      </c>
      <c r="F313" s="12" t="n">
        <v>4409011</v>
      </c>
    </row>
    <row r="314" customFormat="false" ht="15" hidden="false" customHeight="true" outlineLevel="0" collapsed="false">
      <c r="A314" s="12" t="s">
        <v>951</v>
      </c>
      <c r="B314" s="12" t="s">
        <v>343</v>
      </c>
      <c r="C314" s="12" t="n">
        <v>2026</v>
      </c>
      <c r="D314" s="12" t="n">
        <v>56</v>
      </c>
      <c r="E314" s="12" t="n">
        <v>966.2</v>
      </c>
      <c r="F314" s="12" t="n">
        <v>4409011</v>
      </c>
    </row>
    <row r="315" customFormat="false" ht="15" hidden="false" customHeight="true" outlineLevel="0" collapsed="false">
      <c r="A315" s="12" t="s">
        <v>951</v>
      </c>
      <c r="B315" s="12" t="s">
        <v>345</v>
      </c>
      <c r="C315" s="12" t="n">
        <v>2025</v>
      </c>
      <c r="D315" s="12" t="n">
        <v>41</v>
      </c>
      <c r="E315" s="12" t="n">
        <v>613.6</v>
      </c>
      <c r="F315" s="12" t="n">
        <v>4409012</v>
      </c>
    </row>
    <row r="316" customFormat="false" ht="15" hidden="false" customHeight="true" outlineLevel="0" collapsed="false">
      <c r="A316" s="12" t="s">
        <v>951</v>
      </c>
      <c r="B316" s="12" t="s">
        <v>345</v>
      </c>
      <c r="C316" s="12" t="n">
        <v>2026</v>
      </c>
      <c r="D316" s="12" t="n">
        <v>35</v>
      </c>
      <c r="E316" s="12" t="n">
        <v>600.7</v>
      </c>
      <c r="F316" s="12" t="n">
        <v>4409012</v>
      </c>
    </row>
    <row r="317" customFormat="false" ht="15" hidden="false" customHeight="true" outlineLevel="0" collapsed="false">
      <c r="A317" s="12" t="s">
        <v>951</v>
      </c>
      <c r="B317" s="12" t="s">
        <v>344</v>
      </c>
      <c r="C317" s="12" t="n">
        <v>2025</v>
      </c>
      <c r="D317" s="12" t="n">
        <v>7</v>
      </c>
      <c r="E317" s="12" t="n">
        <v>118.8</v>
      </c>
      <c r="F317" s="12" t="n">
        <v>4409013</v>
      </c>
    </row>
    <row r="318" customFormat="false" ht="15" hidden="false" customHeight="true" outlineLevel="0" collapsed="false">
      <c r="A318" s="12" t="s">
        <v>951</v>
      </c>
      <c r="B318" s="12" t="s">
        <v>344</v>
      </c>
      <c r="C318" s="12" t="n">
        <v>2026</v>
      </c>
      <c r="D318" s="12" t="n">
        <v>26</v>
      </c>
      <c r="E318" s="12" t="n">
        <v>449.7</v>
      </c>
      <c r="F318" s="12" t="n">
        <v>4409013</v>
      </c>
    </row>
    <row r="319" customFormat="false" ht="15" hidden="false" customHeight="true" outlineLevel="0" collapsed="false">
      <c r="A319" s="12" t="s">
        <v>951</v>
      </c>
      <c r="B319" s="12" t="s">
        <v>354</v>
      </c>
      <c r="C319" s="12" t="n">
        <v>2025</v>
      </c>
      <c r="D319" s="12" t="n">
        <v>295</v>
      </c>
      <c r="E319" s="12" t="n">
        <v>8838</v>
      </c>
      <c r="F319" s="12" t="n">
        <v>4409014</v>
      </c>
    </row>
    <row r="320" customFormat="false" ht="15" hidden="false" customHeight="true" outlineLevel="0" collapsed="false">
      <c r="A320" s="12" t="s">
        <v>951</v>
      </c>
      <c r="B320" s="12" t="s">
        <v>354</v>
      </c>
      <c r="C320" s="12" t="n">
        <v>2026</v>
      </c>
      <c r="D320" s="12" t="n">
        <v>63</v>
      </c>
      <c r="E320" s="12" t="n">
        <v>2401</v>
      </c>
      <c r="F320" s="12" t="n">
        <v>4409014</v>
      </c>
    </row>
    <row r="321" customFormat="false" ht="15" hidden="false" customHeight="true" outlineLevel="0" collapsed="false">
      <c r="A321" s="12" t="s">
        <v>951</v>
      </c>
      <c r="B321" s="12" t="s">
        <v>352</v>
      </c>
      <c r="C321" s="12" t="n">
        <v>2025</v>
      </c>
      <c r="D321" s="12" t="n">
        <v>411</v>
      </c>
      <c r="E321" s="12" t="n">
        <v>13057</v>
      </c>
      <c r="F321" s="12" t="n">
        <v>4409015</v>
      </c>
    </row>
    <row r="322" customFormat="false" ht="15" hidden="false" customHeight="true" outlineLevel="0" collapsed="false">
      <c r="A322" s="12" t="s">
        <v>951</v>
      </c>
      <c r="B322" s="12" t="s">
        <v>352</v>
      </c>
      <c r="C322" s="12" t="n">
        <v>2026</v>
      </c>
      <c r="D322" s="12" t="n">
        <v>117</v>
      </c>
      <c r="E322" s="12" t="n">
        <v>4205</v>
      </c>
      <c r="F322" s="12" t="n">
        <v>4409015</v>
      </c>
    </row>
    <row r="323" customFormat="false" ht="15" hidden="false" customHeight="true" outlineLevel="0" collapsed="false">
      <c r="A323" s="12" t="s">
        <v>951</v>
      </c>
      <c r="B323" s="12" t="s">
        <v>353</v>
      </c>
      <c r="C323" s="12" t="n">
        <v>2025</v>
      </c>
      <c r="D323" s="12" t="n">
        <v>517</v>
      </c>
      <c r="E323" s="12" t="n">
        <v>15602.6</v>
      </c>
      <c r="F323" s="12" t="n">
        <v>4409016</v>
      </c>
    </row>
    <row r="324" customFormat="false" ht="15" hidden="false" customHeight="true" outlineLevel="0" collapsed="false">
      <c r="A324" s="12" t="s">
        <v>951</v>
      </c>
      <c r="B324" s="12" t="s">
        <v>353</v>
      </c>
      <c r="C324" s="12" t="n">
        <v>2026</v>
      </c>
      <c r="D324" s="12" t="n">
        <v>278</v>
      </c>
      <c r="E324" s="12" t="n">
        <v>9297.7</v>
      </c>
      <c r="F324" s="12" t="n">
        <v>4409016</v>
      </c>
    </row>
    <row r="325" customFormat="false" ht="15" hidden="false" customHeight="true" outlineLevel="0" collapsed="false">
      <c r="A325" s="12" t="s">
        <v>951</v>
      </c>
      <c r="B325" s="12" t="s">
        <v>351</v>
      </c>
      <c r="C325" s="12" t="n">
        <v>2025</v>
      </c>
      <c r="D325" s="12" t="n">
        <v>391</v>
      </c>
      <c r="E325" s="12" t="n">
        <v>12113.8</v>
      </c>
      <c r="F325" s="12" t="n">
        <v>4409017</v>
      </c>
    </row>
    <row r="326" customFormat="false" ht="15" hidden="false" customHeight="true" outlineLevel="0" collapsed="false">
      <c r="A326" s="12" t="s">
        <v>951</v>
      </c>
      <c r="B326" s="12" t="s">
        <v>351</v>
      </c>
      <c r="C326" s="12" t="n">
        <v>2026</v>
      </c>
      <c r="D326" s="12" t="n">
        <v>180</v>
      </c>
      <c r="E326" s="12" t="n">
        <v>6434.5</v>
      </c>
      <c r="F326" s="12" t="n">
        <v>4409017</v>
      </c>
    </row>
    <row r="327" customFormat="false" ht="15" hidden="false" customHeight="true" outlineLevel="0" collapsed="false">
      <c r="A327" s="12" t="s">
        <v>951</v>
      </c>
      <c r="B327" s="12" t="s">
        <v>571</v>
      </c>
      <c r="C327" s="12" t="n">
        <v>2025</v>
      </c>
      <c r="D327" s="12" t="n">
        <v>309</v>
      </c>
      <c r="E327" s="12" t="n">
        <v>8696.6</v>
      </c>
      <c r="F327" s="12" t="n">
        <v>4411000</v>
      </c>
    </row>
    <row r="328" customFormat="false" ht="15" hidden="false" customHeight="true" outlineLevel="0" collapsed="false">
      <c r="A328" s="12" t="s">
        <v>951</v>
      </c>
      <c r="B328" s="12" t="s">
        <v>571</v>
      </c>
      <c r="C328" s="12" t="n">
        <v>2026</v>
      </c>
      <c r="D328" s="12" t="n">
        <v>164</v>
      </c>
      <c r="E328" s="12" t="n">
        <v>4670.1</v>
      </c>
      <c r="F328" s="12" t="n">
        <v>4411000</v>
      </c>
    </row>
    <row r="329" customFormat="false" ht="15" hidden="false" customHeight="true" outlineLevel="0" collapsed="false">
      <c r="A329" s="12" t="s">
        <v>951</v>
      </c>
      <c r="B329" s="12" t="s">
        <v>549</v>
      </c>
      <c r="C329" s="12" t="n">
        <v>2025</v>
      </c>
      <c r="D329" s="12" t="n">
        <v>222</v>
      </c>
      <c r="E329" s="12" t="n">
        <v>5823</v>
      </c>
      <c r="F329" s="12" t="n">
        <v>4411001</v>
      </c>
    </row>
    <row r="330" customFormat="false" ht="15" hidden="false" customHeight="true" outlineLevel="0" collapsed="false">
      <c r="A330" s="12" t="s">
        <v>951</v>
      </c>
      <c r="B330" s="12" t="s">
        <v>549</v>
      </c>
      <c r="C330" s="12" t="n">
        <v>2026</v>
      </c>
      <c r="D330" s="12" t="n">
        <v>136</v>
      </c>
      <c r="E330" s="12" t="n">
        <v>3638.9</v>
      </c>
      <c r="F330" s="12" t="n">
        <v>4411001</v>
      </c>
    </row>
    <row r="331" customFormat="false" ht="15" hidden="false" customHeight="true" outlineLevel="0" collapsed="false">
      <c r="A331" s="12" t="s">
        <v>951</v>
      </c>
      <c r="B331" s="12" t="s">
        <v>569</v>
      </c>
      <c r="C331" s="12" t="n">
        <v>2025</v>
      </c>
      <c r="D331" s="12" t="n">
        <v>49</v>
      </c>
      <c r="E331" s="12" t="n">
        <v>2276.2</v>
      </c>
      <c r="F331" s="12" t="n">
        <v>4411015</v>
      </c>
    </row>
    <row r="332" customFormat="false" ht="15" hidden="false" customHeight="true" outlineLevel="0" collapsed="false">
      <c r="A332" s="12" t="s">
        <v>951</v>
      </c>
      <c r="B332" s="12" t="s">
        <v>569</v>
      </c>
      <c r="C332" s="12" t="n">
        <v>2026</v>
      </c>
      <c r="D332" s="12" t="n">
        <v>36</v>
      </c>
      <c r="E332" s="12" t="n">
        <v>1677.4</v>
      </c>
      <c r="F332" s="12" t="n">
        <v>4411015</v>
      </c>
    </row>
    <row r="333" customFormat="false" ht="15" hidden="false" customHeight="true" outlineLevel="0" collapsed="false">
      <c r="A333" s="12" t="s">
        <v>951</v>
      </c>
      <c r="B333" s="12" t="s">
        <v>536</v>
      </c>
      <c r="C333" s="12" t="n">
        <v>2025</v>
      </c>
      <c r="D333" s="12" t="n">
        <v>104</v>
      </c>
      <c r="E333" s="12" t="n">
        <v>8199.3</v>
      </c>
      <c r="F333" s="12" t="n">
        <v>4411016</v>
      </c>
    </row>
    <row r="334" customFormat="false" ht="15" hidden="false" customHeight="true" outlineLevel="0" collapsed="false">
      <c r="A334" s="12" t="s">
        <v>951</v>
      </c>
      <c r="B334" s="12" t="s">
        <v>536</v>
      </c>
      <c r="C334" s="12" t="n">
        <v>2026</v>
      </c>
      <c r="D334" s="12" t="n">
        <v>56</v>
      </c>
      <c r="E334" s="12" t="n">
        <v>4681</v>
      </c>
      <c r="F334" s="12" t="n">
        <v>4411016</v>
      </c>
    </row>
    <row r="335" customFormat="false" ht="15" hidden="false" customHeight="true" outlineLevel="0" collapsed="false">
      <c r="A335" s="12" t="s">
        <v>951</v>
      </c>
      <c r="B335" s="12" t="s">
        <v>592</v>
      </c>
      <c r="C335" s="12" t="n">
        <v>2025</v>
      </c>
      <c r="D335" s="12" t="n">
        <v>26</v>
      </c>
      <c r="E335" s="12" t="n">
        <v>922.3</v>
      </c>
      <c r="F335" s="12" t="n">
        <v>4411017</v>
      </c>
    </row>
    <row r="336" customFormat="false" ht="15" hidden="false" customHeight="true" outlineLevel="0" collapsed="false">
      <c r="A336" s="12" t="s">
        <v>951</v>
      </c>
      <c r="B336" s="12" t="s">
        <v>592</v>
      </c>
      <c r="C336" s="12" t="n">
        <v>2026</v>
      </c>
      <c r="D336" s="12" t="n">
        <v>11</v>
      </c>
      <c r="E336" s="12" t="n">
        <v>407</v>
      </c>
      <c r="F336" s="12" t="n">
        <v>4411017</v>
      </c>
    </row>
    <row r="337" customFormat="false" ht="15" hidden="false" customHeight="true" outlineLevel="0" collapsed="false">
      <c r="A337" s="12" t="s">
        <v>951</v>
      </c>
      <c r="B337" s="12" t="s">
        <v>593</v>
      </c>
      <c r="C337" s="12" t="n">
        <v>2025</v>
      </c>
      <c r="D337" s="12" t="n">
        <v>32</v>
      </c>
      <c r="E337" s="12" t="n">
        <v>1162.2</v>
      </c>
      <c r="F337" s="12" t="n">
        <v>4411018</v>
      </c>
    </row>
    <row r="338" customFormat="false" ht="15" hidden="false" customHeight="true" outlineLevel="0" collapsed="false">
      <c r="A338" s="12" t="s">
        <v>951</v>
      </c>
      <c r="B338" s="12" t="s">
        <v>593</v>
      </c>
      <c r="C338" s="12" t="n">
        <v>2026</v>
      </c>
      <c r="D338" s="12" t="n">
        <v>16</v>
      </c>
      <c r="E338" s="12" t="n">
        <v>591.7</v>
      </c>
      <c r="F338" s="12" t="n">
        <v>4411018</v>
      </c>
    </row>
    <row r="339" customFormat="false" ht="15" hidden="false" customHeight="true" outlineLevel="0" collapsed="false">
      <c r="A339" s="12" t="s">
        <v>951</v>
      </c>
      <c r="B339" s="12" t="s">
        <v>594</v>
      </c>
      <c r="C339" s="12" t="n">
        <v>2025</v>
      </c>
      <c r="D339" s="12" t="n">
        <v>24</v>
      </c>
      <c r="E339" s="12" t="n">
        <v>857.1</v>
      </c>
      <c r="F339" s="12" t="n">
        <v>4411019</v>
      </c>
    </row>
    <row r="340" customFormat="false" ht="15" hidden="false" customHeight="true" outlineLevel="0" collapsed="false">
      <c r="A340" s="12" t="s">
        <v>951</v>
      </c>
      <c r="B340" s="12" t="s">
        <v>594</v>
      </c>
      <c r="C340" s="12" t="n">
        <v>2026</v>
      </c>
      <c r="D340" s="12" t="n">
        <v>10</v>
      </c>
      <c r="E340" s="12" t="n">
        <v>359.6</v>
      </c>
      <c r="F340" s="12" t="n">
        <v>4411019</v>
      </c>
    </row>
    <row r="341" customFormat="false" ht="15" hidden="false" customHeight="true" outlineLevel="0" collapsed="false">
      <c r="A341" s="12" t="s">
        <v>951</v>
      </c>
      <c r="B341" s="12" t="s">
        <v>595</v>
      </c>
      <c r="C341" s="12" t="n">
        <v>2025</v>
      </c>
      <c r="D341" s="12" t="n">
        <v>13</v>
      </c>
      <c r="E341" s="12" t="n">
        <v>469.4</v>
      </c>
      <c r="F341" s="12" t="n">
        <v>4411020</v>
      </c>
    </row>
    <row r="342" customFormat="false" ht="15" hidden="false" customHeight="true" outlineLevel="0" collapsed="false">
      <c r="A342" s="12" t="s">
        <v>951</v>
      </c>
      <c r="B342" s="12" t="s">
        <v>595</v>
      </c>
      <c r="C342" s="12" t="n">
        <v>2026</v>
      </c>
      <c r="D342" s="12" t="n">
        <v>5</v>
      </c>
      <c r="E342" s="12" t="n">
        <v>184.8</v>
      </c>
      <c r="F342" s="12" t="n">
        <v>4411020</v>
      </c>
    </row>
    <row r="343" customFormat="false" ht="15" hidden="false" customHeight="true" outlineLevel="0" collapsed="false">
      <c r="A343" s="12" t="s">
        <v>951</v>
      </c>
      <c r="B343" s="12" t="s">
        <v>596</v>
      </c>
      <c r="C343" s="12" t="n">
        <v>2025</v>
      </c>
      <c r="D343" s="12" t="n">
        <v>28</v>
      </c>
      <c r="E343" s="12" t="n">
        <v>1071.9</v>
      </c>
      <c r="F343" s="12" t="n">
        <v>4411021</v>
      </c>
    </row>
    <row r="344" customFormat="false" ht="15" hidden="false" customHeight="true" outlineLevel="0" collapsed="false">
      <c r="A344" s="12" t="s">
        <v>951</v>
      </c>
      <c r="B344" s="12" t="s">
        <v>596</v>
      </c>
      <c r="C344" s="12" t="n">
        <v>2026</v>
      </c>
      <c r="D344" s="12" t="n">
        <v>13</v>
      </c>
      <c r="E344" s="12" t="n">
        <v>512</v>
      </c>
      <c r="F344" s="12" t="n">
        <v>4411021</v>
      </c>
    </row>
    <row r="345" customFormat="false" ht="15" hidden="false" customHeight="true" outlineLevel="0" collapsed="false">
      <c r="A345" s="12" t="s">
        <v>951</v>
      </c>
      <c r="B345" s="12" t="s">
        <v>597</v>
      </c>
      <c r="C345" s="12" t="n">
        <v>2025</v>
      </c>
      <c r="D345" s="12" t="n">
        <v>44</v>
      </c>
      <c r="E345" s="12" t="n">
        <v>1685.9</v>
      </c>
      <c r="F345" s="12" t="n">
        <v>4411022</v>
      </c>
    </row>
    <row r="346" customFormat="false" ht="15" hidden="false" customHeight="true" outlineLevel="0" collapsed="false">
      <c r="A346" s="12" t="s">
        <v>951</v>
      </c>
      <c r="B346" s="12" t="s">
        <v>597</v>
      </c>
      <c r="C346" s="12" t="n">
        <v>2026</v>
      </c>
      <c r="D346" s="12" t="n">
        <v>27</v>
      </c>
      <c r="E346" s="12" t="n">
        <v>1063.8</v>
      </c>
      <c r="F346" s="12" t="n">
        <v>4411022</v>
      </c>
    </row>
    <row r="347" customFormat="false" ht="15" hidden="false" customHeight="true" outlineLevel="0" collapsed="false">
      <c r="A347" s="12" t="s">
        <v>951</v>
      </c>
      <c r="B347" s="12" t="s">
        <v>598</v>
      </c>
      <c r="C347" s="12" t="n">
        <v>2025</v>
      </c>
      <c r="D347" s="12" t="n">
        <v>35</v>
      </c>
      <c r="E347" s="12" t="n">
        <v>1331.6</v>
      </c>
      <c r="F347" s="12" t="n">
        <v>4411023</v>
      </c>
    </row>
    <row r="348" customFormat="false" ht="15" hidden="false" customHeight="true" outlineLevel="0" collapsed="false">
      <c r="A348" s="12" t="s">
        <v>951</v>
      </c>
      <c r="B348" s="12" t="s">
        <v>598</v>
      </c>
      <c r="C348" s="12" t="n">
        <v>2026</v>
      </c>
      <c r="D348" s="12" t="n">
        <v>26</v>
      </c>
      <c r="E348" s="12" t="n">
        <v>1016</v>
      </c>
      <c r="F348" s="12" t="n">
        <v>4411023</v>
      </c>
    </row>
    <row r="349" customFormat="false" ht="15" hidden="false" customHeight="true" outlineLevel="0" collapsed="false">
      <c r="A349" s="12" t="s">
        <v>951</v>
      </c>
      <c r="B349" s="12" t="s">
        <v>599</v>
      </c>
      <c r="C349" s="12" t="n">
        <v>2025</v>
      </c>
      <c r="D349" s="12" t="n">
        <v>16</v>
      </c>
      <c r="E349" s="12" t="n">
        <v>609.4</v>
      </c>
      <c r="F349" s="12" t="n">
        <v>4411024</v>
      </c>
    </row>
    <row r="350" customFormat="false" ht="15" hidden="false" customHeight="true" outlineLevel="0" collapsed="false">
      <c r="A350" s="12" t="s">
        <v>951</v>
      </c>
      <c r="B350" s="12" t="s">
        <v>599</v>
      </c>
      <c r="C350" s="12" t="n">
        <v>2026</v>
      </c>
      <c r="D350" s="12" t="n">
        <v>5</v>
      </c>
      <c r="E350" s="12" t="n">
        <v>199</v>
      </c>
      <c r="F350" s="12" t="n">
        <v>4411024</v>
      </c>
    </row>
    <row r="351" customFormat="false" ht="15" hidden="false" customHeight="true" outlineLevel="0" collapsed="false">
      <c r="A351" s="12" t="s">
        <v>951</v>
      </c>
      <c r="B351" s="12" t="s">
        <v>601</v>
      </c>
      <c r="C351" s="12" t="n">
        <v>2026</v>
      </c>
      <c r="D351" s="12" t="n">
        <v>2</v>
      </c>
      <c r="E351" s="12" t="n">
        <v>234.3</v>
      </c>
      <c r="F351" s="12" t="n">
        <v>4411026</v>
      </c>
    </row>
    <row r="352" customFormat="false" ht="15" hidden="false" customHeight="true" outlineLevel="0" collapsed="false">
      <c r="A352" s="12" t="s">
        <v>951</v>
      </c>
      <c r="B352" s="12" t="s">
        <v>602</v>
      </c>
      <c r="C352" s="12" t="n">
        <v>2026</v>
      </c>
      <c r="D352" s="12" t="n">
        <v>1</v>
      </c>
      <c r="E352" s="12" t="n">
        <v>117.1</v>
      </c>
      <c r="F352" s="12" t="n">
        <v>4411027</v>
      </c>
    </row>
    <row r="353" customFormat="false" ht="15" hidden="false" customHeight="true" outlineLevel="0" collapsed="false">
      <c r="A353" s="12" t="s">
        <v>951</v>
      </c>
      <c r="B353" s="12" t="s">
        <v>603</v>
      </c>
      <c r="C353" s="12" t="n">
        <v>2026</v>
      </c>
      <c r="D353" s="12" t="n">
        <v>1</v>
      </c>
      <c r="E353" s="12" t="n">
        <v>117.1</v>
      </c>
      <c r="F353" s="12" t="n">
        <v>4411028</v>
      </c>
    </row>
    <row r="354" customFormat="false" ht="15" hidden="false" customHeight="true" outlineLevel="0" collapsed="false">
      <c r="A354" s="12" t="s">
        <v>951</v>
      </c>
      <c r="B354" s="12" t="s">
        <v>579</v>
      </c>
      <c r="C354" s="12" t="n">
        <v>2026</v>
      </c>
      <c r="D354" s="12" t="n">
        <v>1</v>
      </c>
      <c r="E354" s="12" t="n">
        <v>117.1</v>
      </c>
      <c r="F354" s="12" t="n">
        <v>4411029</v>
      </c>
    </row>
    <row r="355" customFormat="false" ht="15" hidden="false" customHeight="true" outlineLevel="0" collapsed="false">
      <c r="A355" s="12" t="s">
        <v>951</v>
      </c>
      <c r="B355" s="12" t="s">
        <v>604</v>
      </c>
      <c r="C355" s="12" t="n">
        <v>2026</v>
      </c>
      <c r="D355" s="12" t="n">
        <v>1</v>
      </c>
      <c r="E355" s="12" t="n">
        <v>117.1</v>
      </c>
      <c r="F355" s="12" t="n">
        <v>4411030</v>
      </c>
    </row>
    <row r="356" customFormat="false" ht="15" hidden="false" customHeight="true" outlineLevel="0" collapsed="false">
      <c r="A356" s="12" t="s">
        <v>951</v>
      </c>
      <c r="B356" s="12" t="s">
        <v>600</v>
      </c>
      <c r="C356" s="12" t="n">
        <v>2026</v>
      </c>
      <c r="D356" s="12" t="n">
        <v>2</v>
      </c>
      <c r="E356" s="12" t="n">
        <v>234.3</v>
      </c>
      <c r="F356" s="12" t="n">
        <v>4411031</v>
      </c>
    </row>
    <row r="357" customFormat="false" ht="15" hidden="false" customHeight="true" outlineLevel="0" collapsed="false">
      <c r="A357" s="12" t="s">
        <v>951</v>
      </c>
      <c r="B357" s="12" t="s">
        <v>710</v>
      </c>
      <c r="C357" s="12" t="n">
        <v>2025</v>
      </c>
      <c r="D357" s="12" t="n">
        <v>6</v>
      </c>
      <c r="E357" s="12" t="n">
        <v>388.7</v>
      </c>
      <c r="F357" s="12" t="n">
        <v>4413000</v>
      </c>
    </row>
    <row r="358" customFormat="false" ht="15" hidden="false" customHeight="true" outlineLevel="0" collapsed="false">
      <c r="A358" s="12" t="s">
        <v>951</v>
      </c>
      <c r="B358" s="12" t="s">
        <v>708</v>
      </c>
      <c r="C358" s="12" t="n">
        <v>2025</v>
      </c>
      <c r="D358" s="12" t="n">
        <v>14</v>
      </c>
      <c r="E358" s="12" t="n">
        <v>917</v>
      </c>
      <c r="F358" s="12" t="n">
        <v>4413002</v>
      </c>
    </row>
    <row r="359" customFormat="false" ht="15" hidden="false" customHeight="true" outlineLevel="0" collapsed="false">
      <c r="A359" s="12" t="s">
        <v>951</v>
      </c>
      <c r="B359" s="12" t="s">
        <v>709</v>
      </c>
      <c r="C359" s="12" t="n">
        <v>2025</v>
      </c>
      <c r="D359" s="12" t="n">
        <v>6</v>
      </c>
      <c r="E359" s="12" t="n">
        <v>373.1</v>
      </c>
      <c r="F359" s="12" t="n">
        <v>4413003</v>
      </c>
    </row>
    <row r="360" customFormat="false" ht="15" hidden="false" customHeight="true" outlineLevel="0" collapsed="false">
      <c r="A360" s="12" t="s">
        <v>951</v>
      </c>
      <c r="B360" s="12" t="s">
        <v>711</v>
      </c>
      <c r="C360" s="12" t="n">
        <v>2025</v>
      </c>
      <c r="D360" s="12" t="n">
        <v>11</v>
      </c>
      <c r="E360" s="12" t="n">
        <v>711.5</v>
      </c>
      <c r="F360" s="12" t="n">
        <v>4413004</v>
      </c>
    </row>
    <row r="361" customFormat="false" ht="15" hidden="false" customHeight="true" outlineLevel="0" collapsed="false">
      <c r="A361" s="12" t="s">
        <v>951</v>
      </c>
      <c r="B361" s="12" t="s">
        <v>712</v>
      </c>
      <c r="C361" s="12" t="n">
        <v>2025</v>
      </c>
      <c r="D361" s="12" t="n">
        <v>2</v>
      </c>
      <c r="E361" s="12" t="n">
        <v>130.4</v>
      </c>
      <c r="F361" s="12" t="n">
        <v>4413005</v>
      </c>
    </row>
    <row r="362" customFormat="false" ht="15" hidden="false" customHeight="true" outlineLevel="0" collapsed="false">
      <c r="A362" s="12" t="s">
        <v>951</v>
      </c>
      <c r="B362" s="12" t="s">
        <v>418</v>
      </c>
      <c r="C362" s="12" t="n">
        <v>2025</v>
      </c>
      <c r="D362" s="12" t="n">
        <v>1</v>
      </c>
      <c r="E362" s="12" t="n">
        <v>118.5</v>
      </c>
      <c r="F362" s="12" t="n">
        <v>4413018</v>
      </c>
    </row>
    <row r="363" customFormat="false" ht="15" hidden="false" customHeight="true" outlineLevel="0" collapsed="false">
      <c r="A363" s="12" t="s">
        <v>951</v>
      </c>
      <c r="B363" s="12" t="s">
        <v>418</v>
      </c>
      <c r="C363" s="12" t="n">
        <v>2026</v>
      </c>
      <c r="D363" s="12" t="n">
        <v>3</v>
      </c>
      <c r="E363" s="12" t="n">
        <v>355.6</v>
      </c>
      <c r="F363" s="12" t="n">
        <v>4413018</v>
      </c>
    </row>
    <row r="364" customFormat="false" ht="15" hidden="false" customHeight="true" outlineLevel="0" collapsed="false">
      <c r="A364" s="12" t="s">
        <v>951</v>
      </c>
      <c r="B364" s="12" t="s">
        <v>419</v>
      </c>
      <c r="C364" s="12" t="n">
        <v>2026</v>
      </c>
      <c r="D364" s="12" t="n">
        <v>-1</v>
      </c>
      <c r="E364" s="12" t="n">
        <v>-71.1</v>
      </c>
      <c r="F364" s="12" t="n">
        <v>4413019</v>
      </c>
    </row>
    <row r="365" customFormat="false" ht="15" hidden="false" customHeight="true" outlineLevel="0" collapsed="false">
      <c r="A365" s="12" t="s">
        <v>951</v>
      </c>
      <c r="B365" s="12" t="s">
        <v>420</v>
      </c>
      <c r="C365" s="12" t="n">
        <v>2025</v>
      </c>
      <c r="D365" s="12" t="n">
        <v>6</v>
      </c>
      <c r="E365" s="12" t="n">
        <v>706.5</v>
      </c>
      <c r="F365" s="12" t="n">
        <v>4413020</v>
      </c>
    </row>
    <row r="366" customFormat="false" ht="15" hidden="false" customHeight="true" outlineLevel="0" collapsed="false">
      <c r="A366" s="12" t="s">
        <v>951</v>
      </c>
      <c r="B366" s="12" t="s">
        <v>420</v>
      </c>
      <c r="C366" s="12" t="n">
        <v>2026</v>
      </c>
      <c r="D366" s="12" t="n">
        <v>0</v>
      </c>
      <c r="E366" s="12" t="n">
        <v>23.7</v>
      </c>
      <c r="F366" s="12" t="n">
        <v>4413020</v>
      </c>
    </row>
    <row r="367" customFormat="false" ht="15" hidden="false" customHeight="true" outlineLevel="0" collapsed="false">
      <c r="A367" s="12" t="s">
        <v>951</v>
      </c>
      <c r="B367" s="12" t="s">
        <v>421</v>
      </c>
      <c r="C367" s="12" t="n">
        <v>2025</v>
      </c>
      <c r="D367" s="12" t="n">
        <v>10</v>
      </c>
      <c r="E367" s="12" t="n">
        <v>1109</v>
      </c>
      <c r="F367" s="12" t="n">
        <v>4413021</v>
      </c>
    </row>
    <row r="368" customFormat="false" ht="15" hidden="false" customHeight="true" outlineLevel="0" collapsed="false">
      <c r="A368" s="12" t="s">
        <v>951</v>
      </c>
      <c r="B368" s="12" t="s">
        <v>421</v>
      </c>
      <c r="C368" s="12" t="n">
        <v>2026</v>
      </c>
      <c r="D368" s="12" t="n">
        <v>-1</v>
      </c>
      <c r="E368" s="12" t="n">
        <v>-94.8</v>
      </c>
      <c r="F368" s="12" t="n">
        <v>4413021</v>
      </c>
    </row>
    <row r="369" customFormat="false" ht="15" hidden="false" customHeight="true" outlineLevel="0" collapsed="false">
      <c r="A369" s="12" t="s">
        <v>951</v>
      </c>
      <c r="B369" s="12" t="s">
        <v>422</v>
      </c>
      <c r="C369" s="12" t="n">
        <v>2025</v>
      </c>
      <c r="D369" s="12" t="n">
        <v>3</v>
      </c>
      <c r="E369" s="12" t="n">
        <v>327</v>
      </c>
      <c r="F369" s="12" t="n">
        <v>4413022</v>
      </c>
    </row>
    <row r="370" customFormat="false" ht="15" hidden="false" customHeight="true" outlineLevel="0" collapsed="false">
      <c r="A370" s="12" t="s">
        <v>951</v>
      </c>
      <c r="B370" s="12" t="s">
        <v>422</v>
      </c>
      <c r="C370" s="12" t="n">
        <v>2026</v>
      </c>
      <c r="D370" s="12" t="n">
        <v>2</v>
      </c>
      <c r="E370" s="12" t="n">
        <v>237.1</v>
      </c>
      <c r="F370" s="12" t="n">
        <v>4413022</v>
      </c>
    </row>
    <row r="371" customFormat="false" ht="15" hidden="false" customHeight="true" outlineLevel="0" collapsed="false">
      <c r="A371" s="12" t="s">
        <v>951</v>
      </c>
      <c r="B371" s="12" t="s">
        <v>543</v>
      </c>
      <c r="C371" s="12" t="n">
        <v>2025</v>
      </c>
      <c r="D371" s="12" t="n">
        <v>747</v>
      </c>
      <c r="E371" s="12" t="n">
        <v>12637.2</v>
      </c>
      <c r="F371" s="12" t="n">
        <v>4413033</v>
      </c>
    </row>
    <row r="372" customFormat="false" ht="15" hidden="false" customHeight="true" outlineLevel="0" collapsed="false">
      <c r="A372" s="12" t="s">
        <v>951</v>
      </c>
      <c r="B372" s="12" t="s">
        <v>543</v>
      </c>
      <c r="C372" s="12" t="n">
        <v>2026</v>
      </c>
      <c r="D372" s="12" t="n">
        <v>443</v>
      </c>
      <c r="E372" s="12" t="n">
        <v>7781.1</v>
      </c>
      <c r="F372" s="12" t="n">
        <v>4413033</v>
      </c>
    </row>
    <row r="373" customFormat="false" ht="15" hidden="false" customHeight="true" outlineLevel="0" collapsed="false">
      <c r="A373" s="12" t="s">
        <v>951</v>
      </c>
      <c r="B373" s="12" t="s">
        <v>544</v>
      </c>
      <c r="C373" s="12" t="n">
        <v>2025</v>
      </c>
      <c r="D373" s="12" t="n">
        <v>116</v>
      </c>
      <c r="E373" s="12" t="n">
        <v>2425</v>
      </c>
      <c r="F373" s="12" t="n">
        <v>4413034</v>
      </c>
    </row>
    <row r="374" customFormat="false" ht="15" hidden="false" customHeight="true" outlineLevel="0" collapsed="false">
      <c r="A374" s="12" t="s">
        <v>951</v>
      </c>
      <c r="B374" s="12" t="s">
        <v>544</v>
      </c>
      <c r="C374" s="12" t="n">
        <v>2026</v>
      </c>
      <c r="D374" s="12" t="n">
        <v>59</v>
      </c>
      <c r="E374" s="12" t="n">
        <v>1206.8</v>
      </c>
      <c r="F374" s="12" t="n">
        <v>4413034</v>
      </c>
    </row>
    <row r="375" customFormat="false" ht="15" hidden="false" customHeight="true" outlineLevel="0" collapsed="false">
      <c r="A375" s="12" t="s">
        <v>951</v>
      </c>
      <c r="B375" s="12" t="s">
        <v>732</v>
      </c>
      <c r="C375" s="12" t="n">
        <v>2025</v>
      </c>
      <c r="D375" s="12" t="n">
        <v>202</v>
      </c>
      <c r="E375" s="12" t="n">
        <v>8926.9</v>
      </c>
      <c r="F375" s="12" t="n">
        <v>4413041</v>
      </c>
    </row>
    <row r="376" customFormat="false" ht="15" hidden="false" customHeight="true" outlineLevel="0" collapsed="false">
      <c r="A376" s="12" t="s">
        <v>951</v>
      </c>
      <c r="B376" s="12" t="s">
        <v>732</v>
      </c>
      <c r="C376" s="12" t="n">
        <v>2026</v>
      </c>
      <c r="D376" s="12" t="n">
        <v>94</v>
      </c>
      <c r="E376" s="12" t="n">
        <v>4206.8</v>
      </c>
      <c r="F376" s="12" t="n">
        <v>4413041</v>
      </c>
    </row>
    <row r="377" customFormat="false" ht="15" hidden="false" customHeight="true" outlineLevel="0" collapsed="false">
      <c r="A377" s="12" t="s">
        <v>951</v>
      </c>
      <c r="B377" s="12" t="s">
        <v>733</v>
      </c>
      <c r="C377" s="12" t="n">
        <v>2025</v>
      </c>
      <c r="D377" s="12" t="n">
        <v>79</v>
      </c>
      <c r="E377" s="12" t="n">
        <v>3456.2</v>
      </c>
      <c r="F377" s="12" t="n">
        <v>4413042</v>
      </c>
    </row>
    <row r="378" customFormat="false" ht="15" hidden="false" customHeight="true" outlineLevel="0" collapsed="false">
      <c r="A378" s="12" t="s">
        <v>951</v>
      </c>
      <c r="B378" s="12" t="s">
        <v>733</v>
      </c>
      <c r="C378" s="12" t="n">
        <v>2026</v>
      </c>
      <c r="D378" s="12" t="n">
        <v>49</v>
      </c>
      <c r="E378" s="12" t="n">
        <v>2253.6</v>
      </c>
      <c r="F378" s="12" t="n">
        <v>4413042</v>
      </c>
    </row>
    <row r="379" customFormat="false" ht="15" hidden="false" customHeight="true" outlineLevel="0" collapsed="false">
      <c r="A379" s="12" t="s">
        <v>951</v>
      </c>
      <c r="B379" s="12" t="s">
        <v>731</v>
      </c>
      <c r="C379" s="12" t="n">
        <v>2025</v>
      </c>
      <c r="D379" s="12" t="n">
        <v>180</v>
      </c>
      <c r="E379" s="12" t="n">
        <v>8085.9</v>
      </c>
      <c r="F379" s="12" t="n">
        <v>4413043</v>
      </c>
    </row>
    <row r="380" customFormat="false" ht="15" hidden="false" customHeight="true" outlineLevel="0" collapsed="false">
      <c r="A380" s="12" t="s">
        <v>951</v>
      </c>
      <c r="B380" s="12" t="s">
        <v>731</v>
      </c>
      <c r="C380" s="12" t="n">
        <v>2026</v>
      </c>
      <c r="D380" s="12" t="n">
        <v>118</v>
      </c>
      <c r="E380" s="12" t="n">
        <v>5341.8</v>
      </c>
      <c r="F380" s="12" t="n">
        <v>4413043</v>
      </c>
    </row>
    <row r="381" customFormat="false" ht="15" hidden="false" customHeight="true" outlineLevel="0" collapsed="false">
      <c r="A381" s="12" t="s">
        <v>951</v>
      </c>
      <c r="B381" s="12" t="s">
        <v>734</v>
      </c>
      <c r="C381" s="12" t="n">
        <v>2025</v>
      </c>
      <c r="D381" s="12" t="n">
        <v>113</v>
      </c>
      <c r="E381" s="12" t="n">
        <v>5045</v>
      </c>
      <c r="F381" s="12" t="n">
        <v>4413044</v>
      </c>
    </row>
    <row r="382" customFormat="false" ht="15" hidden="false" customHeight="true" outlineLevel="0" collapsed="false">
      <c r="A382" s="12" t="s">
        <v>951</v>
      </c>
      <c r="B382" s="12" t="s">
        <v>734</v>
      </c>
      <c r="C382" s="12" t="n">
        <v>2026</v>
      </c>
      <c r="D382" s="12" t="n">
        <v>70</v>
      </c>
      <c r="E382" s="12" t="n">
        <v>3183.1</v>
      </c>
      <c r="F382" s="12" t="n">
        <v>4413044</v>
      </c>
    </row>
    <row r="383" customFormat="false" ht="15" hidden="false" customHeight="true" outlineLevel="0" collapsed="false">
      <c r="A383" s="12" t="s">
        <v>951</v>
      </c>
      <c r="B383" s="12" t="s">
        <v>735</v>
      </c>
      <c r="C383" s="12" t="n">
        <v>2025</v>
      </c>
      <c r="D383" s="12" t="n">
        <v>10</v>
      </c>
      <c r="E383" s="12" t="n">
        <v>439.2</v>
      </c>
      <c r="F383" s="12" t="n">
        <v>4413045</v>
      </c>
    </row>
    <row r="384" customFormat="false" ht="15" hidden="false" customHeight="true" outlineLevel="0" collapsed="false">
      <c r="A384" s="12" t="s">
        <v>951</v>
      </c>
      <c r="B384" s="12" t="s">
        <v>736</v>
      </c>
      <c r="C384" s="12" t="n">
        <v>2025</v>
      </c>
      <c r="D384" s="12" t="n">
        <v>24</v>
      </c>
      <c r="E384" s="12" t="n">
        <v>1092</v>
      </c>
      <c r="F384" s="12" t="n">
        <v>4413046</v>
      </c>
    </row>
    <row r="385" customFormat="false" ht="15" hidden="false" customHeight="true" outlineLevel="0" collapsed="false">
      <c r="A385" s="12" t="s">
        <v>951</v>
      </c>
      <c r="B385" s="12" t="s">
        <v>736</v>
      </c>
      <c r="C385" s="12" t="n">
        <v>2026</v>
      </c>
      <c r="D385" s="12" t="n">
        <v>17</v>
      </c>
      <c r="E385" s="12" t="n">
        <v>785.9</v>
      </c>
      <c r="F385" s="12" t="n">
        <v>4413046</v>
      </c>
    </row>
    <row r="386" customFormat="false" ht="15" hidden="false" customHeight="true" outlineLevel="0" collapsed="false">
      <c r="A386" s="12" t="s">
        <v>951</v>
      </c>
      <c r="B386" s="12" t="s">
        <v>744</v>
      </c>
      <c r="C386" s="12" t="n">
        <v>2025</v>
      </c>
      <c r="D386" s="12" t="n">
        <v>112</v>
      </c>
      <c r="E386" s="12" t="n">
        <v>3338.7</v>
      </c>
      <c r="F386" s="12" t="n">
        <v>4413047</v>
      </c>
    </row>
    <row r="387" customFormat="false" ht="15" hidden="false" customHeight="true" outlineLevel="0" collapsed="false">
      <c r="A387" s="12" t="s">
        <v>951</v>
      </c>
      <c r="B387" s="12" t="s">
        <v>744</v>
      </c>
      <c r="C387" s="12" t="n">
        <v>2026</v>
      </c>
      <c r="D387" s="12" t="n">
        <v>50</v>
      </c>
      <c r="E387" s="12" t="n">
        <v>1515.2</v>
      </c>
      <c r="F387" s="12" t="n">
        <v>4413047</v>
      </c>
    </row>
    <row r="388" customFormat="false" ht="15" hidden="false" customHeight="true" outlineLevel="0" collapsed="false">
      <c r="A388" s="12" t="s">
        <v>951</v>
      </c>
      <c r="B388" s="12" t="s">
        <v>742</v>
      </c>
      <c r="C388" s="12" t="n">
        <v>2025</v>
      </c>
      <c r="D388" s="12" t="n">
        <v>207</v>
      </c>
      <c r="E388" s="12" t="n">
        <v>6098.2</v>
      </c>
      <c r="F388" s="12" t="n">
        <v>4413048</v>
      </c>
    </row>
    <row r="389" customFormat="false" ht="15" hidden="false" customHeight="true" outlineLevel="0" collapsed="false">
      <c r="A389" s="12" t="s">
        <v>951</v>
      </c>
      <c r="B389" s="12" t="s">
        <v>742</v>
      </c>
      <c r="C389" s="12" t="n">
        <v>2026</v>
      </c>
      <c r="D389" s="12" t="n">
        <v>134</v>
      </c>
      <c r="E389" s="12" t="n">
        <v>3963.4</v>
      </c>
      <c r="F389" s="12" t="n">
        <v>4413048</v>
      </c>
    </row>
    <row r="390" customFormat="false" ht="15" hidden="false" customHeight="true" outlineLevel="0" collapsed="false">
      <c r="A390" s="12" t="s">
        <v>951</v>
      </c>
      <c r="B390" s="12" t="s">
        <v>743</v>
      </c>
      <c r="C390" s="12" t="n">
        <v>2025</v>
      </c>
      <c r="D390" s="12" t="n">
        <v>222</v>
      </c>
      <c r="E390" s="12" t="n">
        <v>6497.8</v>
      </c>
      <c r="F390" s="12" t="n">
        <v>4413049</v>
      </c>
    </row>
    <row r="391" customFormat="false" ht="15" hidden="false" customHeight="true" outlineLevel="0" collapsed="false">
      <c r="A391" s="12" t="s">
        <v>951</v>
      </c>
      <c r="B391" s="12" t="s">
        <v>743</v>
      </c>
      <c r="C391" s="12" t="n">
        <v>2026</v>
      </c>
      <c r="D391" s="12" t="n">
        <v>134</v>
      </c>
      <c r="E391" s="12" t="n">
        <v>3959.1</v>
      </c>
      <c r="F391" s="12" t="n">
        <v>4413049</v>
      </c>
    </row>
    <row r="392" customFormat="false" ht="15" hidden="false" customHeight="true" outlineLevel="0" collapsed="false">
      <c r="A392" s="12" t="s">
        <v>951</v>
      </c>
      <c r="B392" s="12" t="s">
        <v>745</v>
      </c>
      <c r="C392" s="12" t="n">
        <v>2025</v>
      </c>
      <c r="D392" s="12" t="n">
        <v>154</v>
      </c>
      <c r="E392" s="12" t="n">
        <v>4593.1</v>
      </c>
      <c r="F392" s="12" t="n">
        <v>4413050</v>
      </c>
    </row>
    <row r="393" customFormat="false" ht="15" hidden="false" customHeight="true" outlineLevel="0" collapsed="false">
      <c r="A393" s="12" t="s">
        <v>951</v>
      </c>
      <c r="B393" s="12" t="s">
        <v>745</v>
      </c>
      <c r="C393" s="12" t="n">
        <v>2026</v>
      </c>
      <c r="D393" s="12" t="n">
        <v>92</v>
      </c>
      <c r="E393" s="12" t="n">
        <v>2764.5</v>
      </c>
      <c r="F393" s="12" t="n">
        <v>4413050</v>
      </c>
    </row>
    <row r="394" customFormat="false" ht="15" hidden="false" customHeight="true" outlineLevel="0" collapsed="false">
      <c r="A394" s="12" t="s">
        <v>951</v>
      </c>
      <c r="B394" s="12" t="s">
        <v>747</v>
      </c>
      <c r="C394" s="12" t="n">
        <v>2025</v>
      </c>
      <c r="D394" s="12" t="n">
        <v>83</v>
      </c>
      <c r="E394" s="12" t="n">
        <v>2446.1</v>
      </c>
      <c r="F394" s="12" t="n">
        <v>4413051</v>
      </c>
    </row>
    <row r="395" customFormat="false" ht="15" hidden="false" customHeight="true" outlineLevel="0" collapsed="false">
      <c r="A395" s="12" t="s">
        <v>951</v>
      </c>
      <c r="B395" s="12" t="s">
        <v>747</v>
      </c>
      <c r="C395" s="12" t="n">
        <v>2026</v>
      </c>
      <c r="D395" s="12" t="n">
        <v>37</v>
      </c>
      <c r="E395" s="12" t="n">
        <v>1088.2</v>
      </c>
      <c r="F395" s="12" t="n">
        <v>4413051</v>
      </c>
    </row>
    <row r="396" customFormat="false" ht="15" hidden="false" customHeight="true" outlineLevel="0" collapsed="false">
      <c r="A396" s="12" t="s">
        <v>951</v>
      </c>
      <c r="B396" s="12" t="s">
        <v>755</v>
      </c>
      <c r="C396" s="12" t="n">
        <v>2025</v>
      </c>
      <c r="D396" s="12" t="n">
        <v>229</v>
      </c>
      <c r="E396" s="12" t="n">
        <v>6805.6</v>
      </c>
      <c r="F396" s="12" t="n">
        <v>4413052</v>
      </c>
    </row>
    <row r="397" customFormat="false" ht="15" hidden="false" customHeight="true" outlineLevel="0" collapsed="false">
      <c r="A397" s="12" t="s">
        <v>951</v>
      </c>
      <c r="B397" s="12" t="s">
        <v>755</v>
      </c>
      <c r="C397" s="12" t="n">
        <v>2026</v>
      </c>
      <c r="D397" s="12" t="n">
        <v>125</v>
      </c>
      <c r="E397" s="12" t="n">
        <v>3763.2</v>
      </c>
      <c r="F397" s="12" t="n">
        <v>4413052</v>
      </c>
    </row>
    <row r="398" customFormat="false" ht="15" hidden="false" customHeight="true" outlineLevel="0" collapsed="false">
      <c r="A398" s="12" t="s">
        <v>951</v>
      </c>
      <c r="B398" s="12" t="s">
        <v>753</v>
      </c>
      <c r="C398" s="12" t="n">
        <v>2025</v>
      </c>
      <c r="D398" s="12" t="n">
        <v>404</v>
      </c>
      <c r="E398" s="12" t="n">
        <v>12092.6</v>
      </c>
      <c r="F398" s="12" t="n">
        <v>4413053</v>
      </c>
    </row>
    <row r="399" customFormat="false" ht="15" hidden="false" customHeight="true" outlineLevel="0" collapsed="false">
      <c r="A399" s="12" t="s">
        <v>951</v>
      </c>
      <c r="B399" s="12" t="s">
        <v>753</v>
      </c>
      <c r="C399" s="12" t="n">
        <v>2026</v>
      </c>
      <c r="D399" s="12" t="n">
        <v>294</v>
      </c>
      <c r="E399" s="12" t="n">
        <v>8812.2</v>
      </c>
      <c r="F399" s="12" t="n">
        <v>4413053</v>
      </c>
    </row>
    <row r="400" customFormat="false" ht="15" hidden="false" customHeight="true" outlineLevel="0" collapsed="false">
      <c r="A400" s="12" t="s">
        <v>951</v>
      </c>
      <c r="B400" s="12" t="s">
        <v>754</v>
      </c>
      <c r="C400" s="12" t="n">
        <v>2025</v>
      </c>
      <c r="D400" s="12" t="n">
        <v>376</v>
      </c>
      <c r="E400" s="12" t="n">
        <v>11213</v>
      </c>
      <c r="F400" s="12" t="n">
        <v>4413054</v>
      </c>
    </row>
    <row r="401" customFormat="false" ht="15" hidden="false" customHeight="true" outlineLevel="0" collapsed="false">
      <c r="A401" s="12" t="s">
        <v>951</v>
      </c>
      <c r="B401" s="12" t="s">
        <v>754</v>
      </c>
      <c r="C401" s="12" t="n">
        <v>2026</v>
      </c>
      <c r="D401" s="12" t="n">
        <v>294</v>
      </c>
      <c r="E401" s="12" t="n">
        <v>8792.9</v>
      </c>
      <c r="F401" s="12" t="n">
        <v>4413054</v>
      </c>
    </row>
    <row r="402" customFormat="false" ht="15" hidden="false" customHeight="true" outlineLevel="0" collapsed="false">
      <c r="A402" s="12" t="s">
        <v>951</v>
      </c>
      <c r="B402" s="12" t="s">
        <v>756</v>
      </c>
      <c r="C402" s="12" t="n">
        <v>2025</v>
      </c>
      <c r="D402" s="12" t="n">
        <v>242</v>
      </c>
      <c r="E402" s="12" t="n">
        <v>7230.6</v>
      </c>
      <c r="F402" s="12" t="n">
        <v>4413055</v>
      </c>
    </row>
    <row r="403" customFormat="false" ht="15" hidden="false" customHeight="true" outlineLevel="0" collapsed="false">
      <c r="A403" s="12" t="s">
        <v>951</v>
      </c>
      <c r="B403" s="12" t="s">
        <v>756</v>
      </c>
      <c r="C403" s="12" t="n">
        <v>2026</v>
      </c>
      <c r="D403" s="12" t="n">
        <v>160</v>
      </c>
      <c r="E403" s="12" t="n">
        <v>4767.1</v>
      </c>
      <c r="F403" s="12" t="n">
        <v>4413055</v>
      </c>
    </row>
    <row r="404" customFormat="false" ht="15" hidden="false" customHeight="true" outlineLevel="0" collapsed="false">
      <c r="A404" s="12" t="s">
        <v>951</v>
      </c>
      <c r="B404" s="12" t="s">
        <v>403</v>
      </c>
      <c r="C404" s="12" t="n">
        <v>2025</v>
      </c>
      <c r="D404" s="12" t="n">
        <v>78</v>
      </c>
      <c r="E404" s="12" t="n">
        <v>1748.1</v>
      </c>
      <c r="F404" s="12" t="n">
        <v>4413056</v>
      </c>
    </row>
    <row r="405" customFormat="false" ht="15" hidden="false" customHeight="true" outlineLevel="0" collapsed="false">
      <c r="A405" s="12" t="s">
        <v>951</v>
      </c>
      <c r="B405" s="12" t="s">
        <v>403</v>
      </c>
      <c r="C405" s="12" t="n">
        <v>2026</v>
      </c>
      <c r="D405" s="12" t="n">
        <v>35</v>
      </c>
      <c r="E405" s="12" t="n">
        <v>788.8</v>
      </c>
      <c r="F405" s="12" t="n">
        <v>4413056</v>
      </c>
    </row>
    <row r="406" customFormat="false" ht="15" hidden="false" customHeight="true" outlineLevel="0" collapsed="false">
      <c r="A406" s="12" t="s">
        <v>951</v>
      </c>
      <c r="B406" s="12" t="s">
        <v>548</v>
      </c>
      <c r="C406" s="12" t="n">
        <v>2025</v>
      </c>
      <c r="D406" s="12" t="n">
        <v>113</v>
      </c>
      <c r="E406" s="12" t="n">
        <v>3446.7</v>
      </c>
      <c r="F406" s="12" t="n">
        <v>4413058</v>
      </c>
    </row>
    <row r="407" customFormat="false" ht="15" hidden="false" customHeight="true" outlineLevel="0" collapsed="false">
      <c r="A407" s="12" t="s">
        <v>951</v>
      </c>
      <c r="B407" s="12" t="s">
        <v>548</v>
      </c>
      <c r="C407" s="12" t="n">
        <v>2026</v>
      </c>
      <c r="D407" s="12" t="n">
        <v>83</v>
      </c>
      <c r="E407" s="12" t="n">
        <v>2495.4</v>
      </c>
      <c r="F407" s="12" t="n">
        <v>4413058</v>
      </c>
    </row>
    <row r="408" customFormat="false" ht="15" hidden="false" customHeight="true" outlineLevel="0" collapsed="false">
      <c r="A408" s="12" t="s">
        <v>951</v>
      </c>
      <c r="B408" s="12" t="s">
        <v>553</v>
      </c>
      <c r="C408" s="12" t="n">
        <v>2025</v>
      </c>
      <c r="D408" s="12" t="n">
        <v>1030</v>
      </c>
      <c r="E408" s="12" t="n">
        <v>14055.4</v>
      </c>
      <c r="F408" s="12" t="n">
        <v>4413059</v>
      </c>
    </row>
    <row r="409" customFormat="false" ht="15" hidden="false" customHeight="true" outlineLevel="0" collapsed="false">
      <c r="A409" s="12" t="s">
        <v>951</v>
      </c>
      <c r="B409" s="12" t="s">
        <v>553</v>
      </c>
      <c r="C409" s="12" t="n">
        <v>2026</v>
      </c>
      <c r="D409" s="12" t="n">
        <v>663</v>
      </c>
      <c r="E409" s="12" t="n">
        <v>9084.2</v>
      </c>
      <c r="F409" s="12" t="n">
        <v>4413059</v>
      </c>
    </row>
    <row r="410" customFormat="false" ht="15" hidden="false" customHeight="true" outlineLevel="0" collapsed="false">
      <c r="A410" s="12" t="s">
        <v>951</v>
      </c>
      <c r="B410" s="12" t="s">
        <v>551</v>
      </c>
      <c r="C410" s="12" t="n">
        <v>2025</v>
      </c>
      <c r="D410" s="12" t="n">
        <v>521</v>
      </c>
      <c r="E410" s="12" t="n">
        <v>7118.4</v>
      </c>
      <c r="F410" s="12" t="n">
        <v>4413060</v>
      </c>
    </row>
    <row r="411" customFormat="false" ht="15" hidden="false" customHeight="true" outlineLevel="0" collapsed="false">
      <c r="A411" s="12" t="s">
        <v>951</v>
      </c>
      <c r="B411" s="12" t="s">
        <v>551</v>
      </c>
      <c r="C411" s="12" t="n">
        <v>2026</v>
      </c>
      <c r="D411" s="12" t="n">
        <v>438</v>
      </c>
      <c r="E411" s="12" t="n">
        <v>5988.1</v>
      </c>
      <c r="F411" s="12" t="n">
        <v>4413060</v>
      </c>
    </row>
    <row r="412" customFormat="false" ht="15" hidden="false" customHeight="true" outlineLevel="0" collapsed="false">
      <c r="A412" s="12" t="s">
        <v>951</v>
      </c>
      <c r="B412" s="12" t="s">
        <v>552</v>
      </c>
      <c r="C412" s="12" t="n">
        <v>2025</v>
      </c>
      <c r="D412" s="12" t="n">
        <v>167</v>
      </c>
      <c r="E412" s="12" t="n">
        <v>3307.6</v>
      </c>
      <c r="F412" s="12" t="n">
        <v>4413061</v>
      </c>
    </row>
    <row r="413" customFormat="false" ht="15" hidden="false" customHeight="true" outlineLevel="0" collapsed="false">
      <c r="A413" s="12" t="s">
        <v>951</v>
      </c>
      <c r="B413" s="12" t="s">
        <v>552</v>
      </c>
      <c r="C413" s="12" t="n">
        <v>2026</v>
      </c>
      <c r="D413" s="12" t="n">
        <v>46</v>
      </c>
      <c r="E413" s="12" t="n">
        <v>913.3</v>
      </c>
      <c r="F413" s="12" t="n">
        <v>4413061</v>
      </c>
    </row>
    <row r="414" customFormat="false" ht="15" hidden="false" customHeight="true" outlineLevel="0" collapsed="false">
      <c r="A414" s="12" t="s">
        <v>951</v>
      </c>
      <c r="B414" s="12" t="s">
        <v>558</v>
      </c>
      <c r="C414" s="12" t="n">
        <v>2025</v>
      </c>
      <c r="D414" s="12" t="n">
        <v>260</v>
      </c>
      <c r="E414" s="12" t="n">
        <v>4077.9</v>
      </c>
      <c r="F414" s="12" t="n">
        <v>4413063</v>
      </c>
    </row>
    <row r="415" customFormat="false" ht="15" hidden="false" customHeight="true" outlineLevel="0" collapsed="false">
      <c r="A415" s="12" t="s">
        <v>951</v>
      </c>
      <c r="B415" s="12" t="s">
        <v>558</v>
      </c>
      <c r="C415" s="12" t="n">
        <v>2026</v>
      </c>
      <c r="D415" s="12" t="n">
        <v>185</v>
      </c>
      <c r="E415" s="12" t="n">
        <v>2821.7</v>
      </c>
      <c r="F415" s="12" t="n">
        <v>4413063</v>
      </c>
    </row>
    <row r="416" customFormat="false" ht="15" hidden="false" customHeight="true" outlineLevel="0" collapsed="false">
      <c r="A416" s="12" t="s">
        <v>951</v>
      </c>
      <c r="B416" s="12" t="s">
        <v>562</v>
      </c>
      <c r="C416" s="12" t="n">
        <v>2025</v>
      </c>
      <c r="D416" s="12" t="n">
        <v>149</v>
      </c>
      <c r="E416" s="12" t="n">
        <v>2810.7</v>
      </c>
      <c r="F416" s="12" t="n">
        <v>4413066</v>
      </c>
    </row>
    <row r="417" customFormat="false" ht="15" hidden="false" customHeight="true" outlineLevel="0" collapsed="false">
      <c r="A417" s="12" t="s">
        <v>951</v>
      </c>
      <c r="B417" s="12" t="s">
        <v>562</v>
      </c>
      <c r="C417" s="12" t="n">
        <v>2026</v>
      </c>
      <c r="D417" s="12" t="n">
        <v>68</v>
      </c>
      <c r="E417" s="12" t="n">
        <v>1349.9</v>
      </c>
      <c r="F417" s="12" t="n">
        <v>4413066</v>
      </c>
    </row>
    <row r="418" customFormat="false" ht="15" hidden="false" customHeight="true" outlineLevel="0" collapsed="false">
      <c r="A418" s="12" t="s">
        <v>951</v>
      </c>
      <c r="B418" s="12" t="s">
        <v>567</v>
      </c>
      <c r="C418" s="12" t="n">
        <v>2025</v>
      </c>
      <c r="D418" s="12" t="n">
        <v>-2</v>
      </c>
      <c r="E418" s="12" t="n">
        <v>-152.1</v>
      </c>
      <c r="F418" s="12" t="n">
        <v>4413069</v>
      </c>
    </row>
    <row r="419" customFormat="false" ht="15" hidden="false" customHeight="true" outlineLevel="0" collapsed="false">
      <c r="A419" s="12" t="s">
        <v>951</v>
      </c>
      <c r="B419" s="12" t="s">
        <v>568</v>
      </c>
      <c r="C419" s="12" t="n">
        <v>2025</v>
      </c>
      <c r="D419" s="12" t="n">
        <v>-1</v>
      </c>
      <c r="E419" s="12" t="n">
        <v>-74</v>
      </c>
      <c r="F419" s="12" t="n">
        <v>4413070</v>
      </c>
    </row>
    <row r="420" customFormat="false" ht="15" hidden="false" customHeight="true" outlineLevel="0" collapsed="false">
      <c r="A420" s="12" t="s">
        <v>951</v>
      </c>
      <c r="B420" s="12" t="s">
        <v>89</v>
      </c>
      <c r="C420" s="12" t="n">
        <v>2025</v>
      </c>
      <c r="D420" s="12" t="n">
        <v>1</v>
      </c>
      <c r="E420" s="12" t="n">
        <v>118.1</v>
      </c>
      <c r="F420" s="12" t="n">
        <v>4413071</v>
      </c>
    </row>
    <row r="421" customFormat="false" ht="15" hidden="false" customHeight="true" outlineLevel="0" collapsed="false">
      <c r="A421" s="12" t="s">
        <v>951</v>
      </c>
      <c r="B421" s="12" t="s">
        <v>87</v>
      </c>
      <c r="C421" s="12" t="n">
        <v>2025</v>
      </c>
      <c r="D421" s="12" t="n">
        <v>13</v>
      </c>
      <c r="E421" s="12" t="n">
        <v>1545.1</v>
      </c>
      <c r="F421" s="12" t="n">
        <v>4413072</v>
      </c>
    </row>
    <row r="422" customFormat="false" ht="15" hidden="false" customHeight="true" outlineLevel="0" collapsed="false">
      <c r="A422" s="12" t="s">
        <v>951</v>
      </c>
      <c r="B422" s="12" t="s">
        <v>87</v>
      </c>
      <c r="C422" s="12" t="n">
        <v>2026</v>
      </c>
      <c r="D422" s="12" t="n">
        <v>7</v>
      </c>
      <c r="E422" s="12" t="n">
        <v>834.9</v>
      </c>
      <c r="F422" s="12" t="n">
        <v>4413072</v>
      </c>
    </row>
    <row r="423" customFormat="false" ht="15" hidden="false" customHeight="true" outlineLevel="0" collapsed="false">
      <c r="A423" s="12" t="s">
        <v>951</v>
      </c>
      <c r="B423" s="12" t="s">
        <v>88</v>
      </c>
      <c r="C423" s="12" t="n">
        <v>2025</v>
      </c>
      <c r="D423" s="12" t="n">
        <v>4</v>
      </c>
      <c r="E423" s="12" t="n">
        <v>412.1</v>
      </c>
      <c r="F423" s="12" t="n">
        <v>4413073</v>
      </c>
    </row>
    <row r="424" customFormat="false" ht="15" hidden="false" customHeight="true" outlineLevel="0" collapsed="false">
      <c r="A424" s="12" t="s">
        <v>951</v>
      </c>
      <c r="B424" s="12" t="s">
        <v>88</v>
      </c>
      <c r="C424" s="12" t="n">
        <v>2026</v>
      </c>
      <c r="D424" s="12" t="n">
        <v>6</v>
      </c>
      <c r="E424" s="12" t="n">
        <v>742.2</v>
      </c>
      <c r="F424" s="12" t="n">
        <v>4413073</v>
      </c>
    </row>
    <row r="425" customFormat="false" ht="15" hidden="false" customHeight="true" outlineLevel="0" collapsed="false">
      <c r="A425" s="12" t="s">
        <v>951</v>
      </c>
      <c r="B425" s="12" t="s">
        <v>86</v>
      </c>
      <c r="C425" s="12" t="n">
        <v>2025</v>
      </c>
      <c r="D425" s="12" t="n">
        <v>11</v>
      </c>
      <c r="E425" s="12" t="n">
        <v>1301.8</v>
      </c>
      <c r="F425" s="12" t="n">
        <v>4413074</v>
      </c>
    </row>
    <row r="426" customFormat="false" ht="15" hidden="false" customHeight="true" outlineLevel="0" collapsed="false">
      <c r="A426" s="12" t="s">
        <v>951</v>
      </c>
      <c r="B426" s="12" t="s">
        <v>86</v>
      </c>
      <c r="C426" s="12" t="n">
        <v>2026</v>
      </c>
      <c r="D426" s="12" t="n">
        <v>6</v>
      </c>
      <c r="E426" s="12" t="n">
        <v>649.4</v>
      </c>
      <c r="F426" s="12" t="n">
        <v>4413074</v>
      </c>
    </row>
    <row r="427" customFormat="false" ht="15" hidden="false" customHeight="true" outlineLevel="0" collapsed="false">
      <c r="A427" s="12" t="s">
        <v>951</v>
      </c>
      <c r="B427" s="12" t="s">
        <v>92</v>
      </c>
      <c r="C427" s="12" t="n">
        <v>2025</v>
      </c>
      <c r="D427" s="12" t="n">
        <v>7</v>
      </c>
      <c r="E427" s="12" t="n">
        <v>942.1</v>
      </c>
      <c r="F427" s="12" t="n">
        <v>4413076</v>
      </c>
    </row>
    <row r="428" customFormat="false" ht="15" hidden="false" customHeight="true" outlineLevel="0" collapsed="false">
      <c r="A428" s="12" t="s">
        <v>951</v>
      </c>
      <c r="B428" s="12" t="s">
        <v>92</v>
      </c>
      <c r="C428" s="12" t="n">
        <v>2026</v>
      </c>
      <c r="D428" s="12" t="n">
        <v>3</v>
      </c>
      <c r="E428" s="12" t="n">
        <v>398.6</v>
      </c>
      <c r="F428" s="12" t="n">
        <v>4413076</v>
      </c>
    </row>
    <row r="429" customFormat="false" ht="15" hidden="false" customHeight="true" outlineLevel="0" collapsed="false">
      <c r="A429" s="12" t="s">
        <v>951</v>
      </c>
      <c r="B429" s="12" t="s">
        <v>93</v>
      </c>
      <c r="C429" s="12" t="n">
        <v>2026</v>
      </c>
      <c r="D429" s="12" t="n">
        <v>1</v>
      </c>
      <c r="E429" s="12" t="n">
        <v>135.9</v>
      </c>
      <c r="F429" s="12" t="n">
        <v>4413077</v>
      </c>
    </row>
    <row r="430" customFormat="false" ht="15" hidden="false" customHeight="true" outlineLevel="0" collapsed="false">
      <c r="A430" s="12" t="s">
        <v>951</v>
      </c>
      <c r="B430" s="12" t="s">
        <v>95</v>
      </c>
      <c r="C430" s="12" t="n">
        <v>2025</v>
      </c>
      <c r="D430" s="12" t="n">
        <v>1</v>
      </c>
      <c r="E430" s="12" t="n">
        <v>135.9</v>
      </c>
      <c r="F430" s="12" t="n">
        <v>4413079</v>
      </c>
    </row>
    <row r="431" customFormat="false" ht="15" hidden="false" customHeight="true" outlineLevel="0" collapsed="false">
      <c r="A431" s="12" t="s">
        <v>951</v>
      </c>
      <c r="B431" s="12" t="s">
        <v>95</v>
      </c>
      <c r="C431" s="12" t="n">
        <v>2026</v>
      </c>
      <c r="D431" s="12" t="n">
        <v>2</v>
      </c>
      <c r="E431" s="12" t="n">
        <v>262.7</v>
      </c>
      <c r="F431" s="12" t="n">
        <v>4413079</v>
      </c>
    </row>
    <row r="432" customFormat="false" ht="15" hidden="false" customHeight="true" outlineLevel="0" collapsed="false">
      <c r="A432" s="12" t="s">
        <v>951</v>
      </c>
      <c r="B432" s="12" t="s">
        <v>98</v>
      </c>
      <c r="C432" s="12" t="n">
        <v>2025</v>
      </c>
      <c r="D432" s="12" t="n">
        <v>5</v>
      </c>
      <c r="E432" s="12" t="n">
        <v>899.5</v>
      </c>
      <c r="F432" s="12" t="n">
        <v>4413087</v>
      </c>
    </row>
    <row r="433" customFormat="false" ht="15" hidden="false" customHeight="true" outlineLevel="0" collapsed="false">
      <c r="A433" s="12" t="s">
        <v>951</v>
      </c>
      <c r="B433" s="12" t="s">
        <v>99</v>
      </c>
      <c r="C433" s="12" t="n">
        <v>2025</v>
      </c>
      <c r="D433" s="12" t="n">
        <v>2</v>
      </c>
      <c r="E433" s="12" t="n">
        <v>349.7</v>
      </c>
      <c r="F433" s="12" t="n">
        <v>4413088</v>
      </c>
    </row>
    <row r="434" customFormat="false" ht="15" hidden="false" customHeight="true" outlineLevel="0" collapsed="false">
      <c r="A434" s="12" t="s">
        <v>951</v>
      </c>
      <c r="B434" s="12" t="s">
        <v>100</v>
      </c>
      <c r="C434" s="12" t="n">
        <v>2026</v>
      </c>
      <c r="D434" s="12" t="n">
        <v>2</v>
      </c>
      <c r="E434" s="12" t="n">
        <v>349.9</v>
      </c>
      <c r="F434" s="12" t="n">
        <v>4413089</v>
      </c>
    </row>
    <row r="435" customFormat="false" ht="15" hidden="false" customHeight="true" outlineLevel="0" collapsed="false">
      <c r="A435" s="12" t="s">
        <v>951</v>
      </c>
      <c r="B435" s="12" t="s">
        <v>101</v>
      </c>
      <c r="C435" s="12" t="n">
        <v>2025</v>
      </c>
      <c r="D435" s="12" t="n">
        <v>8</v>
      </c>
      <c r="E435" s="12" t="n">
        <v>1449.2</v>
      </c>
      <c r="F435" s="12" t="n">
        <v>4413090</v>
      </c>
    </row>
    <row r="436" customFormat="false" ht="15" hidden="false" customHeight="true" outlineLevel="0" collapsed="false">
      <c r="A436" s="12" t="s">
        <v>951</v>
      </c>
      <c r="B436" s="12" t="s">
        <v>102</v>
      </c>
      <c r="C436" s="12" t="n">
        <v>2025</v>
      </c>
      <c r="D436" s="12" t="n">
        <v>2</v>
      </c>
      <c r="E436" s="12" t="n">
        <v>374.9</v>
      </c>
      <c r="F436" s="12" t="n">
        <v>4413091</v>
      </c>
    </row>
    <row r="437" customFormat="false" ht="15" hidden="false" customHeight="true" outlineLevel="0" collapsed="false">
      <c r="A437" s="12" t="s">
        <v>951</v>
      </c>
      <c r="B437" s="12" t="s">
        <v>119</v>
      </c>
      <c r="C437" s="12" t="n">
        <v>2025</v>
      </c>
      <c r="D437" s="12" t="n">
        <v>319</v>
      </c>
      <c r="E437" s="12" t="n">
        <v>9500.5</v>
      </c>
      <c r="F437" s="12" t="n">
        <v>4413092</v>
      </c>
    </row>
    <row r="438" customFormat="false" ht="15" hidden="false" customHeight="true" outlineLevel="0" collapsed="false">
      <c r="A438" s="12" t="s">
        <v>951</v>
      </c>
      <c r="B438" s="12" t="s">
        <v>119</v>
      </c>
      <c r="C438" s="12" t="n">
        <v>2026</v>
      </c>
      <c r="D438" s="12" t="n">
        <v>240</v>
      </c>
      <c r="E438" s="12" t="n">
        <v>7170.2</v>
      </c>
      <c r="F438" s="12" t="n">
        <v>4413092</v>
      </c>
    </row>
    <row r="439" customFormat="false" ht="15" hidden="false" customHeight="true" outlineLevel="0" collapsed="false">
      <c r="A439" s="12" t="s">
        <v>951</v>
      </c>
      <c r="B439" s="12" t="s">
        <v>120</v>
      </c>
      <c r="C439" s="12" t="n">
        <v>2025</v>
      </c>
      <c r="D439" s="12" t="n">
        <v>285</v>
      </c>
      <c r="E439" s="12" t="n">
        <v>8439</v>
      </c>
      <c r="F439" s="12" t="n">
        <v>4413093</v>
      </c>
    </row>
    <row r="440" customFormat="false" ht="15" hidden="false" customHeight="true" outlineLevel="0" collapsed="false">
      <c r="A440" s="12" t="s">
        <v>951</v>
      </c>
      <c r="B440" s="12" t="s">
        <v>120</v>
      </c>
      <c r="C440" s="12" t="n">
        <v>2026</v>
      </c>
      <c r="D440" s="12" t="n">
        <v>185</v>
      </c>
      <c r="E440" s="12" t="n">
        <v>5513.1</v>
      </c>
      <c r="F440" s="12" t="n">
        <v>4413093</v>
      </c>
    </row>
    <row r="441" customFormat="false" ht="15" hidden="false" customHeight="true" outlineLevel="0" collapsed="false">
      <c r="A441" s="12" t="s">
        <v>951</v>
      </c>
      <c r="B441" s="12" t="s">
        <v>121</v>
      </c>
      <c r="C441" s="12" t="n">
        <v>2025</v>
      </c>
      <c r="D441" s="12" t="n">
        <v>120</v>
      </c>
      <c r="E441" s="12" t="n">
        <v>3533.1</v>
      </c>
      <c r="F441" s="12" t="n">
        <v>4413094</v>
      </c>
    </row>
    <row r="442" customFormat="false" ht="15" hidden="false" customHeight="true" outlineLevel="0" collapsed="false">
      <c r="A442" s="12" t="s">
        <v>951</v>
      </c>
      <c r="B442" s="12" t="s">
        <v>121</v>
      </c>
      <c r="C442" s="12" t="n">
        <v>2026</v>
      </c>
      <c r="D442" s="12" t="n">
        <v>72</v>
      </c>
      <c r="E442" s="12" t="n">
        <v>2154.1</v>
      </c>
      <c r="F442" s="12" t="n">
        <v>4413094</v>
      </c>
    </row>
    <row r="443" customFormat="false" ht="15" hidden="false" customHeight="true" outlineLevel="0" collapsed="false">
      <c r="A443" s="12" t="s">
        <v>951</v>
      </c>
      <c r="B443" s="12" t="s">
        <v>122</v>
      </c>
      <c r="C443" s="12" t="n">
        <v>2025</v>
      </c>
      <c r="D443" s="12" t="n">
        <v>241</v>
      </c>
      <c r="E443" s="12" t="n">
        <v>7175.7</v>
      </c>
      <c r="F443" s="12" t="n">
        <v>4413095</v>
      </c>
    </row>
    <row r="444" customFormat="false" ht="15" hidden="false" customHeight="true" outlineLevel="0" collapsed="false">
      <c r="A444" s="12" t="s">
        <v>951</v>
      </c>
      <c r="B444" s="12" t="s">
        <v>122</v>
      </c>
      <c r="C444" s="12" t="n">
        <v>2026</v>
      </c>
      <c r="D444" s="12" t="n">
        <v>173</v>
      </c>
      <c r="E444" s="12" t="n">
        <v>5164.4</v>
      </c>
      <c r="F444" s="12" t="n">
        <v>4413095</v>
      </c>
    </row>
    <row r="445" customFormat="false" ht="15" hidden="false" customHeight="true" outlineLevel="0" collapsed="false">
      <c r="A445" s="12" t="s">
        <v>951</v>
      </c>
      <c r="B445" s="12" t="s">
        <v>123</v>
      </c>
      <c r="C445" s="12" t="n">
        <v>2025</v>
      </c>
      <c r="D445" s="12" t="n">
        <v>121</v>
      </c>
      <c r="E445" s="12" t="n">
        <v>3635.4</v>
      </c>
      <c r="F445" s="12" t="n">
        <v>4413096</v>
      </c>
    </row>
    <row r="446" customFormat="false" ht="15" hidden="false" customHeight="true" outlineLevel="0" collapsed="false">
      <c r="A446" s="12" t="s">
        <v>951</v>
      </c>
      <c r="B446" s="12" t="s">
        <v>123</v>
      </c>
      <c r="C446" s="12" t="n">
        <v>2026</v>
      </c>
      <c r="D446" s="12" t="n">
        <v>81</v>
      </c>
      <c r="E446" s="12" t="n">
        <v>2415.6</v>
      </c>
      <c r="F446" s="12" t="n">
        <v>4413096</v>
      </c>
    </row>
    <row r="447" customFormat="false" ht="15" hidden="false" customHeight="true" outlineLevel="0" collapsed="false">
      <c r="A447" s="12" t="s">
        <v>951</v>
      </c>
      <c r="B447" s="12" t="s">
        <v>131</v>
      </c>
      <c r="C447" s="12" t="n">
        <v>2025</v>
      </c>
      <c r="D447" s="12" t="n">
        <v>158</v>
      </c>
      <c r="E447" s="12" t="n">
        <v>4737.2</v>
      </c>
      <c r="F447" s="12" t="n">
        <v>4413097</v>
      </c>
    </row>
    <row r="448" customFormat="false" ht="15" hidden="false" customHeight="true" outlineLevel="0" collapsed="false">
      <c r="A448" s="12" t="s">
        <v>951</v>
      </c>
      <c r="B448" s="12" t="s">
        <v>131</v>
      </c>
      <c r="C448" s="12" t="n">
        <v>2026</v>
      </c>
      <c r="D448" s="12" t="n">
        <v>103</v>
      </c>
      <c r="E448" s="12" t="n">
        <v>3118.6</v>
      </c>
      <c r="F448" s="12" t="n">
        <v>4413097</v>
      </c>
    </row>
    <row r="449" customFormat="false" ht="15" hidden="false" customHeight="true" outlineLevel="0" collapsed="false">
      <c r="A449" s="12" t="s">
        <v>951</v>
      </c>
      <c r="B449" s="12" t="s">
        <v>129</v>
      </c>
      <c r="C449" s="12" t="n">
        <v>2025</v>
      </c>
      <c r="D449" s="12" t="n">
        <v>465</v>
      </c>
      <c r="E449" s="12" t="n">
        <v>13964.7</v>
      </c>
      <c r="F449" s="12" t="n">
        <v>4413098</v>
      </c>
    </row>
    <row r="450" customFormat="false" ht="15" hidden="false" customHeight="true" outlineLevel="0" collapsed="false">
      <c r="A450" s="12" t="s">
        <v>951</v>
      </c>
      <c r="B450" s="12" t="s">
        <v>129</v>
      </c>
      <c r="C450" s="12" t="n">
        <v>2026</v>
      </c>
      <c r="D450" s="12" t="n">
        <v>284</v>
      </c>
      <c r="E450" s="12" t="n">
        <v>8558.2</v>
      </c>
      <c r="F450" s="12" t="n">
        <v>4413098</v>
      </c>
    </row>
    <row r="451" customFormat="false" ht="15" hidden="false" customHeight="true" outlineLevel="0" collapsed="false">
      <c r="A451" s="12" t="s">
        <v>951</v>
      </c>
      <c r="B451" s="12" t="s">
        <v>130</v>
      </c>
      <c r="C451" s="12" t="n">
        <v>2025</v>
      </c>
      <c r="D451" s="12" t="n">
        <v>371</v>
      </c>
      <c r="E451" s="12" t="n">
        <v>11145.9</v>
      </c>
      <c r="F451" s="12" t="n">
        <v>4413099</v>
      </c>
    </row>
    <row r="452" customFormat="false" ht="15" hidden="false" customHeight="true" outlineLevel="0" collapsed="false">
      <c r="A452" s="12" t="s">
        <v>951</v>
      </c>
      <c r="B452" s="12" t="s">
        <v>130</v>
      </c>
      <c r="C452" s="12" t="n">
        <v>2026</v>
      </c>
      <c r="D452" s="12" t="n">
        <v>241</v>
      </c>
      <c r="E452" s="12" t="n">
        <v>7267.8</v>
      </c>
      <c r="F452" s="12" t="n">
        <v>4413099</v>
      </c>
    </row>
    <row r="453" customFormat="false" ht="15" hidden="false" customHeight="true" outlineLevel="0" collapsed="false">
      <c r="A453" s="12" t="s">
        <v>951</v>
      </c>
      <c r="B453" s="12" t="s">
        <v>132</v>
      </c>
      <c r="C453" s="12" t="n">
        <v>2025</v>
      </c>
      <c r="D453" s="12" t="n">
        <v>331</v>
      </c>
      <c r="E453" s="12" t="n">
        <v>9904.8</v>
      </c>
      <c r="F453" s="12" t="n">
        <v>4413100</v>
      </c>
    </row>
    <row r="454" customFormat="false" ht="15" hidden="false" customHeight="true" outlineLevel="0" collapsed="false">
      <c r="A454" s="12" t="s">
        <v>951</v>
      </c>
      <c r="B454" s="12" t="s">
        <v>132</v>
      </c>
      <c r="C454" s="12" t="n">
        <v>2026</v>
      </c>
      <c r="D454" s="12" t="n">
        <v>260</v>
      </c>
      <c r="E454" s="12" t="n">
        <v>7867.9</v>
      </c>
      <c r="F454" s="12" t="n">
        <v>4413100</v>
      </c>
    </row>
    <row r="455" customFormat="false" ht="15" hidden="false" customHeight="true" outlineLevel="0" collapsed="false">
      <c r="A455" s="12" t="s">
        <v>951</v>
      </c>
      <c r="B455" s="12" t="s">
        <v>135</v>
      </c>
      <c r="C455" s="12" t="n">
        <v>2025</v>
      </c>
      <c r="D455" s="12" t="n">
        <v>36</v>
      </c>
      <c r="E455" s="12" t="n">
        <v>1319.1</v>
      </c>
      <c r="F455" s="12" t="n">
        <v>4413101</v>
      </c>
    </row>
    <row r="456" customFormat="false" ht="15" hidden="false" customHeight="true" outlineLevel="0" collapsed="false">
      <c r="A456" s="12" t="s">
        <v>951</v>
      </c>
      <c r="B456" s="12" t="s">
        <v>135</v>
      </c>
      <c r="C456" s="12" t="n">
        <v>2026</v>
      </c>
      <c r="D456" s="12" t="n">
        <v>28</v>
      </c>
      <c r="E456" s="12" t="n">
        <v>1008.7</v>
      </c>
      <c r="F456" s="12" t="n">
        <v>4413101</v>
      </c>
    </row>
    <row r="457" customFormat="false" ht="15" hidden="false" customHeight="true" outlineLevel="0" collapsed="false">
      <c r="A457" s="12" t="s">
        <v>951</v>
      </c>
      <c r="B457" s="12" t="s">
        <v>133</v>
      </c>
      <c r="C457" s="12" t="n">
        <v>2025</v>
      </c>
      <c r="D457" s="12" t="n">
        <v>142</v>
      </c>
      <c r="E457" s="12" t="n">
        <v>5108.9</v>
      </c>
      <c r="F457" s="12" t="n">
        <v>4413102</v>
      </c>
    </row>
    <row r="458" customFormat="false" ht="15" hidden="false" customHeight="true" outlineLevel="0" collapsed="false">
      <c r="A458" s="12" t="s">
        <v>951</v>
      </c>
      <c r="B458" s="12" t="s">
        <v>133</v>
      </c>
      <c r="C458" s="12" t="n">
        <v>2026</v>
      </c>
      <c r="D458" s="12" t="n">
        <v>90</v>
      </c>
      <c r="E458" s="12" t="n">
        <v>3242.9</v>
      </c>
      <c r="F458" s="12" t="n">
        <v>4413102</v>
      </c>
    </row>
    <row r="459" customFormat="false" ht="15" hidden="false" customHeight="true" outlineLevel="0" collapsed="false">
      <c r="A459" s="12" t="s">
        <v>951</v>
      </c>
      <c r="B459" s="12" t="s">
        <v>134</v>
      </c>
      <c r="C459" s="12" t="n">
        <v>2025</v>
      </c>
      <c r="D459" s="12" t="n">
        <v>139</v>
      </c>
      <c r="E459" s="12" t="n">
        <v>4952.2</v>
      </c>
      <c r="F459" s="12" t="n">
        <v>4413103</v>
      </c>
    </row>
    <row r="460" customFormat="false" ht="15" hidden="false" customHeight="true" outlineLevel="0" collapsed="false">
      <c r="A460" s="12" t="s">
        <v>951</v>
      </c>
      <c r="B460" s="12" t="s">
        <v>134</v>
      </c>
      <c r="C460" s="12" t="n">
        <v>2026</v>
      </c>
      <c r="D460" s="12" t="n">
        <v>67</v>
      </c>
      <c r="E460" s="12" t="n">
        <v>2369.5</v>
      </c>
      <c r="F460" s="12" t="n">
        <v>4413103</v>
      </c>
    </row>
    <row r="461" customFormat="false" ht="15" hidden="false" customHeight="true" outlineLevel="0" collapsed="false">
      <c r="A461" s="12" t="s">
        <v>951</v>
      </c>
      <c r="B461" s="12" t="s">
        <v>136</v>
      </c>
      <c r="C461" s="12" t="n">
        <v>2025</v>
      </c>
      <c r="D461" s="12" t="n">
        <v>124</v>
      </c>
      <c r="E461" s="12" t="n">
        <v>4474.2</v>
      </c>
      <c r="F461" s="12" t="n">
        <v>4413104</v>
      </c>
    </row>
    <row r="462" customFormat="false" ht="15" hidden="false" customHeight="true" outlineLevel="0" collapsed="false">
      <c r="A462" s="12" t="s">
        <v>951</v>
      </c>
      <c r="B462" s="12" t="s">
        <v>136</v>
      </c>
      <c r="C462" s="12" t="n">
        <v>2026</v>
      </c>
      <c r="D462" s="12" t="n">
        <v>67</v>
      </c>
      <c r="E462" s="12" t="n">
        <v>2438.9</v>
      </c>
      <c r="F462" s="12" t="n">
        <v>4413104</v>
      </c>
    </row>
    <row r="463" customFormat="false" ht="15" hidden="false" customHeight="true" outlineLevel="0" collapsed="false">
      <c r="A463" s="12" t="s">
        <v>951</v>
      </c>
      <c r="B463" s="12" t="s">
        <v>137</v>
      </c>
      <c r="C463" s="12" t="n">
        <v>2025</v>
      </c>
      <c r="D463" s="12" t="n">
        <v>41</v>
      </c>
      <c r="E463" s="12" t="n">
        <v>1476.1</v>
      </c>
      <c r="F463" s="12" t="n">
        <v>4413105</v>
      </c>
    </row>
    <row r="464" customFormat="false" ht="15" hidden="false" customHeight="true" outlineLevel="0" collapsed="false">
      <c r="A464" s="12" t="s">
        <v>951</v>
      </c>
      <c r="B464" s="12" t="s">
        <v>137</v>
      </c>
      <c r="C464" s="12" t="n">
        <v>2026</v>
      </c>
      <c r="D464" s="12" t="n">
        <v>31</v>
      </c>
      <c r="E464" s="12" t="n">
        <v>1131.1</v>
      </c>
      <c r="F464" s="12" t="n">
        <v>4413105</v>
      </c>
    </row>
    <row r="465" customFormat="false" ht="15" hidden="false" customHeight="true" outlineLevel="0" collapsed="false">
      <c r="A465" s="12" t="s">
        <v>951</v>
      </c>
      <c r="B465" s="12" t="s">
        <v>145</v>
      </c>
      <c r="C465" s="12" t="n">
        <v>2025</v>
      </c>
      <c r="D465" s="12" t="n">
        <v>3</v>
      </c>
      <c r="E465" s="12" t="n">
        <v>170</v>
      </c>
      <c r="F465" s="12" t="n">
        <v>4413106</v>
      </c>
    </row>
    <row r="466" customFormat="false" ht="15" hidden="false" customHeight="true" outlineLevel="0" collapsed="false">
      <c r="A466" s="12" t="s">
        <v>951</v>
      </c>
      <c r="B466" s="12" t="s">
        <v>145</v>
      </c>
      <c r="C466" s="12" t="n">
        <v>2026</v>
      </c>
      <c r="D466" s="12" t="n">
        <v>1</v>
      </c>
      <c r="E466" s="12" t="n">
        <v>56.7</v>
      </c>
      <c r="F466" s="12" t="n">
        <v>4413106</v>
      </c>
    </row>
    <row r="467" customFormat="false" ht="15" hidden="false" customHeight="true" outlineLevel="0" collapsed="false">
      <c r="A467" s="12" t="s">
        <v>951</v>
      </c>
      <c r="B467" s="12" t="s">
        <v>143</v>
      </c>
      <c r="C467" s="12" t="n">
        <v>2025</v>
      </c>
      <c r="D467" s="12" t="n">
        <v>15</v>
      </c>
      <c r="E467" s="12" t="n">
        <v>827.4</v>
      </c>
      <c r="F467" s="12" t="n">
        <v>4413107</v>
      </c>
    </row>
    <row r="468" customFormat="false" ht="15" hidden="false" customHeight="true" outlineLevel="0" collapsed="false">
      <c r="A468" s="12" t="s">
        <v>951</v>
      </c>
      <c r="B468" s="12" t="s">
        <v>143</v>
      </c>
      <c r="C468" s="12" t="n">
        <v>2026</v>
      </c>
      <c r="D468" s="12" t="n">
        <v>3</v>
      </c>
      <c r="E468" s="12" t="n">
        <v>170</v>
      </c>
      <c r="F468" s="12" t="n">
        <v>4413107</v>
      </c>
    </row>
    <row r="469" customFormat="false" ht="15" hidden="false" customHeight="true" outlineLevel="0" collapsed="false">
      <c r="A469" s="12" t="s">
        <v>951</v>
      </c>
      <c r="B469" s="12" t="s">
        <v>144</v>
      </c>
      <c r="C469" s="12" t="n">
        <v>2025</v>
      </c>
      <c r="D469" s="12" t="n">
        <v>13</v>
      </c>
      <c r="E469" s="12" t="n">
        <v>721.6</v>
      </c>
      <c r="F469" s="12" t="n">
        <v>4413108</v>
      </c>
    </row>
    <row r="470" customFormat="false" ht="15" hidden="false" customHeight="true" outlineLevel="0" collapsed="false">
      <c r="A470" s="12" t="s">
        <v>951</v>
      </c>
      <c r="B470" s="12" t="s">
        <v>144</v>
      </c>
      <c r="C470" s="12" t="n">
        <v>2026</v>
      </c>
      <c r="D470" s="12" t="n">
        <v>2</v>
      </c>
      <c r="E470" s="12" t="n">
        <v>113.3</v>
      </c>
      <c r="F470" s="12" t="n">
        <v>4413108</v>
      </c>
    </row>
    <row r="471" customFormat="false" ht="15" hidden="false" customHeight="true" outlineLevel="0" collapsed="false">
      <c r="A471" s="12" t="s">
        <v>951</v>
      </c>
      <c r="B471" s="12" t="s">
        <v>146</v>
      </c>
      <c r="C471" s="12" t="n">
        <v>2025</v>
      </c>
      <c r="D471" s="12" t="n">
        <v>3</v>
      </c>
      <c r="E471" s="12" t="n">
        <v>162.5</v>
      </c>
      <c r="F471" s="12" t="n">
        <v>4413109</v>
      </c>
    </row>
    <row r="472" customFormat="false" ht="15" hidden="false" customHeight="true" outlineLevel="0" collapsed="false">
      <c r="A472" s="12" t="s">
        <v>951</v>
      </c>
      <c r="B472" s="12" t="s">
        <v>146</v>
      </c>
      <c r="C472" s="12" t="n">
        <v>2026</v>
      </c>
      <c r="D472" s="12" t="n">
        <v>1</v>
      </c>
      <c r="E472" s="12" t="n">
        <v>56.7</v>
      </c>
      <c r="F472" s="12" t="n">
        <v>4413109</v>
      </c>
    </row>
    <row r="473" customFormat="false" ht="15" hidden="false" customHeight="true" outlineLevel="0" collapsed="false">
      <c r="A473" s="12" t="s">
        <v>951</v>
      </c>
      <c r="B473" s="12" t="s">
        <v>147</v>
      </c>
      <c r="C473" s="12" t="n">
        <v>2025</v>
      </c>
      <c r="D473" s="12" t="n">
        <v>2</v>
      </c>
      <c r="E473" s="12" t="n">
        <v>105.8</v>
      </c>
      <c r="F473" s="12" t="n">
        <v>4413110</v>
      </c>
    </row>
    <row r="474" customFormat="false" ht="15" hidden="false" customHeight="true" outlineLevel="0" collapsed="false">
      <c r="A474" s="12" t="s">
        <v>951</v>
      </c>
      <c r="B474" s="12" t="s">
        <v>798</v>
      </c>
      <c r="C474" s="12" t="n">
        <v>2025</v>
      </c>
      <c r="D474" s="12" t="n">
        <v>22</v>
      </c>
      <c r="E474" s="12" t="n">
        <v>749.4</v>
      </c>
      <c r="F474" s="12" t="n">
        <v>4413111</v>
      </c>
    </row>
    <row r="475" customFormat="false" ht="15" hidden="false" customHeight="true" outlineLevel="0" collapsed="false">
      <c r="A475" s="12" t="s">
        <v>951</v>
      </c>
      <c r="B475" s="12" t="s">
        <v>798</v>
      </c>
      <c r="C475" s="12" t="n">
        <v>2026</v>
      </c>
      <c r="D475" s="12" t="n">
        <v>6</v>
      </c>
      <c r="E475" s="12" t="n">
        <v>194.6</v>
      </c>
      <c r="F475" s="12" t="n">
        <v>4413111</v>
      </c>
    </row>
    <row r="476" customFormat="false" ht="15" hidden="false" customHeight="true" outlineLevel="0" collapsed="false">
      <c r="A476" s="12" t="s">
        <v>951</v>
      </c>
      <c r="B476" s="12" t="s">
        <v>796</v>
      </c>
      <c r="C476" s="12" t="n">
        <v>2025</v>
      </c>
      <c r="D476" s="12" t="n">
        <v>35</v>
      </c>
      <c r="E476" s="12" t="n">
        <v>1129.3</v>
      </c>
      <c r="F476" s="12" t="n">
        <v>4413112</v>
      </c>
    </row>
    <row r="477" customFormat="false" ht="15" hidden="false" customHeight="true" outlineLevel="0" collapsed="false">
      <c r="A477" s="12" t="s">
        <v>951</v>
      </c>
      <c r="B477" s="12" t="s">
        <v>796</v>
      </c>
      <c r="C477" s="12" t="n">
        <v>2026</v>
      </c>
      <c r="D477" s="12" t="n">
        <v>23</v>
      </c>
      <c r="E477" s="12" t="n">
        <v>798</v>
      </c>
      <c r="F477" s="12" t="n">
        <v>4413112</v>
      </c>
    </row>
    <row r="478" customFormat="false" ht="15" hidden="false" customHeight="true" outlineLevel="0" collapsed="false">
      <c r="A478" s="12" t="s">
        <v>951</v>
      </c>
      <c r="B478" s="12" t="s">
        <v>797</v>
      </c>
      <c r="C478" s="12" t="n">
        <v>2025</v>
      </c>
      <c r="D478" s="12" t="n">
        <v>25</v>
      </c>
      <c r="E478" s="12" t="n">
        <v>826.3</v>
      </c>
      <c r="F478" s="12" t="n">
        <v>4413113</v>
      </c>
    </row>
    <row r="479" customFormat="false" ht="15" hidden="false" customHeight="true" outlineLevel="0" collapsed="false">
      <c r="A479" s="12" t="s">
        <v>951</v>
      </c>
      <c r="B479" s="12" t="s">
        <v>797</v>
      </c>
      <c r="C479" s="12" t="n">
        <v>2026</v>
      </c>
      <c r="D479" s="12" t="n">
        <v>7</v>
      </c>
      <c r="E479" s="12" t="n">
        <v>242.6</v>
      </c>
      <c r="F479" s="12" t="n">
        <v>4413113</v>
      </c>
    </row>
    <row r="480" customFormat="false" ht="15" hidden="false" customHeight="true" outlineLevel="0" collapsed="false">
      <c r="A480" s="12" t="s">
        <v>951</v>
      </c>
      <c r="B480" s="12" t="s">
        <v>799</v>
      </c>
      <c r="C480" s="12" t="n">
        <v>2025</v>
      </c>
      <c r="D480" s="12" t="n">
        <v>36</v>
      </c>
      <c r="E480" s="12" t="n">
        <v>1195.3</v>
      </c>
      <c r="F480" s="12" t="n">
        <v>4413114</v>
      </c>
    </row>
    <row r="481" customFormat="false" ht="15" hidden="false" customHeight="true" outlineLevel="0" collapsed="false">
      <c r="A481" s="12" t="s">
        <v>951</v>
      </c>
      <c r="B481" s="12" t="s">
        <v>799</v>
      </c>
      <c r="C481" s="12" t="n">
        <v>2026</v>
      </c>
      <c r="D481" s="12" t="n">
        <v>12</v>
      </c>
      <c r="E481" s="12" t="n">
        <v>416.9</v>
      </c>
      <c r="F481" s="12" t="n">
        <v>4413114</v>
      </c>
    </row>
    <row r="482" customFormat="false" ht="15" hidden="false" customHeight="true" outlineLevel="0" collapsed="false">
      <c r="A482" s="12" t="s">
        <v>951</v>
      </c>
      <c r="B482" s="12" t="s">
        <v>800</v>
      </c>
      <c r="C482" s="12" t="n">
        <v>2025</v>
      </c>
      <c r="D482" s="12" t="n">
        <v>4</v>
      </c>
      <c r="E482" s="12" t="n">
        <v>138.3</v>
      </c>
      <c r="F482" s="12" t="n">
        <v>4413115</v>
      </c>
    </row>
    <row r="483" customFormat="false" ht="15" hidden="false" customHeight="true" outlineLevel="0" collapsed="false">
      <c r="A483" s="12" t="s">
        <v>951</v>
      </c>
      <c r="B483" s="12" t="s">
        <v>800</v>
      </c>
      <c r="C483" s="12" t="n">
        <v>2026</v>
      </c>
      <c r="D483" s="12" t="n">
        <v>5</v>
      </c>
      <c r="E483" s="12" t="n">
        <v>175.5</v>
      </c>
      <c r="F483" s="12" t="n">
        <v>4413115</v>
      </c>
    </row>
    <row r="484" customFormat="false" ht="15" hidden="false" customHeight="true" outlineLevel="0" collapsed="false">
      <c r="A484" s="12" t="s">
        <v>951</v>
      </c>
      <c r="B484" s="12" t="s">
        <v>446</v>
      </c>
      <c r="C484" s="12" t="n">
        <v>2026</v>
      </c>
      <c r="D484" s="12" t="n">
        <v>-1</v>
      </c>
      <c r="E484" s="12" t="n">
        <v>-88.8</v>
      </c>
      <c r="F484" s="12" t="n">
        <v>4413116</v>
      </c>
    </row>
    <row r="485" customFormat="false" ht="15" hidden="false" customHeight="true" outlineLevel="0" collapsed="false">
      <c r="A485" s="12" t="s">
        <v>951</v>
      </c>
      <c r="B485" s="12" t="s">
        <v>444</v>
      </c>
      <c r="C485" s="12" t="n">
        <v>2025</v>
      </c>
      <c r="D485" s="12" t="n">
        <v>4</v>
      </c>
      <c r="E485" s="12" t="n">
        <v>414.5</v>
      </c>
      <c r="F485" s="12" t="n">
        <v>4413117</v>
      </c>
    </row>
    <row r="486" customFormat="false" ht="15" hidden="false" customHeight="true" outlineLevel="0" collapsed="false">
      <c r="A486" s="12" t="s">
        <v>951</v>
      </c>
      <c r="B486" s="12" t="s">
        <v>444</v>
      </c>
      <c r="C486" s="12" t="n">
        <v>2026</v>
      </c>
      <c r="D486" s="12" t="n">
        <v>4</v>
      </c>
      <c r="E486" s="12" t="n">
        <v>444.1</v>
      </c>
      <c r="F486" s="12" t="n">
        <v>4413117</v>
      </c>
    </row>
    <row r="487" customFormat="false" ht="15" hidden="false" customHeight="true" outlineLevel="0" collapsed="false">
      <c r="A487" s="12" t="s">
        <v>951</v>
      </c>
      <c r="B487" s="12" t="s">
        <v>445</v>
      </c>
      <c r="C487" s="12" t="n">
        <v>2025</v>
      </c>
      <c r="D487" s="12" t="n">
        <v>2</v>
      </c>
      <c r="E487" s="12" t="n">
        <v>207.2</v>
      </c>
      <c r="F487" s="12" t="n">
        <v>4413118</v>
      </c>
    </row>
    <row r="488" customFormat="false" ht="15" hidden="false" customHeight="true" outlineLevel="0" collapsed="false">
      <c r="A488" s="12" t="s">
        <v>951</v>
      </c>
      <c r="B488" s="12" t="s">
        <v>445</v>
      </c>
      <c r="C488" s="12" t="n">
        <v>2026</v>
      </c>
      <c r="D488" s="12" t="n">
        <v>1</v>
      </c>
      <c r="E488" s="12" t="n">
        <v>111</v>
      </c>
      <c r="F488" s="12" t="n">
        <v>4413118</v>
      </c>
    </row>
    <row r="489" customFormat="false" ht="15" hidden="false" customHeight="true" outlineLevel="0" collapsed="false">
      <c r="A489" s="12" t="s">
        <v>951</v>
      </c>
      <c r="B489" s="12" t="s">
        <v>447</v>
      </c>
      <c r="C489" s="12" t="n">
        <v>2025</v>
      </c>
      <c r="D489" s="12" t="n">
        <v>6</v>
      </c>
      <c r="E489" s="12" t="n">
        <v>651.4</v>
      </c>
      <c r="F489" s="12" t="n">
        <v>4413119</v>
      </c>
    </row>
    <row r="490" customFormat="false" ht="15" hidden="false" customHeight="true" outlineLevel="0" collapsed="false">
      <c r="A490" s="12" t="s">
        <v>951</v>
      </c>
      <c r="B490" s="12" t="s">
        <v>447</v>
      </c>
      <c r="C490" s="12" t="n">
        <v>2026</v>
      </c>
      <c r="D490" s="12" t="n">
        <v>1</v>
      </c>
      <c r="E490" s="12" t="n">
        <v>111</v>
      </c>
      <c r="F490" s="12" t="n">
        <v>4413119</v>
      </c>
    </row>
    <row r="491" customFormat="false" ht="15" hidden="false" customHeight="true" outlineLevel="0" collapsed="false">
      <c r="A491" s="12" t="s">
        <v>951</v>
      </c>
      <c r="B491" s="12" t="s">
        <v>448</v>
      </c>
      <c r="C491" s="12" t="n">
        <v>2025</v>
      </c>
      <c r="D491" s="12" t="n">
        <v>5</v>
      </c>
      <c r="E491" s="12" t="n">
        <v>488.6</v>
      </c>
      <c r="F491" s="12" t="n">
        <v>4413120</v>
      </c>
    </row>
    <row r="492" customFormat="false" ht="15" hidden="false" customHeight="true" outlineLevel="0" collapsed="false">
      <c r="A492" s="12" t="s">
        <v>951</v>
      </c>
      <c r="B492" s="12" t="s">
        <v>449</v>
      </c>
      <c r="C492" s="12" t="n">
        <v>2025</v>
      </c>
      <c r="D492" s="12" t="n">
        <v>3</v>
      </c>
      <c r="E492" s="12" t="n">
        <v>241.7</v>
      </c>
      <c r="F492" s="12" t="n">
        <v>4413122</v>
      </c>
    </row>
    <row r="493" customFormat="false" ht="15" hidden="false" customHeight="true" outlineLevel="0" collapsed="false">
      <c r="A493" s="12" t="s">
        <v>951</v>
      </c>
      <c r="B493" s="12" t="s">
        <v>449</v>
      </c>
      <c r="C493" s="12" t="n">
        <v>2026</v>
      </c>
      <c r="D493" s="12" t="n">
        <v>3</v>
      </c>
      <c r="E493" s="12" t="n">
        <v>241.7</v>
      </c>
      <c r="F493" s="12" t="n">
        <v>4413122</v>
      </c>
    </row>
    <row r="494" customFormat="false" ht="15" hidden="false" customHeight="true" outlineLevel="0" collapsed="false">
      <c r="A494" s="12" t="s">
        <v>951</v>
      </c>
      <c r="B494" s="12" t="s">
        <v>450</v>
      </c>
      <c r="C494" s="12" t="n">
        <v>2025</v>
      </c>
      <c r="D494" s="12" t="n">
        <v>2</v>
      </c>
      <c r="E494" s="12" t="n">
        <v>160.6</v>
      </c>
      <c r="F494" s="12" t="n">
        <v>4413123</v>
      </c>
    </row>
    <row r="495" customFormat="false" ht="15" hidden="false" customHeight="true" outlineLevel="0" collapsed="false">
      <c r="A495" s="12" t="s">
        <v>951</v>
      </c>
      <c r="B495" s="12" t="s">
        <v>450</v>
      </c>
      <c r="C495" s="12" t="n">
        <v>2026</v>
      </c>
      <c r="D495" s="12" t="n">
        <v>-1</v>
      </c>
      <c r="E495" s="12" t="n">
        <v>-80.3</v>
      </c>
      <c r="F495" s="12" t="n">
        <v>4413123</v>
      </c>
    </row>
    <row r="496" customFormat="false" ht="15" hidden="false" customHeight="true" outlineLevel="0" collapsed="false">
      <c r="A496" s="12" t="s">
        <v>951</v>
      </c>
      <c r="B496" s="12" t="s">
        <v>452</v>
      </c>
      <c r="C496" s="12" t="n">
        <v>2026</v>
      </c>
      <c r="D496" s="12" t="n">
        <v>1</v>
      </c>
      <c r="E496" s="12" t="n">
        <v>84.3</v>
      </c>
      <c r="F496" s="12" t="n">
        <v>4413124</v>
      </c>
    </row>
    <row r="497" customFormat="false" ht="15" hidden="false" customHeight="true" outlineLevel="0" collapsed="false">
      <c r="A497" s="12" t="s">
        <v>951</v>
      </c>
      <c r="B497" s="12" t="s">
        <v>376</v>
      </c>
      <c r="C497" s="12" t="n">
        <v>2025</v>
      </c>
      <c r="D497" s="12" t="n">
        <v>4</v>
      </c>
      <c r="E497" s="12" t="n">
        <v>701.8</v>
      </c>
      <c r="F497" s="12" t="n">
        <v>4413126</v>
      </c>
    </row>
    <row r="498" customFormat="false" ht="15" hidden="false" customHeight="true" outlineLevel="0" collapsed="false">
      <c r="A498" s="12" t="s">
        <v>951</v>
      </c>
      <c r="B498" s="12" t="s">
        <v>376</v>
      </c>
      <c r="C498" s="12" t="n">
        <v>2026</v>
      </c>
      <c r="D498" s="12" t="n">
        <v>5</v>
      </c>
      <c r="E498" s="12" t="n">
        <v>820.1</v>
      </c>
      <c r="F498" s="12" t="n">
        <v>4413126</v>
      </c>
    </row>
    <row r="499" customFormat="false" ht="15" hidden="false" customHeight="true" outlineLevel="0" collapsed="false">
      <c r="A499" s="12" t="s">
        <v>951</v>
      </c>
      <c r="B499" s="12" t="s">
        <v>374</v>
      </c>
      <c r="C499" s="12" t="n">
        <v>2025</v>
      </c>
      <c r="D499" s="12" t="n">
        <v>19</v>
      </c>
      <c r="E499" s="12" t="n">
        <v>3000.5</v>
      </c>
      <c r="F499" s="12" t="n">
        <v>4413127</v>
      </c>
    </row>
    <row r="500" customFormat="false" ht="15" hidden="false" customHeight="true" outlineLevel="0" collapsed="false">
      <c r="A500" s="12" t="s">
        <v>951</v>
      </c>
      <c r="B500" s="12" t="s">
        <v>374</v>
      </c>
      <c r="C500" s="12" t="n">
        <v>2026</v>
      </c>
      <c r="D500" s="12" t="n">
        <v>16</v>
      </c>
      <c r="E500" s="12" t="n">
        <v>2547.6</v>
      </c>
      <c r="F500" s="12" t="n">
        <v>4413127</v>
      </c>
    </row>
    <row r="501" customFormat="false" ht="15" hidden="false" customHeight="true" outlineLevel="0" collapsed="false">
      <c r="A501" s="12" t="s">
        <v>951</v>
      </c>
      <c r="B501" s="12" t="s">
        <v>375</v>
      </c>
      <c r="C501" s="12" t="n">
        <v>2025</v>
      </c>
      <c r="D501" s="12" t="n">
        <v>21</v>
      </c>
      <c r="E501" s="12" t="n">
        <v>3344.9</v>
      </c>
      <c r="F501" s="12" t="n">
        <v>4413128</v>
      </c>
    </row>
    <row r="502" customFormat="false" ht="15" hidden="false" customHeight="true" outlineLevel="0" collapsed="false">
      <c r="A502" s="12" t="s">
        <v>951</v>
      </c>
      <c r="B502" s="12" t="s">
        <v>375</v>
      </c>
      <c r="C502" s="12" t="n">
        <v>2026</v>
      </c>
      <c r="D502" s="12" t="n">
        <v>7</v>
      </c>
      <c r="E502" s="12" t="n">
        <v>1060.5</v>
      </c>
      <c r="F502" s="12" t="n">
        <v>4413128</v>
      </c>
    </row>
    <row r="503" customFormat="false" ht="15" hidden="false" customHeight="true" outlineLevel="0" collapsed="false">
      <c r="A503" s="12" t="s">
        <v>951</v>
      </c>
      <c r="B503" s="12" t="s">
        <v>377</v>
      </c>
      <c r="C503" s="12" t="n">
        <v>2025</v>
      </c>
      <c r="D503" s="12" t="n">
        <v>15</v>
      </c>
      <c r="E503" s="12" t="n">
        <v>2465.8</v>
      </c>
      <c r="F503" s="12" t="n">
        <v>4413129</v>
      </c>
    </row>
    <row r="504" customFormat="false" ht="15" hidden="false" customHeight="true" outlineLevel="0" collapsed="false">
      <c r="A504" s="12" t="s">
        <v>951</v>
      </c>
      <c r="B504" s="12" t="s">
        <v>377</v>
      </c>
      <c r="C504" s="12" t="n">
        <v>2026</v>
      </c>
      <c r="D504" s="12" t="n">
        <v>2</v>
      </c>
      <c r="E504" s="12" t="n">
        <v>320.8</v>
      </c>
      <c r="F504" s="12" t="n">
        <v>4413129</v>
      </c>
    </row>
    <row r="505" customFormat="false" ht="15" hidden="false" customHeight="true" outlineLevel="0" collapsed="false">
      <c r="A505" s="12" t="s">
        <v>951</v>
      </c>
      <c r="B505" s="12" t="s">
        <v>373</v>
      </c>
      <c r="C505" s="12" t="n">
        <v>2025</v>
      </c>
      <c r="D505" s="12" t="n">
        <v>9</v>
      </c>
      <c r="E505" s="12" t="n">
        <v>1366.5</v>
      </c>
      <c r="F505" s="12" t="n">
        <v>4413130</v>
      </c>
    </row>
    <row r="506" customFormat="false" ht="15" hidden="false" customHeight="true" outlineLevel="0" collapsed="false">
      <c r="A506" s="12" t="s">
        <v>951</v>
      </c>
      <c r="B506" s="12" t="s">
        <v>373</v>
      </c>
      <c r="C506" s="12" t="n">
        <v>2026</v>
      </c>
      <c r="D506" s="12" t="n">
        <v>2</v>
      </c>
      <c r="E506" s="12" t="n">
        <v>371.8</v>
      </c>
      <c r="F506" s="12" t="n">
        <v>4413130</v>
      </c>
    </row>
    <row r="507" customFormat="false" ht="15" hidden="false" customHeight="true" outlineLevel="0" collapsed="false">
      <c r="A507" s="12" t="s">
        <v>951</v>
      </c>
      <c r="B507" s="12" t="s">
        <v>380</v>
      </c>
      <c r="C507" s="12" t="n">
        <v>2025</v>
      </c>
      <c r="D507" s="12" t="n">
        <v>9</v>
      </c>
      <c r="E507" s="12" t="n">
        <v>1841.6</v>
      </c>
      <c r="F507" s="12" t="n">
        <v>4413131</v>
      </c>
    </row>
    <row r="508" customFormat="false" ht="15" hidden="false" customHeight="true" outlineLevel="0" collapsed="false">
      <c r="A508" s="12" t="s">
        <v>951</v>
      </c>
      <c r="B508" s="12" t="s">
        <v>380</v>
      </c>
      <c r="C508" s="12" t="n">
        <v>2026</v>
      </c>
      <c r="D508" s="12" t="n">
        <v>9</v>
      </c>
      <c r="E508" s="12" t="n">
        <v>1869.7</v>
      </c>
      <c r="F508" s="12" t="n">
        <v>4413131</v>
      </c>
    </row>
    <row r="509" customFormat="false" ht="15" hidden="false" customHeight="true" outlineLevel="0" collapsed="false">
      <c r="A509" s="12" t="s">
        <v>951</v>
      </c>
      <c r="B509" s="12" t="s">
        <v>378</v>
      </c>
      <c r="C509" s="12" t="n">
        <v>2025</v>
      </c>
      <c r="D509" s="12" t="n">
        <v>27</v>
      </c>
      <c r="E509" s="12" t="n">
        <v>5426.3</v>
      </c>
      <c r="F509" s="12" t="n">
        <v>4413132</v>
      </c>
    </row>
    <row r="510" customFormat="false" ht="15" hidden="false" customHeight="true" outlineLevel="0" collapsed="false">
      <c r="A510" s="12" t="s">
        <v>951</v>
      </c>
      <c r="B510" s="12" t="s">
        <v>378</v>
      </c>
      <c r="C510" s="12" t="n">
        <v>2026</v>
      </c>
      <c r="D510" s="12" t="n">
        <v>20</v>
      </c>
      <c r="E510" s="12" t="n">
        <v>4146.3</v>
      </c>
      <c r="F510" s="12" t="n">
        <v>4413132</v>
      </c>
    </row>
    <row r="511" customFormat="false" ht="15" hidden="false" customHeight="true" outlineLevel="0" collapsed="false">
      <c r="A511" s="12" t="s">
        <v>951</v>
      </c>
      <c r="B511" s="12" t="s">
        <v>379</v>
      </c>
      <c r="C511" s="12" t="n">
        <v>2025</v>
      </c>
      <c r="D511" s="12" t="n">
        <v>30</v>
      </c>
      <c r="E511" s="12" t="n">
        <v>6039.6</v>
      </c>
      <c r="F511" s="12" t="n">
        <v>4413133</v>
      </c>
    </row>
    <row r="512" customFormat="false" ht="15" hidden="false" customHeight="true" outlineLevel="0" collapsed="false">
      <c r="A512" s="12" t="s">
        <v>951</v>
      </c>
      <c r="B512" s="12" t="s">
        <v>379</v>
      </c>
      <c r="C512" s="12" t="n">
        <v>2026</v>
      </c>
      <c r="D512" s="12" t="n">
        <v>17</v>
      </c>
      <c r="E512" s="12" t="n">
        <v>3514.6</v>
      </c>
      <c r="F512" s="12" t="n">
        <v>4413133</v>
      </c>
    </row>
    <row r="513" customFormat="false" ht="15" hidden="false" customHeight="true" outlineLevel="0" collapsed="false">
      <c r="A513" s="12" t="s">
        <v>951</v>
      </c>
      <c r="B513" s="12" t="s">
        <v>381</v>
      </c>
      <c r="C513" s="12" t="n">
        <v>2025</v>
      </c>
      <c r="D513" s="12" t="n">
        <v>22</v>
      </c>
      <c r="E513" s="12" t="n">
        <v>4426</v>
      </c>
      <c r="F513" s="12" t="n">
        <v>4413134</v>
      </c>
    </row>
    <row r="514" customFormat="false" ht="15" hidden="false" customHeight="true" outlineLevel="0" collapsed="false">
      <c r="A514" s="12" t="s">
        <v>951</v>
      </c>
      <c r="B514" s="12" t="s">
        <v>381</v>
      </c>
      <c r="C514" s="12" t="n">
        <v>2026</v>
      </c>
      <c r="D514" s="12" t="n">
        <v>14</v>
      </c>
      <c r="E514" s="12" t="n">
        <v>2910</v>
      </c>
      <c r="F514" s="12" t="n">
        <v>4413134</v>
      </c>
    </row>
    <row r="515" customFormat="false" ht="15" hidden="false" customHeight="true" outlineLevel="0" collapsed="false">
      <c r="A515" s="12" t="s">
        <v>951</v>
      </c>
      <c r="B515" s="12" t="s">
        <v>519</v>
      </c>
      <c r="C515" s="12" t="n">
        <v>2025</v>
      </c>
      <c r="D515" s="12" t="n">
        <v>200</v>
      </c>
      <c r="E515" s="12" t="n">
        <v>10830.8</v>
      </c>
      <c r="F515" s="12" t="n">
        <v>4413135</v>
      </c>
    </row>
    <row r="516" customFormat="false" ht="15" hidden="false" customHeight="true" outlineLevel="0" collapsed="false">
      <c r="A516" s="12" t="s">
        <v>951</v>
      </c>
      <c r="B516" s="12" t="s">
        <v>519</v>
      </c>
      <c r="C516" s="12" t="n">
        <v>2026</v>
      </c>
      <c r="D516" s="12" t="n">
        <v>136</v>
      </c>
      <c r="E516" s="12" t="n">
        <v>7468.9</v>
      </c>
      <c r="F516" s="12" t="n">
        <v>4413135</v>
      </c>
    </row>
    <row r="517" customFormat="false" ht="15" hidden="false" customHeight="true" outlineLevel="0" collapsed="false">
      <c r="A517" s="12" t="s">
        <v>951</v>
      </c>
      <c r="B517" s="12" t="s">
        <v>520</v>
      </c>
      <c r="C517" s="12" t="n">
        <v>2025</v>
      </c>
      <c r="D517" s="12" t="n">
        <v>192</v>
      </c>
      <c r="E517" s="12" t="n">
        <v>10424.5</v>
      </c>
      <c r="F517" s="12" t="n">
        <v>4413136</v>
      </c>
    </row>
    <row r="518" customFormat="false" ht="15" hidden="false" customHeight="true" outlineLevel="0" collapsed="false">
      <c r="A518" s="12" t="s">
        <v>951</v>
      </c>
      <c r="B518" s="12" t="s">
        <v>520</v>
      </c>
      <c r="C518" s="12" t="n">
        <v>2026</v>
      </c>
      <c r="D518" s="12" t="n">
        <v>104</v>
      </c>
      <c r="E518" s="12" t="n">
        <v>5678.2</v>
      </c>
      <c r="F518" s="12" t="n">
        <v>4413136</v>
      </c>
    </row>
    <row r="519" customFormat="false" ht="15" hidden="false" customHeight="true" outlineLevel="0" collapsed="false">
      <c r="A519" s="12" t="s">
        <v>951</v>
      </c>
      <c r="B519" s="12" t="s">
        <v>521</v>
      </c>
      <c r="C519" s="12" t="n">
        <v>2025</v>
      </c>
      <c r="D519" s="12" t="n">
        <v>78</v>
      </c>
      <c r="E519" s="12" t="n">
        <v>4312.8</v>
      </c>
      <c r="F519" s="12" t="n">
        <v>4413137</v>
      </c>
    </row>
    <row r="520" customFormat="false" ht="15" hidden="false" customHeight="true" outlineLevel="0" collapsed="false">
      <c r="A520" s="12" t="s">
        <v>951</v>
      </c>
      <c r="B520" s="12" t="s">
        <v>521</v>
      </c>
      <c r="C520" s="12" t="n">
        <v>2026</v>
      </c>
      <c r="D520" s="12" t="n">
        <v>37</v>
      </c>
      <c r="E520" s="12" t="n">
        <v>1939.5</v>
      </c>
      <c r="F520" s="12" t="n">
        <v>4413137</v>
      </c>
    </row>
    <row r="521" customFormat="false" ht="15" hidden="false" customHeight="true" outlineLevel="0" collapsed="false">
      <c r="A521" s="12" t="s">
        <v>951</v>
      </c>
      <c r="B521" s="12" t="s">
        <v>522</v>
      </c>
      <c r="C521" s="12" t="n">
        <v>2025</v>
      </c>
      <c r="D521" s="12" t="n">
        <v>93</v>
      </c>
      <c r="E521" s="12" t="n">
        <v>5067.2</v>
      </c>
      <c r="F521" s="12" t="n">
        <v>4413138</v>
      </c>
    </row>
    <row r="522" customFormat="false" ht="15" hidden="false" customHeight="true" outlineLevel="0" collapsed="false">
      <c r="A522" s="12" t="s">
        <v>951</v>
      </c>
      <c r="B522" s="12" t="s">
        <v>522</v>
      </c>
      <c r="C522" s="12" t="n">
        <v>2026</v>
      </c>
      <c r="D522" s="12" t="n">
        <v>66</v>
      </c>
      <c r="E522" s="12" t="n">
        <v>3615.5</v>
      </c>
      <c r="F522" s="12" t="n">
        <v>4413138</v>
      </c>
    </row>
    <row r="523" customFormat="false" ht="15" hidden="false" customHeight="true" outlineLevel="0" collapsed="false">
      <c r="A523" s="12" t="s">
        <v>951</v>
      </c>
      <c r="B523" s="12" t="s">
        <v>479</v>
      </c>
      <c r="C523" s="12" t="n">
        <v>2025</v>
      </c>
      <c r="D523" s="12" t="n">
        <v>105</v>
      </c>
      <c r="E523" s="12" t="n">
        <v>3135.3</v>
      </c>
      <c r="F523" s="12" t="n">
        <v>4413139</v>
      </c>
    </row>
    <row r="524" customFormat="false" ht="15" hidden="false" customHeight="true" outlineLevel="0" collapsed="false">
      <c r="A524" s="12" t="s">
        <v>951</v>
      </c>
      <c r="B524" s="12" t="s">
        <v>479</v>
      </c>
      <c r="C524" s="12" t="n">
        <v>2026</v>
      </c>
      <c r="D524" s="12" t="n">
        <v>97</v>
      </c>
      <c r="E524" s="12" t="n">
        <v>2909.9</v>
      </c>
      <c r="F524" s="12" t="n">
        <v>4413139</v>
      </c>
    </row>
    <row r="525" customFormat="false" ht="15" hidden="false" customHeight="true" outlineLevel="0" collapsed="false">
      <c r="A525" s="12" t="s">
        <v>951</v>
      </c>
      <c r="B525" s="12" t="s">
        <v>480</v>
      </c>
      <c r="C525" s="12" t="n">
        <v>2025</v>
      </c>
      <c r="D525" s="12" t="n">
        <v>157</v>
      </c>
      <c r="E525" s="12" t="n">
        <v>4651.3</v>
      </c>
      <c r="F525" s="12" t="n">
        <v>4413140</v>
      </c>
    </row>
    <row r="526" customFormat="false" ht="15" hidden="false" customHeight="true" outlineLevel="0" collapsed="false">
      <c r="A526" s="12" t="s">
        <v>951</v>
      </c>
      <c r="B526" s="12" t="s">
        <v>480</v>
      </c>
      <c r="C526" s="12" t="n">
        <v>2026</v>
      </c>
      <c r="D526" s="12" t="n">
        <v>109</v>
      </c>
      <c r="E526" s="12" t="n">
        <v>3234</v>
      </c>
      <c r="F526" s="12" t="n">
        <v>4413140</v>
      </c>
    </row>
    <row r="527" customFormat="false" ht="15" hidden="false" customHeight="true" outlineLevel="0" collapsed="false">
      <c r="A527" s="12" t="s">
        <v>951</v>
      </c>
      <c r="B527" s="12" t="s">
        <v>481</v>
      </c>
      <c r="C527" s="12" t="n">
        <v>2025</v>
      </c>
      <c r="D527" s="12" t="n">
        <v>134</v>
      </c>
      <c r="E527" s="12" t="n">
        <v>3972.6</v>
      </c>
      <c r="F527" s="12" t="n">
        <v>4413141</v>
      </c>
    </row>
    <row r="528" customFormat="false" ht="15" hidden="false" customHeight="true" outlineLevel="0" collapsed="false">
      <c r="A528" s="12" t="s">
        <v>951</v>
      </c>
      <c r="B528" s="12" t="s">
        <v>481</v>
      </c>
      <c r="C528" s="12" t="n">
        <v>2026</v>
      </c>
      <c r="D528" s="12" t="n">
        <v>64</v>
      </c>
      <c r="E528" s="12" t="n">
        <v>1701.8</v>
      </c>
      <c r="F528" s="12" t="n">
        <v>4413141</v>
      </c>
    </row>
    <row r="529" customFormat="false" ht="15" hidden="false" customHeight="true" outlineLevel="0" collapsed="false">
      <c r="A529" s="12" t="s">
        <v>951</v>
      </c>
      <c r="B529" s="12" t="s">
        <v>482</v>
      </c>
      <c r="C529" s="12" t="n">
        <v>2025</v>
      </c>
      <c r="D529" s="12" t="n">
        <v>49</v>
      </c>
      <c r="E529" s="12" t="n">
        <v>1440.1</v>
      </c>
      <c r="F529" s="12" t="n">
        <v>4413142</v>
      </c>
    </row>
    <row r="530" customFormat="false" ht="15" hidden="false" customHeight="true" outlineLevel="0" collapsed="false">
      <c r="A530" s="12" t="s">
        <v>951</v>
      </c>
      <c r="B530" s="12" t="s">
        <v>482</v>
      </c>
      <c r="C530" s="12" t="n">
        <v>2026</v>
      </c>
      <c r="D530" s="12" t="n">
        <v>32</v>
      </c>
      <c r="E530" s="12" t="n">
        <v>953.5</v>
      </c>
      <c r="F530" s="12" t="n">
        <v>4413142</v>
      </c>
    </row>
    <row r="531" customFormat="false" ht="15" hidden="false" customHeight="true" outlineLevel="0" collapsed="false">
      <c r="A531" s="12" t="s">
        <v>951</v>
      </c>
      <c r="B531" s="12" t="s">
        <v>483</v>
      </c>
      <c r="C531" s="12" t="n">
        <v>2025</v>
      </c>
      <c r="D531" s="12" t="n">
        <v>25</v>
      </c>
      <c r="E531" s="12" t="n">
        <v>753.5</v>
      </c>
      <c r="F531" s="12" t="n">
        <v>4413143</v>
      </c>
    </row>
    <row r="532" customFormat="false" ht="15" hidden="false" customHeight="true" outlineLevel="0" collapsed="false">
      <c r="A532" s="12" t="s">
        <v>951</v>
      </c>
      <c r="B532" s="12" t="s">
        <v>483</v>
      </c>
      <c r="C532" s="12" t="n">
        <v>2026</v>
      </c>
      <c r="D532" s="12" t="n">
        <v>23</v>
      </c>
      <c r="E532" s="12" t="n">
        <v>691.9</v>
      </c>
      <c r="F532" s="12" t="n">
        <v>4413143</v>
      </c>
    </row>
    <row r="533" customFormat="false" ht="15" hidden="false" customHeight="true" outlineLevel="0" collapsed="false">
      <c r="A533" s="12" t="s">
        <v>951</v>
      </c>
      <c r="B533" s="12" t="s">
        <v>484</v>
      </c>
      <c r="C533" s="12" t="n">
        <v>2025</v>
      </c>
      <c r="D533" s="12" t="n">
        <v>2</v>
      </c>
      <c r="E533" s="12" t="n">
        <v>61.8</v>
      </c>
      <c r="F533" s="12" t="n">
        <v>4413144</v>
      </c>
    </row>
    <row r="534" customFormat="false" ht="15" hidden="false" customHeight="true" outlineLevel="0" collapsed="false">
      <c r="A534" s="12" t="s">
        <v>951</v>
      </c>
      <c r="B534" s="12" t="s">
        <v>484</v>
      </c>
      <c r="C534" s="12" t="n">
        <v>2026</v>
      </c>
      <c r="D534" s="12" t="n">
        <v>5</v>
      </c>
      <c r="E534" s="12" t="n">
        <v>146.2</v>
      </c>
      <c r="F534" s="12" t="n">
        <v>4413144</v>
      </c>
    </row>
    <row r="535" customFormat="false" ht="15" hidden="false" customHeight="true" outlineLevel="0" collapsed="false">
      <c r="A535" s="12" t="s">
        <v>951</v>
      </c>
      <c r="B535" s="12" t="s">
        <v>365</v>
      </c>
      <c r="C535" s="12" t="n">
        <v>2025</v>
      </c>
      <c r="D535" s="12" t="n">
        <v>390</v>
      </c>
      <c r="E535" s="12" t="n">
        <v>5137.1</v>
      </c>
      <c r="F535" s="12" t="n">
        <v>4413149</v>
      </c>
    </row>
    <row r="536" customFormat="false" ht="15" hidden="false" customHeight="true" outlineLevel="0" collapsed="false">
      <c r="A536" s="12" t="s">
        <v>951</v>
      </c>
      <c r="B536" s="12" t="s">
        <v>365</v>
      </c>
      <c r="C536" s="12" t="n">
        <v>2026</v>
      </c>
      <c r="D536" s="12" t="n">
        <v>95</v>
      </c>
      <c r="E536" s="12" t="n">
        <v>1292.3</v>
      </c>
      <c r="F536" s="12" t="n">
        <v>4413149</v>
      </c>
    </row>
    <row r="537" customFormat="false" ht="15" hidden="false" customHeight="true" outlineLevel="0" collapsed="false">
      <c r="A537" s="12" t="s">
        <v>951</v>
      </c>
      <c r="B537" s="12" t="s">
        <v>574</v>
      </c>
      <c r="C537" s="12" t="n">
        <v>2025</v>
      </c>
      <c r="D537" s="12" t="n">
        <v>49</v>
      </c>
      <c r="E537" s="12" t="n">
        <v>1383.8</v>
      </c>
      <c r="F537" s="12" t="n">
        <v>4413150</v>
      </c>
    </row>
    <row r="538" customFormat="false" ht="15" hidden="false" customHeight="true" outlineLevel="0" collapsed="false">
      <c r="A538" s="12" t="s">
        <v>951</v>
      </c>
      <c r="B538" s="12" t="s">
        <v>574</v>
      </c>
      <c r="C538" s="12" t="n">
        <v>2026</v>
      </c>
      <c r="D538" s="12" t="n">
        <v>73</v>
      </c>
      <c r="E538" s="12" t="n">
        <v>2097.1</v>
      </c>
      <c r="F538" s="12" t="n">
        <v>4413150</v>
      </c>
    </row>
    <row r="539" customFormat="false" ht="15" hidden="false" customHeight="true" outlineLevel="0" collapsed="false">
      <c r="A539" s="12" t="s">
        <v>951</v>
      </c>
      <c r="B539" s="12" t="s">
        <v>423</v>
      </c>
      <c r="C539" s="12" t="n">
        <v>2025</v>
      </c>
      <c r="D539" s="12" t="n">
        <v>6</v>
      </c>
      <c r="E539" s="12" t="n">
        <v>418.7</v>
      </c>
      <c r="F539" s="12" t="n">
        <v>4413153</v>
      </c>
    </row>
    <row r="540" customFormat="false" ht="15" hidden="false" customHeight="true" outlineLevel="0" collapsed="false">
      <c r="A540" s="12" t="s">
        <v>951</v>
      </c>
      <c r="B540" s="12" t="s">
        <v>423</v>
      </c>
      <c r="C540" s="12" t="n">
        <v>2026</v>
      </c>
      <c r="D540" s="12" t="n">
        <v>-2</v>
      </c>
      <c r="E540" s="12" t="n">
        <v>-184.3</v>
      </c>
      <c r="F540" s="12" t="n">
        <v>4413153</v>
      </c>
    </row>
    <row r="541" customFormat="false" ht="15" hidden="false" customHeight="true" outlineLevel="0" collapsed="false">
      <c r="A541" s="12" t="s">
        <v>951</v>
      </c>
      <c r="B541" s="12" t="s">
        <v>424</v>
      </c>
      <c r="C541" s="12" t="n">
        <v>2025</v>
      </c>
      <c r="D541" s="12" t="n">
        <v>6</v>
      </c>
      <c r="E541" s="12" t="n">
        <v>542.6</v>
      </c>
      <c r="F541" s="12" t="n">
        <v>4413154</v>
      </c>
    </row>
    <row r="542" customFormat="false" ht="15" hidden="false" customHeight="true" outlineLevel="0" collapsed="false">
      <c r="A542" s="12" t="s">
        <v>951</v>
      </c>
      <c r="B542" s="12" t="s">
        <v>424</v>
      </c>
      <c r="C542" s="12" t="n">
        <v>2026</v>
      </c>
      <c r="D542" s="12" t="n">
        <v>3</v>
      </c>
      <c r="E542" s="12" t="n">
        <v>281.1</v>
      </c>
      <c r="F542" s="12" t="n">
        <v>4413154</v>
      </c>
    </row>
    <row r="543" customFormat="false" ht="15" hidden="false" customHeight="true" outlineLevel="0" collapsed="false">
      <c r="A543" s="12" t="s">
        <v>951</v>
      </c>
      <c r="B543" s="12" t="s">
        <v>425</v>
      </c>
      <c r="C543" s="12" t="n">
        <v>2025</v>
      </c>
      <c r="D543" s="12" t="n">
        <v>19</v>
      </c>
      <c r="E543" s="12" t="n">
        <v>1616.2</v>
      </c>
      <c r="F543" s="12" t="n">
        <v>4413155</v>
      </c>
    </row>
    <row r="544" customFormat="false" ht="15" hidden="false" customHeight="true" outlineLevel="0" collapsed="false">
      <c r="A544" s="12" t="s">
        <v>951</v>
      </c>
      <c r="B544" s="12" t="s">
        <v>425</v>
      </c>
      <c r="C544" s="12" t="n">
        <v>2026</v>
      </c>
      <c r="D544" s="12" t="n">
        <v>2</v>
      </c>
      <c r="E544" s="12" t="n">
        <v>187.4</v>
      </c>
      <c r="F544" s="12" t="n">
        <v>4413155</v>
      </c>
    </row>
    <row r="545" customFormat="false" ht="15" hidden="false" customHeight="true" outlineLevel="0" collapsed="false">
      <c r="A545" s="12" t="s">
        <v>951</v>
      </c>
      <c r="B545" s="12" t="s">
        <v>426</v>
      </c>
      <c r="C545" s="12" t="n">
        <v>2025</v>
      </c>
      <c r="D545" s="12" t="n">
        <v>36</v>
      </c>
      <c r="E545" s="12" t="n">
        <v>3080.1</v>
      </c>
      <c r="F545" s="12" t="n">
        <v>4413156</v>
      </c>
    </row>
    <row r="546" customFormat="false" ht="15" hidden="false" customHeight="true" outlineLevel="0" collapsed="false">
      <c r="A546" s="12" t="s">
        <v>951</v>
      </c>
      <c r="B546" s="12" t="s">
        <v>426</v>
      </c>
      <c r="C546" s="12" t="n">
        <v>2026</v>
      </c>
      <c r="D546" s="12" t="n">
        <v>16</v>
      </c>
      <c r="E546" s="12" t="n">
        <v>1554</v>
      </c>
      <c r="F546" s="12" t="n">
        <v>4413156</v>
      </c>
    </row>
    <row r="547" customFormat="false" ht="15" hidden="false" customHeight="true" outlineLevel="0" collapsed="false">
      <c r="A547" s="12" t="s">
        <v>951</v>
      </c>
      <c r="B547" s="12" t="s">
        <v>427</v>
      </c>
      <c r="C547" s="12" t="n">
        <v>2025</v>
      </c>
      <c r="D547" s="12" t="n">
        <v>54</v>
      </c>
      <c r="E547" s="12" t="n">
        <v>4652.8</v>
      </c>
      <c r="F547" s="12" t="n">
        <v>4413157</v>
      </c>
    </row>
    <row r="548" customFormat="false" ht="15" hidden="false" customHeight="true" outlineLevel="0" collapsed="false">
      <c r="A548" s="12" t="s">
        <v>951</v>
      </c>
      <c r="B548" s="12" t="s">
        <v>427</v>
      </c>
      <c r="C548" s="12" t="n">
        <v>2026</v>
      </c>
      <c r="D548" s="12" t="n">
        <v>18</v>
      </c>
      <c r="E548" s="12" t="n">
        <v>1770</v>
      </c>
      <c r="F548" s="12" t="n">
        <v>4413157</v>
      </c>
    </row>
    <row r="549" customFormat="false" ht="15" hidden="false" customHeight="true" outlineLevel="0" collapsed="false">
      <c r="A549" s="12" t="s">
        <v>951</v>
      </c>
      <c r="B549" s="12" t="s">
        <v>428</v>
      </c>
      <c r="C549" s="12" t="n">
        <v>2025</v>
      </c>
      <c r="D549" s="12" t="n">
        <v>33</v>
      </c>
      <c r="E549" s="12" t="n">
        <v>2838.9</v>
      </c>
      <c r="F549" s="12" t="n">
        <v>4413158</v>
      </c>
    </row>
    <row r="550" customFormat="false" ht="15" hidden="false" customHeight="true" outlineLevel="0" collapsed="false">
      <c r="A550" s="12" t="s">
        <v>951</v>
      </c>
      <c r="B550" s="12" t="s">
        <v>428</v>
      </c>
      <c r="C550" s="12" t="n">
        <v>2026</v>
      </c>
      <c r="D550" s="12" t="n">
        <v>19</v>
      </c>
      <c r="E550" s="12" t="n">
        <v>1761.4</v>
      </c>
      <c r="F550" s="12" t="n">
        <v>4413158</v>
      </c>
    </row>
    <row r="551" customFormat="false" ht="15" hidden="false" customHeight="true" outlineLevel="0" collapsed="false">
      <c r="A551" s="12" t="s">
        <v>951</v>
      </c>
      <c r="B551" s="12" t="s">
        <v>739</v>
      </c>
      <c r="C551" s="12" t="n">
        <v>2025</v>
      </c>
      <c r="D551" s="12" t="n">
        <v>29</v>
      </c>
      <c r="E551" s="12" t="n">
        <v>1987.6</v>
      </c>
      <c r="F551" s="12" t="n">
        <v>4413159</v>
      </c>
    </row>
    <row r="552" customFormat="false" ht="15" hidden="false" customHeight="true" outlineLevel="0" collapsed="false">
      <c r="A552" s="12" t="s">
        <v>951</v>
      </c>
      <c r="B552" s="12" t="s">
        <v>739</v>
      </c>
      <c r="C552" s="12" t="n">
        <v>2026</v>
      </c>
      <c r="D552" s="12" t="n">
        <v>12</v>
      </c>
      <c r="E552" s="12" t="n">
        <v>796.2</v>
      </c>
      <c r="F552" s="12" t="n">
        <v>4413159</v>
      </c>
    </row>
    <row r="553" customFormat="false" ht="15" hidden="false" customHeight="true" outlineLevel="0" collapsed="false">
      <c r="A553" s="12" t="s">
        <v>951</v>
      </c>
      <c r="B553" s="12" t="s">
        <v>738</v>
      </c>
      <c r="C553" s="12" t="n">
        <v>2025</v>
      </c>
      <c r="D553" s="12" t="n">
        <v>62</v>
      </c>
      <c r="E553" s="12" t="n">
        <v>4069.3</v>
      </c>
      <c r="F553" s="12" t="n">
        <v>4413160</v>
      </c>
    </row>
    <row r="554" customFormat="false" ht="15" hidden="false" customHeight="true" outlineLevel="0" collapsed="false">
      <c r="A554" s="12" t="s">
        <v>951</v>
      </c>
      <c r="B554" s="12" t="s">
        <v>738</v>
      </c>
      <c r="C554" s="12" t="n">
        <v>2026</v>
      </c>
      <c r="D554" s="12" t="n">
        <v>28</v>
      </c>
      <c r="E554" s="12" t="n">
        <v>1897</v>
      </c>
      <c r="F554" s="12" t="n">
        <v>4413160</v>
      </c>
    </row>
    <row r="555" customFormat="false" ht="15" hidden="false" customHeight="true" outlineLevel="0" collapsed="false">
      <c r="A555" s="12" t="s">
        <v>951</v>
      </c>
      <c r="B555" s="12" t="s">
        <v>737</v>
      </c>
      <c r="C555" s="12" t="n">
        <v>2025</v>
      </c>
      <c r="D555" s="12" t="n">
        <v>73</v>
      </c>
      <c r="E555" s="12" t="n">
        <v>4770.5</v>
      </c>
      <c r="F555" s="12" t="n">
        <v>4413161</v>
      </c>
    </row>
    <row r="556" customFormat="false" ht="15" hidden="false" customHeight="true" outlineLevel="0" collapsed="false">
      <c r="A556" s="12" t="s">
        <v>951</v>
      </c>
      <c r="B556" s="12" t="s">
        <v>737</v>
      </c>
      <c r="C556" s="12" t="n">
        <v>2026</v>
      </c>
      <c r="D556" s="12" t="n">
        <v>59</v>
      </c>
      <c r="E556" s="12" t="n">
        <v>3859.5</v>
      </c>
      <c r="F556" s="12" t="n">
        <v>4413161</v>
      </c>
    </row>
    <row r="557" customFormat="false" ht="15" hidden="false" customHeight="true" outlineLevel="0" collapsed="false">
      <c r="A557" s="12" t="s">
        <v>951</v>
      </c>
      <c r="B557" s="12" t="s">
        <v>740</v>
      </c>
      <c r="C557" s="12" t="n">
        <v>2025</v>
      </c>
      <c r="D557" s="12" t="n">
        <v>46</v>
      </c>
      <c r="E557" s="12" t="n">
        <v>3106.1</v>
      </c>
      <c r="F557" s="12" t="n">
        <v>4413162</v>
      </c>
    </row>
    <row r="558" customFormat="false" ht="15" hidden="false" customHeight="true" outlineLevel="0" collapsed="false">
      <c r="A558" s="12" t="s">
        <v>951</v>
      </c>
      <c r="B558" s="12" t="s">
        <v>740</v>
      </c>
      <c r="C558" s="12" t="n">
        <v>2026</v>
      </c>
      <c r="D558" s="12" t="n">
        <v>24</v>
      </c>
      <c r="E558" s="12" t="n">
        <v>1601.9</v>
      </c>
      <c r="F558" s="12" t="n">
        <v>4413162</v>
      </c>
    </row>
    <row r="559" customFormat="false" ht="15" hidden="false" customHeight="true" outlineLevel="0" collapsed="false">
      <c r="A559" s="12" t="s">
        <v>951</v>
      </c>
      <c r="B559" s="12" t="s">
        <v>372</v>
      </c>
      <c r="C559" s="12" t="n">
        <v>2026</v>
      </c>
      <c r="D559" s="12" t="n">
        <v>1</v>
      </c>
      <c r="E559" s="12" t="n">
        <v>168.5</v>
      </c>
      <c r="F559" s="12" t="n">
        <v>4413165</v>
      </c>
    </row>
    <row r="560" customFormat="false" ht="15" hidden="false" customHeight="true" outlineLevel="0" collapsed="false">
      <c r="A560" s="12" t="s">
        <v>951</v>
      </c>
      <c r="B560" s="12" t="s">
        <v>516</v>
      </c>
      <c r="C560" s="12" t="n">
        <v>2025</v>
      </c>
      <c r="D560" s="12" t="n">
        <v>-1</v>
      </c>
      <c r="E560" s="12" t="n">
        <v>-37.8</v>
      </c>
      <c r="F560" s="12" t="n">
        <v>4413166</v>
      </c>
    </row>
    <row r="561" customFormat="false" ht="15" hidden="false" customHeight="true" outlineLevel="0" collapsed="false">
      <c r="A561" s="12" t="s">
        <v>951</v>
      </c>
      <c r="B561" s="12" t="s">
        <v>167</v>
      </c>
      <c r="C561" s="12" t="n">
        <v>2025</v>
      </c>
      <c r="D561" s="12" t="n">
        <v>1</v>
      </c>
      <c r="E561" s="12" t="n">
        <v>94.6</v>
      </c>
      <c r="F561" s="12" t="n">
        <v>4413169</v>
      </c>
    </row>
    <row r="562" customFormat="false" ht="15" hidden="false" customHeight="true" outlineLevel="0" collapsed="false">
      <c r="A562" s="12" t="s">
        <v>951</v>
      </c>
      <c r="B562" s="12" t="s">
        <v>166</v>
      </c>
      <c r="C562" s="12" t="n">
        <v>2025</v>
      </c>
      <c r="D562" s="12" t="n">
        <v>1</v>
      </c>
      <c r="E562" s="12" t="n">
        <v>94.5</v>
      </c>
      <c r="F562" s="12" t="n">
        <v>4413170</v>
      </c>
    </row>
    <row r="563" customFormat="false" ht="15" hidden="false" customHeight="true" outlineLevel="0" collapsed="false">
      <c r="A563" s="12" t="s">
        <v>951</v>
      </c>
      <c r="B563" s="12" t="s">
        <v>165</v>
      </c>
      <c r="C563" s="12" t="n">
        <v>2025</v>
      </c>
      <c r="D563" s="12" t="n">
        <v>3</v>
      </c>
      <c r="E563" s="12" t="n">
        <v>271.1</v>
      </c>
      <c r="F563" s="12" t="n">
        <v>4413171</v>
      </c>
    </row>
    <row r="564" customFormat="false" ht="15" hidden="false" customHeight="true" outlineLevel="0" collapsed="false">
      <c r="A564" s="12" t="s">
        <v>951</v>
      </c>
      <c r="B564" s="12" t="s">
        <v>168</v>
      </c>
      <c r="C564" s="12" t="n">
        <v>2025</v>
      </c>
      <c r="D564" s="12" t="n">
        <v>4</v>
      </c>
      <c r="E564" s="12" t="n">
        <v>365.6</v>
      </c>
      <c r="F564" s="12" t="n">
        <v>4413172</v>
      </c>
    </row>
    <row r="565" customFormat="false" ht="15" hidden="false" customHeight="true" outlineLevel="0" collapsed="false">
      <c r="A565" s="12" t="s">
        <v>951</v>
      </c>
      <c r="B565" s="12" t="s">
        <v>169</v>
      </c>
      <c r="C565" s="12" t="n">
        <v>2025</v>
      </c>
      <c r="D565" s="12" t="n">
        <v>1</v>
      </c>
      <c r="E565" s="12" t="n">
        <v>82</v>
      </c>
      <c r="F565" s="12" t="n">
        <v>4413173</v>
      </c>
    </row>
    <row r="566" customFormat="false" ht="15" hidden="false" customHeight="true" outlineLevel="0" collapsed="false">
      <c r="A566" s="12" t="s">
        <v>951</v>
      </c>
      <c r="B566" s="12" t="s">
        <v>525</v>
      </c>
      <c r="C566" s="12" t="n">
        <v>2025</v>
      </c>
      <c r="D566" s="12" t="n">
        <v>1</v>
      </c>
      <c r="E566" s="12" t="n">
        <v>94.5</v>
      </c>
      <c r="F566" s="12" t="n">
        <v>4413174</v>
      </c>
    </row>
    <row r="567" customFormat="false" ht="15" hidden="false" customHeight="true" outlineLevel="0" collapsed="false">
      <c r="A567" s="12" t="s">
        <v>951</v>
      </c>
      <c r="B567" s="12" t="s">
        <v>524</v>
      </c>
      <c r="C567" s="12" t="n">
        <v>2025</v>
      </c>
      <c r="D567" s="12" t="n">
        <v>2</v>
      </c>
      <c r="E567" s="12" t="n">
        <v>189.1</v>
      </c>
      <c r="F567" s="12" t="n">
        <v>4413175</v>
      </c>
    </row>
    <row r="568" customFormat="false" ht="15" hidden="false" customHeight="true" outlineLevel="0" collapsed="false">
      <c r="A568" s="12" t="s">
        <v>951</v>
      </c>
      <c r="B568" s="12" t="s">
        <v>524</v>
      </c>
      <c r="C568" s="12" t="n">
        <v>2026</v>
      </c>
      <c r="D568" s="12" t="n">
        <v>1</v>
      </c>
      <c r="E568" s="12" t="n">
        <v>94.6</v>
      </c>
      <c r="F568" s="12" t="n">
        <v>4413175</v>
      </c>
    </row>
    <row r="569" customFormat="false" ht="15" hidden="false" customHeight="true" outlineLevel="0" collapsed="false">
      <c r="A569" s="12" t="s">
        <v>951</v>
      </c>
      <c r="B569" s="12" t="s">
        <v>523</v>
      </c>
      <c r="C569" s="12" t="n">
        <v>2025</v>
      </c>
      <c r="D569" s="12" t="n">
        <v>3</v>
      </c>
      <c r="E569" s="12" t="n">
        <v>283.8</v>
      </c>
      <c r="F569" s="12" t="n">
        <v>4413176</v>
      </c>
    </row>
    <row r="570" customFormat="false" ht="15" hidden="false" customHeight="true" outlineLevel="0" collapsed="false">
      <c r="A570" s="12" t="s">
        <v>951</v>
      </c>
      <c r="B570" s="12" t="s">
        <v>523</v>
      </c>
      <c r="C570" s="12" t="n">
        <v>2026</v>
      </c>
      <c r="D570" s="12" t="n">
        <v>1</v>
      </c>
      <c r="E570" s="12" t="n">
        <v>94.6</v>
      </c>
      <c r="F570" s="12" t="n">
        <v>4413176</v>
      </c>
    </row>
    <row r="571" customFormat="false" ht="15" hidden="false" customHeight="true" outlineLevel="0" collapsed="false">
      <c r="A571" s="12" t="s">
        <v>951</v>
      </c>
      <c r="B571" s="12" t="s">
        <v>526</v>
      </c>
      <c r="C571" s="12" t="n">
        <v>2025</v>
      </c>
      <c r="D571" s="12" t="n">
        <v>1</v>
      </c>
      <c r="E571" s="12" t="n">
        <v>94.6</v>
      </c>
      <c r="F571" s="12" t="n">
        <v>4413177</v>
      </c>
    </row>
    <row r="572" customFormat="false" ht="15" hidden="false" customHeight="true" outlineLevel="0" collapsed="false">
      <c r="A572" s="12" t="s">
        <v>951</v>
      </c>
      <c r="B572" s="12" t="s">
        <v>526</v>
      </c>
      <c r="C572" s="12" t="n">
        <v>2026</v>
      </c>
      <c r="D572" s="12" t="n">
        <v>2</v>
      </c>
      <c r="E572" s="12" t="n">
        <v>189.3</v>
      </c>
      <c r="F572" s="12" t="n">
        <v>4413177</v>
      </c>
    </row>
    <row r="573" customFormat="false" ht="15" hidden="false" customHeight="true" outlineLevel="0" collapsed="false">
      <c r="A573" s="12" t="s">
        <v>951</v>
      </c>
      <c r="B573" s="12" t="s">
        <v>805</v>
      </c>
      <c r="C573" s="12" t="n">
        <v>2025</v>
      </c>
      <c r="D573" s="12" t="n">
        <v>1</v>
      </c>
      <c r="E573" s="12" t="n">
        <v>93.4</v>
      </c>
      <c r="F573" s="12" t="n">
        <v>4413178</v>
      </c>
    </row>
    <row r="574" customFormat="false" ht="15" hidden="false" customHeight="true" outlineLevel="0" collapsed="false">
      <c r="A574" s="12" t="s">
        <v>951</v>
      </c>
      <c r="B574" s="12" t="s">
        <v>803</v>
      </c>
      <c r="C574" s="12" t="n">
        <v>2025</v>
      </c>
      <c r="D574" s="12" t="n">
        <v>4</v>
      </c>
      <c r="E574" s="12" t="n">
        <v>402.3</v>
      </c>
      <c r="F574" s="12" t="n">
        <v>4413179</v>
      </c>
    </row>
    <row r="575" customFormat="false" ht="15" hidden="false" customHeight="true" outlineLevel="0" collapsed="false">
      <c r="A575" s="12" t="s">
        <v>951</v>
      </c>
      <c r="B575" s="12" t="s">
        <v>834</v>
      </c>
      <c r="C575" s="12" t="n">
        <v>2025</v>
      </c>
      <c r="D575" s="12" t="n">
        <v>3</v>
      </c>
      <c r="E575" s="12" t="n">
        <v>308.9</v>
      </c>
      <c r="F575" s="12" t="n">
        <v>4413181</v>
      </c>
    </row>
    <row r="576" customFormat="false" ht="15" hidden="false" customHeight="true" outlineLevel="0" collapsed="false">
      <c r="A576" s="12" t="s">
        <v>951</v>
      </c>
      <c r="B576" s="12" t="s">
        <v>162</v>
      </c>
      <c r="C576" s="12" t="n">
        <v>2025</v>
      </c>
      <c r="D576" s="12" t="n">
        <v>1</v>
      </c>
      <c r="E576" s="12" t="n">
        <v>104</v>
      </c>
      <c r="F576" s="12" t="n">
        <v>4413183</v>
      </c>
    </row>
    <row r="577" customFormat="false" ht="15" hidden="false" customHeight="true" outlineLevel="0" collapsed="false">
      <c r="A577" s="12" t="s">
        <v>951</v>
      </c>
      <c r="B577" s="12" t="s">
        <v>162</v>
      </c>
      <c r="C577" s="12" t="n">
        <v>2026</v>
      </c>
      <c r="D577" s="12" t="n">
        <v>2</v>
      </c>
      <c r="E577" s="12" t="n">
        <v>210.8</v>
      </c>
      <c r="F577" s="12" t="n">
        <v>4413183</v>
      </c>
    </row>
    <row r="578" customFormat="false" ht="15" hidden="false" customHeight="true" outlineLevel="0" collapsed="false">
      <c r="A578" s="12" t="s">
        <v>951</v>
      </c>
      <c r="B578" s="12" t="s">
        <v>161</v>
      </c>
      <c r="C578" s="12" t="n">
        <v>2025</v>
      </c>
      <c r="D578" s="12" t="n">
        <v>4</v>
      </c>
      <c r="E578" s="12" t="n">
        <v>417.5</v>
      </c>
      <c r="F578" s="12" t="n">
        <v>4413184</v>
      </c>
    </row>
    <row r="579" customFormat="false" ht="15" hidden="false" customHeight="true" outlineLevel="0" collapsed="false">
      <c r="A579" s="12" t="s">
        <v>951</v>
      </c>
      <c r="B579" s="12" t="s">
        <v>161</v>
      </c>
      <c r="C579" s="12" t="n">
        <v>2026</v>
      </c>
      <c r="D579" s="12" t="n">
        <v>1</v>
      </c>
      <c r="E579" s="12" t="n">
        <v>105.4</v>
      </c>
      <c r="F579" s="12" t="n">
        <v>4413184</v>
      </c>
    </row>
    <row r="580" customFormat="false" ht="15" hidden="false" customHeight="true" outlineLevel="0" collapsed="false">
      <c r="A580" s="12" t="s">
        <v>951</v>
      </c>
      <c r="B580" s="12" t="s">
        <v>163</v>
      </c>
      <c r="C580" s="12" t="n">
        <v>2025</v>
      </c>
      <c r="D580" s="12" t="n">
        <v>5</v>
      </c>
      <c r="E580" s="12" t="n">
        <v>525.6</v>
      </c>
      <c r="F580" s="12" t="n">
        <v>4413185</v>
      </c>
    </row>
    <row r="581" customFormat="false" ht="15" hidden="false" customHeight="true" outlineLevel="0" collapsed="false">
      <c r="A581" s="12" t="s">
        <v>951</v>
      </c>
      <c r="B581" s="12" t="s">
        <v>163</v>
      </c>
      <c r="C581" s="12" t="n">
        <v>2026</v>
      </c>
      <c r="D581" s="12" t="n">
        <v>2</v>
      </c>
      <c r="E581" s="12" t="n">
        <v>210.8</v>
      </c>
      <c r="F581" s="12" t="n">
        <v>4413185</v>
      </c>
    </row>
    <row r="582" customFormat="false" ht="15" hidden="false" customHeight="true" outlineLevel="0" collapsed="false">
      <c r="A582" s="12" t="s">
        <v>951</v>
      </c>
      <c r="B582" s="12" t="s">
        <v>393</v>
      </c>
      <c r="C582" s="12" t="n">
        <v>2025</v>
      </c>
      <c r="D582" s="12" t="n">
        <v>5</v>
      </c>
      <c r="E582" s="12" t="n">
        <v>957.4</v>
      </c>
      <c r="F582" s="12" t="n">
        <v>4413195</v>
      </c>
    </row>
    <row r="583" customFormat="false" ht="15" hidden="false" customHeight="true" outlineLevel="0" collapsed="false">
      <c r="A583" s="12" t="s">
        <v>951</v>
      </c>
      <c r="B583" s="12" t="s">
        <v>393</v>
      </c>
      <c r="C583" s="12" t="n">
        <v>2026</v>
      </c>
      <c r="D583" s="12" t="n">
        <v>4</v>
      </c>
      <c r="E583" s="12" t="n">
        <v>806</v>
      </c>
      <c r="F583" s="12" t="n">
        <v>4413195</v>
      </c>
    </row>
    <row r="584" customFormat="false" ht="15" hidden="false" customHeight="true" outlineLevel="0" collapsed="false">
      <c r="A584" s="12" t="s">
        <v>951</v>
      </c>
      <c r="B584" s="12" t="s">
        <v>392</v>
      </c>
      <c r="C584" s="12" t="n">
        <v>2025</v>
      </c>
      <c r="D584" s="12" t="n">
        <v>14</v>
      </c>
      <c r="E584" s="12" t="n">
        <v>2744.1</v>
      </c>
      <c r="F584" s="12" t="n">
        <v>4413196</v>
      </c>
    </row>
    <row r="585" customFormat="false" ht="15" hidden="false" customHeight="true" outlineLevel="0" collapsed="false">
      <c r="A585" s="12" t="s">
        <v>951</v>
      </c>
      <c r="B585" s="12" t="s">
        <v>392</v>
      </c>
      <c r="C585" s="12" t="n">
        <v>2026</v>
      </c>
      <c r="D585" s="12" t="n">
        <v>11</v>
      </c>
      <c r="E585" s="12" t="n">
        <v>2216.5</v>
      </c>
      <c r="F585" s="12" t="n">
        <v>4413196</v>
      </c>
    </row>
    <row r="586" customFormat="false" ht="15" hidden="false" customHeight="true" outlineLevel="0" collapsed="false">
      <c r="A586" s="12" t="s">
        <v>951</v>
      </c>
      <c r="B586" s="12" t="s">
        <v>391</v>
      </c>
      <c r="C586" s="12" t="n">
        <v>2025</v>
      </c>
      <c r="D586" s="12" t="n">
        <v>27</v>
      </c>
      <c r="E586" s="12" t="n">
        <v>5337.7</v>
      </c>
      <c r="F586" s="12" t="n">
        <v>4413197</v>
      </c>
    </row>
    <row r="587" customFormat="false" ht="15" hidden="false" customHeight="true" outlineLevel="0" collapsed="false">
      <c r="A587" s="12" t="s">
        <v>951</v>
      </c>
      <c r="B587" s="12" t="s">
        <v>391</v>
      </c>
      <c r="C587" s="12" t="n">
        <v>2026</v>
      </c>
      <c r="D587" s="12" t="n">
        <v>27</v>
      </c>
      <c r="E587" s="12" t="n">
        <v>5346.4</v>
      </c>
      <c r="F587" s="12" t="n">
        <v>4413197</v>
      </c>
    </row>
    <row r="588" customFormat="false" ht="15" hidden="false" customHeight="true" outlineLevel="0" collapsed="false">
      <c r="A588" s="12" t="s">
        <v>951</v>
      </c>
      <c r="B588" s="12" t="s">
        <v>394</v>
      </c>
      <c r="C588" s="12" t="n">
        <v>2025</v>
      </c>
      <c r="D588" s="12" t="n">
        <v>18</v>
      </c>
      <c r="E588" s="12" t="n">
        <v>3457.1</v>
      </c>
      <c r="F588" s="12" t="n">
        <v>4413198</v>
      </c>
    </row>
    <row r="589" customFormat="false" ht="15" hidden="false" customHeight="true" outlineLevel="0" collapsed="false">
      <c r="A589" s="12" t="s">
        <v>951</v>
      </c>
      <c r="B589" s="12" t="s">
        <v>394</v>
      </c>
      <c r="C589" s="12" t="n">
        <v>2026</v>
      </c>
      <c r="D589" s="12" t="n">
        <v>14</v>
      </c>
      <c r="E589" s="12" t="n">
        <v>2793.2</v>
      </c>
      <c r="F589" s="12" t="n">
        <v>4413198</v>
      </c>
    </row>
    <row r="590" customFormat="false" ht="15" hidden="false" customHeight="true" outlineLevel="0" collapsed="false">
      <c r="A590" s="12" t="s">
        <v>951</v>
      </c>
      <c r="B590" s="12" t="s">
        <v>395</v>
      </c>
      <c r="C590" s="12" t="n">
        <v>2025</v>
      </c>
      <c r="D590" s="12" t="n">
        <v>2</v>
      </c>
      <c r="E590" s="12" t="n">
        <v>403</v>
      </c>
      <c r="F590" s="12" t="n">
        <v>4413204</v>
      </c>
    </row>
    <row r="591" customFormat="false" ht="15" hidden="false" customHeight="true" outlineLevel="0" collapsed="false">
      <c r="A591" s="12" t="s">
        <v>951</v>
      </c>
      <c r="B591" s="12" t="s">
        <v>395</v>
      </c>
      <c r="C591" s="12" t="n">
        <v>2026</v>
      </c>
      <c r="D591" s="12" t="n">
        <v>7</v>
      </c>
      <c r="E591" s="12" t="n">
        <v>1410.5</v>
      </c>
      <c r="F591" s="12" t="n">
        <v>4413204</v>
      </c>
    </row>
    <row r="592" customFormat="false" ht="15" hidden="false" customHeight="true" outlineLevel="0" collapsed="false">
      <c r="A592" s="12" t="s">
        <v>951</v>
      </c>
      <c r="B592" s="12" t="s">
        <v>510</v>
      </c>
      <c r="C592" s="12" t="n">
        <v>2026</v>
      </c>
      <c r="D592" s="12" t="n">
        <v>1</v>
      </c>
      <c r="E592" s="12" t="n">
        <v>94.5</v>
      </c>
      <c r="F592" s="12" t="n">
        <v>4413210</v>
      </c>
    </row>
    <row r="593" customFormat="false" ht="15" hidden="false" customHeight="true" outlineLevel="0" collapsed="false">
      <c r="A593" s="12" t="s">
        <v>951</v>
      </c>
      <c r="B593" s="12" t="s">
        <v>182</v>
      </c>
      <c r="C593" s="12" t="n">
        <v>2025</v>
      </c>
      <c r="D593" s="12" t="n">
        <v>2</v>
      </c>
      <c r="E593" s="12" t="n">
        <v>237.1</v>
      </c>
      <c r="F593" s="12" t="n">
        <v>4413224</v>
      </c>
    </row>
    <row r="594" customFormat="false" ht="15" hidden="false" customHeight="true" outlineLevel="0" collapsed="false">
      <c r="A594" s="12" t="s">
        <v>951</v>
      </c>
      <c r="B594" s="12" t="s">
        <v>182</v>
      </c>
      <c r="C594" s="12" t="n">
        <v>2026</v>
      </c>
      <c r="D594" s="12" t="n">
        <v>1</v>
      </c>
      <c r="E594" s="12" t="n">
        <v>118.6</v>
      </c>
      <c r="F594" s="12" t="n">
        <v>4413224</v>
      </c>
    </row>
    <row r="595" customFormat="false" ht="15" hidden="false" customHeight="true" outlineLevel="0" collapsed="false">
      <c r="A595" s="12" t="s">
        <v>951</v>
      </c>
      <c r="B595" s="12" t="s">
        <v>180</v>
      </c>
      <c r="C595" s="12" t="n">
        <v>2025</v>
      </c>
      <c r="D595" s="12" t="n">
        <v>1</v>
      </c>
      <c r="E595" s="12" t="n">
        <v>118.6</v>
      </c>
      <c r="F595" s="12" t="n">
        <v>4413225</v>
      </c>
    </row>
    <row r="596" customFormat="false" ht="15" hidden="false" customHeight="true" outlineLevel="0" collapsed="false">
      <c r="A596" s="12" t="s">
        <v>951</v>
      </c>
      <c r="B596" s="12" t="s">
        <v>179</v>
      </c>
      <c r="C596" s="12" t="n">
        <v>2025</v>
      </c>
      <c r="D596" s="12" t="n">
        <v>2</v>
      </c>
      <c r="E596" s="12" t="n">
        <v>237.1</v>
      </c>
      <c r="F596" s="12" t="n">
        <v>4413226</v>
      </c>
    </row>
    <row r="597" customFormat="false" ht="15" hidden="false" customHeight="true" outlineLevel="0" collapsed="false">
      <c r="A597" s="12" t="s">
        <v>951</v>
      </c>
      <c r="B597" s="12" t="s">
        <v>178</v>
      </c>
      <c r="C597" s="12" t="n">
        <v>2026</v>
      </c>
      <c r="D597" s="12" t="n">
        <v>1</v>
      </c>
      <c r="E597" s="12" t="n">
        <v>118.6</v>
      </c>
      <c r="F597" s="12" t="n">
        <v>4413260</v>
      </c>
    </row>
    <row r="598" customFormat="false" ht="15" hidden="false" customHeight="true" outlineLevel="0" collapsed="false">
      <c r="A598" s="12" t="s">
        <v>951</v>
      </c>
      <c r="B598" s="12" t="s">
        <v>382</v>
      </c>
      <c r="C598" s="12" t="n">
        <v>2025</v>
      </c>
      <c r="D598" s="12" t="n">
        <v>2</v>
      </c>
      <c r="E598" s="12" t="n">
        <v>409.4</v>
      </c>
      <c r="F598" s="12" t="n">
        <v>4413262</v>
      </c>
    </row>
    <row r="599" customFormat="false" ht="15" hidden="false" customHeight="true" outlineLevel="0" collapsed="false">
      <c r="A599" s="12" t="s">
        <v>951</v>
      </c>
      <c r="B599" s="12" t="s">
        <v>407</v>
      </c>
      <c r="C599" s="12" t="n">
        <v>2025</v>
      </c>
      <c r="D599" s="12" t="n">
        <v>2</v>
      </c>
      <c r="E599" s="12" t="n">
        <v>47.4</v>
      </c>
      <c r="F599" s="12" t="n">
        <v>4413276</v>
      </c>
    </row>
    <row r="600" customFormat="false" ht="15" hidden="false" customHeight="true" outlineLevel="0" collapsed="false">
      <c r="A600" s="12" t="s">
        <v>951</v>
      </c>
      <c r="B600" s="12" t="s">
        <v>407</v>
      </c>
      <c r="C600" s="12" t="n">
        <v>2026</v>
      </c>
      <c r="D600" s="12" t="n">
        <v>4</v>
      </c>
      <c r="E600" s="12" t="n">
        <v>182.9</v>
      </c>
      <c r="F600" s="12" t="n">
        <v>4413276</v>
      </c>
    </row>
    <row r="601" customFormat="false" ht="15" hidden="false" customHeight="true" outlineLevel="0" collapsed="false">
      <c r="A601" s="12" t="s">
        <v>951</v>
      </c>
      <c r="B601" s="12" t="s">
        <v>408</v>
      </c>
      <c r="C601" s="12" t="n">
        <v>2025</v>
      </c>
      <c r="D601" s="12" t="n">
        <v>4</v>
      </c>
      <c r="E601" s="12" t="n">
        <v>186</v>
      </c>
      <c r="F601" s="12" t="n">
        <v>4413277</v>
      </c>
    </row>
    <row r="602" customFormat="false" ht="15" hidden="false" customHeight="true" outlineLevel="0" collapsed="false">
      <c r="A602" s="12" t="s">
        <v>951</v>
      </c>
      <c r="B602" s="12" t="s">
        <v>408</v>
      </c>
      <c r="C602" s="12" t="n">
        <v>2026</v>
      </c>
      <c r="D602" s="12" t="n">
        <v>2</v>
      </c>
      <c r="E602" s="12" t="n">
        <v>75.7</v>
      </c>
      <c r="F602" s="12" t="n">
        <v>4413277</v>
      </c>
    </row>
    <row r="603" customFormat="false" ht="15" hidden="false" customHeight="true" outlineLevel="0" collapsed="false">
      <c r="A603" s="12" t="s">
        <v>951</v>
      </c>
      <c r="B603" s="12" t="s">
        <v>409</v>
      </c>
      <c r="C603" s="12" t="n">
        <v>2025</v>
      </c>
      <c r="D603" s="12" t="n">
        <v>5</v>
      </c>
      <c r="E603" s="12" t="n">
        <v>217.5</v>
      </c>
      <c r="F603" s="12" t="n">
        <v>4413278</v>
      </c>
    </row>
    <row r="604" customFormat="false" ht="15" hidden="false" customHeight="true" outlineLevel="0" collapsed="false">
      <c r="A604" s="12" t="s">
        <v>951</v>
      </c>
      <c r="B604" s="12" t="s">
        <v>409</v>
      </c>
      <c r="C604" s="12" t="n">
        <v>2026</v>
      </c>
      <c r="D604" s="12" t="n">
        <v>1</v>
      </c>
      <c r="E604" s="12" t="n">
        <v>34.8</v>
      </c>
      <c r="F604" s="12" t="n">
        <v>4413278</v>
      </c>
    </row>
    <row r="605" customFormat="false" ht="15" hidden="false" customHeight="true" outlineLevel="0" collapsed="false">
      <c r="A605" s="12" t="s">
        <v>951</v>
      </c>
      <c r="B605" s="12" t="s">
        <v>110</v>
      </c>
      <c r="C605" s="12" t="n">
        <v>2025</v>
      </c>
      <c r="D605" s="12" t="n">
        <v>0</v>
      </c>
      <c r="E605" s="12" t="n">
        <v>-13.5</v>
      </c>
      <c r="F605" s="12" t="n">
        <v>4413282</v>
      </c>
    </row>
    <row r="606" customFormat="false" ht="15" hidden="false" customHeight="true" outlineLevel="0" collapsed="false">
      <c r="A606" s="12" t="s">
        <v>951</v>
      </c>
      <c r="B606" s="12" t="s">
        <v>111</v>
      </c>
      <c r="C606" s="12" t="n">
        <v>2025</v>
      </c>
      <c r="D606" s="12" t="n">
        <v>1</v>
      </c>
      <c r="E606" s="12" t="n">
        <v>189.8</v>
      </c>
      <c r="F606" s="12" t="n">
        <v>4413283</v>
      </c>
    </row>
    <row r="607" customFormat="false" ht="15" hidden="false" customHeight="true" outlineLevel="0" collapsed="false">
      <c r="A607" s="12" t="s">
        <v>951</v>
      </c>
      <c r="B607" s="12" t="s">
        <v>112</v>
      </c>
      <c r="C607" s="12" t="n">
        <v>2025</v>
      </c>
      <c r="D607" s="12" t="n">
        <v>1</v>
      </c>
      <c r="E607" s="12" t="n">
        <v>203.4</v>
      </c>
      <c r="F607" s="12" t="n">
        <v>4413284</v>
      </c>
    </row>
    <row r="608" customFormat="false" ht="15" hidden="false" customHeight="true" outlineLevel="0" collapsed="false">
      <c r="A608" s="12" t="s">
        <v>951</v>
      </c>
      <c r="B608" s="12" t="s">
        <v>112</v>
      </c>
      <c r="C608" s="12" t="n">
        <v>2026</v>
      </c>
      <c r="D608" s="12" t="n">
        <v>2</v>
      </c>
      <c r="E608" s="12" t="n">
        <v>406.8</v>
      </c>
      <c r="F608" s="12" t="n">
        <v>4413284</v>
      </c>
    </row>
    <row r="609" customFormat="false" ht="15" hidden="false" customHeight="true" outlineLevel="0" collapsed="false">
      <c r="A609" s="12" t="s">
        <v>951</v>
      </c>
      <c r="B609" s="12" t="s">
        <v>177</v>
      </c>
      <c r="C609" s="12" t="n">
        <v>2026</v>
      </c>
      <c r="D609" s="12" t="n">
        <v>3</v>
      </c>
      <c r="E609" s="12" t="n">
        <v>312</v>
      </c>
      <c r="F609" s="12" t="n">
        <v>4413286</v>
      </c>
    </row>
    <row r="610" customFormat="false" ht="15" hidden="false" customHeight="true" outlineLevel="0" collapsed="false">
      <c r="A610" s="12" t="s">
        <v>951</v>
      </c>
      <c r="B610" s="12" t="s">
        <v>741</v>
      </c>
      <c r="C610" s="12" t="n">
        <v>2025</v>
      </c>
      <c r="D610" s="12" t="n">
        <v>5</v>
      </c>
      <c r="E610" s="12" t="n">
        <v>346.6</v>
      </c>
      <c r="F610" s="12" t="n">
        <v>4413303</v>
      </c>
    </row>
    <row r="611" customFormat="false" ht="15" hidden="false" customHeight="true" outlineLevel="0" collapsed="false">
      <c r="A611" s="12" t="s">
        <v>951</v>
      </c>
      <c r="B611" s="12" t="s">
        <v>570</v>
      </c>
      <c r="C611" s="12" t="n">
        <v>2025</v>
      </c>
      <c r="D611" s="12" t="n">
        <v>141</v>
      </c>
      <c r="E611" s="12" t="n">
        <v>4332.4</v>
      </c>
      <c r="F611" s="12" t="n">
        <v>4413307</v>
      </c>
    </row>
    <row r="612" customFormat="false" ht="15" hidden="false" customHeight="true" outlineLevel="0" collapsed="false">
      <c r="A612" s="12" t="s">
        <v>951</v>
      </c>
      <c r="B612" s="12" t="s">
        <v>570</v>
      </c>
      <c r="C612" s="12" t="n">
        <v>2026</v>
      </c>
      <c r="D612" s="12" t="n">
        <v>81</v>
      </c>
      <c r="E612" s="12" t="n">
        <v>2522.8</v>
      </c>
      <c r="F612" s="12" t="n">
        <v>4413307</v>
      </c>
    </row>
    <row r="613" customFormat="false" ht="15" hidden="false" customHeight="true" outlineLevel="0" collapsed="false">
      <c r="A613" s="12" t="s">
        <v>951</v>
      </c>
      <c r="B613" s="12" t="s">
        <v>746</v>
      </c>
      <c r="C613" s="12" t="n">
        <v>2025</v>
      </c>
      <c r="D613" s="12" t="n">
        <v>8</v>
      </c>
      <c r="E613" s="12" t="n">
        <v>240.9</v>
      </c>
      <c r="F613" s="12" t="n">
        <v>4413324</v>
      </c>
    </row>
    <row r="614" customFormat="false" ht="15" hidden="false" customHeight="true" outlineLevel="0" collapsed="false">
      <c r="A614" s="12" t="s">
        <v>951</v>
      </c>
      <c r="B614" s="12" t="s">
        <v>758</v>
      </c>
      <c r="C614" s="12" t="n">
        <v>2025</v>
      </c>
      <c r="D614" s="12" t="n">
        <v>374</v>
      </c>
      <c r="E614" s="12" t="n">
        <v>11800.7</v>
      </c>
      <c r="F614" s="12" t="n">
        <v>4413326</v>
      </c>
    </row>
    <row r="615" customFormat="false" ht="15" hidden="false" customHeight="true" outlineLevel="0" collapsed="false">
      <c r="A615" s="12" t="s">
        <v>951</v>
      </c>
      <c r="B615" s="12" t="s">
        <v>758</v>
      </c>
      <c r="C615" s="12" t="n">
        <v>2026</v>
      </c>
      <c r="D615" s="12" t="n">
        <v>335</v>
      </c>
      <c r="E615" s="12" t="n">
        <v>11099</v>
      </c>
      <c r="F615" s="12" t="n">
        <v>4413326</v>
      </c>
    </row>
    <row r="616" customFormat="false" ht="15" hidden="false" customHeight="true" outlineLevel="0" collapsed="false">
      <c r="A616" s="12" t="s">
        <v>951</v>
      </c>
      <c r="B616" s="12" t="s">
        <v>149</v>
      </c>
      <c r="C616" s="12" t="n">
        <v>2025</v>
      </c>
      <c r="D616" s="12" t="n">
        <v>103</v>
      </c>
      <c r="E616" s="12" t="n">
        <v>9674.1</v>
      </c>
      <c r="F616" s="12" t="n">
        <v>4413328</v>
      </c>
    </row>
    <row r="617" customFormat="false" ht="15" hidden="false" customHeight="true" outlineLevel="0" collapsed="false">
      <c r="A617" s="12" t="s">
        <v>951</v>
      </c>
      <c r="B617" s="12" t="s">
        <v>149</v>
      </c>
      <c r="C617" s="12" t="n">
        <v>2026</v>
      </c>
      <c r="D617" s="12" t="n">
        <v>73</v>
      </c>
      <c r="E617" s="12" t="n">
        <v>7022.6</v>
      </c>
      <c r="F617" s="12" t="n">
        <v>4413328</v>
      </c>
    </row>
    <row r="618" customFormat="false" ht="15" hidden="false" customHeight="true" outlineLevel="0" collapsed="false">
      <c r="A618" s="12" t="s">
        <v>951</v>
      </c>
      <c r="B618" s="12" t="s">
        <v>150</v>
      </c>
      <c r="C618" s="12" t="n">
        <v>2025</v>
      </c>
      <c r="D618" s="12" t="n">
        <v>555</v>
      </c>
      <c r="E618" s="12" t="n">
        <v>36987</v>
      </c>
      <c r="F618" s="12" t="n">
        <v>4413329</v>
      </c>
    </row>
    <row r="619" customFormat="false" ht="15" hidden="false" customHeight="true" outlineLevel="0" collapsed="false">
      <c r="A619" s="12" t="s">
        <v>951</v>
      </c>
      <c r="B619" s="12" t="s">
        <v>150</v>
      </c>
      <c r="C619" s="12" t="n">
        <v>2026</v>
      </c>
      <c r="D619" s="12" t="n">
        <v>496</v>
      </c>
      <c r="E619" s="12" t="n">
        <v>33520.5</v>
      </c>
      <c r="F619" s="12" t="n">
        <v>4413329</v>
      </c>
    </row>
    <row r="620" customFormat="false" ht="15" hidden="false" customHeight="true" outlineLevel="0" collapsed="false">
      <c r="A620" s="12" t="s">
        <v>951</v>
      </c>
      <c r="B620" s="12" t="s">
        <v>801</v>
      </c>
      <c r="C620" s="12" t="n">
        <v>2025</v>
      </c>
      <c r="D620" s="12" t="n">
        <v>21</v>
      </c>
      <c r="E620" s="12" t="n">
        <v>1201.4</v>
      </c>
      <c r="F620" s="12" t="n">
        <v>4413330</v>
      </c>
    </row>
    <row r="621" customFormat="false" ht="15" hidden="false" customHeight="true" outlineLevel="0" collapsed="false">
      <c r="A621" s="12" t="s">
        <v>951</v>
      </c>
      <c r="B621" s="12" t="s">
        <v>801</v>
      </c>
      <c r="C621" s="12" t="n">
        <v>2026</v>
      </c>
      <c r="D621" s="12" t="n">
        <v>22</v>
      </c>
      <c r="E621" s="12" t="n">
        <v>1335.3</v>
      </c>
      <c r="F621" s="12" t="n">
        <v>4413330</v>
      </c>
    </row>
    <row r="622" customFormat="false" ht="15" hidden="false" customHeight="true" outlineLevel="0" collapsed="false">
      <c r="A622" s="12" t="s">
        <v>951</v>
      </c>
      <c r="B622" s="12" t="s">
        <v>501</v>
      </c>
      <c r="C622" s="12" t="n">
        <v>2025</v>
      </c>
      <c r="D622" s="12" t="n">
        <v>231</v>
      </c>
      <c r="E622" s="12" t="n">
        <v>8400.9</v>
      </c>
      <c r="F622" s="12" t="n">
        <v>4413331</v>
      </c>
    </row>
    <row r="623" customFormat="false" ht="15" hidden="false" customHeight="true" outlineLevel="0" collapsed="false">
      <c r="A623" s="12" t="s">
        <v>951</v>
      </c>
      <c r="B623" s="12" t="s">
        <v>501</v>
      </c>
      <c r="C623" s="12" t="n">
        <v>2026</v>
      </c>
      <c r="D623" s="12" t="n">
        <v>158</v>
      </c>
      <c r="E623" s="12" t="n">
        <v>5971.7</v>
      </c>
      <c r="F623" s="12" t="n">
        <v>4413331</v>
      </c>
    </row>
    <row r="624" customFormat="false" ht="15" hidden="false" customHeight="true" outlineLevel="0" collapsed="false">
      <c r="A624" s="12" t="s">
        <v>951</v>
      </c>
      <c r="B624" s="12" t="s">
        <v>118</v>
      </c>
      <c r="C624" s="12" t="n">
        <v>2025</v>
      </c>
      <c r="D624" s="12" t="n">
        <v>5</v>
      </c>
      <c r="E624" s="12" t="n">
        <v>146.2</v>
      </c>
      <c r="F624" s="12" t="n">
        <v>4413332</v>
      </c>
    </row>
    <row r="625" customFormat="false" ht="15" hidden="false" customHeight="true" outlineLevel="0" collapsed="false">
      <c r="A625" s="12" t="s">
        <v>951</v>
      </c>
      <c r="B625" s="12" t="s">
        <v>118</v>
      </c>
      <c r="C625" s="12" t="n">
        <v>2026</v>
      </c>
      <c r="D625" s="12" t="n">
        <v>7</v>
      </c>
      <c r="E625" s="12" t="n">
        <v>195.6</v>
      </c>
      <c r="F625" s="12" t="n">
        <v>4413332</v>
      </c>
    </row>
    <row r="626" customFormat="false" ht="15" hidden="false" customHeight="true" outlineLevel="0" collapsed="false">
      <c r="A626" s="12" t="s">
        <v>951</v>
      </c>
      <c r="B626" s="12" t="s">
        <v>718</v>
      </c>
      <c r="C626" s="12" t="n">
        <v>2025</v>
      </c>
      <c r="D626" s="12" t="n">
        <v>2</v>
      </c>
      <c r="E626" s="12" t="n">
        <v>255.5</v>
      </c>
      <c r="F626" s="12" t="n">
        <v>4413335</v>
      </c>
    </row>
    <row r="627" customFormat="false" ht="15" hidden="false" customHeight="true" outlineLevel="0" collapsed="false">
      <c r="A627" s="12" t="s">
        <v>951</v>
      </c>
      <c r="B627" s="12" t="s">
        <v>717</v>
      </c>
      <c r="C627" s="12" t="n">
        <v>2025</v>
      </c>
      <c r="D627" s="12" t="n">
        <v>1</v>
      </c>
      <c r="E627" s="12" t="n">
        <v>127.9</v>
      </c>
      <c r="F627" s="12" t="n">
        <v>4413336</v>
      </c>
    </row>
    <row r="628" customFormat="false" ht="15" hidden="false" customHeight="true" outlineLevel="0" collapsed="false">
      <c r="A628" s="12" t="s">
        <v>951</v>
      </c>
      <c r="B628" s="12" t="s">
        <v>719</v>
      </c>
      <c r="C628" s="12" t="n">
        <v>2026</v>
      </c>
      <c r="D628" s="12" t="n">
        <v>5</v>
      </c>
      <c r="E628" s="12" t="n">
        <v>639.6</v>
      </c>
      <c r="F628" s="12" t="n">
        <v>4413337</v>
      </c>
    </row>
    <row r="629" customFormat="false" ht="15" hidden="false" customHeight="true" outlineLevel="0" collapsed="false">
      <c r="A629" s="12" t="s">
        <v>951</v>
      </c>
      <c r="B629" s="12" t="s">
        <v>720</v>
      </c>
      <c r="C629" s="12" t="n">
        <v>2025</v>
      </c>
      <c r="D629" s="12" t="n">
        <v>1</v>
      </c>
      <c r="E629" s="12" t="n">
        <v>127.6</v>
      </c>
      <c r="F629" s="12" t="n">
        <v>4413338</v>
      </c>
    </row>
    <row r="630" customFormat="false" ht="15" hidden="false" customHeight="true" outlineLevel="0" collapsed="false">
      <c r="A630" s="12" t="s">
        <v>951</v>
      </c>
      <c r="B630" s="12" t="s">
        <v>478</v>
      </c>
      <c r="C630" s="12" t="n">
        <v>2026</v>
      </c>
      <c r="D630" s="12" t="n">
        <v>-2</v>
      </c>
      <c r="E630" s="12" t="n">
        <v>-283.5</v>
      </c>
      <c r="F630" s="12" t="n">
        <v>4413339</v>
      </c>
    </row>
    <row r="631" customFormat="false" ht="15" hidden="false" customHeight="true" outlineLevel="0" collapsed="false">
      <c r="A631" s="12" t="s">
        <v>951</v>
      </c>
      <c r="B631" s="12" t="s">
        <v>557</v>
      </c>
      <c r="C631" s="12" t="n">
        <v>2025</v>
      </c>
      <c r="D631" s="12" t="n">
        <v>14</v>
      </c>
      <c r="E631" s="12" t="n">
        <v>714.2</v>
      </c>
      <c r="F631" s="12" t="n">
        <v>4413340</v>
      </c>
    </row>
    <row r="632" customFormat="false" ht="15" hidden="false" customHeight="true" outlineLevel="0" collapsed="false">
      <c r="A632" s="12" t="s">
        <v>951</v>
      </c>
      <c r="B632" s="12" t="s">
        <v>557</v>
      </c>
      <c r="C632" s="12" t="n">
        <v>2026</v>
      </c>
      <c r="D632" s="12" t="n">
        <v>20</v>
      </c>
      <c r="E632" s="12" t="n">
        <v>1261.5</v>
      </c>
      <c r="F632" s="12" t="n">
        <v>4413340</v>
      </c>
    </row>
    <row r="633" customFormat="false" ht="15" hidden="false" customHeight="true" outlineLevel="0" collapsed="false">
      <c r="A633" s="12" t="s">
        <v>951</v>
      </c>
      <c r="B633" s="12" t="s">
        <v>113</v>
      </c>
      <c r="C633" s="12" t="n">
        <v>2025</v>
      </c>
      <c r="D633" s="12" t="n">
        <v>3</v>
      </c>
      <c r="E633" s="12" t="n">
        <v>512.4</v>
      </c>
      <c r="F633" s="12" t="n">
        <v>4413341</v>
      </c>
    </row>
    <row r="634" customFormat="false" ht="15" hidden="false" customHeight="true" outlineLevel="0" collapsed="false">
      <c r="A634" s="12" t="s">
        <v>951</v>
      </c>
      <c r="B634" s="12" t="s">
        <v>114</v>
      </c>
      <c r="C634" s="12" t="n">
        <v>2025</v>
      </c>
      <c r="D634" s="12" t="n">
        <v>4</v>
      </c>
      <c r="E634" s="12" t="n">
        <v>685.1</v>
      </c>
      <c r="F634" s="12" t="n">
        <v>4413342</v>
      </c>
    </row>
    <row r="635" customFormat="false" ht="15" hidden="false" customHeight="true" outlineLevel="0" collapsed="false">
      <c r="A635" s="12" t="s">
        <v>951</v>
      </c>
      <c r="B635" s="12" t="s">
        <v>115</v>
      </c>
      <c r="C635" s="12" t="n">
        <v>2025</v>
      </c>
      <c r="D635" s="12" t="n">
        <v>1</v>
      </c>
      <c r="E635" s="12" t="n">
        <v>175</v>
      </c>
      <c r="F635" s="12" t="n">
        <v>4413344</v>
      </c>
    </row>
    <row r="636" customFormat="false" ht="15" hidden="false" customHeight="true" outlineLevel="0" collapsed="false">
      <c r="A636" s="12" t="s">
        <v>951</v>
      </c>
      <c r="B636" s="12" t="s">
        <v>116</v>
      </c>
      <c r="C636" s="12" t="n">
        <v>2025</v>
      </c>
      <c r="D636" s="12" t="n">
        <v>3</v>
      </c>
      <c r="E636" s="12" t="n">
        <v>524.8</v>
      </c>
      <c r="F636" s="12" t="n">
        <v>4413345</v>
      </c>
    </row>
    <row r="637" customFormat="false" ht="15" hidden="false" customHeight="true" outlineLevel="0" collapsed="false">
      <c r="A637" s="12" t="s">
        <v>951</v>
      </c>
      <c r="B637" s="12" t="s">
        <v>716</v>
      </c>
      <c r="C637" s="12" t="n">
        <v>2025</v>
      </c>
      <c r="D637" s="12" t="n">
        <v>1</v>
      </c>
      <c r="E637" s="12" t="n">
        <v>127.9</v>
      </c>
      <c r="F637" s="12" t="n">
        <v>4413347</v>
      </c>
    </row>
    <row r="638" customFormat="false" ht="15" hidden="false" customHeight="true" outlineLevel="0" collapsed="false">
      <c r="A638" s="12" t="s">
        <v>951</v>
      </c>
      <c r="B638" s="12" t="s">
        <v>716</v>
      </c>
      <c r="C638" s="12" t="n">
        <v>2026</v>
      </c>
      <c r="D638" s="12" t="n">
        <v>2</v>
      </c>
      <c r="E638" s="12" t="n">
        <v>255.8</v>
      </c>
      <c r="F638" s="12" t="n">
        <v>4413347</v>
      </c>
    </row>
    <row r="639" customFormat="false" ht="15" hidden="false" customHeight="true" outlineLevel="0" collapsed="false">
      <c r="A639" s="12" t="s">
        <v>951</v>
      </c>
      <c r="B639" s="12" t="s">
        <v>415</v>
      </c>
      <c r="C639" s="12" t="n">
        <v>2025</v>
      </c>
      <c r="D639" s="12" t="n">
        <v>569</v>
      </c>
      <c r="E639" s="12" t="n">
        <v>33796.2</v>
      </c>
      <c r="F639" s="12" t="n">
        <v>4413348</v>
      </c>
    </row>
    <row r="640" customFormat="false" ht="15" hidden="false" customHeight="true" outlineLevel="0" collapsed="false">
      <c r="A640" s="12" t="s">
        <v>951</v>
      </c>
      <c r="B640" s="12" t="s">
        <v>415</v>
      </c>
      <c r="C640" s="12" t="n">
        <v>2026</v>
      </c>
      <c r="D640" s="12" t="n">
        <v>255</v>
      </c>
      <c r="E640" s="12" t="n">
        <v>16329.2</v>
      </c>
      <c r="F640" s="12" t="n">
        <v>4413348</v>
      </c>
    </row>
    <row r="641" customFormat="false" ht="15" hidden="false" customHeight="true" outlineLevel="0" collapsed="false">
      <c r="A641" s="12" t="s">
        <v>951</v>
      </c>
      <c r="B641" s="12" t="s">
        <v>494</v>
      </c>
      <c r="C641" s="12" t="n">
        <v>2025</v>
      </c>
      <c r="D641" s="12" t="n">
        <v>216</v>
      </c>
      <c r="E641" s="12" t="n">
        <v>6434.6</v>
      </c>
      <c r="F641" s="12" t="n">
        <v>4413364</v>
      </c>
    </row>
    <row r="642" customFormat="false" ht="15" hidden="false" customHeight="true" outlineLevel="0" collapsed="false">
      <c r="A642" s="12" t="s">
        <v>951</v>
      </c>
      <c r="B642" s="12" t="s">
        <v>494</v>
      </c>
      <c r="C642" s="12" t="n">
        <v>2026</v>
      </c>
      <c r="D642" s="12" t="n">
        <v>129</v>
      </c>
      <c r="E642" s="12" t="n">
        <v>3857.9</v>
      </c>
      <c r="F642" s="12" t="n">
        <v>4413364</v>
      </c>
    </row>
    <row r="643" customFormat="false" ht="15" hidden="false" customHeight="true" outlineLevel="0" collapsed="false">
      <c r="A643" s="12" t="s">
        <v>951</v>
      </c>
      <c r="B643" s="12" t="s">
        <v>493</v>
      </c>
      <c r="C643" s="12" t="n">
        <v>2025</v>
      </c>
      <c r="D643" s="12" t="n">
        <v>146</v>
      </c>
      <c r="E643" s="12" t="n">
        <v>4343.9</v>
      </c>
      <c r="F643" s="12" t="n">
        <v>4413365</v>
      </c>
    </row>
    <row r="644" customFormat="false" ht="15" hidden="false" customHeight="true" outlineLevel="0" collapsed="false">
      <c r="A644" s="12" t="s">
        <v>951</v>
      </c>
      <c r="B644" s="12" t="s">
        <v>493</v>
      </c>
      <c r="C644" s="12" t="n">
        <v>2026</v>
      </c>
      <c r="D644" s="12" t="n">
        <v>84</v>
      </c>
      <c r="E644" s="12" t="n">
        <v>2415.6</v>
      </c>
      <c r="F644" s="12" t="n">
        <v>4413365</v>
      </c>
    </row>
    <row r="645" customFormat="false" ht="15" hidden="false" customHeight="true" outlineLevel="0" collapsed="false">
      <c r="A645" s="12" t="s">
        <v>951</v>
      </c>
      <c r="B645" s="12" t="s">
        <v>495</v>
      </c>
      <c r="C645" s="12" t="n">
        <v>2025</v>
      </c>
      <c r="D645" s="12" t="n">
        <v>155</v>
      </c>
      <c r="E645" s="12" t="n">
        <v>4633.6</v>
      </c>
      <c r="F645" s="12" t="n">
        <v>4413366</v>
      </c>
    </row>
    <row r="646" customFormat="false" ht="15" hidden="false" customHeight="true" outlineLevel="0" collapsed="false">
      <c r="A646" s="12" t="s">
        <v>951</v>
      </c>
      <c r="B646" s="12" t="s">
        <v>495</v>
      </c>
      <c r="C646" s="12" t="n">
        <v>2026</v>
      </c>
      <c r="D646" s="12" t="n">
        <v>81</v>
      </c>
      <c r="E646" s="12" t="n">
        <v>2418.5</v>
      </c>
      <c r="F646" s="12" t="n">
        <v>4413366</v>
      </c>
    </row>
    <row r="647" customFormat="false" ht="15" hidden="false" customHeight="true" outlineLevel="0" collapsed="false">
      <c r="A647" s="12" t="s">
        <v>951</v>
      </c>
      <c r="B647" s="12" t="s">
        <v>496</v>
      </c>
      <c r="C647" s="12" t="n">
        <v>2025</v>
      </c>
      <c r="D647" s="12" t="n">
        <v>49</v>
      </c>
      <c r="E647" s="12" t="n">
        <v>1476.2</v>
      </c>
      <c r="F647" s="12" t="n">
        <v>4413367</v>
      </c>
    </row>
    <row r="648" customFormat="false" ht="15" hidden="false" customHeight="true" outlineLevel="0" collapsed="false">
      <c r="A648" s="12" t="s">
        <v>951</v>
      </c>
      <c r="B648" s="12" t="s">
        <v>496</v>
      </c>
      <c r="C648" s="12" t="n">
        <v>2026</v>
      </c>
      <c r="D648" s="12" t="n">
        <v>35</v>
      </c>
      <c r="E648" s="12" t="n">
        <v>1052.2</v>
      </c>
      <c r="F648" s="12" t="n">
        <v>4413367</v>
      </c>
    </row>
    <row r="649" customFormat="false" ht="15" hidden="false" customHeight="true" outlineLevel="0" collapsed="false">
      <c r="A649" s="12" t="s">
        <v>951</v>
      </c>
      <c r="B649" s="12" t="s">
        <v>497</v>
      </c>
      <c r="C649" s="12" t="n">
        <v>2025</v>
      </c>
      <c r="D649" s="12" t="n">
        <v>12</v>
      </c>
      <c r="E649" s="12" t="n">
        <v>351.9</v>
      </c>
      <c r="F649" s="12" t="n">
        <v>4413368</v>
      </c>
    </row>
    <row r="650" customFormat="false" ht="15" hidden="false" customHeight="true" outlineLevel="0" collapsed="false">
      <c r="A650" s="12" t="s">
        <v>951</v>
      </c>
      <c r="B650" s="12" t="s">
        <v>497</v>
      </c>
      <c r="C650" s="12" t="n">
        <v>2026</v>
      </c>
      <c r="D650" s="12" t="n">
        <v>10</v>
      </c>
      <c r="E650" s="12" t="n">
        <v>303.8</v>
      </c>
      <c r="F650" s="12" t="n">
        <v>4413368</v>
      </c>
    </row>
    <row r="651" customFormat="false" ht="15" hidden="false" customHeight="true" outlineLevel="0" collapsed="false">
      <c r="A651" s="12" t="s">
        <v>951</v>
      </c>
      <c r="B651" s="12" t="s">
        <v>498</v>
      </c>
      <c r="C651" s="12" t="n">
        <v>2025</v>
      </c>
      <c r="D651" s="12" t="n">
        <v>6</v>
      </c>
      <c r="E651" s="12" t="n">
        <v>179.2</v>
      </c>
      <c r="F651" s="12" t="n">
        <v>4413369</v>
      </c>
    </row>
    <row r="652" customFormat="false" ht="15" hidden="false" customHeight="true" outlineLevel="0" collapsed="false">
      <c r="A652" s="12" t="s">
        <v>951</v>
      </c>
      <c r="B652" s="12" t="s">
        <v>498</v>
      </c>
      <c r="C652" s="12" t="n">
        <v>2026</v>
      </c>
      <c r="D652" s="12" t="n">
        <v>7</v>
      </c>
      <c r="E652" s="12" t="n">
        <v>203.9</v>
      </c>
      <c r="F652" s="12" t="n">
        <v>4413369</v>
      </c>
    </row>
    <row r="653" customFormat="false" ht="15" hidden="false" customHeight="true" outlineLevel="0" collapsed="false">
      <c r="A653" s="12" t="s">
        <v>951</v>
      </c>
      <c r="B653" s="12" t="s">
        <v>560</v>
      </c>
      <c r="C653" s="12" t="n">
        <v>2025</v>
      </c>
      <c r="D653" s="12" t="n">
        <v>330</v>
      </c>
      <c r="E653" s="12" t="n">
        <v>12540</v>
      </c>
      <c r="F653" s="12" t="n">
        <v>4413370</v>
      </c>
    </row>
    <row r="654" customFormat="false" ht="15" hidden="false" customHeight="true" outlineLevel="0" collapsed="false">
      <c r="A654" s="12" t="s">
        <v>951</v>
      </c>
      <c r="B654" s="12" t="s">
        <v>560</v>
      </c>
      <c r="C654" s="12" t="n">
        <v>2026</v>
      </c>
      <c r="D654" s="12" t="n">
        <v>179</v>
      </c>
      <c r="E654" s="12" t="n">
        <v>6891.8</v>
      </c>
      <c r="F654" s="12" t="n">
        <v>4413370</v>
      </c>
    </row>
    <row r="655" customFormat="false" ht="15" hidden="false" customHeight="true" outlineLevel="0" collapsed="false">
      <c r="A655" s="12" t="s">
        <v>951</v>
      </c>
      <c r="B655" s="12" t="s">
        <v>561</v>
      </c>
      <c r="C655" s="12" t="n">
        <v>2025</v>
      </c>
      <c r="D655" s="12" t="n">
        <v>59</v>
      </c>
      <c r="E655" s="12" t="n">
        <v>1719.6</v>
      </c>
      <c r="F655" s="12" t="n">
        <v>4413371</v>
      </c>
    </row>
    <row r="656" customFormat="false" ht="15" hidden="false" customHeight="true" outlineLevel="0" collapsed="false">
      <c r="A656" s="12" t="s">
        <v>951</v>
      </c>
      <c r="B656" s="12" t="s">
        <v>561</v>
      </c>
      <c r="C656" s="12" t="n">
        <v>2026</v>
      </c>
      <c r="D656" s="12" t="n">
        <v>54</v>
      </c>
      <c r="E656" s="12" t="n">
        <v>1543.7</v>
      </c>
      <c r="F656" s="12" t="n">
        <v>4413371</v>
      </c>
    </row>
    <row r="657" customFormat="false" ht="15" hidden="false" customHeight="true" outlineLevel="0" collapsed="false">
      <c r="A657" s="12" t="s">
        <v>951</v>
      </c>
      <c r="B657" s="12" t="s">
        <v>414</v>
      </c>
      <c r="C657" s="12" t="n">
        <v>2025</v>
      </c>
      <c r="D657" s="12" t="n">
        <v>272</v>
      </c>
      <c r="E657" s="12" t="n">
        <v>16261.3</v>
      </c>
      <c r="F657" s="12" t="n">
        <v>4413372</v>
      </c>
    </row>
    <row r="658" customFormat="false" ht="15" hidden="false" customHeight="true" outlineLevel="0" collapsed="false">
      <c r="A658" s="12" t="s">
        <v>951</v>
      </c>
      <c r="B658" s="12" t="s">
        <v>414</v>
      </c>
      <c r="C658" s="12" t="n">
        <v>2026</v>
      </c>
      <c r="D658" s="12" t="n">
        <v>123</v>
      </c>
      <c r="E658" s="12" t="n">
        <v>7913.5</v>
      </c>
      <c r="F658" s="12" t="n">
        <v>4413372</v>
      </c>
    </row>
    <row r="659" customFormat="false" ht="15" hidden="false" customHeight="true" outlineLevel="0" collapsed="false">
      <c r="A659" s="12" t="s">
        <v>951</v>
      </c>
      <c r="B659" s="12" t="s">
        <v>140</v>
      </c>
      <c r="C659" s="12" t="n">
        <v>2025</v>
      </c>
      <c r="D659" s="12" t="n">
        <v>35</v>
      </c>
      <c r="E659" s="12" t="n">
        <v>1256.9</v>
      </c>
      <c r="F659" s="12" t="n">
        <v>4413394</v>
      </c>
    </row>
    <row r="660" customFormat="false" ht="15" hidden="false" customHeight="true" outlineLevel="0" collapsed="false">
      <c r="A660" s="12" t="s">
        <v>951</v>
      </c>
      <c r="B660" s="12" t="s">
        <v>140</v>
      </c>
      <c r="C660" s="12" t="n">
        <v>2026</v>
      </c>
      <c r="D660" s="12" t="n">
        <v>42</v>
      </c>
      <c r="E660" s="12" t="n">
        <v>1533</v>
      </c>
      <c r="F660" s="12" t="n">
        <v>4413394</v>
      </c>
    </row>
    <row r="661" customFormat="false" ht="15" hidden="false" customHeight="true" outlineLevel="0" collapsed="false">
      <c r="A661" s="12" t="s">
        <v>951</v>
      </c>
      <c r="B661" s="12" t="s">
        <v>139</v>
      </c>
      <c r="C661" s="12" t="n">
        <v>2025</v>
      </c>
      <c r="D661" s="12" t="n">
        <v>93</v>
      </c>
      <c r="E661" s="12" t="n">
        <v>3323.9</v>
      </c>
      <c r="F661" s="12" t="n">
        <v>4413395</v>
      </c>
    </row>
    <row r="662" customFormat="false" ht="15" hidden="false" customHeight="true" outlineLevel="0" collapsed="false">
      <c r="A662" s="12" t="s">
        <v>951</v>
      </c>
      <c r="B662" s="12" t="s">
        <v>139</v>
      </c>
      <c r="C662" s="12" t="n">
        <v>2026</v>
      </c>
      <c r="D662" s="12" t="n">
        <v>98</v>
      </c>
      <c r="E662" s="12" t="n">
        <v>3532.9</v>
      </c>
      <c r="F662" s="12" t="n">
        <v>4413395</v>
      </c>
    </row>
    <row r="663" customFormat="false" ht="15" hidden="false" customHeight="true" outlineLevel="0" collapsed="false">
      <c r="A663" s="12" t="s">
        <v>951</v>
      </c>
      <c r="B663" s="12" t="s">
        <v>138</v>
      </c>
      <c r="C663" s="12" t="n">
        <v>2025</v>
      </c>
      <c r="D663" s="12" t="n">
        <v>100</v>
      </c>
      <c r="E663" s="12" t="n">
        <v>3606.2</v>
      </c>
      <c r="F663" s="12" t="n">
        <v>4413396</v>
      </c>
    </row>
    <row r="664" customFormat="false" ht="15" hidden="false" customHeight="true" outlineLevel="0" collapsed="false">
      <c r="A664" s="12" t="s">
        <v>951</v>
      </c>
      <c r="B664" s="12" t="s">
        <v>138</v>
      </c>
      <c r="C664" s="12" t="n">
        <v>2026</v>
      </c>
      <c r="D664" s="12" t="n">
        <v>120</v>
      </c>
      <c r="E664" s="12" t="n">
        <v>4398.4</v>
      </c>
      <c r="F664" s="12" t="n">
        <v>4413396</v>
      </c>
    </row>
    <row r="665" customFormat="false" ht="15" hidden="false" customHeight="true" outlineLevel="0" collapsed="false">
      <c r="A665" s="12" t="s">
        <v>951</v>
      </c>
      <c r="B665" s="12" t="s">
        <v>141</v>
      </c>
      <c r="C665" s="12" t="n">
        <v>2025</v>
      </c>
      <c r="D665" s="12" t="n">
        <v>103</v>
      </c>
      <c r="E665" s="12" t="n">
        <v>3709.6</v>
      </c>
      <c r="F665" s="12" t="n">
        <v>4413397</v>
      </c>
    </row>
    <row r="666" customFormat="false" ht="15" hidden="false" customHeight="true" outlineLevel="0" collapsed="false">
      <c r="A666" s="12" t="s">
        <v>951</v>
      </c>
      <c r="B666" s="12" t="s">
        <v>141</v>
      </c>
      <c r="C666" s="12" t="n">
        <v>2026</v>
      </c>
      <c r="D666" s="12" t="n">
        <v>94</v>
      </c>
      <c r="E666" s="12" t="n">
        <v>3412.6</v>
      </c>
      <c r="F666" s="12" t="n">
        <v>4413397</v>
      </c>
    </row>
    <row r="667" customFormat="false" ht="15" hidden="false" customHeight="true" outlineLevel="0" collapsed="false">
      <c r="A667" s="12" t="s">
        <v>951</v>
      </c>
      <c r="B667" s="12" t="s">
        <v>142</v>
      </c>
      <c r="C667" s="12" t="n">
        <v>2025</v>
      </c>
      <c r="D667" s="12" t="n">
        <v>44</v>
      </c>
      <c r="E667" s="12" t="n">
        <v>1613.3</v>
      </c>
      <c r="F667" s="12" t="n">
        <v>4413398</v>
      </c>
    </row>
    <row r="668" customFormat="false" ht="15" hidden="false" customHeight="true" outlineLevel="0" collapsed="false">
      <c r="A668" s="12" t="s">
        <v>951</v>
      </c>
      <c r="B668" s="12" t="s">
        <v>142</v>
      </c>
      <c r="C668" s="12" t="n">
        <v>2026</v>
      </c>
      <c r="D668" s="12" t="n">
        <v>55</v>
      </c>
      <c r="E668" s="12" t="n">
        <v>2035</v>
      </c>
      <c r="F668" s="12" t="n">
        <v>4413398</v>
      </c>
    </row>
    <row r="669" customFormat="false" ht="15" hidden="false" customHeight="true" outlineLevel="0" collapsed="false">
      <c r="A669" s="12" t="s">
        <v>951</v>
      </c>
      <c r="B669" s="12" t="s">
        <v>590</v>
      </c>
      <c r="C669" s="12" t="n">
        <v>2025</v>
      </c>
      <c r="D669" s="12" t="n">
        <v>-1</v>
      </c>
      <c r="E669" s="12" t="n">
        <v>-37.8</v>
      </c>
      <c r="F669" s="12" t="n">
        <v>4413399</v>
      </c>
    </row>
    <row r="670" customFormat="false" ht="15" hidden="false" customHeight="true" outlineLevel="0" collapsed="false">
      <c r="A670" s="12" t="s">
        <v>951</v>
      </c>
      <c r="B670" s="12" t="s">
        <v>590</v>
      </c>
      <c r="C670" s="12" t="n">
        <v>2026</v>
      </c>
      <c r="D670" s="12" t="n">
        <v>1</v>
      </c>
      <c r="E670" s="12" t="n">
        <v>36.5</v>
      </c>
      <c r="F670" s="12" t="n">
        <v>4413399</v>
      </c>
    </row>
    <row r="671" customFormat="false" ht="15" hidden="false" customHeight="true" outlineLevel="0" collapsed="false">
      <c r="A671" s="12" t="s">
        <v>951</v>
      </c>
      <c r="B671" s="12" t="s">
        <v>387</v>
      </c>
      <c r="C671" s="12" t="n">
        <v>2025</v>
      </c>
      <c r="D671" s="12" t="n">
        <v>-1</v>
      </c>
      <c r="E671" s="12" t="n">
        <v>-165.4</v>
      </c>
      <c r="F671" s="12" t="n">
        <v>4413403</v>
      </c>
    </row>
    <row r="672" customFormat="false" ht="15" hidden="false" customHeight="true" outlineLevel="0" collapsed="false">
      <c r="A672" s="12" t="s">
        <v>951</v>
      </c>
      <c r="B672" s="12" t="s">
        <v>502</v>
      </c>
      <c r="C672" s="12" t="n">
        <v>2026</v>
      </c>
      <c r="D672" s="12" t="n">
        <v>3</v>
      </c>
      <c r="E672" s="12" t="n">
        <v>281</v>
      </c>
      <c r="F672" s="12" t="n">
        <v>4413405</v>
      </c>
    </row>
    <row r="673" customFormat="false" ht="15" hidden="false" customHeight="true" outlineLevel="0" collapsed="false">
      <c r="A673" s="12" t="s">
        <v>951</v>
      </c>
      <c r="B673" s="12" t="s">
        <v>832</v>
      </c>
      <c r="C673" s="12" t="n">
        <v>2025</v>
      </c>
      <c r="D673" s="12" t="n">
        <v>6</v>
      </c>
      <c r="E673" s="12" t="n">
        <v>507.7</v>
      </c>
      <c r="F673" s="12" t="n">
        <v>4413406</v>
      </c>
    </row>
    <row r="674" customFormat="false" ht="15" hidden="false" customHeight="true" outlineLevel="0" collapsed="false">
      <c r="A674" s="12" t="s">
        <v>951</v>
      </c>
      <c r="B674" s="12" t="s">
        <v>832</v>
      </c>
      <c r="C674" s="12" t="n">
        <v>2026</v>
      </c>
      <c r="D674" s="12" t="n">
        <v>7</v>
      </c>
      <c r="E674" s="12" t="n">
        <v>655.7</v>
      </c>
      <c r="F674" s="12" t="n">
        <v>4413406</v>
      </c>
    </row>
    <row r="675" customFormat="false" ht="15" hidden="false" customHeight="true" outlineLevel="0" collapsed="false">
      <c r="A675" s="12" t="s">
        <v>951</v>
      </c>
      <c r="B675" s="12" t="s">
        <v>831</v>
      </c>
      <c r="C675" s="12" t="n">
        <v>2025</v>
      </c>
      <c r="D675" s="12" t="n">
        <v>7</v>
      </c>
      <c r="E675" s="12" t="n">
        <v>548.9</v>
      </c>
      <c r="F675" s="12" t="n">
        <v>4413407</v>
      </c>
    </row>
    <row r="676" customFormat="false" ht="15" hidden="false" customHeight="true" outlineLevel="0" collapsed="false">
      <c r="A676" s="12" t="s">
        <v>951</v>
      </c>
      <c r="B676" s="12" t="s">
        <v>831</v>
      </c>
      <c r="C676" s="12" t="n">
        <v>2026</v>
      </c>
      <c r="D676" s="12" t="n">
        <v>7</v>
      </c>
      <c r="E676" s="12" t="n">
        <v>661.9</v>
      </c>
      <c r="F676" s="12" t="n">
        <v>4413407</v>
      </c>
    </row>
    <row r="677" customFormat="false" ht="15" hidden="false" customHeight="true" outlineLevel="0" collapsed="false">
      <c r="A677" s="12" t="s">
        <v>951</v>
      </c>
      <c r="B677" s="12" t="s">
        <v>833</v>
      </c>
      <c r="C677" s="12" t="n">
        <v>2025</v>
      </c>
      <c r="D677" s="12" t="n">
        <v>5</v>
      </c>
      <c r="E677" s="12" t="n">
        <v>377.3</v>
      </c>
      <c r="F677" s="12" t="n">
        <v>4413408</v>
      </c>
    </row>
    <row r="678" customFormat="false" ht="15" hidden="false" customHeight="true" outlineLevel="0" collapsed="false">
      <c r="A678" s="12" t="s">
        <v>951</v>
      </c>
      <c r="B678" s="12" t="s">
        <v>833</v>
      </c>
      <c r="C678" s="12" t="n">
        <v>2026</v>
      </c>
      <c r="D678" s="12" t="n">
        <v>3</v>
      </c>
      <c r="E678" s="12" t="n">
        <v>281</v>
      </c>
      <c r="F678" s="12" t="n">
        <v>4413408</v>
      </c>
    </row>
    <row r="679" customFormat="false" ht="15" hidden="false" customHeight="true" outlineLevel="0" collapsed="false">
      <c r="A679" s="12" t="s">
        <v>951</v>
      </c>
      <c r="B679" s="12" t="s">
        <v>825</v>
      </c>
      <c r="C679" s="12" t="n">
        <v>2025</v>
      </c>
      <c r="D679" s="12" t="n">
        <v>3</v>
      </c>
      <c r="E679" s="12" t="n">
        <v>413.3</v>
      </c>
      <c r="F679" s="12" t="n">
        <v>4413415</v>
      </c>
    </row>
    <row r="680" customFormat="false" ht="15" hidden="false" customHeight="true" outlineLevel="0" collapsed="false">
      <c r="A680" s="12" t="s">
        <v>951</v>
      </c>
      <c r="B680" s="12" t="s">
        <v>825</v>
      </c>
      <c r="C680" s="12" t="n">
        <v>2026</v>
      </c>
      <c r="D680" s="12" t="n">
        <v>4</v>
      </c>
      <c r="E680" s="12" t="n">
        <v>656.1</v>
      </c>
      <c r="F680" s="12" t="n">
        <v>4413415</v>
      </c>
    </row>
    <row r="681" customFormat="false" ht="15" hidden="false" customHeight="true" outlineLevel="0" collapsed="false">
      <c r="A681" s="12" t="s">
        <v>951</v>
      </c>
      <c r="B681" s="12" t="s">
        <v>824</v>
      </c>
      <c r="C681" s="12" t="n">
        <v>2025</v>
      </c>
      <c r="D681" s="12" t="n">
        <v>1</v>
      </c>
      <c r="E681" s="12" t="n">
        <v>145.3</v>
      </c>
      <c r="F681" s="12" t="n">
        <v>4413416</v>
      </c>
    </row>
    <row r="682" customFormat="false" ht="15" hidden="false" customHeight="true" outlineLevel="0" collapsed="false">
      <c r="A682" s="12" t="s">
        <v>951</v>
      </c>
      <c r="B682" s="12" t="s">
        <v>824</v>
      </c>
      <c r="C682" s="12" t="n">
        <v>2026</v>
      </c>
      <c r="D682" s="12" t="n">
        <v>5</v>
      </c>
      <c r="E682" s="12" t="n">
        <v>820.1</v>
      </c>
      <c r="F682" s="12" t="n">
        <v>4413416</v>
      </c>
    </row>
    <row r="683" customFormat="false" ht="15" hidden="false" customHeight="true" outlineLevel="0" collapsed="false">
      <c r="A683" s="12" t="s">
        <v>951</v>
      </c>
      <c r="B683" s="12" t="s">
        <v>823</v>
      </c>
      <c r="C683" s="12" t="n">
        <v>2025</v>
      </c>
      <c r="D683" s="12" t="n">
        <v>2</v>
      </c>
      <c r="E683" s="12" t="n">
        <v>290.5</v>
      </c>
      <c r="F683" s="12" t="n">
        <v>4413417</v>
      </c>
    </row>
    <row r="684" customFormat="false" ht="15" hidden="false" customHeight="true" outlineLevel="0" collapsed="false">
      <c r="A684" s="12" t="s">
        <v>951</v>
      </c>
      <c r="B684" s="12" t="s">
        <v>823</v>
      </c>
      <c r="C684" s="12" t="n">
        <v>2026</v>
      </c>
      <c r="D684" s="12" t="n">
        <v>4</v>
      </c>
      <c r="E684" s="12" t="n">
        <v>678.3</v>
      </c>
      <c r="F684" s="12" t="n">
        <v>4413417</v>
      </c>
    </row>
    <row r="685" customFormat="false" ht="15" hidden="false" customHeight="true" outlineLevel="0" collapsed="false">
      <c r="A685" s="12" t="s">
        <v>951</v>
      </c>
      <c r="B685" s="12" t="s">
        <v>826</v>
      </c>
      <c r="C685" s="12" t="n">
        <v>2025</v>
      </c>
      <c r="D685" s="12" t="n">
        <v>1</v>
      </c>
      <c r="E685" s="12" t="n">
        <v>153.1</v>
      </c>
      <c r="F685" s="12" t="n">
        <v>4413418</v>
      </c>
    </row>
    <row r="686" customFormat="false" ht="15" hidden="false" customHeight="true" outlineLevel="0" collapsed="false">
      <c r="A686" s="12" t="s">
        <v>951</v>
      </c>
      <c r="B686" s="12" t="s">
        <v>826</v>
      </c>
      <c r="C686" s="12" t="n">
        <v>2026</v>
      </c>
      <c r="D686" s="12" t="n">
        <v>4</v>
      </c>
      <c r="E686" s="12" t="n">
        <v>612.4</v>
      </c>
      <c r="F686" s="12" t="n">
        <v>4413418</v>
      </c>
    </row>
    <row r="687" customFormat="false" ht="15" hidden="false" customHeight="true" outlineLevel="0" collapsed="false">
      <c r="A687" s="12" t="s">
        <v>951</v>
      </c>
      <c r="B687" s="12" t="s">
        <v>827</v>
      </c>
      <c r="C687" s="12" t="n">
        <v>2025</v>
      </c>
      <c r="D687" s="12" t="n">
        <v>0</v>
      </c>
      <c r="E687" s="12" t="n">
        <v>22.4</v>
      </c>
      <c r="F687" s="12" t="n">
        <v>4413419</v>
      </c>
    </row>
    <row r="688" customFormat="false" ht="15" hidden="false" customHeight="true" outlineLevel="0" collapsed="false">
      <c r="A688" s="12" t="s">
        <v>951</v>
      </c>
      <c r="B688" s="12" t="s">
        <v>817</v>
      </c>
      <c r="C688" s="12" t="n">
        <v>2025</v>
      </c>
      <c r="D688" s="12" t="n">
        <v>2</v>
      </c>
      <c r="E688" s="12" t="n">
        <v>154.6</v>
      </c>
      <c r="F688" s="12" t="n">
        <v>4413420</v>
      </c>
    </row>
    <row r="689" customFormat="false" ht="15" hidden="false" customHeight="true" outlineLevel="0" collapsed="false">
      <c r="A689" s="12" t="s">
        <v>951</v>
      </c>
      <c r="B689" s="12" t="s">
        <v>817</v>
      </c>
      <c r="C689" s="12" t="n">
        <v>2026</v>
      </c>
      <c r="D689" s="12" t="n">
        <v>1</v>
      </c>
      <c r="E689" s="12" t="n">
        <v>93.7</v>
      </c>
      <c r="F689" s="12" t="n">
        <v>4413420</v>
      </c>
    </row>
    <row r="690" customFormat="false" ht="15" hidden="false" customHeight="true" outlineLevel="0" collapsed="false">
      <c r="A690" s="12" t="s">
        <v>951</v>
      </c>
      <c r="B690" s="12" t="s">
        <v>816</v>
      </c>
      <c r="C690" s="12" t="n">
        <v>2025</v>
      </c>
      <c r="D690" s="12" t="n">
        <v>6</v>
      </c>
      <c r="E690" s="12" t="n">
        <v>490.3</v>
      </c>
      <c r="F690" s="12" t="n">
        <v>4413421</v>
      </c>
    </row>
    <row r="691" customFormat="false" ht="15" hidden="false" customHeight="true" outlineLevel="0" collapsed="false">
      <c r="A691" s="12" t="s">
        <v>951</v>
      </c>
      <c r="B691" s="12" t="s">
        <v>816</v>
      </c>
      <c r="C691" s="12" t="n">
        <v>2026</v>
      </c>
      <c r="D691" s="12" t="n">
        <v>3</v>
      </c>
      <c r="E691" s="12" t="n">
        <v>299.1</v>
      </c>
      <c r="F691" s="12" t="n">
        <v>4413421</v>
      </c>
    </row>
    <row r="692" customFormat="false" ht="15" hidden="false" customHeight="true" outlineLevel="0" collapsed="false">
      <c r="A692" s="12" t="s">
        <v>951</v>
      </c>
      <c r="B692" s="12" t="s">
        <v>815</v>
      </c>
      <c r="C692" s="12" t="n">
        <v>2025</v>
      </c>
      <c r="D692" s="12" t="n">
        <v>3</v>
      </c>
      <c r="E692" s="12" t="n">
        <v>231.9</v>
      </c>
      <c r="F692" s="12" t="n">
        <v>4413422</v>
      </c>
    </row>
    <row r="693" customFormat="false" ht="15" hidden="false" customHeight="true" outlineLevel="0" collapsed="false">
      <c r="A693" s="12" t="s">
        <v>951</v>
      </c>
      <c r="B693" s="12" t="s">
        <v>815</v>
      </c>
      <c r="C693" s="12" t="n">
        <v>2026</v>
      </c>
      <c r="D693" s="12" t="n">
        <v>3</v>
      </c>
      <c r="E693" s="12" t="n">
        <v>281</v>
      </c>
      <c r="F693" s="12" t="n">
        <v>4413422</v>
      </c>
    </row>
    <row r="694" customFormat="false" ht="15" hidden="false" customHeight="true" outlineLevel="0" collapsed="false">
      <c r="A694" s="12" t="s">
        <v>951</v>
      </c>
      <c r="B694" s="12" t="s">
        <v>818</v>
      </c>
      <c r="C694" s="12" t="n">
        <v>2025</v>
      </c>
      <c r="D694" s="12" t="n">
        <v>1</v>
      </c>
      <c r="E694" s="12" t="n">
        <v>72.1</v>
      </c>
      <c r="F694" s="12" t="n">
        <v>4413423</v>
      </c>
    </row>
    <row r="695" customFormat="false" ht="15" hidden="false" customHeight="true" outlineLevel="0" collapsed="false">
      <c r="A695" s="12" t="s">
        <v>951</v>
      </c>
      <c r="B695" s="12" t="s">
        <v>818</v>
      </c>
      <c r="C695" s="12" t="n">
        <v>2026</v>
      </c>
      <c r="D695" s="12" t="n">
        <v>1</v>
      </c>
      <c r="E695" s="12" t="n">
        <v>111.8</v>
      </c>
      <c r="F695" s="12" t="n">
        <v>4413423</v>
      </c>
    </row>
    <row r="696" customFormat="false" ht="15" hidden="false" customHeight="true" outlineLevel="0" collapsed="false">
      <c r="A696" s="12" t="s">
        <v>951</v>
      </c>
      <c r="B696" s="12" t="s">
        <v>821</v>
      </c>
      <c r="C696" s="12" t="n">
        <v>2025</v>
      </c>
      <c r="D696" s="12" t="n">
        <v>3</v>
      </c>
      <c r="E696" s="12" t="n">
        <v>231.9</v>
      </c>
      <c r="F696" s="12" t="n">
        <v>4413424</v>
      </c>
    </row>
    <row r="697" customFormat="false" ht="15" hidden="false" customHeight="true" outlineLevel="0" collapsed="false">
      <c r="A697" s="12" t="s">
        <v>951</v>
      </c>
      <c r="B697" s="12" t="s">
        <v>821</v>
      </c>
      <c r="C697" s="12" t="n">
        <v>2026</v>
      </c>
      <c r="D697" s="12" t="n">
        <v>4</v>
      </c>
      <c r="E697" s="12" t="n">
        <v>349.7</v>
      </c>
      <c r="F697" s="12" t="n">
        <v>4413424</v>
      </c>
    </row>
    <row r="698" customFormat="false" ht="15" hidden="false" customHeight="true" outlineLevel="0" collapsed="false">
      <c r="A698" s="12" t="s">
        <v>951</v>
      </c>
      <c r="B698" s="12" t="s">
        <v>820</v>
      </c>
      <c r="C698" s="12" t="n">
        <v>2025</v>
      </c>
      <c r="D698" s="12" t="n">
        <v>9</v>
      </c>
      <c r="E698" s="12" t="n">
        <v>724.8</v>
      </c>
      <c r="F698" s="12" t="n">
        <v>4413425</v>
      </c>
    </row>
    <row r="699" customFormat="false" ht="15" hidden="false" customHeight="true" outlineLevel="0" collapsed="false">
      <c r="A699" s="12" t="s">
        <v>951</v>
      </c>
      <c r="B699" s="12" t="s">
        <v>820</v>
      </c>
      <c r="C699" s="12" t="n">
        <v>2026</v>
      </c>
      <c r="D699" s="12" t="n">
        <v>10</v>
      </c>
      <c r="E699" s="12" t="n">
        <v>911.7</v>
      </c>
      <c r="F699" s="12" t="n">
        <v>4413425</v>
      </c>
    </row>
    <row r="700" customFormat="false" ht="15" hidden="false" customHeight="true" outlineLevel="0" collapsed="false">
      <c r="A700" s="12" t="s">
        <v>951</v>
      </c>
      <c r="B700" s="12" t="s">
        <v>819</v>
      </c>
      <c r="C700" s="12" t="n">
        <v>2025</v>
      </c>
      <c r="D700" s="12" t="n">
        <v>4</v>
      </c>
      <c r="E700" s="12" t="n">
        <v>309.2</v>
      </c>
      <c r="F700" s="12" t="n">
        <v>4413426</v>
      </c>
    </row>
    <row r="701" customFormat="false" ht="15" hidden="false" customHeight="true" outlineLevel="0" collapsed="false">
      <c r="A701" s="12" t="s">
        <v>951</v>
      </c>
      <c r="B701" s="12" t="s">
        <v>819</v>
      </c>
      <c r="C701" s="12" t="n">
        <v>2026</v>
      </c>
      <c r="D701" s="12" t="n">
        <v>4</v>
      </c>
      <c r="E701" s="12" t="n">
        <v>362.2</v>
      </c>
      <c r="F701" s="12" t="n">
        <v>4413426</v>
      </c>
    </row>
    <row r="702" customFormat="false" ht="15" hidden="false" customHeight="true" outlineLevel="0" collapsed="false">
      <c r="A702" s="12" t="s">
        <v>951</v>
      </c>
      <c r="B702" s="12" t="s">
        <v>822</v>
      </c>
      <c r="C702" s="12" t="n">
        <v>2025</v>
      </c>
      <c r="D702" s="12" t="n">
        <v>1</v>
      </c>
      <c r="E702" s="12" t="n">
        <v>77.3</v>
      </c>
      <c r="F702" s="12" t="n">
        <v>4413427</v>
      </c>
    </row>
    <row r="703" customFormat="false" ht="15" hidden="false" customHeight="true" outlineLevel="0" collapsed="false">
      <c r="A703" s="12" t="s">
        <v>951</v>
      </c>
      <c r="B703" s="12" t="s">
        <v>822</v>
      </c>
      <c r="C703" s="12" t="n">
        <v>2026</v>
      </c>
      <c r="D703" s="12" t="n">
        <v>4</v>
      </c>
      <c r="E703" s="12" t="n">
        <v>362.2</v>
      </c>
      <c r="F703" s="12" t="n">
        <v>4413427</v>
      </c>
    </row>
    <row r="704" customFormat="false" ht="15" hidden="false" customHeight="true" outlineLevel="0" collapsed="false">
      <c r="A704" s="12" t="s">
        <v>951</v>
      </c>
      <c r="B704" s="12" t="s">
        <v>152</v>
      </c>
      <c r="C704" s="12" t="n">
        <v>2025</v>
      </c>
      <c r="D704" s="12" t="n">
        <v>6</v>
      </c>
      <c r="E704" s="12" t="n">
        <v>830.5</v>
      </c>
      <c r="F704" s="12" t="n">
        <v>4413438</v>
      </c>
    </row>
    <row r="705" customFormat="false" ht="15" hidden="false" customHeight="true" outlineLevel="0" collapsed="false">
      <c r="A705" s="12" t="s">
        <v>951</v>
      </c>
      <c r="B705" s="12" t="s">
        <v>152</v>
      </c>
      <c r="C705" s="12" t="n">
        <v>2026</v>
      </c>
      <c r="D705" s="12" t="n">
        <v>6</v>
      </c>
      <c r="E705" s="12" t="n">
        <v>834.1</v>
      </c>
      <c r="F705" s="12" t="n">
        <v>4413438</v>
      </c>
    </row>
    <row r="706" customFormat="false" ht="15" hidden="false" customHeight="true" outlineLevel="0" collapsed="false">
      <c r="A706" s="12" t="s">
        <v>951</v>
      </c>
      <c r="B706" s="12" t="s">
        <v>829</v>
      </c>
      <c r="C706" s="12" t="n">
        <v>2025</v>
      </c>
      <c r="D706" s="12" t="n">
        <v>11</v>
      </c>
      <c r="E706" s="12" t="n">
        <v>1474.1</v>
      </c>
      <c r="F706" s="12" t="n">
        <v>4413439</v>
      </c>
    </row>
    <row r="707" customFormat="false" ht="15" hidden="false" customHeight="true" outlineLevel="0" collapsed="false">
      <c r="A707" s="12" t="s">
        <v>951</v>
      </c>
      <c r="B707" s="12" t="s">
        <v>829</v>
      </c>
      <c r="C707" s="12" t="n">
        <v>2026</v>
      </c>
      <c r="D707" s="12" t="n">
        <v>20</v>
      </c>
      <c r="E707" s="12" t="n">
        <v>2689.6</v>
      </c>
      <c r="F707" s="12" t="n">
        <v>4413439</v>
      </c>
    </row>
    <row r="708" customFormat="false" ht="15" hidden="false" customHeight="true" outlineLevel="0" collapsed="false">
      <c r="A708" s="12" t="s">
        <v>951</v>
      </c>
      <c r="B708" s="12" t="s">
        <v>828</v>
      </c>
      <c r="C708" s="12" t="n">
        <v>2025</v>
      </c>
      <c r="D708" s="12" t="n">
        <v>19</v>
      </c>
      <c r="E708" s="12" t="n">
        <v>2570.5</v>
      </c>
      <c r="F708" s="12" t="n">
        <v>4413440</v>
      </c>
    </row>
    <row r="709" customFormat="false" ht="15" hidden="false" customHeight="true" outlineLevel="0" collapsed="false">
      <c r="A709" s="12" t="s">
        <v>951</v>
      </c>
      <c r="B709" s="12" t="s">
        <v>828</v>
      </c>
      <c r="C709" s="12" t="n">
        <v>2026</v>
      </c>
      <c r="D709" s="12" t="n">
        <v>23</v>
      </c>
      <c r="E709" s="12" t="n">
        <v>3139.4</v>
      </c>
      <c r="F709" s="12" t="n">
        <v>4413440</v>
      </c>
    </row>
    <row r="710" customFormat="false" ht="15" hidden="false" customHeight="true" outlineLevel="0" collapsed="false">
      <c r="A710" s="12" t="s">
        <v>951</v>
      </c>
      <c r="B710" s="12" t="s">
        <v>830</v>
      </c>
      <c r="C710" s="12" t="n">
        <v>2025</v>
      </c>
      <c r="D710" s="12" t="n">
        <v>11</v>
      </c>
      <c r="E710" s="12" t="n">
        <v>1455.4</v>
      </c>
      <c r="F710" s="12" t="n">
        <v>4413441</v>
      </c>
    </row>
    <row r="711" customFormat="false" ht="15" hidden="false" customHeight="true" outlineLevel="0" collapsed="false">
      <c r="A711" s="12" t="s">
        <v>951</v>
      </c>
      <c r="B711" s="12" t="s">
        <v>830</v>
      </c>
      <c r="C711" s="12" t="n">
        <v>2026</v>
      </c>
      <c r="D711" s="12" t="n">
        <v>15</v>
      </c>
      <c r="E711" s="12" t="n">
        <v>2061.7</v>
      </c>
      <c r="F711" s="12" t="n">
        <v>4413441</v>
      </c>
    </row>
    <row r="712" customFormat="false" ht="15" hidden="false" customHeight="true" outlineLevel="0" collapsed="false">
      <c r="A712" s="12" t="s">
        <v>951</v>
      </c>
      <c r="B712" s="12" t="s">
        <v>153</v>
      </c>
      <c r="C712" s="12" t="n">
        <v>2025</v>
      </c>
      <c r="D712" s="12" t="n">
        <v>1</v>
      </c>
      <c r="E712" s="12" t="n">
        <v>112.7</v>
      </c>
      <c r="F712" s="12" t="n">
        <v>4413442</v>
      </c>
    </row>
    <row r="713" customFormat="false" ht="15" hidden="false" customHeight="true" outlineLevel="0" collapsed="false">
      <c r="A713" s="12" t="s">
        <v>951</v>
      </c>
      <c r="B713" s="12" t="s">
        <v>153</v>
      </c>
      <c r="C713" s="12" t="n">
        <v>2026</v>
      </c>
      <c r="D713" s="12" t="n">
        <v>5</v>
      </c>
      <c r="E713" s="12" t="n">
        <v>702.9</v>
      </c>
      <c r="F713" s="12" t="n">
        <v>4413442</v>
      </c>
    </row>
    <row r="714" customFormat="false" ht="15" hidden="false" customHeight="true" outlineLevel="0" collapsed="false">
      <c r="A714" s="12" t="s">
        <v>951</v>
      </c>
      <c r="B714" s="12" t="s">
        <v>416</v>
      </c>
      <c r="C714" s="12" t="n">
        <v>2025</v>
      </c>
      <c r="D714" s="12" t="n">
        <v>-2</v>
      </c>
      <c r="E714" s="12" t="n">
        <v>-144.5</v>
      </c>
      <c r="F714" s="12" t="n">
        <v>4413444</v>
      </c>
    </row>
    <row r="715" customFormat="false" ht="15" hidden="false" customHeight="true" outlineLevel="0" collapsed="false">
      <c r="A715" s="12" t="s">
        <v>951</v>
      </c>
      <c r="B715" s="12" t="s">
        <v>417</v>
      </c>
      <c r="C715" s="12" t="n">
        <v>2025</v>
      </c>
      <c r="D715" s="12" t="n">
        <v>1</v>
      </c>
      <c r="E715" s="12" t="n">
        <v>56</v>
      </c>
      <c r="F715" s="12" t="n">
        <v>4413445</v>
      </c>
    </row>
    <row r="716" customFormat="false" ht="15" hidden="false" customHeight="true" outlineLevel="0" collapsed="false">
      <c r="A716" s="12" t="s">
        <v>951</v>
      </c>
      <c r="B716" s="12" t="s">
        <v>417</v>
      </c>
      <c r="C716" s="12" t="n">
        <v>2026</v>
      </c>
      <c r="D716" s="12" t="n">
        <v>39</v>
      </c>
      <c r="E716" s="12" t="n">
        <v>2191.9</v>
      </c>
      <c r="F716" s="12" t="n">
        <v>4413445</v>
      </c>
    </row>
    <row r="717" customFormat="false" ht="15" hidden="false" customHeight="true" outlineLevel="0" collapsed="false">
      <c r="A717" s="12" t="s">
        <v>951</v>
      </c>
      <c r="B717" s="12" t="s">
        <v>440</v>
      </c>
      <c r="C717" s="12" t="n">
        <v>2026</v>
      </c>
      <c r="D717" s="12" t="n">
        <v>4</v>
      </c>
      <c r="E717" s="12" t="n">
        <v>294.2</v>
      </c>
      <c r="F717" s="12" t="n">
        <v>4413449</v>
      </c>
    </row>
    <row r="718" customFormat="false" ht="15" hidden="false" customHeight="true" outlineLevel="0" collapsed="false">
      <c r="A718" s="12" t="s">
        <v>951</v>
      </c>
      <c r="B718" s="12" t="s">
        <v>439</v>
      </c>
      <c r="C718" s="12" t="n">
        <v>2026</v>
      </c>
      <c r="D718" s="12" t="n">
        <v>5</v>
      </c>
      <c r="E718" s="12" t="n">
        <v>367.7</v>
      </c>
      <c r="F718" s="12" t="n">
        <v>4413450</v>
      </c>
    </row>
    <row r="719" customFormat="false" ht="15" hidden="false" customHeight="true" outlineLevel="0" collapsed="false">
      <c r="A719" s="12" t="s">
        <v>951</v>
      </c>
      <c r="B719" s="12" t="s">
        <v>410</v>
      </c>
      <c r="C719" s="12" t="n">
        <v>2026</v>
      </c>
      <c r="D719" s="12" t="n">
        <v>3</v>
      </c>
      <c r="E719" s="12" t="n">
        <v>215.7</v>
      </c>
      <c r="F719" s="12" t="n">
        <v>4413451</v>
      </c>
    </row>
    <row r="720" customFormat="false" ht="15" hidden="false" customHeight="true" outlineLevel="0" collapsed="false">
      <c r="A720" s="12" t="s">
        <v>951</v>
      </c>
      <c r="B720" s="12" t="s">
        <v>566</v>
      </c>
      <c r="C720" s="12" t="n">
        <v>2025</v>
      </c>
      <c r="D720" s="12" t="n">
        <v>63</v>
      </c>
      <c r="E720" s="12" t="n">
        <v>2915.1</v>
      </c>
      <c r="F720" s="12" t="n">
        <v>4413452</v>
      </c>
    </row>
    <row r="721" customFormat="false" ht="15" hidden="false" customHeight="true" outlineLevel="0" collapsed="false">
      <c r="A721" s="12" t="s">
        <v>951</v>
      </c>
      <c r="B721" s="12" t="s">
        <v>566</v>
      </c>
      <c r="C721" s="12" t="n">
        <v>2026</v>
      </c>
      <c r="D721" s="12" t="n">
        <v>58</v>
      </c>
      <c r="E721" s="12" t="n">
        <v>2648.4</v>
      </c>
      <c r="F721" s="12" t="n">
        <v>4413452</v>
      </c>
    </row>
    <row r="722" customFormat="false" ht="15" hidden="false" customHeight="true" outlineLevel="0" collapsed="false">
      <c r="A722" s="12" t="s">
        <v>951</v>
      </c>
      <c r="B722" s="12" t="s">
        <v>397</v>
      </c>
      <c r="C722" s="12" t="n">
        <v>2025</v>
      </c>
      <c r="D722" s="12" t="n">
        <v>943</v>
      </c>
      <c r="E722" s="12" t="n">
        <v>65610.8</v>
      </c>
      <c r="F722" s="12" t="n">
        <v>4413453</v>
      </c>
    </row>
    <row r="723" customFormat="false" ht="15" hidden="false" customHeight="true" outlineLevel="0" collapsed="false">
      <c r="A723" s="12" t="s">
        <v>951</v>
      </c>
      <c r="B723" s="12" t="s">
        <v>397</v>
      </c>
      <c r="C723" s="12" t="n">
        <v>2026</v>
      </c>
      <c r="D723" s="12" t="n">
        <v>737</v>
      </c>
      <c r="E723" s="12" t="n">
        <v>57737.9</v>
      </c>
      <c r="F723" s="12" t="n">
        <v>4413453</v>
      </c>
    </row>
    <row r="724" customFormat="false" ht="15" hidden="false" customHeight="true" outlineLevel="0" collapsed="false">
      <c r="A724" s="12" t="s">
        <v>951</v>
      </c>
      <c r="B724" s="12" t="s">
        <v>531</v>
      </c>
      <c r="C724" s="12" t="n">
        <v>2025</v>
      </c>
      <c r="D724" s="12" t="n">
        <v>153</v>
      </c>
      <c r="E724" s="12" t="n">
        <v>7719.7</v>
      </c>
      <c r="F724" s="12" t="n">
        <v>4413455</v>
      </c>
    </row>
    <row r="725" customFormat="false" ht="15" hidden="false" customHeight="true" outlineLevel="0" collapsed="false">
      <c r="A725" s="12" t="s">
        <v>951</v>
      </c>
      <c r="B725" s="12" t="s">
        <v>531</v>
      </c>
      <c r="C725" s="12" t="n">
        <v>2026</v>
      </c>
      <c r="D725" s="12" t="n">
        <v>115</v>
      </c>
      <c r="E725" s="12" t="n">
        <v>5814.2</v>
      </c>
      <c r="F725" s="12" t="n">
        <v>4413455</v>
      </c>
    </row>
    <row r="726" customFormat="false" ht="15" hidden="false" customHeight="true" outlineLevel="0" collapsed="false">
      <c r="A726" s="12" t="s">
        <v>951</v>
      </c>
      <c r="B726" s="12" t="s">
        <v>396</v>
      </c>
      <c r="C726" s="12" t="n">
        <v>2025</v>
      </c>
      <c r="D726" s="12" t="n">
        <v>106</v>
      </c>
      <c r="E726" s="12" t="n">
        <v>7191.5</v>
      </c>
      <c r="F726" s="12" t="n">
        <v>4413456</v>
      </c>
    </row>
    <row r="727" customFormat="false" ht="15" hidden="false" customHeight="true" outlineLevel="0" collapsed="false">
      <c r="A727" s="12" t="s">
        <v>951</v>
      </c>
      <c r="B727" s="12" t="s">
        <v>396</v>
      </c>
      <c r="C727" s="12" t="n">
        <v>2026</v>
      </c>
      <c r="D727" s="12" t="n">
        <v>49</v>
      </c>
      <c r="E727" s="12" t="n">
        <v>3860</v>
      </c>
      <c r="F727" s="12" t="n">
        <v>4413456</v>
      </c>
    </row>
    <row r="728" customFormat="false" ht="15" hidden="false" customHeight="true" outlineLevel="0" collapsed="false">
      <c r="A728" s="12" t="s">
        <v>951</v>
      </c>
      <c r="B728" s="12" t="s">
        <v>469</v>
      </c>
      <c r="C728" s="12" t="n">
        <v>2025</v>
      </c>
      <c r="D728" s="12" t="n">
        <v>-4</v>
      </c>
      <c r="E728" s="12" t="n">
        <v>-32.5</v>
      </c>
      <c r="F728" s="12" t="n">
        <v>4413464</v>
      </c>
    </row>
    <row r="729" customFormat="false" ht="15" hidden="false" customHeight="true" outlineLevel="0" collapsed="false">
      <c r="A729" s="12" t="s">
        <v>951</v>
      </c>
      <c r="B729" s="12" t="s">
        <v>430</v>
      </c>
      <c r="C729" s="12" t="n">
        <v>2025</v>
      </c>
      <c r="D729" s="12" t="n">
        <v>-1</v>
      </c>
      <c r="E729" s="12" t="n">
        <v>-75.6</v>
      </c>
      <c r="F729" s="12" t="n">
        <v>4413482</v>
      </c>
    </row>
    <row r="730" customFormat="false" ht="15" hidden="false" customHeight="true" outlineLevel="0" collapsed="false">
      <c r="A730" s="12" t="s">
        <v>951</v>
      </c>
      <c r="B730" s="12" t="s">
        <v>748</v>
      </c>
      <c r="C730" s="12" t="n">
        <v>2025</v>
      </c>
      <c r="D730" s="12" t="n">
        <v>293</v>
      </c>
      <c r="E730" s="12" t="n">
        <v>8399.7</v>
      </c>
      <c r="F730" s="12" t="n">
        <v>4413490</v>
      </c>
    </row>
    <row r="731" customFormat="false" ht="15" hidden="false" customHeight="true" outlineLevel="0" collapsed="false">
      <c r="A731" s="12" t="s">
        <v>951</v>
      </c>
      <c r="B731" s="12" t="s">
        <v>748</v>
      </c>
      <c r="C731" s="12" t="n">
        <v>2026</v>
      </c>
      <c r="D731" s="12" t="n">
        <v>183</v>
      </c>
      <c r="E731" s="12" t="n">
        <v>5609.7</v>
      </c>
      <c r="F731" s="12" t="n">
        <v>4413490</v>
      </c>
    </row>
    <row r="732" customFormat="false" ht="15" hidden="false" customHeight="true" outlineLevel="0" collapsed="false">
      <c r="A732" s="12" t="s">
        <v>951</v>
      </c>
      <c r="B732" s="12" t="s">
        <v>751</v>
      </c>
      <c r="C732" s="12" t="n">
        <v>2025</v>
      </c>
      <c r="D732" s="12" t="n">
        <v>185</v>
      </c>
      <c r="E732" s="12" t="n">
        <v>5554.1</v>
      </c>
      <c r="F732" s="12" t="n">
        <v>4413491</v>
      </c>
    </row>
    <row r="733" customFormat="false" ht="15" hidden="false" customHeight="true" outlineLevel="0" collapsed="false">
      <c r="A733" s="12" t="s">
        <v>951</v>
      </c>
      <c r="B733" s="12" t="s">
        <v>751</v>
      </c>
      <c r="C733" s="12" t="n">
        <v>2026</v>
      </c>
      <c r="D733" s="12" t="n">
        <v>99</v>
      </c>
      <c r="E733" s="12" t="n">
        <v>3019</v>
      </c>
      <c r="F733" s="12" t="n">
        <v>4413491</v>
      </c>
    </row>
    <row r="734" customFormat="false" ht="15" hidden="false" customHeight="true" outlineLevel="0" collapsed="false">
      <c r="A734" s="12" t="s">
        <v>951</v>
      </c>
      <c r="B734" s="12" t="s">
        <v>749</v>
      </c>
      <c r="C734" s="12" t="n">
        <v>2025</v>
      </c>
      <c r="D734" s="12" t="n">
        <v>265</v>
      </c>
      <c r="E734" s="12" t="n">
        <v>7812.9</v>
      </c>
      <c r="F734" s="12" t="n">
        <v>4413492</v>
      </c>
    </row>
    <row r="735" customFormat="false" ht="15" hidden="false" customHeight="true" outlineLevel="0" collapsed="false">
      <c r="A735" s="12" t="s">
        <v>951</v>
      </c>
      <c r="B735" s="12" t="s">
        <v>749</v>
      </c>
      <c r="C735" s="12" t="n">
        <v>2026</v>
      </c>
      <c r="D735" s="12" t="n">
        <v>146</v>
      </c>
      <c r="E735" s="12" t="n">
        <v>4485.3</v>
      </c>
      <c r="F735" s="12" t="n">
        <v>4413492</v>
      </c>
    </row>
    <row r="736" customFormat="false" ht="15" hidden="false" customHeight="true" outlineLevel="0" collapsed="false">
      <c r="A736" s="12" t="s">
        <v>951</v>
      </c>
      <c r="B736" s="12" t="s">
        <v>750</v>
      </c>
      <c r="C736" s="12" t="n">
        <v>2025</v>
      </c>
      <c r="D736" s="12" t="n">
        <v>136</v>
      </c>
      <c r="E736" s="12" t="n">
        <v>4138.2</v>
      </c>
      <c r="F736" s="12" t="n">
        <v>4413493</v>
      </c>
    </row>
    <row r="737" customFormat="false" ht="15" hidden="false" customHeight="true" outlineLevel="0" collapsed="false">
      <c r="A737" s="12" t="s">
        <v>951</v>
      </c>
      <c r="B737" s="12" t="s">
        <v>750</v>
      </c>
      <c r="C737" s="12" t="n">
        <v>2026</v>
      </c>
      <c r="D737" s="12" t="n">
        <v>77</v>
      </c>
      <c r="E737" s="12" t="n">
        <v>2360</v>
      </c>
      <c r="F737" s="12" t="n">
        <v>4413493</v>
      </c>
    </row>
    <row r="738" customFormat="false" ht="15" hidden="false" customHeight="true" outlineLevel="0" collapsed="false">
      <c r="A738" s="12" t="s">
        <v>951</v>
      </c>
      <c r="B738" s="12" t="s">
        <v>752</v>
      </c>
      <c r="C738" s="12" t="n">
        <v>2025</v>
      </c>
      <c r="D738" s="12" t="n">
        <v>47</v>
      </c>
      <c r="E738" s="12" t="n">
        <v>1423</v>
      </c>
      <c r="F738" s="12" t="n">
        <v>4413494</v>
      </c>
    </row>
    <row r="739" customFormat="false" ht="15" hidden="false" customHeight="true" outlineLevel="0" collapsed="false">
      <c r="A739" s="12" t="s">
        <v>951</v>
      </c>
      <c r="B739" s="12" t="s">
        <v>752</v>
      </c>
      <c r="C739" s="12" t="n">
        <v>2026</v>
      </c>
      <c r="D739" s="12" t="n">
        <v>33</v>
      </c>
      <c r="E739" s="12" t="n">
        <v>1009.1</v>
      </c>
      <c r="F739" s="12" t="n">
        <v>4413494</v>
      </c>
    </row>
    <row r="740" customFormat="false" ht="15" hidden="false" customHeight="true" outlineLevel="0" collapsed="false">
      <c r="A740" s="12" t="s">
        <v>951</v>
      </c>
      <c r="B740" s="12" t="s">
        <v>124</v>
      </c>
      <c r="C740" s="12" t="n">
        <v>2025</v>
      </c>
      <c r="D740" s="12" t="n">
        <v>388</v>
      </c>
      <c r="E740" s="12" t="n">
        <v>11355.1</v>
      </c>
      <c r="F740" s="12" t="n">
        <v>4413495</v>
      </c>
    </row>
    <row r="741" customFormat="false" ht="15" hidden="false" customHeight="true" outlineLevel="0" collapsed="false">
      <c r="A741" s="12" t="s">
        <v>951</v>
      </c>
      <c r="B741" s="12" t="s">
        <v>124</v>
      </c>
      <c r="C741" s="12" t="n">
        <v>2026</v>
      </c>
      <c r="D741" s="12" t="n">
        <v>224</v>
      </c>
      <c r="E741" s="12" t="n">
        <v>6835</v>
      </c>
      <c r="F741" s="12" t="n">
        <v>4413495</v>
      </c>
    </row>
    <row r="742" customFormat="false" ht="15" hidden="false" customHeight="true" outlineLevel="0" collapsed="false">
      <c r="A742" s="12" t="s">
        <v>951</v>
      </c>
      <c r="B742" s="12" t="s">
        <v>127</v>
      </c>
      <c r="C742" s="12" t="n">
        <v>2025</v>
      </c>
      <c r="D742" s="12" t="n">
        <v>281</v>
      </c>
      <c r="E742" s="12" t="n">
        <v>8133.8</v>
      </c>
      <c r="F742" s="12" t="n">
        <v>4413496</v>
      </c>
    </row>
    <row r="743" customFormat="false" ht="15" hidden="false" customHeight="true" outlineLevel="0" collapsed="false">
      <c r="A743" s="12" t="s">
        <v>951</v>
      </c>
      <c r="B743" s="12" t="s">
        <v>127</v>
      </c>
      <c r="C743" s="12" t="n">
        <v>2026</v>
      </c>
      <c r="D743" s="12" t="n">
        <v>156</v>
      </c>
      <c r="E743" s="12" t="n">
        <v>4687.1</v>
      </c>
      <c r="F743" s="12" t="n">
        <v>4413496</v>
      </c>
    </row>
    <row r="744" customFormat="false" ht="15" hidden="false" customHeight="true" outlineLevel="0" collapsed="false">
      <c r="A744" s="12" t="s">
        <v>951</v>
      </c>
      <c r="B744" s="12" t="s">
        <v>125</v>
      </c>
      <c r="C744" s="12" t="n">
        <v>2025</v>
      </c>
      <c r="D744" s="12" t="n">
        <v>276</v>
      </c>
      <c r="E744" s="12" t="n">
        <v>8129.6</v>
      </c>
      <c r="F744" s="12" t="n">
        <v>4413497</v>
      </c>
    </row>
    <row r="745" customFormat="false" ht="15" hidden="false" customHeight="true" outlineLevel="0" collapsed="false">
      <c r="A745" s="12" t="s">
        <v>951</v>
      </c>
      <c r="B745" s="12" t="s">
        <v>125</v>
      </c>
      <c r="C745" s="12" t="n">
        <v>2026</v>
      </c>
      <c r="D745" s="12" t="n">
        <v>172</v>
      </c>
      <c r="E745" s="12" t="n">
        <v>5241.1</v>
      </c>
      <c r="F745" s="12" t="n">
        <v>4413497</v>
      </c>
    </row>
    <row r="746" customFormat="false" ht="15" hidden="false" customHeight="true" outlineLevel="0" collapsed="false">
      <c r="A746" s="12" t="s">
        <v>951</v>
      </c>
      <c r="B746" s="12" t="s">
        <v>126</v>
      </c>
      <c r="C746" s="12" t="n">
        <v>2025</v>
      </c>
      <c r="D746" s="12" t="n">
        <v>122</v>
      </c>
      <c r="E746" s="12" t="n">
        <v>3701.5</v>
      </c>
      <c r="F746" s="12" t="n">
        <v>4413498</v>
      </c>
    </row>
    <row r="747" customFormat="false" ht="15" hidden="false" customHeight="true" outlineLevel="0" collapsed="false">
      <c r="A747" s="12" t="s">
        <v>951</v>
      </c>
      <c r="B747" s="12" t="s">
        <v>126</v>
      </c>
      <c r="C747" s="12" t="n">
        <v>2026</v>
      </c>
      <c r="D747" s="12" t="n">
        <v>89</v>
      </c>
      <c r="E747" s="12" t="n">
        <v>2712.2</v>
      </c>
      <c r="F747" s="12" t="n">
        <v>4413498</v>
      </c>
    </row>
    <row r="748" customFormat="false" ht="15" hidden="false" customHeight="true" outlineLevel="0" collapsed="false">
      <c r="A748" s="12" t="s">
        <v>951</v>
      </c>
      <c r="B748" s="12" t="s">
        <v>128</v>
      </c>
      <c r="C748" s="12" t="n">
        <v>2025</v>
      </c>
      <c r="D748" s="12" t="n">
        <v>83</v>
      </c>
      <c r="E748" s="12" t="n">
        <v>2454.1</v>
      </c>
      <c r="F748" s="12" t="n">
        <v>4413499</v>
      </c>
    </row>
    <row r="749" customFormat="false" ht="15" hidden="false" customHeight="true" outlineLevel="0" collapsed="false">
      <c r="A749" s="12" t="s">
        <v>951</v>
      </c>
      <c r="B749" s="12" t="s">
        <v>128</v>
      </c>
      <c r="C749" s="12" t="n">
        <v>2026</v>
      </c>
      <c r="D749" s="12" t="n">
        <v>58</v>
      </c>
      <c r="E749" s="12" t="n">
        <v>1758.7</v>
      </c>
      <c r="F749" s="12" t="n">
        <v>4413499</v>
      </c>
    </row>
    <row r="750" customFormat="false" ht="15" hidden="false" customHeight="true" outlineLevel="0" collapsed="false">
      <c r="A750" s="12" t="s">
        <v>951</v>
      </c>
      <c r="B750" s="12" t="s">
        <v>488</v>
      </c>
      <c r="C750" s="12" t="n">
        <v>2025</v>
      </c>
      <c r="D750" s="12" t="n">
        <v>94</v>
      </c>
      <c r="E750" s="12" t="n">
        <v>2669.6</v>
      </c>
      <c r="F750" s="12" t="n">
        <v>4413500</v>
      </c>
    </row>
    <row r="751" customFormat="false" ht="15" hidden="false" customHeight="true" outlineLevel="0" collapsed="false">
      <c r="A751" s="12" t="s">
        <v>951</v>
      </c>
      <c r="B751" s="12" t="s">
        <v>488</v>
      </c>
      <c r="C751" s="12" t="n">
        <v>2026</v>
      </c>
      <c r="D751" s="12" t="n">
        <v>76</v>
      </c>
      <c r="E751" s="12" t="n">
        <v>2323</v>
      </c>
      <c r="F751" s="12" t="n">
        <v>4413500</v>
      </c>
    </row>
    <row r="752" customFormat="false" ht="15" hidden="false" customHeight="true" outlineLevel="0" collapsed="false">
      <c r="A752" s="12" t="s">
        <v>951</v>
      </c>
      <c r="B752" s="12" t="s">
        <v>489</v>
      </c>
      <c r="C752" s="12" t="n">
        <v>2025</v>
      </c>
      <c r="D752" s="12" t="n">
        <v>169</v>
      </c>
      <c r="E752" s="12" t="n">
        <v>5003.7</v>
      </c>
      <c r="F752" s="12" t="n">
        <v>4413501</v>
      </c>
    </row>
    <row r="753" customFormat="false" ht="15" hidden="false" customHeight="true" outlineLevel="0" collapsed="false">
      <c r="A753" s="12" t="s">
        <v>951</v>
      </c>
      <c r="B753" s="12" t="s">
        <v>489</v>
      </c>
      <c r="C753" s="12" t="n">
        <v>2026</v>
      </c>
      <c r="D753" s="12" t="n">
        <v>112</v>
      </c>
      <c r="E753" s="12" t="n">
        <v>3420.6</v>
      </c>
      <c r="F753" s="12" t="n">
        <v>4413501</v>
      </c>
    </row>
    <row r="754" customFormat="false" ht="15" hidden="false" customHeight="true" outlineLevel="0" collapsed="false">
      <c r="A754" s="12" t="s">
        <v>951</v>
      </c>
      <c r="B754" s="12" t="s">
        <v>490</v>
      </c>
      <c r="C754" s="12" t="n">
        <v>2025</v>
      </c>
      <c r="D754" s="12" t="n">
        <v>119</v>
      </c>
      <c r="E754" s="12" t="n">
        <v>3561.2</v>
      </c>
      <c r="F754" s="12" t="n">
        <v>4413502</v>
      </c>
    </row>
    <row r="755" customFormat="false" ht="15" hidden="false" customHeight="true" outlineLevel="0" collapsed="false">
      <c r="A755" s="12" t="s">
        <v>951</v>
      </c>
      <c r="B755" s="12" t="s">
        <v>490</v>
      </c>
      <c r="C755" s="12" t="n">
        <v>2026</v>
      </c>
      <c r="D755" s="12" t="n">
        <v>85</v>
      </c>
      <c r="E755" s="12" t="n">
        <v>2586.5</v>
      </c>
      <c r="F755" s="12" t="n">
        <v>4413502</v>
      </c>
    </row>
    <row r="756" customFormat="false" ht="15" hidden="false" customHeight="true" outlineLevel="0" collapsed="false">
      <c r="A756" s="12" t="s">
        <v>951</v>
      </c>
      <c r="B756" s="12" t="s">
        <v>491</v>
      </c>
      <c r="C756" s="12" t="n">
        <v>2025</v>
      </c>
      <c r="D756" s="12" t="n">
        <v>92</v>
      </c>
      <c r="E756" s="12" t="n">
        <v>2705.5</v>
      </c>
      <c r="F756" s="12" t="n">
        <v>4413503</v>
      </c>
    </row>
    <row r="757" customFormat="false" ht="15" hidden="false" customHeight="true" outlineLevel="0" collapsed="false">
      <c r="A757" s="12" t="s">
        <v>951</v>
      </c>
      <c r="B757" s="12" t="s">
        <v>491</v>
      </c>
      <c r="C757" s="12" t="n">
        <v>2026</v>
      </c>
      <c r="D757" s="12" t="n">
        <v>49</v>
      </c>
      <c r="E757" s="12" t="n">
        <v>1495.1</v>
      </c>
      <c r="F757" s="12" t="n">
        <v>4413503</v>
      </c>
    </row>
    <row r="758" customFormat="false" ht="15" hidden="false" customHeight="true" outlineLevel="0" collapsed="false">
      <c r="A758" s="12" t="s">
        <v>951</v>
      </c>
      <c r="B758" s="12" t="s">
        <v>492</v>
      </c>
      <c r="C758" s="12" t="n">
        <v>2025</v>
      </c>
      <c r="D758" s="12" t="n">
        <v>5</v>
      </c>
      <c r="E758" s="12" t="n">
        <v>147.2</v>
      </c>
      <c r="F758" s="12" t="n">
        <v>4413504</v>
      </c>
    </row>
    <row r="759" customFormat="false" ht="15" hidden="false" customHeight="true" outlineLevel="0" collapsed="false">
      <c r="A759" s="12" t="s">
        <v>951</v>
      </c>
      <c r="B759" s="12" t="s">
        <v>492</v>
      </c>
      <c r="C759" s="12" t="n">
        <v>2026</v>
      </c>
      <c r="D759" s="12" t="n">
        <v>8</v>
      </c>
      <c r="E759" s="12" t="n">
        <v>236.8</v>
      </c>
      <c r="F759" s="12" t="n">
        <v>4413504</v>
      </c>
    </row>
    <row r="760" customFormat="false" ht="15" hidden="false" customHeight="true" outlineLevel="0" collapsed="false">
      <c r="A760" s="12" t="s">
        <v>951</v>
      </c>
      <c r="B760" s="12" t="s">
        <v>527</v>
      </c>
      <c r="C760" s="12" t="n">
        <v>2025</v>
      </c>
      <c r="D760" s="12" t="n">
        <v>241</v>
      </c>
      <c r="E760" s="12" t="n">
        <v>12736.4</v>
      </c>
      <c r="F760" s="12" t="n">
        <v>4413516</v>
      </c>
    </row>
    <row r="761" customFormat="false" ht="15" hidden="false" customHeight="true" outlineLevel="0" collapsed="false">
      <c r="A761" s="12" t="s">
        <v>951</v>
      </c>
      <c r="B761" s="12" t="s">
        <v>527</v>
      </c>
      <c r="C761" s="12" t="n">
        <v>2026</v>
      </c>
      <c r="D761" s="12" t="n">
        <v>161</v>
      </c>
      <c r="E761" s="12" t="n">
        <v>8987</v>
      </c>
      <c r="F761" s="12" t="n">
        <v>4413516</v>
      </c>
    </row>
    <row r="762" customFormat="false" ht="15" hidden="false" customHeight="true" outlineLevel="0" collapsed="false">
      <c r="A762" s="12" t="s">
        <v>951</v>
      </c>
      <c r="B762" s="12" t="s">
        <v>528</v>
      </c>
      <c r="C762" s="12" t="n">
        <v>2025</v>
      </c>
      <c r="D762" s="12" t="n">
        <v>160</v>
      </c>
      <c r="E762" s="12" t="n">
        <v>8753.6</v>
      </c>
      <c r="F762" s="12" t="n">
        <v>4413517</v>
      </c>
    </row>
    <row r="763" customFormat="false" ht="15" hidden="false" customHeight="true" outlineLevel="0" collapsed="false">
      <c r="A763" s="12" t="s">
        <v>951</v>
      </c>
      <c r="B763" s="12" t="s">
        <v>528</v>
      </c>
      <c r="C763" s="12" t="n">
        <v>2026</v>
      </c>
      <c r="D763" s="12" t="n">
        <v>115</v>
      </c>
      <c r="E763" s="12" t="n">
        <v>6429.3</v>
      </c>
      <c r="F763" s="12" t="n">
        <v>4413517</v>
      </c>
    </row>
    <row r="764" customFormat="false" ht="15" hidden="false" customHeight="true" outlineLevel="0" collapsed="false">
      <c r="A764" s="12" t="s">
        <v>951</v>
      </c>
      <c r="B764" s="12" t="s">
        <v>530</v>
      </c>
      <c r="C764" s="12" t="n">
        <v>2025</v>
      </c>
      <c r="D764" s="12" t="n">
        <v>113</v>
      </c>
      <c r="E764" s="12" t="n">
        <v>6162.7</v>
      </c>
      <c r="F764" s="12" t="n">
        <v>4413518</v>
      </c>
    </row>
    <row r="765" customFormat="false" ht="15" hidden="false" customHeight="true" outlineLevel="0" collapsed="false">
      <c r="A765" s="12" t="s">
        <v>951</v>
      </c>
      <c r="B765" s="12" t="s">
        <v>530</v>
      </c>
      <c r="C765" s="12" t="n">
        <v>2026</v>
      </c>
      <c r="D765" s="12" t="n">
        <v>89</v>
      </c>
      <c r="E765" s="12" t="n">
        <v>4876.5</v>
      </c>
      <c r="F765" s="12" t="n">
        <v>4413518</v>
      </c>
    </row>
    <row r="766" customFormat="false" ht="15" hidden="false" customHeight="true" outlineLevel="0" collapsed="false">
      <c r="A766" s="12" t="s">
        <v>951</v>
      </c>
      <c r="B766" s="12" t="s">
        <v>529</v>
      </c>
      <c r="C766" s="12" t="n">
        <v>2025</v>
      </c>
      <c r="D766" s="12" t="n">
        <v>86</v>
      </c>
      <c r="E766" s="12" t="n">
        <v>4720.2</v>
      </c>
      <c r="F766" s="12" t="n">
        <v>4413519</v>
      </c>
    </row>
    <row r="767" customFormat="false" ht="15" hidden="false" customHeight="true" outlineLevel="0" collapsed="false">
      <c r="A767" s="12" t="s">
        <v>951</v>
      </c>
      <c r="B767" s="12" t="s">
        <v>529</v>
      </c>
      <c r="C767" s="12" t="n">
        <v>2026</v>
      </c>
      <c r="D767" s="12" t="n">
        <v>46</v>
      </c>
      <c r="E767" s="12" t="n">
        <v>2565.2</v>
      </c>
      <c r="F767" s="12" t="n">
        <v>4413519</v>
      </c>
    </row>
    <row r="768" customFormat="false" ht="15" hidden="false" customHeight="true" outlineLevel="0" collapsed="false">
      <c r="A768" s="12" t="s">
        <v>951</v>
      </c>
      <c r="B768" s="12" t="s">
        <v>441</v>
      </c>
      <c r="C768" s="12" t="n">
        <v>2025</v>
      </c>
      <c r="D768" s="12" t="n">
        <v>7</v>
      </c>
      <c r="E768" s="12" t="n">
        <v>700.1</v>
      </c>
      <c r="F768" s="12" t="n">
        <v>4413520</v>
      </c>
    </row>
    <row r="769" customFormat="false" ht="15" hidden="false" customHeight="true" outlineLevel="0" collapsed="false">
      <c r="A769" s="12" t="s">
        <v>951</v>
      </c>
      <c r="B769" s="12" t="s">
        <v>441</v>
      </c>
      <c r="C769" s="12" t="n">
        <v>2026</v>
      </c>
      <c r="D769" s="12" t="n">
        <v>8</v>
      </c>
      <c r="E769" s="12" t="n">
        <v>799.7</v>
      </c>
      <c r="F769" s="12" t="n">
        <v>4413520</v>
      </c>
    </row>
    <row r="770" customFormat="false" ht="15" hidden="false" customHeight="true" outlineLevel="0" collapsed="false">
      <c r="A770" s="12" t="s">
        <v>951</v>
      </c>
      <c r="B770" s="12" t="s">
        <v>443</v>
      </c>
      <c r="C770" s="12" t="n">
        <v>2025</v>
      </c>
      <c r="D770" s="12" t="n">
        <v>21</v>
      </c>
      <c r="E770" s="12" t="n">
        <v>2137.3</v>
      </c>
      <c r="F770" s="12" t="n">
        <v>4413521</v>
      </c>
    </row>
    <row r="771" customFormat="false" ht="15" hidden="false" customHeight="true" outlineLevel="0" collapsed="false">
      <c r="A771" s="12" t="s">
        <v>951</v>
      </c>
      <c r="B771" s="12" t="s">
        <v>443</v>
      </c>
      <c r="C771" s="12" t="n">
        <v>2026</v>
      </c>
      <c r="D771" s="12" t="n">
        <v>7</v>
      </c>
      <c r="E771" s="12" t="n">
        <v>678.4</v>
      </c>
      <c r="F771" s="12" t="n">
        <v>4413521</v>
      </c>
    </row>
    <row r="772" customFormat="false" ht="15" hidden="false" customHeight="true" outlineLevel="0" collapsed="false">
      <c r="A772" s="12" t="s">
        <v>951</v>
      </c>
      <c r="B772" s="12" t="s">
        <v>442</v>
      </c>
      <c r="C772" s="12" t="n">
        <v>2025</v>
      </c>
      <c r="D772" s="12" t="n">
        <v>27</v>
      </c>
      <c r="E772" s="12" t="n">
        <v>2824.7</v>
      </c>
      <c r="F772" s="12" t="n">
        <v>4413522</v>
      </c>
    </row>
    <row r="773" customFormat="false" ht="15" hidden="false" customHeight="true" outlineLevel="0" collapsed="false">
      <c r="A773" s="12" t="s">
        <v>951</v>
      </c>
      <c r="B773" s="12" t="s">
        <v>442</v>
      </c>
      <c r="C773" s="12" t="n">
        <v>2026</v>
      </c>
      <c r="D773" s="12" t="n">
        <v>11</v>
      </c>
      <c r="E773" s="12" t="n">
        <v>1253.7</v>
      </c>
      <c r="F773" s="12" t="n">
        <v>4413522</v>
      </c>
    </row>
    <row r="774" customFormat="false" ht="15" hidden="false" customHeight="true" outlineLevel="0" collapsed="false">
      <c r="A774" s="12" t="s">
        <v>951</v>
      </c>
      <c r="B774" s="12" t="s">
        <v>433</v>
      </c>
      <c r="C774" s="12" t="n">
        <v>2025</v>
      </c>
      <c r="D774" s="12" t="n">
        <v>7</v>
      </c>
      <c r="E774" s="12" t="n">
        <v>700.1</v>
      </c>
      <c r="F774" s="12" t="n">
        <v>4413523</v>
      </c>
    </row>
    <row r="775" customFormat="false" ht="15" hidden="false" customHeight="true" outlineLevel="0" collapsed="false">
      <c r="A775" s="12" t="s">
        <v>951</v>
      </c>
      <c r="B775" s="12" t="s">
        <v>433</v>
      </c>
      <c r="C775" s="12" t="n">
        <v>2026</v>
      </c>
      <c r="D775" s="12" t="n">
        <v>8</v>
      </c>
      <c r="E775" s="12" t="n">
        <v>773</v>
      </c>
      <c r="F775" s="12" t="n">
        <v>4413523</v>
      </c>
    </row>
    <row r="776" customFormat="false" ht="15" hidden="false" customHeight="true" outlineLevel="0" collapsed="false">
      <c r="A776" s="12" t="s">
        <v>951</v>
      </c>
      <c r="B776" s="12" t="s">
        <v>435</v>
      </c>
      <c r="C776" s="12" t="n">
        <v>2025</v>
      </c>
      <c r="D776" s="12" t="n">
        <v>23</v>
      </c>
      <c r="E776" s="12" t="n">
        <v>2384.9</v>
      </c>
      <c r="F776" s="12" t="n">
        <v>4413524</v>
      </c>
    </row>
    <row r="777" customFormat="false" ht="15" hidden="false" customHeight="true" outlineLevel="0" collapsed="false">
      <c r="A777" s="12" t="s">
        <v>951</v>
      </c>
      <c r="B777" s="12" t="s">
        <v>435</v>
      </c>
      <c r="C777" s="12" t="n">
        <v>2026</v>
      </c>
      <c r="D777" s="12" t="n">
        <v>10</v>
      </c>
      <c r="E777" s="12" t="n">
        <v>1010.1</v>
      </c>
      <c r="F777" s="12" t="n">
        <v>4413524</v>
      </c>
    </row>
    <row r="778" customFormat="false" ht="15" hidden="false" customHeight="true" outlineLevel="0" collapsed="false">
      <c r="A778" s="12" t="s">
        <v>951</v>
      </c>
      <c r="B778" s="12" t="s">
        <v>437</v>
      </c>
      <c r="C778" s="12" t="n">
        <v>2025</v>
      </c>
      <c r="D778" s="12" t="n">
        <v>20</v>
      </c>
      <c r="E778" s="12" t="n">
        <v>2114</v>
      </c>
      <c r="F778" s="12" t="n">
        <v>4413525</v>
      </c>
    </row>
    <row r="779" customFormat="false" ht="15" hidden="false" customHeight="true" outlineLevel="0" collapsed="false">
      <c r="A779" s="12" t="s">
        <v>951</v>
      </c>
      <c r="B779" s="12" t="s">
        <v>437</v>
      </c>
      <c r="C779" s="12" t="n">
        <v>2026</v>
      </c>
      <c r="D779" s="12" t="n">
        <v>9</v>
      </c>
      <c r="E779" s="12" t="n">
        <v>953.9</v>
      </c>
      <c r="F779" s="12" t="n">
        <v>4413525</v>
      </c>
    </row>
    <row r="780" customFormat="false" ht="15" hidden="false" customHeight="true" outlineLevel="0" collapsed="false">
      <c r="A780" s="12" t="s">
        <v>951</v>
      </c>
      <c r="B780" s="12" t="s">
        <v>434</v>
      </c>
      <c r="C780" s="12" t="n">
        <v>2025</v>
      </c>
      <c r="D780" s="12" t="n">
        <v>10</v>
      </c>
      <c r="E780" s="12" t="n">
        <v>902.8</v>
      </c>
      <c r="F780" s="12" t="n">
        <v>4413527</v>
      </c>
    </row>
    <row r="781" customFormat="false" ht="15" hidden="false" customHeight="true" outlineLevel="0" collapsed="false">
      <c r="A781" s="12" t="s">
        <v>951</v>
      </c>
      <c r="B781" s="12" t="s">
        <v>434</v>
      </c>
      <c r="C781" s="12" t="n">
        <v>2026</v>
      </c>
      <c r="D781" s="12" t="n">
        <v>6</v>
      </c>
      <c r="E781" s="12" t="n">
        <v>598.3</v>
      </c>
      <c r="F781" s="12" t="n">
        <v>4413527</v>
      </c>
    </row>
    <row r="782" customFormat="false" ht="15" hidden="false" customHeight="true" outlineLevel="0" collapsed="false">
      <c r="A782" s="12" t="s">
        <v>951</v>
      </c>
      <c r="B782" s="12" t="s">
        <v>436</v>
      </c>
      <c r="C782" s="12" t="n">
        <v>2025</v>
      </c>
      <c r="D782" s="12" t="n">
        <v>23</v>
      </c>
      <c r="E782" s="12" t="n">
        <v>2358.5</v>
      </c>
      <c r="F782" s="12" t="n">
        <v>4413528</v>
      </c>
    </row>
    <row r="783" customFormat="false" ht="15" hidden="false" customHeight="true" outlineLevel="0" collapsed="false">
      <c r="A783" s="12" t="s">
        <v>951</v>
      </c>
      <c r="B783" s="12" t="s">
        <v>436</v>
      </c>
      <c r="C783" s="12" t="n">
        <v>2026</v>
      </c>
      <c r="D783" s="12" t="n">
        <v>15</v>
      </c>
      <c r="E783" s="12" t="n">
        <v>1609.5</v>
      </c>
      <c r="F783" s="12" t="n">
        <v>4413528</v>
      </c>
    </row>
    <row r="784" customFormat="false" ht="15" hidden="false" customHeight="true" outlineLevel="0" collapsed="false">
      <c r="A784" s="12" t="s">
        <v>951</v>
      </c>
      <c r="B784" s="12" t="s">
        <v>438</v>
      </c>
      <c r="C784" s="12" t="n">
        <v>2025</v>
      </c>
      <c r="D784" s="12" t="n">
        <v>22</v>
      </c>
      <c r="E784" s="12" t="n">
        <v>2158.5</v>
      </c>
      <c r="F784" s="12" t="n">
        <v>4413529</v>
      </c>
    </row>
    <row r="785" customFormat="false" ht="15" hidden="false" customHeight="true" outlineLevel="0" collapsed="false">
      <c r="A785" s="12" t="s">
        <v>951</v>
      </c>
      <c r="B785" s="12" t="s">
        <v>438</v>
      </c>
      <c r="C785" s="12" t="n">
        <v>2026</v>
      </c>
      <c r="D785" s="12" t="n">
        <v>14</v>
      </c>
      <c r="E785" s="12" t="n">
        <v>1472.5</v>
      </c>
      <c r="F785" s="12" t="n">
        <v>4413529</v>
      </c>
    </row>
    <row r="786" customFormat="false" ht="15" hidden="false" customHeight="true" outlineLevel="0" collapsed="false">
      <c r="A786" s="12" t="s">
        <v>951</v>
      </c>
      <c r="B786" s="12" t="s">
        <v>757</v>
      </c>
      <c r="C786" s="12" t="n">
        <v>2025</v>
      </c>
      <c r="D786" s="12" t="n">
        <v>1</v>
      </c>
      <c r="E786" s="12" t="n">
        <v>28.8</v>
      </c>
      <c r="F786" s="12" t="n">
        <v>4413530</v>
      </c>
    </row>
    <row r="787" customFormat="false" ht="15" hidden="false" customHeight="true" outlineLevel="0" collapsed="false">
      <c r="A787" s="12" t="s">
        <v>951</v>
      </c>
      <c r="B787" s="12" t="s">
        <v>759</v>
      </c>
      <c r="C787" s="12" t="n">
        <v>2026</v>
      </c>
      <c r="D787" s="12" t="n">
        <v>8</v>
      </c>
      <c r="E787" s="12" t="n">
        <v>1301.1</v>
      </c>
      <c r="F787" s="12" t="n">
        <v>4413534</v>
      </c>
    </row>
    <row r="788" customFormat="false" ht="15" hidden="false" customHeight="true" outlineLevel="0" collapsed="false">
      <c r="A788" s="12" t="s">
        <v>951</v>
      </c>
      <c r="B788" s="12" t="s">
        <v>360</v>
      </c>
      <c r="C788" s="12" t="n">
        <v>2025</v>
      </c>
      <c r="D788" s="12" t="n">
        <v>710</v>
      </c>
      <c r="E788" s="12" t="n">
        <v>23268.2</v>
      </c>
      <c r="F788" s="12" t="n">
        <v>4414000</v>
      </c>
    </row>
    <row r="789" customFormat="false" ht="15" hidden="false" customHeight="true" outlineLevel="0" collapsed="false">
      <c r="A789" s="12" t="s">
        <v>951</v>
      </c>
      <c r="B789" s="12" t="s">
        <v>360</v>
      </c>
      <c r="C789" s="12" t="n">
        <v>2026</v>
      </c>
      <c r="D789" s="12" t="n">
        <v>425</v>
      </c>
      <c r="E789" s="12" t="n">
        <v>15119.6</v>
      </c>
      <c r="F789" s="12" t="n">
        <v>4414000</v>
      </c>
    </row>
    <row r="790" customFormat="false" ht="15" hidden="false" customHeight="true" outlineLevel="0" collapsed="false">
      <c r="A790" s="12" t="s">
        <v>951</v>
      </c>
      <c r="B790" s="12" t="s">
        <v>614</v>
      </c>
      <c r="C790" s="12" t="n">
        <v>2025</v>
      </c>
      <c r="D790" s="12" t="n">
        <v>106</v>
      </c>
      <c r="E790" s="12" t="n">
        <v>10415.4</v>
      </c>
      <c r="F790" s="12" t="n">
        <v>4415000</v>
      </c>
    </row>
    <row r="791" customFormat="false" ht="15" hidden="false" customHeight="true" outlineLevel="0" collapsed="false">
      <c r="A791" s="12" t="s">
        <v>951</v>
      </c>
      <c r="B791" s="12" t="s">
        <v>614</v>
      </c>
      <c r="C791" s="12" t="n">
        <v>2026</v>
      </c>
      <c r="D791" s="12" t="n">
        <v>60</v>
      </c>
      <c r="E791" s="12" t="n">
        <v>5920.6</v>
      </c>
      <c r="F791" s="12" t="n">
        <v>4415000</v>
      </c>
    </row>
    <row r="792" customFormat="false" ht="15" hidden="false" customHeight="true" outlineLevel="0" collapsed="false">
      <c r="A792" s="12" t="s">
        <v>951</v>
      </c>
      <c r="B792" s="12" t="s">
        <v>615</v>
      </c>
      <c r="C792" s="12" t="n">
        <v>2025</v>
      </c>
      <c r="D792" s="12" t="n">
        <v>91</v>
      </c>
      <c r="E792" s="12" t="n">
        <v>8969</v>
      </c>
      <c r="F792" s="12" t="n">
        <v>4415001</v>
      </c>
    </row>
    <row r="793" customFormat="false" ht="15" hidden="false" customHeight="true" outlineLevel="0" collapsed="false">
      <c r="A793" s="12" t="s">
        <v>951</v>
      </c>
      <c r="B793" s="12" t="s">
        <v>615</v>
      </c>
      <c r="C793" s="12" t="n">
        <v>2026</v>
      </c>
      <c r="D793" s="12" t="n">
        <v>39</v>
      </c>
      <c r="E793" s="12" t="n">
        <v>3768.8</v>
      </c>
      <c r="F793" s="12" t="n">
        <v>4415001</v>
      </c>
    </row>
    <row r="794" customFormat="false" ht="15" hidden="false" customHeight="true" outlineLevel="0" collapsed="false">
      <c r="A794" s="12" t="s">
        <v>951</v>
      </c>
      <c r="B794" s="12" t="s">
        <v>616</v>
      </c>
      <c r="C794" s="12" t="n">
        <v>2025</v>
      </c>
      <c r="D794" s="12" t="n">
        <v>53</v>
      </c>
      <c r="E794" s="12" t="n">
        <v>5173.7</v>
      </c>
      <c r="F794" s="12" t="n">
        <v>4415002</v>
      </c>
    </row>
    <row r="795" customFormat="false" ht="15" hidden="false" customHeight="true" outlineLevel="0" collapsed="false">
      <c r="A795" s="12" t="s">
        <v>951</v>
      </c>
      <c r="B795" s="12" t="s">
        <v>616</v>
      </c>
      <c r="C795" s="12" t="n">
        <v>2026</v>
      </c>
      <c r="D795" s="12" t="n">
        <v>28</v>
      </c>
      <c r="E795" s="12" t="n">
        <v>2810.4</v>
      </c>
      <c r="F795" s="12" t="n">
        <v>4415002</v>
      </c>
    </row>
    <row r="796" customFormat="false" ht="15" hidden="false" customHeight="true" outlineLevel="0" collapsed="false">
      <c r="A796" s="12" t="s">
        <v>951</v>
      </c>
      <c r="B796" s="12" t="s">
        <v>617</v>
      </c>
      <c r="C796" s="12" t="n">
        <v>2025</v>
      </c>
      <c r="D796" s="12" t="n">
        <v>70</v>
      </c>
      <c r="E796" s="12" t="n">
        <v>6818.9</v>
      </c>
      <c r="F796" s="12" t="n">
        <v>4415003</v>
      </c>
    </row>
    <row r="797" customFormat="false" ht="15" hidden="false" customHeight="true" outlineLevel="0" collapsed="false">
      <c r="A797" s="12" t="s">
        <v>951</v>
      </c>
      <c r="B797" s="12" t="s">
        <v>617</v>
      </c>
      <c r="C797" s="12" t="n">
        <v>2026</v>
      </c>
      <c r="D797" s="12" t="n">
        <v>28</v>
      </c>
      <c r="E797" s="12" t="n">
        <v>2804.5</v>
      </c>
      <c r="F797" s="12" t="n">
        <v>4415003</v>
      </c>
    </row>
    <row r="798" customFormat="false" ht="15" hidden="false" customHeight="true" outlineLevel="0" collapsed="false">
      <c r="A798" s="12" t="s">
        <v>951</v>
      </c>
      <c r="B798" s="12" t="s">
        <v>619</v>
      </c>
      <c r="C798" s="12" t="n">
        <v>2025</v>
      </c>
      <c r="D798" s="12" t="n">
        <v>3</v>
      </c>
      <c r="E798" s="12" t="n">
        <v>309.2</v>
      </c>
      <c r="F798" s="12" t="n">
        <v>4415004</v>
      </c>
    </row>
    <row r="799" customFormat="false" ht="15" hidden="false" customHeight="true" outlineLevel="0" collapsed="false">
      <c r="A799" s="12" t="s">
        <v>951</v>
      </c>
      <c r="B799" s="12" t="s">
        <v>619</v>
      </c>
      <c r="C799" s="12" t="n">
        <v>2026</v>
      </c>
      <c r="D799" s="12" t="n">
        <v>2</v>
      </c>
      <c r="E799" s="12" t="n">
        <v>206.1</v>
      </c>
      <c r="F799" s="12" t="n">
        <v>4415004</v>
      </c>
    </row>
    <row r="800" customFormat="false" ht="15" hidden="false" customHeight="true" outlineLevel="0" collapsed="false">
      <c r="A800" s="12" t="s">
        <v>951</v>
      </c>
      <c r="B800" s="12" t="s">
        <v>642</v>
      </c>
      <c r="C800" s="12" t="n">
        <v>2025</v>
      </c>
      <c r="D800" s="12" t="n">
        <v>62</v>
      </c>
      <c r="E800" s="12" t="n">
        <v>6194.4</v>
      </c>
      <c r="F800" s="12" t="n">
        <v>4415005</v>
      </c>
    </row>
    <row r="801" customFormat="false" ht="15" hidden="false" customHeight="true" outlineLevel="0" collapsed="false">
      <c r="A801" s="12" t="s">
        <v>951</v>
      </c>
      <c r="B801" s="12" t="s">
        <v>642</v>
      </c>
      <c r="C801" s="12" t="n">
        <v>2026</v>
      </c>
      <c r="D801" s="12" t="n">
        <v>32</v>
      </c>
      <c r="E801" s="12" t="n">
        <v>3194.4</v>
      </c>
      <c r="F801" s="12" t="n">
        <v>4415005</v>
      </c>
    </row>
    <row r="802" customFormat="false" ht="15" hidden="false" customHeight="true" outlineLevel="0" collapsed="false">
      <c r="A802" s="12" t="s">
        <v>951</v>
      </c>
      <c r="B802" s="12" t="s">
        <v>643</v>
      </c>
      <c r="C802" s="12" t="n">
        <v>2025</v>
      </c>
      <c r="D802" s="12" t="n">
        <v>80</v>
      </c>
      <c r="E802" s="12" t="n">
        <v>7782.5</v>
      </c>
      <c r="F802" s="12" t="n">
        <v>4415006</v>
      </c>
    </row>
    <row r="803" customFormat="false" ht="15" hidden="false" customHeight="true" outlineLevel="0" collapsed="false">
      <c r="A803" s="12" t="s">
        <v>951</v>
      </c>
      <c r="B803" s="12" t="s">
        <v>643</v>
      </c>
      <c r="C803" s="12" t="n">
        <v>2026</v>
      </c>
      <c r="D803" s="12" t="n">
        <v>45</v>
      </c>
      <c r="E803" s="12" t="n">
        <v>4351.2</v>
      </c>
      <c r="F803" s="12" t="n">
        <v>4415006</v>
      </c>
    </row>
    <row r="804" customFormat="false" ht="15" hidden="false" customHeight="true" outlineLevel="0" collapsed="false">
      <c r="A804" s="12" t="s">
        <v>951</v>
      </c>
      <c r="B804" s="12" t="s">
        <v>644</v>
      </c>
      <c r="C804" s="12" t="n">
        <v>2025</v>
      </c>
      <c r="D804" s="12" t="n">
        <v>62</v>
      </c>
      <c r="E804" s="12" t="n">
        <v>6057.7</v>
      </c>
      <c r="F804" s="12" t="n">
        <v>4415007</v>
      </c>
    </row>
    <row r="805" customFormat="false" ht="15" hidden="false" customHeight="true" outlineLevel="0" collapsed="false">
      <c r="A805" s="12" t="s">
        <v>951</v>
      </c>
      <c r="B805" s="12" t="s">
        <v>644</v>
      </c>
      <c r="C805" s="12" t="n">
        <v>2026</v>
      </c>
      <c r="D805" s="12" t="n">
        <v>13</v>
      </c>
      <c r="E805" s="12" t="n">
        <v>1308.9</v>
      </c>
      <c r="F805" s="12" t="n">
        <v>4415007</v>
      </c>
    </row>
    <row r="806" customFormat="false" ht="15" hidden="false" customHeight="true" outlineLevel="0" collapsed="false">
      <c r="A806" s="12" t="s">
        <v>951</v>
      </c>
      <c r="B806" s="12" t="s">
        <v>645</v>
      </c>
      <c r="C806" s="12" t="n">
        <v>2025</v>
      </c>
      <c r="D806" s="12" t="n">
        <v>33</v>
      </c>
      <c r="E806" s="12" t="n">
        <v>3312.8</v>
      </c>
      <c r="F806" s="12" t="n">
        <v>4415008</v>
      </c>
    </row>
    <row r="807" customFormat="false" ht="15" hidden="false" customHeight="true" outlineLevel="0" collapsed="false">
      <c r="A807" s="12" t="s">
        <v>951</v>
      </c>
      <c r="B807" s="12" t="s">
        <v>645</v>
      </c>
      <c r="C807" s="12" t="n">
        <v>2026</v>
      </c>
      <c r="D807" s="12" t="n">
        <v>19</v>
      </c>
      <c r="E807" s="12" t="n">
        <v>1880.3</v>
      </c>
      <c r="F807" s="12" t="n">
        <v>4415008</v>
      </c>
    </row>
    <row r="808" customFormat="false" ht="15" hidden="false" customHeight="true" outlineLevel="0" collapsed="false">
      <c r="A808" s="12" t="s">
        <v>951</v>
      </c>
      <c r="B808" s="12" t="s">
        <v>714</v>
      </c>
      <c r="C808" s="12" t="n">
        <v>2025</v>
      </c>
      <c r="D808" s="12" t="n">
        <v>1</v>
      </c>
      <c r="E808" s="12" t="n">
        <v>198.6</v>
      </c>
      <c r="F808" s="12" t="n">
        <v>4415012</v>
      </c>
    </row>
    <row r="809" customFormat="false" ht="15" hidden="false" customHeight="true" outlineLevel="0" collapsed="false">
      <c r="A809" s="12" t="s">
        <v>951</v>
      </c>
      <c r="B809" s="12" t="s">
        <v>715</v>
      </c>
      <c r="C809" s="12" t="n">
        <v>2026</v>
      </c>
      <c r="D809" s="12" t="n">
        <v>2</v>
      </c>
      <c r="E809" s="12" t="n">
        <v>425.5</v>
      </c>
      <c r="F809" s="12" t="n">
        <v>4415013</v>
      </c>
    </row>
    <row r="810" customFormat="false" ht="15" hidden="false" customHeight="true" outlineLevel="0" collapsed="false">
      <c r="A810" s="12" t="s">
        <v>951</v>
      </c>
      <c r="B810" s="12" t="s">
        <v>730</v>
      </c>
      <c r="C810" s="12" t="n">
        <v>2025</v>
      </c>
      <c r="D810" s="12" t="n">
        <v>10</v>
      </c>
      <c r="E810" s="12" t="n">
        <v>1362.8</v>
      </c>
      <c r="F810" s="12" t="n">
        <v>4415019</v>
      </c>
    </row>
    <row r="811" customFormat="false" ht="15" hidden="false" customHeight="true" outlineLevel="0" collapsed="false">
      <c r="A811" s="12" t="s">
        <v>951</v>
      </c>
      <c r="B811" s="12" t="s">
        <v>730</v>
      </c>
      <c r="C811" s="12" t="n">
        <v>2026</v>
      </c>
      <c r="D811" s="12" t="n">
        <v>9</v>
      </c>
      <c r="E811" s="12" t="n">
        <v>1094.9</v>
      </c>
      <c r="F811" s="12" t="n">
        <v>4415019</v>
      </c>
    </row>
    <row r="812" customFormat="false" ht="15" hidden="false" customHeight="true" outlineLevel="0" collapsed="false">
      <c r="A812" s="12" t="s">
        <v>951</v>
      </c>
      <c r="B812" s="12" t="s">
        <v>641</v>
      </c>
      <c r="C812" s="12" t="n">
        <v>2025</v>
      </c>
      <c r="D812" s="12" t="n">
        <v>2</v>
      </c>
      <c r="E812" s="12" t="n">
        <v>199.3</v>
      </c>
      <c r="F812" s="12" t="n">
        <v>4415025</v>
      </c>
    </row>
    <row r="813" customFormat="false" ht="15" hidden="false" customHeight="true" outlineLevel="0" collapsed="false">
      <c r="A813" s="12" t="s">
        <v>951</v>
      </c>
      <c r="B813" s="12" t="s">
        <v>809</v>
      </c>
      <c r="C813" s="12" t="n">
        <v>2025</v>
      </c>
      <c r="D813" s="12" t="n">
        <v>364</v>
      </c>
      <c r="E813" s="12" t="n">
        <v>15021.6</v>
      </c>
      <c r="F813" s="12" t="n">
        <v>4415026</v>
      </c>
    </row>
    <row r="814" customFormat="false" ht="15" hidden="false" customHeight="true" outlineLevel="0" collapsed="false">
      <c r="A814" s="12" t="s">
        <v>951</v>
      </c>
      <c r="B814" s="12" t="s">
        <v>809</v>
      </c>
      <c r="C814" s="12" t="n">
        <v>2026</v>
      </c>
      <c r="D814" s="12" t="n">
        <v>199</v>
      </c>
      <c r="E814" s="12" t="n">
        <v>8065</v>
      </c>
      <c r="F814" s="12" t="n">
        <v>4415026</v>
      </c>
    </row>
    <row r="815" customFormat="false" ht="15" hidden="false" customHeight="true" outlineLevel="0" collapsed="false">
      <c r="A815" s="12" t="s">
        <v>951</v>
      </c>
      <c r="B815" s="12" t="s">
        <v>810</v>
      </c>
      <c r="C815" s="12" t="n">
        <v>2025</v>
      </c>
      <c r="D815" s="12" t="n">
        <v>413</v>
      </c>
      <c r="E815" s="12" t="n">
        <v>16528.7</v>
      </c>
      <c r="F815" s="12" t="n">
        <v>4415027</v>
      </c>
    </row>
    <row r="816" customFormat="false" ht="15" hidden="false" customHeight="true" outlineLevel="0" collapsed="false">
      <c r="A816" s="12" t="s">
        <v>951</v>
      </c>
      <c r="B816" s="12" t="s">
        <v>810</v>
      </c>
      <c r="C816" s="12" t="n">
        <v>2026</v>
      </c>
      <c r="D816" s="12" t="n">
        <v>280</v>
      </c>
      <c r="E816" s="12" t="n">
        <v>11920.6</v>
      </c>
      <c r="F816" s="12" t="n">
        <v>4415027</v>
      </c>
    </row>
    <row r="817" customFormat="false" ht="15" hidden="false" customHeight="true" outlineLevel="0" collapsed="false">
      <c r="A817" s="12" t="s">
        <v>951</v>
      </c>
      <c r="B817" s="12" t="s">
        <v>648</v>
      </c>
      <c r="C817" s="12" t="n">
        <v>2025</v>
      </c>
      <c r="D817" s="12" t="n">
        <v>652</v>
      </c>
      <c r="E817" s="12" t="n">
        <v>23480.4</v>
      </c>
      <c r="F817" s="12" t="n">
        <v>4415028</v>
      </c>
    </row>
    <row r="818" customFormat="false" ht="15" hidden="false" customHeight="true" outlineLevel="0" collapsed="false">
      <c r="A818" s="12" t="s">
        <v>951</v>
      </c>
      <c r="B818" s="12" t="s">
        <v>648</v>
      </c>
      <c r="C818" s="12" t="n">
        <v>2026</v>
      </c>
      <c r="D818" s="12" t="n">
        <v>451</v>
      </c>
      <c r="E818" s="12" t="n">
        <v>17531.8</v>
      </c>
      <c r="F818" s="12" t="n">
        <v>4415028</v>
      </c>
    </row>
    <row r="819" customFormat="false" ht="15" hidden="false" customHeight="true" outlineLevel="0" collapsed="false">
      <c r="A819" s="12" t="s">
        <v>951</v>
      </c>
      <c r="B819" s="12" t="s">
        <v>684</v>
      </c>
      <c r="C819" s="12" t="n">
        <v>2025</v>
      </c>
      <c r="D819" s="12" t="n">
        <v>44</v>
      </c>
      <c r="E819" s="12" t="n">
        <v>1297.9</v>
      </c>
      <c r="F819" s="12" t="n">
        <v>4415029</v>
      </c>
    </row>
    <row r="820" customFormat="false" ht="15" hidden="false" customHeight="true" outlineLevel="0" collapsed="false">
      <c r="A820" s="12" t="s">
        <v>951</v>
      </c>
      <c r="B820" s="12" t="s">
        <v>684</v>
      </c>
      <c r="C820" s="12" t="n">
        <v>2026</v>
      </c>
      <c r="D820" s="12" t="n">
        <v>38</v>
      </c>
      <c r="E820" s="12" t="n">
        <v>1141.8</v>
      </c>
      <c r="F820" s="12" t="n">
        <v>4415029</v>
      </c>
    </row>
    <row r="821" customFormat="false" ht="15" hidden="false" customHeight="true" outlineLevel="0" collapsed="false">
      <c r="A821" s="12" t="s">
        <v>951</v>
      </c>
      <c r="B821" s="12" t="s">
        <v>673</v>
      </c>
      <c r="C821" s="12" t="n">
        <v>2025</v>
      </c>
      <c r="D821" s="12" t="n">
        <v>0</v>
      </c>
      <c r="E821" s="12" t="n">
        <v>-13</v>
      </c>
      <c r="F821" s="12" t="n">
        <v>4415067</v>
      </c>
    </row>
    <row r="822" customFormat="false" ht="15" hidden="false" customHeight="true" outlineLevel="0" collapsed="false">
      <c r="A822" s="12" t="s">
        <v>951</v>
      </c>
      <c r="B822" s="12" t="s">
        <v>673</v>
      </c>
      <c r="C822" s="12" t="n">
        <v>2026</v>
      </c>
      <c r="D822" s="12" t="n">
        <v>3</v>
      </c>
      <c r="E822" s="12" t="n">
        <v>209.7</v>
      </c>
      <c r="F822" s="12" t="n">
        <v>4415067</v>
      </c>
    </row>
    <row r="823" customFormat="false" ht="15" hidden="false" customHeight="true" outlineLevel="0" collapsed="false">
      <c r="A823" s="12" t="s">
        <v>951</v>
      </c>
      <c r="B823" s="12" t="s">
        <v>681</v>
      </c>
      <c r="C823" s="12" t="n">
        <v>2025</v>
      </c>
      <c r="D823" s="12" t="n">
        <v>7</v>
      </c>
      <c r="E823" s="12" t="n">
        <v>486.6</v>
      </c>
      <c r="F823" s="12" t="n">
        <v>4415069</v>
      </c>
    </row>
    <row r="824" customFormat="false" ht="15" hidden="false" customHeight="true" outlineLevel="0" collapsed="false">
      <c r="A824" s="12" t="s">
        <v>951</v>
      </c>
      <c r="B824" s="12" t="s">
        <v>681</v>
      </c>
      <c r="C824" s="12" t="n">
        <v>2026</v>
      </c>
      <c r="D824" s="12" t="n">
        <v>5</v>
      </c>
      <c r="E824" s="12" t="n">
        <v>354.3</v>
      </c>
      <c r="F824" s="12" t="n">
        <v>4415069</v>
      </c>
    </row>
    <row r="825" customFormat="false" ht="15" hidden="false" customHeight="true" outlineLevel="0" collapsed="false">
      <c r="A825" s="12" t="s">
        <v>951</v>
      </c>
      <c r="B825" s="12" t="s">
        <v>682</v>
      </c>
      <c r="C825" s="12" t="n">
        <v>2025</v>
      </c>
      <c r="D825" s="12" t="n">
        <v>1</v>
      </c>
      <c r="E825" s="12" t="n">
        <v>66.1</v>
      </c>
      <c r="F825" s="12" t="n">
        <v>4415070</v>
      </c>
    </row>
    <row r="826" customFormat="false" ht="15" hidden="false" customHeight="true" outlineLevel="0" collapsed="false">
      <c r="A826" s="12" t="s">
        <v>951</v>
      </c>
      <c r="B826" s="12" t="s">
        <v>680</v>
      </c>
      <c r="C826" s="12" t="n">
        <v>2025</v>
      </c>
      <c r="D826" s="12" t="n">
        <v>4</v>
      </c>
      <c r="E826" s="12" t="n">
        <v>274</v>
      </c>
      <c r="F826" s="12" t="n">
        <v>4415071</v>
      </c>
    </row>
    <row r="827" customFormat="false" ht="15" hidden="false" customHeight="true" outlineLevel="0" collapsed="false">
      <c r="A827" s="12" t="s">
        <v>951</v>
      </c>
      <c r="B827" s="12" t="s">
        <v>680</v>
      </c>
      <c r="C827" s="12" t="n">
        <v>2026</v>
      </c>
      <c r="D827" s="12" t="n">
        <v>1</v>
      </c>
      <c r="E827" s="12" t="n">
        <v>70.9</v>
      </c>
      <c r="F827" s="12" t="n">
        <v>4415071</v>
      </c>
    </row>
    <row r="828" customFormat="false" ht="15" hidden="false" customHeight="true" outlineLevel="0" collapsed="false">
      <c r="A828" s="12" t="s">
        <v>951</v>
      </c>
      <c r="B828" s="12" t="s">
        <v>676</v>
      </c>
      <c r="C828" s="12" t="n">
        <v>2025</v>
      </c>
      <c r="D828" s="12" t="n">
        <v>47</v>
      </c>
      <c r="E828" s="12" t="n">
        <v>3144.3</v>
      </c>
      <c r="F828" s="12" t="n">
        <v>4415072</v>
      </c>
    </row>
    <row r="829" customFormat="false" ht="15" hidden="false" customHeight="true" outlineLevel="0" collapsed="false">
      <c r="A829" s="12" t="s">
        <v>951</v>
      </c>
      <c r="B829" s="12" t="s">
        <v>676</v>
      </c>
      <c r="C829" s="12" t="n">
        <v>2026</v>
      </c>
      <c r="D829" s="12" t="n">
        <v>36</v>
      </c>
      <c r="E829" s="12" t="n">
        <v>2425.4</v>
      </c>
      <c r="F829" s="12" t="n">
        <v>4415072</v>
      </c>
    </row>
    <row r="830" customFormat="false" ht="15" hidden="false" customHeight="true" outlineLevel="0" collapsed="false">
      <c r="A830" s="12" t="s">
        <v>951</v>
      </c>
      <c r="B830" s="12" t="s">
        <v>675</v>
      </c>
      <c r="C830" s="12" t="n">
        <v>2025</v>
      </c>
      <c r="D830" s="12" t="n">
        <v>43</v>
      </c>
      <c r="E830" s="12" t="n">
        <v>2839.6</v>
      </c>
      <c r="F830" s="12" t="n">
        <v>4415073</v>
      </c>
    </row>
    <row r="831" customFormat="false" ht="15" hidden="false" customHeight="true" outlineLevel="0" collapsed="false">
      <c r="A831" s="12" t="s">
        <v>951</v>
      </c>
      <c r="B831" s="12" t="s">
        <v>675</v>
      </c>
      <c r="C831" s="12" t="n">
        <v>2026</v>
      </c>
      <c r="D831" s="12" t="n">
        <v>33</v>
      </c>
      <c r="E831" s="12" t="n">
        <v>2239.7</v>
      </c>
      <c r="F831" s="12" t="n">
        <v>4415073</v>
      </c>
    </row>
    <row r="832" customFormat="false" ht="15" hidden="false" customHeight="true" outlineLevel="0" collapsed="false">
      <c r="A832" s="12" t="s">
        <v>951</v>
      </c>
      <c r="B832" s="12" t="s">
        <v>679</v>
      </c>
      <c r="C832" s="12" t="n">
        <v>2025</v>
      </c>
      <c r="D832" s="12" t="n">
        <v>88</v>
      </c>
      <c r="E832" s="12" t="n">
        <v>5922.8</v>
      </c>
      <c r="F832" s="12" t="n">
        <v>4415074</v>
      </c>
    </row>
    <row r="833" customFormat="false" ht="15" hidden="false" customHeight="true" outlineLevel="0" collapsed="false">
      <c r="A833" s="12" t="s">
        <v>951</v>
      </c>
      <c r="B833" s="12" t="s">
        <v>679</v>
      </c>
      <c r="C833" s="12" t="n">
        <v>2026</v>
      </c>
      <c r="D833" s="12" t="n">
        <v>63</v>
      </c>
      <c r="E833" s="12" t="n">
        <v>4281.1</v>
      </c>
      <c r="F833" s="12" t="n">
        <v>4415074</v>
      </c>
    </row>
    <row r="834" customFormat="false" ht="15" hidden="false" customHeight="true" outlineLevel="0" collapsed="false">
      <c r="A834" s="12" t="s">
        <v>951</v>
      </c>
      <c r="B834" s="12" t="s">
        <v>678</v>
      </c>
      <c r="C834" s="12" t="n">
        <v>2025</v>
      </c>
      <c r="D834" s="12" t="n">
        <v>47</v>
      </c>
      <c r="E834" s="12" t="n">
        <v>3181.8</v>
      </c>
      <c r="F834" s="12" t="n">
        <v>4415075</v>
      </c>
    </row>
    <row r="835" customFormat="false" ht="15" hidden="false" customHeight="true" outlineLevel="0" collapsed="false">
      <c r="A835" s="12" t="s">
        <v>951</v>
      </c>
      <c r="B835" s="12" t="s">
        <v>678</v>
      </c>
      <c r="C835" s="12" t="n">
        <v>2026</v>
      </c>
      <c r="D835" s="12" t="n">
        <v>38</v>
      </c>
      <c r="E835" s="12" t="n">
        <v>2578.7</v>
      </c>
      <c r="F835" s="12" t="n">
        <v>4415075</v>
      </c>
    </row>
    <row r="836" customFormat="false" ht="15" hidden="false" customHeight="true" outlineLevel="0" collapsed="false">
      <c r="A836" s="12" t="s">
        <v>951</v>
      </c>
      <c r="B836" s="12" t="s">
        <v>577</v>
      </c>
      <c r="C836" s="12" t="n">
        <v>2025</v>
      </c>
      <c r="D836" s="12" t="n">
        <v>44</v>
      </c>
      <c r="E836" s="12" t="n">
        <v>419.3</v>
      </c>
      <c r="F836" s="12" t="n">
        <v>4415080</v>
      </c>
    </row>
    <row r="837" customFormat="false" ht="15" hidden="false" customHeight="true" outlineLevel="0" collapsed="false">
      <c r="A837" s="12" t="s">
        <v>951</v>
      </c>
      <c r="B837" s="12" t="s">
        <v>577</v>
      </c>
      <c r="C837" s="12" t="n">
        <v>2026</v>
      </c>
      <c r="D837" s="12" t="n">
        <v>119</v>
      </c>
      <c r="E837" s="12" t="n">
        <v>1128.9</v>
      </c>
      <c r="F837" s="12" t="n">
        <v>4415080</v>
      </c>
    </row>
    <row r="838" customFormat="false" ht="15" hidden="false" customHeight="true" outlineLevel="0" collapsed="false">
      <c r="A838" s="12" t="s">
        <v>951</v>
      </c>
      <c r="B838" s="12" t="s">
        <v>763</v>
      </c>
      <c r="C838" s="12" t="n">
        <v>2025</v>
      </c>
      <c r="D838" s="12" t="n">
        <v>4</v>
      </c>
      <c r="E838" s="12" t="n">
        <v>438.5</v>
      </c>
      <c r="F838" s="12" t="n">
        <v>4415083</v>
      </c>
    </row>
    <row r="839" customFormat="false" ht="15" hidden="false" customHeight="true" outlineLevel="0" collapsed="false">
      <c r="A839" s="12" t="s">
        <v>951</v>
      </c>
      <c r="B839" s="12" t="s">
        <v>762</v>
      </c>
      <c r="C839" s="12" t="n">
        <v>2025</v>
      </c>
      <c r="D839" s="12" t="n">
        <v>4</v>
      </c>
      <c r="E839" s="12" t="n">
        <v>449.8</v>
      </c>
      <c r="F839" s="12" t="n">
        <v>4415084</v>
      </c>
    </row>
    <row r="840" customFormat="false" ht="15" hidden="false" customHeight="true" outlineLevel="0" collapsed="false">
      <c r="A840" s="12" t="s">
        <v>951</v>
      </c>
      <c r="B840" s="12" t="s">
        <v>636</v>
      </c>
      <c r="C840" s="12" t="n">
        <v>2025</v>
      </c>
      <c r="D840" s="12" t="n">
        <v>1</v>
      </c>
      <c r="E840" s="12" t="n">
        <v>90.1</v>
      </c>
      <c r="F840" s="12" t="n">
        <v>4415089</v>
      </c>
    </row>
    <row r="841" customFormat="false" ht="15" hidden="false" customHeight="true" outlineLevel="0" collapsed="false">
      <c r="A841" s="12" t="s">
        <v>951</v>
      </c>
      <c r="B841" s="12" t="s">
        <v>635</v>
      </c>
      <c r="C841" s="12" t="n">
        <v>2025</v>
      </c>
      <c r="D841" s="12" t="n">
        <v>1</v>
      </c>
      <c r="E841" s="12" t="n">
        <v>90.1</v>
      </c>
      <c r="F841" s="12" t="n">
        <v>4415090</v>
      </c>
    </row>
    <row r="842" customFormat="false" ht="15" hidden="false" customHeight="true" outlineLevel="0" collapsed="false">
      <c r="A842" s="12" t="s">
        <v>951</v>
      </c>
      <c r="B842" s="12" t="s">
        <v>638</v>
      </c>
      <c r="C842" s="12" t="n">
        <v>2026</v>
      </c>
      <c r="D842" s="12" t="n">
        <v>-2</v>
      </c>
      <c r="E842" s="12" t="n">
        <v>-194</v>
      </c>
      <c r="F842" s="12" t="n">
        <v>4415091</v>
      </c>
    </row>
    <row r="843" customFormat="false" ht="15" hidden="false" customHeight="true" outlineLevel="0" collapsed="false">
      <c r="A843" s="12" t="s">
        <v>951</v>
      </c>
      <c r="B843" s="12" t="s">
        <v>764</v>
      </c>
      <c r="C843" s="12" t="n">
        <v>2025</v>
      </c>
      <c r="D843" s="12" t="n">
        <v>1</v>
      </c>
      <c r="E843" s="12" t="n">
        <v>137</v>
      </c>
      <c r="F843" s="12" t="n">
        <v>4415120</v>
      </c>
    </row>
    <row r="844" customFormat="false" ht="15" hidden="false" customHeight="true" outlineLevel="0" collapsed="false">
      <c r="A844" s="12" t="s">
        <v>951</v>
      </c>
      <c r="B844" s="12" t="s">
        <v>664</v>
      </c>
      <c r="C844" s="12" t="n">
        <v>2025</v>
      </c>
      <c r="D844" s="12" t="n">
        <v>1</v>
      </c>
      <c r="E844" s="12" t="n">
        <v>94.5</v>
      </c>
      <c r="F844" s="12" t="n">
        <v>4415131</v>
      </c>
    </row>
    <row r="845" customFormat="false" ht="15" hidden="false" customHeight="true" outlineLevel="0" collapsed="false">
      <c r="A845" s="12" t="s">
        <v>951</v>
      </c>
      <c r="B845" s="12" t="s">
        <v>620</v>
      </c>
      <c r="C845" s="12" t="n">
        <v>2025</v>
      </c>
      <c r="D845" s="12" t="n">
        <v>502</v>
      </c>
      <c r="E845" s="12" t="n">
        <v>38890.7</v>
      </c>
      <c r="F845" s="12" t="n">
        <v>4415158</v>
      </c>
    </row>
    <row r="846" customFormat="false" ht="15" hidden="false" customHeight="true" outlineLevel="0" collapsed="false">
      <c r="A846" s="12" t="s">
        <v>951</v>
      </c>
      <c r="B846" s="12" t="s">
        <v>620</v>
      </c>
      <c r="C846" s="12" t="n">
        <v>2026</v>
      </c>
      <c r="D846" s="12" t="n">
        <v>336</v>
      </c>
      <c r="E846" s="12" t="n">
        <v>26201.4</v>
      </c>
      <c r="F846" s="12" t="n">
        <v>4415158</v>
      </c>
    </row>
    <row r="847" customFormat="false" ht="15" hidden="false" customHeight="true" outlineLevel="0" collapsed="false">
      <c r="A847" s="12" t="s">
        <v>951</v>
      </c>
      <c r="B847" s="12" t="s">
        <v>631</v>
      </c>
      <c r="C847" s="12" t="n">
        <v>2025</v>
      </c>
      <c r="D847" s="12" t="n">
        <v>120</v>
      </c>
      <c r="E847" s="12" t="n">
        <v>13916.1</v>
      </c>
      <c r="F847" s="12" t="n">
        <v>4415159</v>
      </c>
    </row>
    <row r="848" customFormat="false" ht="15" hidden="false" customHeight="true" outlineLevel="0" collapsed="false">
      <c r="A848" s="12" t="s">
        <v>951</v>
      </c>
      <c r="B848" s="12" t="s">
        <v>631</v>
      </c>
      <c r="C848" s="12" t="n">
        <v>2026</v>
      </c>
      <c r="D848" s="12" t="n">
        <v>105</v>
      </c>
      <c r="E848" s="12" t="n">
        <v>12242</v>
      </c>
      <c r="F848" s="12" t="n">
        <v>4415159</v>
      </c>
    </row>
    <row r="849" customFormat="false" ht="15" hidden="false" customHeight="true" outlineLevel="0" collapsed="false">
      <c r="A849" s="12" t="s">
        <v>951</v>
      </c>
      <c r="B849" s="12" t="s">
        <v>607</v>
      </c>
      <c r="C849" s="12" t="n">
        <v>2025</v>
      </c>
      <c r="D849" s="12" t="n">
        <v>278</v>
      </c>
      <c r="E849" s="12" t="n">
        <v>5307.5</v>
      </c>
      <c r="F849" s="12" t="n">
        <v>4415160</v>
      </c>
    </row>
    <row r="850" customFormat="false" ht="15" hidden="false" customHeight="true" outlineLevel="0" collapsed="false">
      <c r="A850" s="12" t="s">
        <v>951</v>
      </c>
      <c r="B850" s="12" t="s">
        <v>607</v>
      </c>
      <c r="C850" s="12" t="n">
        <v>2026</v>
      </c>
      <c r="D850" s="12" t="n">
        <v>221</v>
      </c>
      <c r="E850" s="12" t="n">
        <v>4346.2</v>
      </c>
      <c r="F850" s="12" t="n">
        <v>4415160</v>
      </c>
    </row>
    <row r="851" customFormat="false" ht="15" hidden="false" customHeight="true" outlineLevel="0" collapsed="false">
      <c r="A851" s="12" t="s">
        <v>951</v>
      </c>
      <c r="B851" s="12" t="s">
        <v>606</v>
      </c>
      <c r="C851" s="12" t="n">
        <v>2025</v>
      </c>
      <c r="D851" s="12" t="n">
        <v>390</v>
      </c>
      <c r="E851" s="12" t="n">
        <v>7446.8</v>
      </c>
      <c r="F851" s="12" t="n">
        <v>4415161</v>
      </c>
    </row>
    <row r="852" customFormat="false" ht="15" hidden="false" customHeight="true" outlineLevel="0" collapsed="false">
      <c r="A852" s="12" t="s">
        <v>951</v>
      </c>
      <c r="B852" s="12" t="s">
        <v>606</v>
      </c>
      <c r="C852" s="12" t="n">
        <v>2026</v>
      </c>
      <c r="D852" s="12" t="n">
        <v>352</v>
      </c>
      <c r="E852" s="12" t="n">
        <v>6911.7</v>
      </c>
      <c r="F852" s="12" t="n">
        <v>4415161</v>
      </c>
    </row>
    <row r="853" customFormat="false" ht="15" hidden="false" customHeight="true" outlineLevel="0" collapsed="false">
      <c r="A853" s="12" t="s">
        <v>951</v>
      </c>
      <c r="B853" s="12" t="s">
        <v>605</v>
      </c>
      <c r="C853" s="12" t="n">
        <v>2025</v>
      </c>
      <c r="D853" s="12" t="n">
        <v>382</v>
      </c>
      <c r="E853" s="12" t="n">
        <v>7315.8</v>
      </c>
      <c r="F853" s="12" t="n">
        <v>4415162</v>
      </c>
    </row>
    <row r="854" customFormat="false" ht="15" hidden="false" customHeight="true" outlineLevel="0" collapsed="false">
      <c r="A854" s="12" t="s">
        <v>951</v>
      </c>
      <c r="B854" s="12" t="s">
        <v>605</v>
      </c>
      <c r="C854" s="12" t="n">
        <v>2026</v>
      </c>
      <c r="D854" s="12" t="n">
        <v>301</v>
      </c>
      <c r="E854" s="12" t="n">
        <v>5909.1</v>
      </c>
      <c r="F854" s="12" t="n">
        <v>4415162</v>
      </c>
    </row>
    <row r="855" customFormat="false" ht="15" hidden="false" customHeight="true" outlineLevel="0" collapsed="false">
      <c r="A855" s="12" t="s">
        <v>951</v>
      </c>
      <c r="B855" s="12" t="s">
        <v>608</v>
      </c>
      <c r="C855" s="12" t="n">
        <v>2025</v>
      </c>
      <c r="D855" s="12" t="n">
        <v>222</v>
      </c>
      <c r="E855" s="12" t="n">
        <v>4293</v>
      </c>
      <c r="F855" s="12" t="n">
        <v>4415163</v>
      </c>
    </row>
    <row r="856" customFormat="false" ht="15" hidden="false" customHeight="true" outlineLevel="0" collapsed="false">
      <c r="A856" s="12" t="s">
        <v>951</v>
      </c>
      <c r="B856" s="12" t="s">
        <v>608</v>
      </c>
      <c r="C856" s="12" t="n">
        <v>2026</v>
      </c>
      <c r="D856" s="12" t="n">
        <v>154</v>
      </c>
      <c r="E856" s="12" t="n">
        <v>3046.2</v>
      </c>
      <c r="F856" s="12" t="n">
        <v>4415163</v>
      </c>
    </row>
    <row r="857" customFormat="false" ht="15" hidden="false" customHeight="true" outlineLevel="0" collapsed="false">
      <c r="A857" s="12" t="s">
        <v>951</v>
      </c>
      <c r="B857" s="12" t="s">
        <v>624</v>
      </c>
      <c r="C857" s="12" t="n">
        <v>2025</v>
      </c>
      <c r="D857" s="12" t="n">
        <v>1</v>
      </c>
      <c r="E857" s="12" t="n">
        <v>108.7</v>
      </c>
      <c r="F857" s="12" t="n">
        <v>4415164</v>
      </c>
    </row>
    <row r="858" customFormat="false" ht="15" hidden="false" customHeight="true" outlineLevel="0" collapsed="false">
      <c r="A858" s="12" t="s">
        <v>951</v>
      </c>
      <c r="B858" s="12" t="s">
        <v>623</v>
      </c>
      <c r="C858" s="12" t="n">
        <v>2025</v>
      </c>
      <c r="D858" s="12" t="n">
        <v>1</v>
      </c>
      <c r="E858" s="12" t="n">
        <v>108.7</v>
      </c>
      <c r="F858" s="12" t="n">
        <v>4415165</v>
      </c>
    </row>
    <row r="859" customFormat="false" ht="15" hidden="false" customHeight="true" outlineLevel="0" collapsed="false">
      <c r="A859" s="12" t="s">
        <v>951</v>
      </c>
      <c r="B859" s="12" t="s">
        <v>628</v>
      </c>
      <c r="C859" s="12" t="n">
        <v>2025</v>
      </c>
      <c r="D859" s="12" t="n">
        <v>1</v>
      </c>
      <c r="E859" s="12" t="n">
        <v>108.7</v>
      </c>
      <c r="F859" s="12" t="n">
        <v>4415167</v>
      </c>
    </row>
    <row r="860" customFormat="false" ht="15" hidden="false" customHeight="true" outlineLevel="0" collapsed="false">
      <c r="A860" s="12" t="s">
        <v>951</v>
      </c>
      <c r="B860" s="12" t="s">
        <v>629</v>
      </c>
      <c r="C860" s="12" t="n">
        <v>2025</v>
      </c>
      <c r="D860" s="12" t="n">
        <v>1</v>
      </c>
      <c r="E860" s="12" t="n">
        <v>108.7</v>
      </c>
      <c r="F860" s="12" t="n">
        <v>4415168</v>
      </c>
    </row>
    <row r="861" customFormat="false" ht="15" hidden="false" customHeight="true" outlineLevel="0" collapsed="false">
      <c r="A861" s="12" t="s">
        <v>951</v>
      </c>
      <c r="B861" s="12" t="s">
        <v>621</v>
      </c>
      <c r="C861" s="12" t="n">
        <v>2025</v>
      </c>
      <c r="D861" s="12" t="n">
        <v>1</v>
      </c>
      <c r="E861" s="12" t="n">
        <v>108.7</v>
      </c>
      <c r="F861" s="12" t="n">
        <v>4415170</v>
      </c>
    </row>
    <row r="862" customFormat="false" ht="15" hidden="false" customHeight="true" outlineLevel="0" collapsed="false">
      <c r="A862" s="12" t="s">
        <v>951</v>
      </c>
      <c r="B862" s="12" t="s">
        <v>622</v>
      </c>
      <c r="C862" s="12" t="n">
        <v>2025</v>
      </c>
      <c r="D862" s="12" t="n">
        <v>1</v>
      </c>
      <c r="E862" s="12" t="n">
        <v>108.7</v>
      </c>
      <c r="F862" s="12" t="n">
        <v>4415171</v>
      </c>
    </row>
    <row r="863" customFormat="false" ht="15" hidden="false" customHeight="true" outlineLevel="0" collapsed="false">
      <c r="A863" s="12" t="s">
        <v>951</v>
      </c>
      <c r="B863" s="12" t="s">
        <v>626</v>
      </c>
      <c r="C863" s="12" t="n">
        <v>2025</v>
      </c>
      <c r="D863" s="12" t="n">
        <v>1</v>
      </c>
      <c r="E863" s="12" t="n">
        <v>108.7</v>
      </c>
      <c r="F863" s="12" t="n">
        <v>4415173</v>
      </c>
    </row>
    <row r="864" customFormat="false" ht="15" hidden="false" customHeight="true" outlineLevel="0" collapsed="false">
      <c r="A864" s="12" t="s">
        <v>951</v>
      </c>
      <c r="B864" s="12" t="s">
        <v>627</v>
      </c>
      <c r="C864" s="12" t="n">
        <v>2025</v>
      </c>
      <c r="D864" s="12" t="n">
        <v>1</v>
      </c>
      <c r="E864" s="12" t="n">
        <v>108.7</v>
      </c>
      <c r="F864" s="12" t="n">
        <v>4415174</v>
      </c>
    </row>
    <row r="865" customFormat="false" ht="15" hidden="false" customHeight="true" outlineLevel="0" collapsed="false">
      <c r="A865" s="12" t="s">
        <v>951</v>
      </c>
      <c r="B865" s="12" t="s">
        <v>545</v>
      </c>
      <c r="C865" s="12" t="n">
        <v>2025</v>
      </c>
      <c r="D865" s="12" t="n">
        <v>316</v>
      </c>
      <c r="E865" s="12" t="n">
        <v>7117.5</v>
      </c>
      <c r="F865" s="12" t="n">
        <v>4415297</v>
      </c>
    </row>
    <row r="866" customFormat="false" ht="15" hidden="false" customHeight="true" outlineLevel="0" collapsed="false">
      <c r="A866" s="12" t="s">
        <v>951</v>
      </c>
      <c r="B866" s="12" t="s">
        <v>545</v>
      </c>
      <c r="C866" s="12" t="n">
        <v>2026</v>
      </c>
      <c r="D866" s="12" t="n">
        <v>110</v>
      </c>
      <c r="E866" s="12" t="n">
        <v>2439.4</v>
      </c>
      <c r="F866" s="12" t="n">
        <v>4415297</v>
      </c>
    </row>
    <row r="867" customFormat="false" ht="15" hidden="false" customHeight="true" outlineLevel="0" collapsed="false">
      <c r="A867" s="12" t="s">
        <v>951</v>
      </c>
      <c r="B867" s="12" t="s">
        <v>837</v>
      </c>
      <c r="C867" s="12" t="n">
        <v>2025</v>
      </c>
      <c r="D867" s="12" t="n">
        <v>43</v>
      </c>
      <c r="E867" s="12" t="n">
        <v>2988.8</v>
      </c>
      <c r="F867" s="12" t="n">
        <v>4415298</v>
      </c>
    </row>
    <row r="868" customFormat="false" ht="15" hidden="false" customHeight="true" outlineLevel="0" collapsed="false">
      <c r="A868" s="12" t="s">
        <v>951</v>
      </c>
      <c r="B868" s="12" t="s">
        <v>837</v>
      </c>
      <c r="C868" s="12" t="n">
        <v>2026</v>
      </c>
      <c r="D868" s="12" t="n">
        <v>17</v>
      </c>
      <c r="E868" s="12" t="n">
        <v>1132.5</v>
      </c>
      <c r="F868" s="12" t="n">
        <v>4415298</v>
      </c>
    </row>
    <row r="869" customFormat="false" ht="15" hidden="false" customHeight="true" outlineLevel="0" collapsed="false">
      <c r="A869" s="12" t="s">
        <v>951</v>
      </c>
      <c r="B869" s="12" t="s">
        <v>836</v>
      </c>
      <c r="C869" s="12" t="n">
        <v>2025</v>
      </c>
      <c r="D869" s="12" t="n">
        <v>59</v>
      </c>
      <c r="E869" s="12" t="n">
        <v>4081.5</v>
      </c>
      <c r="F869" s="12" t="n">
        <v>4415299</v>
      </c>
    </row>
    <row r="870" customFormat="false" ht="15" hidden="false" customHeight="true" outlineLevel="0" collapsed="false">
      <c r="A870" s="12" t="s">
        <v>951</v>
      </c>
      <c r="B870" s="12" t="s">
        <v>836</v>
      </c>
      <c r="C870" s="12" t="n">
        <v>2026</v>
      </c>
      <c r="D870" s="12" t="n">
        <v>16</v>
      </c>
      <c r="E870" s="12" t="n">
        <v>1147.2</v>
      </c>
      <c r="F870" s="12" t="n">
        <v>4415299</v>
      </c>
    </row>
    <row r="871" customFormat="false" ht="15" hidden="false" customHeight="true" outlineLevel="0" collapsed="false">
      <c r="A871" s="12" t="s">
        <v>951</v>
      </c>
      <c r="B871" s="12" t="s">
        <v>533</v>
      </c>
      <c r="C871" s="12" t="n">
        <v>2025</v>
      </c>
      <c r="D871" s="12" t="n">
        <v>158</v>
      </c>
      <c r="E871" s="12" t="n">
        <v>13067.4</v>
      </c>
      <c r="F871" s="12" t="n">
        <v>4416000</v>
      </c>
    </row>
    <row r="872" customFormat="false" ht="15" hidden="false" customHeight="true" outlineLevel="0" collapsed="false">
      <c r="A872" s="12" t="s">
        <v>951</v>
      </c>
      <c r="B872" s="12" t="s">
        <v>533</v>
      </c>
      <c r="C872" s="12" t="n">
        <v>2026</v>
      </c>
      <c r="D872" s="12" t="n">
        <v>74</v>
      </c>
      <c r="E872" s="12" t="n">
        <v>6186</v>
      </c>
      <c r="F872" s="12" t="n">
        <v>4416000</v>
      </c>
    </row>
    <row r="873" customFormat="false" ht="15" hidden="false" customHeight="true" outlineLevel="0" collapsed="false">
      <c r="A873" s="12" t="s">
        <v>951</v>
      </c>
      <c r="B873" s="12" t="s">
        <v>534</v>
      </c>
      <c r="C873" s="12" t="n">
        <v>2025</v>
      </c>
      <c r="D873" s="12" t="n">
        <v>157</v>
      </c>
      <c r="E873" s="12" t="n">
        <v>12875.5</v>
      </c>
      <c r="F873" s="12" t="n">
        <v>4416001</v>
      </c>
    </row>
    <row r="874" customFormat="false" ht="15" hidden="false" customHeight="true" outlineLevel="0" collapsed="false">
      <c r="A874" s="12" t="s">
        <v>951</v>
      </c>
      <c r="B874" s="12" t="s">
        <v>534</v>
      </c>
      <c r="C874" s="12" t="n">
        <v>2026</v>
      </c>
      <c r="D874" s="12" t="n">
        <v>90</v>
      </c>
      <c r="E874" s="12" t="n">
        <v>7849.8</v>
      </c>
      <c r="F874" s="12" t="n">
        <v>4416001</v>
      </c>
    </row>
    <row r="875" customFormat="false" ht="15" hidden="false" customHeight="true" outlineLevel="0" collapsed="false">
      <c r="A875" s="12" t="s">
        <v>951</v>
      </c>
      <c r="B875" s="12" t="s">
        <v>535</v>
      </c>
      <c r="C875" s="12" t="n">
        <v>2025</v>
      </c>
      <c r="D875" s="12" t="n">
        <v>46</v>
      </c>
      <c r="E875" s="12" t="n">
        <v>3635.5</v>
      </c>
      <c r="F875" s="12" t="n">
        <v>4416002</v>
      </c>
    </row>
    <row r="876" customFormat="false" ht="15" hidden="false" customHeight="true" outlineLevel="0" collapsed="false">
      <c r="A876" s="12" t="s">
        <v>951</v>
      </c>
      <c r="B876" s="12" t="s">
        <v>535</v>
      </c>
      <c r="C876" s="12" t="n">
        <v>2026</v>
      </c>
      <c r="D876" s="12" t="n">
        <v>18</v>
      </c>
      <c r="E876" s="12" t="n">
        <v>1513.6</v>
      </c>
      <c r="F876" s="12" t="n">
        <v>4416002</v>
      </c>
    </row>
    <row r="877" customFormat="false" ht="15" hidden="false" customHeight="true" outlineLevel="0" collapsed="false">
      <c r="A877" s="12" t="s">
        <v>951</v>
      </c>
      <c r="B877" s="12" t="s">
        <v>537</v>
      </c>
      <c r="C877" s="12" t="n">
        <v>2025</v>
      </c>
      <c r="D877" s="12" t="n">
        <v>124</v>
      </c>
      <c r="E877" s="12" t="n">
        <v>6812.1</v>
      </c>
      <c r="F877" s="12" t="n">
        <v>4416003</v>
      </c>
    </row>
    <row r="878" customFormat="false" ht="15" hidden="false" customHeight="true" outlineLevel="0" collapsed="false">
      <c r="A878" s="12" t="s">
        <v>951</v>
      </c>
      <c r="B878" s="12" t="s">
        <v>537</v>
      </c>
      <c r="C878" s="12" t="n">
        <v>2026</v>
      </c>
      <c r="D878" s="12" t="n">
        <v>75</v>
      </c>
      <c r="E878" s="12" t="n">
        <v>4255.9</v>
      </c>
      <c r="F878" s="12" t="n">
        <v>4416003</v>
      </c>
    </row>
    <row r="879" customFormat="false" ht="15" hidden="false" customHeight="true" outlineLevel="0" collapsed="false">
      <c r="A879" s="12" t="s">
        <v>951</v>
      </c>
      <c r="B879" s="12" t="s">
        <v>538</v>
      </c>
      <c r="C879" s="12" t="n">
        <v>2025</v>
      </c>
      <c r="D879" s="12" t="n">
        <v>129</v>
      </c>
      <c r="E879" s="12" t="n">
        <v>7157.9</v>
      </c>
      <c r="F879" s="12" t="n">
        <v>4416005</v>
      </c>
    </row>
    <row r="880" customFormat="false" ht="15" hidden="false" customHeight="true" outlineLevel="0" collapsed="false">
      <c r="A880" s="12" t="s">
        <v>951</v>
      </c>
      <c r="B880" s="12" t="s">
        <v>538</v>
      </c>
      <c r="C880" s="12" t="n">
        <v>2026</v>
      </c>
      <c r="D880" s="12" t="n">
        <v>70</v>
      </c>
      <c r="E880" s="12" t="n">
        <v>3998.7</v>
      </c>
      <c r="F880" s="12" t="n">
        <v>4416005</v>
      </c>
    </row>
    <row r="881" customFormat="false" ht="15" hidden="false" customHeight="true" outlineLevel="0" collapsed="false">
      <c r="A881" s="12" t="s">
        <v>951</v>
      </c>
      <c r="B881" s="12" t="s">
        <v>539</v>
      </c>
      <c r="C881" s="12" t="n">
        <v>2025</v>
      </c>
      <c r="D881" s="12" t="n">
        <v>-1</v>
      </c>
      <c r="E881" s="12" t="n">
        <v>-25.3</v>
      </c>
      <c r="F881" s="12" t="n">
        <v>4416006</v>
      </c>
    </row>
    <row r="882" customFormat="false" ht="15" hidden="false" customHeight="true" outlineLevel="0" collapsed="false">
      <c r="A882" s="12" t="s">
        <v>951</v>
      </c>
      <c r="B882" s="12" t="s">
        <v>539</v>
      </c>
      <c r="C882" s="12" t="n">
        <v>2026</v>
      </c>
      <c r="D882" s="12" t="n">
        <v>-1</v>
      </c>
      <c r="E882" s="12" t="n">
        <v>-58.4</v>
      </c>
      <c r="F882" s="12" t="n">
        <v>4416006</v>
      </c>
    </row>
    <row r="883" customFormat="false" ht="15" hidden="false" customHeight="true" outlineLevel="0" collapsed="false">
      <c r="A883" s="12" t="s">
        <v>951</v>
      </c>
      <c r="B883" s="12" t="s">
        <v>575</v>
      </c>
      <c r="C883" s="12" t="n">
        <v>2025</v>
      </c>
      <c r="D883" s="12" t="n">
        <v>220</v>
      </c>
      <c r="E883" s="12" t="n">
        <v>5447.3</v>
      </c>
      <c r="F883" s="12" t="n">
        <v>4417000</v>
      </c>
    </row>
    <row r="884" customFormat="false" ht="15" hidden="false" customHeight="true" outlineLevel="0" collapsed="false">
      <c r="A884" s="12" t="s">
        <v>951</v>
      </c>
      <c r="B884" s="12" t="s">
        <v>575</v>
      </c>
      <c r="C884" s="12" t="n">
        <v>2026</v>
      </c>
      <c r="D884" s="12" t="n">
        <v>146</v>
      </c>
      <c r="E884" s="12" t="n">
        <v>3606.2</v>
      </c>
      <c r="F884" s="12" t="n">
        <v>4417000</v>
      </c>
    </row>
    <row r="885" customFormat="false" ht="15" hidden="false" customHeight="true" outlineLevel="0" collapsed="false">
      <c r="A885" s="12" t="s">
        <v>951</v>
      </c>
      <c r="B885" s="12" t="s">
        <v>576</v>
      </c>
      <c r="C885" s="12" t="n">
        <v>2025</v>
      </c>
      <c r="D885" s="12" t="n">
        <v>-1</v>
      </c>
      <c r="E885" s="12" t="n">
        <v>-9</v>
      </c>
      <c r="F885" s="12" t="n">
        <v>4417001</v>
      </c>
    </row>
    <row r="886" customFormat="false" ht="15" hidden="false" customHeight="true" outlineLevel="0" collapsed="false">
      <c r="A886" s="12" t="s">
        <v>951</v>
      </c>
      <c r="B886" s="12" t="s">
        <v>686</v>
      </c>
      <c r="C886" s="12" t="n">
        <v>2025</v>
      </c>
      <c r="D886" s="12" t="n">
        <v>192</v>
      </c>
      <c r="E886" s="12" t="n">
        <v>9282.6</v>
      </c>
      <c r="F886" s="12" t="n">
        <v>4418000</v>
      </c>
    </row>
    <row r="887" customFormat="false" ht="15" hidden="false" customHeight="true" outlineLevel="0" collapsed="false">
      <c r="A887" s="12" t="s">
        <v>951</v>
      </c>
      <c r="B887" s="12" t="s">
        <v>686</v>
      </c>
      <c r="C887" s="12" t="n">
        <v>2026</v>
      </c>
      <c r="D887" s="12" t="n">
        <v>87</v>
      </c>
      <c r="E887" s="12" t="n">
        <v>4203.4</v>
      </c>
      <c r="F887" s="12" t="n">
        <v>4418000</v>
      </c>
    </row>
    <row r="888" customFormat="false" ht="15" hidden="false" customHeight="true" outlineLevel="0" collapsed="false">
      <c r="A888" s="12" t="s">
        <v>951</v>
      </c>
      <c r="B888" s="12" t="s">
        <v>687</v>
      </c>
      <c r="C888" s="12" t="n">
        <v>2025</v>
      </c>
      <c r="D888" s="12" t="n">
        <v>146</v>
      </c>
      <c r="E888" s="12" t="n">
        <v>7093.8</v>
      </c>
      <c r="F888" s="12" t="n">
        <v>4418001</v>
      </c>
    </row>
    <row r="889" customFormat="false" ht="15" hidden="false" customHeight="true" outlineLevel="0" collapsed="false">
      <c r="A889" s="12" t="s">
        <v>951</v>
      </c>
      <c r="B889" s="12" t="s">
        <v>687</v>
      </c>
      <c r="C889" s="12" t="n">
        <v>2026</v>
      </c>
      <c r="D889" s="12" t="n">
        <v>55</v>
      </c>
      <c r="E889" s="12" t="n">
        <v>2656.9</v>
      </c>
      <c r="F889" s="12" t="n">
        <v>4418001</v>
      </c>
    </row>
    <row r="890" customFormat="false" ht="15" hidden="false" customHeight="true" outlineLevel="0" collapsed="false">
      <c r="A890" s="12" t="s">
        <v>951</v>
      </c>
      <c r="B890" s="12" t="s">
        <v>688</v>
      </c>
      <c r="C890" s="12" t="n">
        <v>2025</v>
      </c>
      <c r="D890" s="12" t="n">
        <v>71</v>
      </c>
      <c r="E890" s="12" t="n">
        <v>3406.8</v>
      </c>
      <c r="F890" s="12" t="n">
        <v>4418002</v>
      </c>
    </row>
    <row r="891" customFormat="false" ht="15" hidden="false" customHeight="true" outlineLevel="0" collapsed="false">
      <c r="A891" s="12" t="s">
        <v>951</v>
      </c>
      <c r="B891" s="12" t="s">
        <v>688</v>
      </c>
      <c r="C891" s="12" t="n">
        <v>2026</v>
      </c>
      <c r="D891" s="12" t="n">
        <v>37</v>
      </c>
      <c r="E891" s="12" t="n">
        <v>1803.2</v>
      </c>
      <c r="F891" s="12" t="n">
        <v>4418002</v>
      </c>
    </row>
    <row r="892" customFormat="false" ht="15" hidden="false" customHeight="true" outlineLevel="0" collapsed="false">
      <c r="A892" s="12" t="s">
        <v>951</v>
      </c>
      <c r="B892" s="12" t="s">
        <v>689</v>
      </c>
      <c r="C892" s="12" t="n">
        <v>2025</v>
      </c>
      <c r="D892" s="12" t="n">
        <v>128</v>
      </c>
      <c r="E892" s="12" t="n">
        <v>6188.8</v>
      </c>
      <c r="F892" s="12" t="n">
        <v>4418003</v>
      </c>
    </row>
    <row r="893" customFormat="false" ht="15" hidden="false" customHeight="true" outlineLevel="0" collapsed="false">
      <c r="A893" s="12" t="s">
        <v>951</v>
      </c>
      <c r="B893" s="12" t="s">
        <v>689</v>
      </c>
      <c r="C893" s="12" t="n">
        <v>2026</v>
      </c>
      <c r="D893" s="12" t="n">
        <v>48</v>
      </c>
      <c r="E893" s="12" t="n">
        <v>2337.3</v>
      </c>
      <c r="F893" s="12" t="n">
        <v>4418003</v>
      </c>
    </row>
    <row r="894" customFormat="false" ht="15" hidden="false" customHeight="true" outlineLevel="0" collapsed="false">
      <c r="A894" s="12" t="s">
        <v>951</v>
      </c>
      <c r="B894" s="12" t="s">
        <v>690</v>
      </c>
      <c r="C894" s="12" t="n">
        <v>2025</v>
      </c>
      <c r="D894" s="12" t="n">
        <v>2</v>
      </c>
      <c r="E894" s="12" t="n">
        <v>99.2</v>
      </c>
      <c r="F894" s="12" t="n">
        <v>4418004</v>
      </c>
    </row>
    <row r="895" customFormat="false" ht="15" hidden="false" customHeight="true" outlineLevel="0" collapsed="false">
      <c r="A895" s="12" t="s">
        <v>951</v>
      </c>
      <c r="B895" s="12" t="s">
        <v>696</v>
      </c>
      <c r="C895" s="12" t="n">
        <v>2025</v>
      </c>
      <c r="D895" s="12" t="n">
        <v>1</v>
      </c>
      <c r="E895" s="12" t="n">
        <v>66.5</v>
      </c>
      <c r="F895" s="12" t="n">
        <v>4418006</v>
      </c>
    </row>
    <row r="896" customFormat="false" ht="15" hidden="false" customHeight="true" outlineLevel="0" collapsed="false">
      <c r="A896" s="12" t="s">
        <v>951</v>
      </c>
      <c r="B896" s="12" t="s">
        <v>696</v>
      </c>
      <c r="C896" s="12" t="n">
        <v>2026</v>
      </c>
      <c r="D896" s="12" t="n">
        <v>1</v>
      </c>
      <c r="E896" s="12" t="n">
        <v>66.5</v>
      </c>
      <c r="F896" s="12" t="n">
        <v>4418006</v>
      </c>
    </row>
    <row r="897" customFormat="false" ht="15" hidden="false" customHeight="true" outlineLevel="0" collapsed="false">
      <c r="A897" s="12" t="s">
        <v>951</v>
      </c>
      <c r="B897" s="12" t="s">
        <v>699</v>
      </c>
      <c r="C897" s="12" t="n">
        <v>2025</v>
      </c>
      <c r="D897" s="12" t="n">
        <v>-1</v>
      </c>
      <c r="E897" s="12" t="n">
        <v>-29.7</v>
      </c>
      <c r="F897" s="12" t="n">
        <v>4419002</v>
      </c>
    </row>
    <row r="898" customFormat="false" ht="15" hidden="false" customHeight="true" outlineLevel="0" collapsed="false">
      <c r="A898" s="12" t="s">
        <v>951</v>
      </c>
      <c r="B898" s="12" t="s">
        <v>698</v>
      </c>
      <c r="C898" s="12" t="n">
        <v>2025</v>
      </c>
      <c r="D898" s="12" t="n">
        <v>-5</v>
      </c>
      <c r="E898" s="12" t="n">
        <v>-165.6</v>
      </c>
      <c r="F898" s="12" t="n">
        <v>4419003</v>
      </c>
    </row>
    <row r="899" customFormat="false" ht="15" hidden="false" customHeight="true" outlineLevel="0" collapsed="false">
      <c r="A899" s="12" t="s">
        <v>951</v>
      </c>
      <c r="B899" s="12" t="s">
        <v>700</v>
      </c>
      <c r="C899" s="12" t="n">
        <v>2025</v>
      </c>
      <c r="D899" s="12" t="n">
        <v>-1</v>
      </c>
      <c r="E899" s="12" t="n">
        <v>-29.7</v>
      </c>
      <c r="F899" s="12" t="n">
        <v>4419004</v>
      </c>
    </row>
    <row r="900" customFormat="false" ht="15" hidden="false" customHeight="true" outlineLevel="0" collapsed="false">
      <c r="A900" s="12" t="s">
        <v>951</v>
      </c>
      <c r="B900" s="12" t="s">
        <v>573</v>
      </c>
      <c r="C900" s="12" t="n">
        <v>2025</v>
      </c>
      <c r="D900" s="12" t="n">
        <v>1063</v>
      </c>
      <c r="E900" s="12" t="n">
        <v>14552.5</v>
      </c>
      <c r="F900" s="12" t="n">
        <v>4419006</v>
      </c>
    </row>
    <row r="901" customFormat="false" ht="15" hidden="false" customHeight="true" outlineLevel="0" collapsed="false">
      <c r="A901" s="12" t="s">
        <v>951</v>
      </c>
      <c r="B901" s="12" t="s">
        <v>573</v>
      </c>
      <c r="C901" s="12" t="n">
        <v>2026</v>
      </c>
      <c r="D901" s="12" t="n">
        <v>534</v>
      </c>
      <c r="E901" s="12" t="n">
        <v>7485</v>
      </c>
      <c r="F901" s="12" t="n">
        <v>4419006</v>
      </c>
    </row>
    <row r="902" customFormat="false" ht="15" hidden="false" customHeight="true" outlineLevel="0" collapsed="false">
      <c r="A902" s="12" t="s">
        <v>951</v>
      </c>
      <c r="B902" s="12" t="s">
        <v>704</v>
      </c>
      <c r="C902" s="12" t="n">
        <v>2025</v>
      </c>
      <c r="D902" s="12" t="n">
        <v>-17</v>
      </c>
      <c r="E902" s="12" t="n">
        <v>-768.2</v>
      </c>
      <c r="F902" s="12" t="n">
        <v>4419010</v>
      </c>
    </row>
    <row r="903" customFormat="false" ht="15" hidden="false" customHeight="true" outlineLevel="0" collapsed="false">
      <c r="A903" s="12" t="s">
        <v>951</v>
      </c>
      <c r="B903" s="12" t="s">
        <v>704</v>
      </c>
      <c r="C903" s="12" t="n">
        <v>2026</v>
      </c>
      <c r="D903" s="12" t="n">
        <v>-4</v>
      </c>
      <c r="E903" s="12" t="n">
        <v>-132.5</v>
      </c>
      <c r="F903" s="12" t="n">
        <v>4419010</v>
      </c>
    </row>
    <row r="904" customFormat="false" ht="15" hidden="false" customHeight="true" outlineLevel="0" collapsed="false">
      <c r="A904" s="12" t="s">
        <v>951</v>
      </c>
      <c r="B904" s="12" t="s">
        <v>356</v>
      </c>
      <c r="C904" s="12" t="n">
        <v>2025</v>
      </c>
      <c r="D904" s="12" t="n">
        <v>-4</v>
      </c>
      <c r="E904" s="12" t="n">
        <v>-54.7</v>
      </c>
      <c r="F904" s="12" t="n">
        <v>4419011</v>
      </c>
    </row>
    <row r="905" customFormat="false" ht="15" hidden="false" customHeight="true" outlineLevel="0" collapsed="false">
      <c r="A905" s="12" t="s">
        <v>951</v>
      </c>
      <c r="B905" s="12" t="s">
        <v>356</v>
      </c>
      <c r="C905" s="12" t="n">
        <v>2026</v>
      </c>
      <c r="D905" s="12" t="n">
        <v>12</v>
      </c>
      <c r="E905" s="12" t="n">
        <v>230</v>
      </c>
      <c r="F905" s="12" t="n">
        <v>4419011</v>
      </c>
    </row>
    <row r="906" customFormat="false" ht="15" hidden="false" customHeight="true" outlineLevel="0" collapsed="false">
      <c r="A906" s="12" t="s">
        <v>951</v>
      </c>
      <c r="B906" s="12" t="s">
        <v>357</v>
      </c>
      <c r="C906" s="12" t="n">
        <v>2025</v>
      </c>
      <c r="D906" s="12" t="n">
        <v>-4</v>
      </c>
      <c r="E906" s="12" t="n">
        <v>-53.5</v>
      </c>
      <c r="F906" s="12" t="n">
        <v>4419012</v>
      </c>
    </row>
    <row r="907" customFormat="false" ht="15" hidden="false" customHeight="true" outlineLevel="0" collapsed="false">
      <c r="A907" s="12" t="s">
        <v>951</v>
      </c>
      <c r="B907" s="12" t="s">
        <v>355</v>
      </c>
      <c r="C907" s="12" t="n">
        <v>2025</v>
      </c>
      <c r="D907" s="12" t="n">
        <v>-6</v>
      </c>
      <c r="E907" s="12" t="n">
        <v>-90.5</v>
      </c>
      <c r="F907" s="12" t="n">
        <v>4419013</v>
      </c>
    </row>
    <row r="908" customFormat="false" ht="15" hidden="false" customHeight="true" outlineLevel="0" collapsed="false">
      <c r="A908" s="12" t="s">
        <v>951</v>
      </c>
      <c r="B908" s="12" t="s">
        <v>355</v>
      </c>
      <c r="C908" s="12" t="n">
        <v>2026</v>
      </c>
      <c r="D908" s="12" t="n">
        <v>6</v>
      </c>
      <c r="E908" s="12" t="n">
        <v>115</v>
      </c>
      <c r="F908" s="12" t="n">
        <v>4419013</v>
      </c>
    </row>
    <row r="909" customFormat="false" ht="15" hidden="false" customHeight="true" outlineLevel="0" collapsed="false">
      <c r="A909" s="12" t="s">
        <v>951</v>
      </c>
      <c r="B909" s="12" t="s">
        <v>358</v>
      </c>
      <c r="C909" s="12" t="n">
        <v>2025</v>
      </c>
      <c r="D909" s="12" t="n">
        <v>-4</v>
      </c>
      <c r="E909" s="12" t="n">
        <v>-55.3</v>
      </c>
      <c r="F909" s="12" t="n">
        <v>4419014</v>
      </c>
    </row>
    <row r="910" customFormat="false" ht="15" hidden="false" customHeight="true" outlineLevel="0" collapsed="false">
      <c r="A910" s="12" t="s">
        <v>951</v>
      </c>
      <c r="B910" s="12" t="s">
        <v>774</v>
      </c>
      <c r="C910" s="12" t="n">
        <v>2025</v>
      </c>
      <c r="D910" s="12" t="n">
        <v>428</v>
      </c>
      <c r="E910" s="12" t="n">
        <v>5019.7</v>
      </c>
      <c r="F910" s="12" t="n">
        <v>4420000</v>
      </c>
    </row>
    <row r="911" customFormat="false" ht="15" hidden="false" customHeight="true" outlineLevel="0" collapsed="false">
      <c r="A911" s="12" t="s">
        <v>951</v>
      </c>
      <c r="B911" s="12" t="s">
        <v>774</v>
      </c>
      <c r="C911" s="12" t="n">
        <v>2026</v>
      </c>
      <c r="D911" s="12" t="n">
        <v>319</v>
      </c>
      <c r="E911" s="12" t="n">
        <v>3921.1</v>
      </c>
      <c r="F911" s="12" t="n">
        <v>4420000</v>
      </c>
    </row>
    <row r="912" customFormat="false" ht="15" hidden="false" customHeight="true" outlineLevel="0" collapsed="false">
      <c r="A912" s="12" t="s">
        <v>951</v>
      </c>
      <c r="B912" s="12" t="s">
        <v>776</v>
      </c>
      <c r="C912" s="12" t="n">
        <v>2025</v>
      </c>
      <c r="D912" s="12" t="n">
        <v>148</v>
      </c>
      <c r="E912" s="12" t="n">
        <v>1619.1</v>
      </c>
      <c r="F912" s="12" t="n">
        <v>4420001</v>
      </c>
    </row>
    <row r="913" customFormat="false" ht="15" hidden="false" customHeight="true" outlineLevel="0" collapsed="false">
      <c r="A913" s="12" t="s">
        <v>951</v>
      </c>
      <c r="B913" s="12" t="s">
        <v>776</v>
      </c>
      <c r="C913" s="12" t="n">
        <v>2026</v>
      </c>
      <c r="D913" s="12" t="n">
        <v>89</v>
      </c>
      <c r="E913" s="12" t="n">
        <v>971.3</v>
      </c>
      <c r="F913" s="12" t="n">
        <v>4420001</v>
      </c>
    </row>
    <row r="914" customFormat="false" ht="15" hidden="false" customHeight="true" outlineLevel="0" collapsed="false">
      <c r="A914" s="12" t="s">
        <v>951</v>
      </c>
      <c r="B914" s="12" t="s">
        <v>777</v>
      </c>
      <c r="C914" s="12" t="n">
        <v>2025</v>
      </c>
      <c r="D914" s="12" t="n">
        <v>629</v>
      </c>
      <c r="E914" s="12" t="n">
        <v>8964.7</v>
      </c>
      <c r="F914" s="12" t="n">
        <v>4420002</v>
      </c>
    </row>
    <row r="915" customFormat="false" ht="15" hidden="false" customHeight="true" outlineLevel="0" collapsed="false">
      <c r="A915" s="12" t="s">
        <v>951</v>
      </c>
      <c r="B915" s="12" t="s">
        <v>777</v>
      </c>
      <c r="C915" s="12" t="n">
        <v>2026</v>
      </c>
      <c r="D915" s="12" t="n">
        <v>386</v>
      </c>
      <c r="E915" s="12" t="n">
        <v>5636.2</v>
      </c>
      <c r="F915" s="12" t="n">
        <v>4420002</v>
      </c>
    </row>
    <row r="916" customFormat="false" ht="15" hidden="false" customHeight="true" outlineLevel="0" collapsed="false">
      <c r="A916" s="12" t="s">
        <v>951</v>
      </c>
      <c r="B916" s="12" t="s">
        <v>778</v>
      </c>
      <c r="C916" s="12" t="n">
        <v>2025</v>
      </c>
      <c r="D916" s="12" t="n">
        <v>304</v>
      </c>
      <c r="E916" s="12" t="n">
        <v>4153.2</v>
      </c>
      <c r="F916" s="12" t="n">
        <v>4420003</v>
      </c>
    </row>
    <row r="917" customFormat="false" ht="15" hidden="false" customHeight="true" outlineLevel="0" collapsed="false">
      <c r="A917" s="12" t="s">
        <v>951</v>
      </c>
      <c r="B917" s="12" t="s">
        <v>778</v>
      </c>
      <c r="C917" s="12" t="n">
        <v>2026</v>
      </c>
      <c r="D917" s="12" t="n">
        <v>208</v>
      </c>
      <c r="E917" s="12" t="n">
        <v>2953.3</v>
      </c>
      <c r="F917" s="12" t="n">
        <v>4420003</v>
      </c>
    </row>
    <row r="918" customFormat="false" ht="15" hidden="false" customHeight="true" outlineLevel="0" collapsed="false">
      <c r="A918" s="12" t="s">
        <v>951</v>
      </c>
      <c r="B918" s="12" t="s">
        <v>781</v>
      </c>
      <c r="C918" s="12" t="n">
        <v>2025</v>
      </c>
      <c r="D918" s="12" t="n">
        <v>3</v>
      </c>
      <c r="E918" s="12" t="n">
        <v>42.7</v>
      </c>
      <c r="F918" s="12" t="n">
        <v>4420004</v>
      </c>
    </row>
    <row r="919" customFormat="false" ht="15" hidden="false" customHeight="true" outlineLevel="0" collapsed="false">
      <c r="A919" s="12" t="s">
        <v>951</v>
      </c>
      <c r="B919" s="12" t="s">
        <v>781</v>
      </c>
      <c r="C919" s="12" t="n">
        <v>2026</v>
      </c>
      <c r="D919" s="12" t="n">
        <v>1</v>
      </c>
      <c r="E919" s="12" t="n">
        <v>36.9</v>
      </c>
      <c r="F919" s="12" t="n">
        <v>4420004</v>
      </c>
    </row>
    <row r="920" customFormat="false" ht="15" hidden="false" customHeight="true" outlineLevel="0" collapsed="false">
      <c r="A920" s="12" t="s">
        <v>951</v>
      </c>
      <c r="B920" s="12" t="s">
        <v>788</v>
      </c>
      <c r="C920" s="12" t="n">
        <v>2025</v>
      </c>
      <c r="D920" s="12" t="n">
        <v>3</v>
      </c>
      <c r="E920" s="12" t="n">
        <v>125</v>
      </c>
      <c r="F920" s="12" t="n">
        <v>4420005</v>
      </c>
    </row>
    <row r="921" customFormat="false" ht="15" hidden="false" customHeight="true" outlineLevel="0" collapsed="false">
      <c r="A921" s="12" t="s">
        <v>951</v>
      </c>
      <c r="B921" s="12" t="s">
        <v>788</v>
      </c>
      <c r="C921" s="12" t="n">
        <v>2026</v>
      </c>
      <c r="D921" s="12" t="n">
        <v>0</v>
      </c>
      <c r="E921" s="12" t="n">
        <v>3.3</v>
      </c>
      <c r="F921" s="12" t="n">
        <v>4420005</v>
      </c>
    </row>
    <row r="922" customFormat="false" ht="15" hidden="false" customHeight="true" outlineLevel="0" collapsed="false">
      <c r="A922" s="12" t="s">
        <v>951</v>
      </c>
      <c r="B922" s="12" t="s">
        <v>779</v>
      </c>
      <c r="C922" s="12" t="n">
        <v>2025</v>
      </c>
      <c r="D922" s="12" t="n">
        <v>2</v>
      </c>
      <c r="E922" s="12" t="n">
        <v>81.5</v>
      </c>
      <c r="F922" s="12" t="n">
        <v>4420007</v>
      </c>
    </row>
    <row r="923" customFormat="false" ht="15" hidden="false" customHeight="true" outlineLevel="0" collapsed="false">
      <c r="A923" s="12" t="s">
        <v>951</v>
      </c>
      <c r="B923" s="12" t="s">
        <v>783</v>
      </c>
      <c r="C923" s="12" t="n">
        <v>2025</v>
      </c>
      <c r="D923" s="12" t="n">
        <v>2</v>
      </c>
      <c r="E923" s="12" t="n">
        <v>84.3</v>
      </c>
      <c r="F923" s="12" t="n">
        <v>4420008</v>
      </c>
    </row>
    <row r="924" customFormat="false" ht="15" hidden="false" customHeight="true" outlineLevel="0" collapsed="false">
      <c r="A924" s="12" t="s">
        <v>951</v>
      </c>
      <c r="B924" s="12" t="s">
        <v>783</v>
      </c>
      <c r="C924" s="12" t="n">
        <v>2026</v>
      </c>
      <c r="D924" s="12" t="n">
        <v>-1</v>
      </c>
      <c r="E924" s="12" t="n">
        <v>-36.5</v>
      </c>
      <c r="F924" s="12" t="n">
        <v>4420008</v>
      </c>
    </row>
    <row r="925" customFormat="false" ht="15" hidden="false" customHeight="true" outlineLevel="0" collapsed="false">
      <c r="A925" s="12" t="s">
        <v>951</v>
      </c>
      <c r="B925" s="12" t="s">
        <v>784</v>
      </c>
      <c r="C925" s="12" t="n">
        <v>2026</v>
      </c>
      <c r="D925" s="12" t="n">
        <v>-1</v>
      </c>
      <c r="E925" s="12" t="n">
        <v>-36.5</v>
      </c>
      <c r="F925" s="12" t="n">
        <v>4420009</v>
      </c>
    </row>
    <row r="926" customFormat="false" ht="15" hidden="false" customHeight="true" outlineLevel="0" collapsed="false">
      <c r="A926" s="12" t="s">
        <v>951</v>
      </c>
      <c r="B926" s="12" t="s">
        <v>787</v>
      </c>
      <c r="C926" s="12" t="n">
        <v>2025</v>
      </c>
      <c r="D926" s="12" t="n">
        <v>6</v>
      </c>
      <c r="E926" s="12" t="n">
        <v>247.1</v>
      </c>
      <c r="F926" s="12" t="n">
        <v>4420010</v>
      </c>
    </row>
    <row r="927" customFormat="false" ht="15" hidden="false" customHeight="true" outlineLevel="0" collapsed="false">
      <c r="A927" s="12" t="s">
        <v>951</v>
      </c>
      <c r="B927" s="12" t="s">
        <v>780</v>
      </c>
      <c r="C927" s="12" t="n">
        <v>2026</v>
      </c>
      <c r="D927" s="12" t="n">
        <v>-1</v>
      </c>
      <c r="E927" s="12" t="n">
        <v>-36.5</v>
      </c>
      <c r="F927" s="12" t="n">
        <v>4420012</v>
      </c>
    </row>
    <row r="928" customFormat="false" ht="15" hidden="false" customHeight="true" outlineLevel="0" collapsed="false">
      <c r="A928" s="12" t="s">
        <v>951</v>
      </c>
      <c r="B928" s="12" t="s">
        <v>84</v>
      </c>
      <c r="C928" s="12" t="n">
        <v>2025</v>
      </c>
      <c r="D928" s="12" t="n">
        <v>46</v>
      </c>
      <c r="E928" s="12" t="n">
        <v>2335.3</v>
      </c>
      <c r="F928" s="12" t="n">
        <v>4420016</v>
      </c>
    </row>
    <row r="929" customFormat="false" ht="15" hidden="false" customHeight="true" outlineLevel="0" collapsed="false">
      <c r="A929" s="12" t="s">
        <v>951</v>
      </c>
      <c r="B929" s="12" t="s">
        <v>84</v>
      </c>
      <c r="C929" s="12" t="n">
        <v>2026</v>
      </c>
      <c r="D929" s="12" t="n">
        <v>41</v>
      </c>
      <c r="E929" s="12" t="n">
        <v>2103.5</v>
      </c>
      <c r="F929" s="12" t="n">
        <v>4420016</v>
      </c>
    </row>
    <row r="930" customFormat="false" ht="15" hidden="false" customHeight="true" outlineLevel="0" collapsed="false">
      <c r="A930" s="12" t="s">
        <v>951</v>
      </c>
      <c r="B930" s="12" t="s">
        <v>85</v>
      </c>
      <c r="C930" s="12" t="n">
        <v>2025</v>
      </c>
      <c r="D930" s="12" t="n">
        <v>35</v>
      </c>
      <c r="E930" s="12" t="n">
        <v>3191.1</v>
      </c>
      <c r="F930" s="12" t="n">
        <v>4420017</v>
      </c>
    </row>
    <row r="931" customFormat="false" ht="15" hidden="false" customHeight="true" outlineLevel="0" collapsed="false">
      <c r="A931" s="12" t="s">
        <v>951</v>
      </c>
      <c r="B931" s="12" t="s">
        <v>85</v>
      </c>
      <c r="C931" s="12" t="n">
        <v>2026</v>
      </c>
      <c r="D931" s="12" t="n">
        <v>23</v>
      </c>
      <c r="E931" s="12" t="n">
        <v>2107.1</v>
      </c>
      <c r="F931" s="12" t="n">
        <v>4420017</v>
      </c>
    </row>
    <row r="932" customFormat="false" ht="15" hidden="false" customHeight="true" outlineLevel="0" collapsed="false">
      <c r="A932" s="12" t="s">
        <v>951</v>
      </c>
      <c r="B932" s="12" t="s">
        <v>505</v>
      </c>
      <c r="C932" s="12" t="n">
        <v>2025</v>
      </c>
      <c r="D932" s="12" t="n">
        <v>-1</v>
      </c>
      <c r="E932" s="12" t="n">
        <v>-98.3</v>
      </c>
      <c r="F932" s="12" t="n">
        <v>4420018</v>
      </c>
    </row>
    <row r="933" customFormat="false" ht="15" hidden="false" customHeight="true" outlineLevel="0" collapsed="false">
      <c r="A933" s="12" t="s">
        <v>951</v>
      </c>
      <c r="B933" s="12" t="s">
        <v>404</v>
      </c>
      <c r="C933" s="12" t="n">
        <v>2025</v>
      </c>
      <c r="D933" s="12" t="n">
        <v>81</v>
      </c>
      <c r="E933" s="12" t="n">
        <v>1782.8</v>
      </c>
      <c r="F933" s="12" t="n">
        <v>4420022</v>
      </c>
    </row>
    <row r="934" customFormat="false" ht="15" hidden="false" customHeight="true" outlineLevel="0" collapsed="false">
      <c r="A934" s="12" t="s">
        <v>951</v>
      </c>
      <c r="B934" s="12" t="s">
        <v>404</v>
      </c>
      <c r="C934" s="12" t="n">
        <v>2026</v>
      </c>
      <c r="D934" s="12" t="n">
        <v>78</v>
      </c>
      <c r="E934" s="12" t="n">
        <v>1779.9</v>
      </c>
      <c r="F934" s="12" t="n">
        <v>4420022</v>
      </c>
    </row>
    <row r="935" customFormat="false" ht="15" hidden="false" customHeight="true" outlineLevel="0" collapsed="false">
      <c r="A935" s="12" t="s">
        <v>951</v>
      </c>
      <c r="B935" s="12" t="s">
        <v>405</v>
      </c>
      <c r="C935" s="12" t="n">
        <v>2025</v>
      </c>
      <c r="D935" s="12" t="n">
        <v>7</v>
      </c>
      <c r="E935" s="12" t="n">
        <v>180.9</v>
      </c>
      <c r="F935" s="12" t="n">
        <v>4420023</v>
      </c>
    </row>
    <row r="936" customFormat="false" ht="15" hidden="false" customHeight="true" outlineLevel="0" collapsed="false">
      <c r="A936" s="12" t="s">
        <v>951</v>
      </c>
      <c r="B936" s="12" t="s">
        <v>405</v>
      </c>
      <c r="C936" s="12" t="n">
        <v>2026</v>
      </c>
      <c r="D936" s="12" t="n">
        <v>-1</v>
      </c>
      <c r="E936" s="12" t="n">
        <v>-21.9</v>
      </c>
      <c r="F936" s="12" t="n">
        <v>4420023</v>
      </c>
    </row>
    <row r="937" customFormat="false" ht="15" hidden="false" customHeight="true" outlineLevel="0" collapsed="false">
      <c r="A937" s="12" t="s">
        <v>951</v>
      </c>
      <c r="B937" s="12" t="s">
        <v>411</v>
      </c>
      <c r="C937" s="12" t="n">
        <v>2025</v>
      </c>
      <c r="D937" s="12" t="n">
        <v>54</v>
      </c>
      <c r="E937" s="12" t="n">
        <v>1072.9</v>
      </c>
      <c r="F937" s="12" t="n">
        <v>4420024</v>
      </c>
    </row>
    <row r="938" customFormat="false" ht="15" hidden="false" customHeight="true" outlineLevel="0" collapsed="false">
      <c r="A938" s="12" t="s">
        <v>951</v>
      </c>
      <c r="B938" s="12" t="s">
        <v>411</v>
      </c>
      <c r="C938" s="12" t="n">
        <v>2026</v>
      </c>
      <c r="D938" s="12" t="n">
        <v>32</v>
      </c>
      <c r="E938" s="12" t="n">
        <v>657.5</v>
      </c>
      <c r="F938" s="12" t="n">
        <v>4420024</v>
      </c>
    </row>
    <row r="939" customFormat="false" ht="15" hidden="false" customHeight="true" outlineLevel="0" collapsed="false">
      <c r="A939" s="12" t="s">
        <v>951</v>
      </c>
      <c r="B939" s="12" t="s">
        <v>406</v>
      </c>
      <c r="C939" s="12" t="n">
        <v>2025</v>
      </c>
      <c r="D939" s="12" t="n">
        <v>45</v>
      </c>
      <c r="E939" s="12" t="n">
        <v>1008</v>
      </c>
      <c r="F939" s="12" t="n">
        <v>4420025</v>
      </c>
    </row>
    <row r="940" customFormat="false" ht="15" hidden="false" customHeight="true" outlineLevel="0" collapsed="false">
      <c r="A940" s="12" t="s">
        <v>951</v>
      </c>
      <c r="B940" s="12" t="s">
        <v>406</v>
      </c>
      <c r="C940" s="12" t="n">
        <v>2026</v>
      </c>
      <c r="D940" s="12" t="n">
        <v>11</v>
      </c>
      <c r="E940" s="12" t="n">
        <v>243.3</v>
      </c>
      <c r="F940" s="12" t="n">
        <v>4420025</v>
      </c>
    </row>
    <row r="941" customFormat="false" ht="15" hidden="false" customHeight="true" outlineLevel="0" collapsed="false">
      <c r="A941" s="12" t="s">
        <v>951</v>
      </c>
      <c r="B941" s="12" t="s">
        <v>148</v>
      </c>
      <c r="C941" s="12" t="n">
        <v>2025</v>
      </c>
      <c r="D941" s="12" t="n">
        <v>4</v>
      </c>
      <c r="E941" s="12" t="n">
        <v>315.3</v>
      </c>
      <c r="F941" s="12" t="n">
        <v>4420026</v>
      </c>
    </row>
    <row r="942" customFormat="false" ht="15" hidden="false" customHeight="true" outlineLevel="0" collapsed="false">
      <c r="A942" s="12" t="s">
        <v>951</v>
      </c>
      <c r="B942" s="12" t="s">
        <v>148</v>
      </c>
      <c r="C942" s="12" t="n">
        <v>2026</v>
      </c>
      <c r="D942" s="12" t="n">
        <v>5</v>
      </c>
      <c r="E942" s="12" t="n">
        <v>392.1</v>
      </c>
      <c r="F942" s="12" t="n">
        <v>4420026</v>
      </c>
    </row>
    <row r="943" customFormat="false" ht="15" hidden="false" customHeight="true" outlineLevel="0" collapsed="false">
      <c r="A943" s="12" t="s">
        <v>951</v>
      </c>
      <c r="B943" s="12" t="s">
        <v>775</v>
      </c>
      <c r="C943" s="12" t="n">
        <v>2025</v>
      </c>
      <c r="D943" s="12" t="n">
        <v>58</v>
      </c>
      <c r="E943" s="12" t="n">
        <v>678.9</v>
      </c>
      <c r="F943" s="12" t="n">
        <v>4420027</v>
      </c>
    </row>
    <row r="944" customFormat="false" ht="15" hidden="false" customHeight="true" outlineLevel="0" collapsed="false">
      <c r="A944" s="12" t="s">
        <v>951</v>
      </c>
      <c r="B944" s="12" t="s">
        <v>775</v>
      </c>
      <c r="C944" s="12" t="n">
        <v>2026</v>
      </c>
      <c r="D944" s="12" t="n">
        <v>9</v>
      </c>
      <c r="E944" s="12" t="n">
        <v>112.5</v>
      </c>
      <c r="F944" s="12" t="n">
        <v>4420027</v>
      </c>
    </row>
    <row r="945" customFormat="false" ht="15" hidden="false" customHeight="true" outlineLevel="0" collapsed="false">
      <c r="A945" s="12" t="s">
        <v>951</v>
      </c>
      <c r="B945" s="12" t="s">
        <v>773</v>
      </c>
      <c r="C945" s="12" t="n">
        <v>2025</v>
      </c>
      <c r="D945" s="12" t="n">
        <v>-1</v>
      </c>
      <c r="E945" s="12" t="n">
        <v>-43.2</v>
      </c>
      <c r="F945" s="12" t="n">
        <v>4420028</v>
      </c>
    </row>
    <row r="946" customFormat="false" ht="15" hidden="false" customHeight="true" outlineLevel="0" collapsed="false">
      <c r="A946" s="12" t="s">
        <v>951</v>
      </c>
      <c r="B946" s="12" t="s">
        <v>773</v>
      </c>
      <c r="C946" s="12" t="n">
        <v>2026</v>
      </c>
      <c r="D946" s="12" t="n">
        <v>1</v>
      </c>
      <c r="E946" s="12" t="n">
        <v>35.1</v>
      </c>
      <c r="F946" s="12" t="n">
        <v>4420028</v>
      </c>
    </row>
    <row r="947" customFormat="false" ht="15" hidden="false" customHeight="true" outlineLevel="0" collapsed="false">
      <c r="A947" s="12" t="s">
        <v>951</v>
      </c>
      <c r="B947" s="12" t="s">
        <v>792</v>
      </c>
      <c r="C947" s="12" t="n">
        <v>2025</v>
      </c>
      <c r="D947" s="12" t="n">
        <v>1</v>
      </c>
      <c r="E947" s="12" t="n">
        <v>33</v>
      </c>
      <c r="F947" s="12" t="n">
        <v>4420030</v>
      </c>
    </row>
    <row r="948" customFormat="false" ht="15" hidden="false" customHeight="true" outlineLevel="0" collapsed="false">
      <c r="A948" s="12" t="s">
        <v>951</v>
      </c>
      <c r="B948" s="12" t="s">
        <v>792</v>
      </c>
      <c r="C948" s="12" t="n">
        <v>2026</v>
      </c>
      <c r="D948" s="12" t="n">
        <v>1</v>
      </c>
      <c r="E948" s="12" t="n">
        <v>35.1</v>
      </c>
      <c r="F948" s="12" t="n">
        <v>4420030</v>
      </c>
    </row>
    <row r="949" customFormat="false" ht="15" hidden="false" customHeight="true" outlineLevel="0" collapsed="false">
      <c r="A949" s="12" t="s">
        <v>951</v>
      </c>
      <c r="B949" s="12" t="s">
        <v>793</v>
      </c>
      <c r="C949" s="12" t="n">
        <v>2026</v>
      </c>
      <c r="D949" s="12" t="n">
        <v>3</v>
      </c>
      <c r="E949" s="12" t="n">
        <v>105.3</v>
      </c>
      <c r="F949" s="12" t="n">
        <v>4420031</v>
      </c>
    </row>
    <row r="950" customFormat="false" ht="15" hidden="false" customHeight="true" outlineLevel="0" collapsed="false">
      <c r="A950" s="12" t="s">
        <v>951</v>
      </c>
      <c r="B950" s="12" t="s">
        <v>794</v>
      </c>
      <c r="C950" s="12" t="n">
        <v>2025</v>
      </c>
      <c r="D950" s="12" t="n">
        <v>4</v>
      </c>
      <c r="E950" s="12" t="n">
        <v>133.6</v>
      </c>
      <c r="F950" s="12" t="n">
        <v>4420032</v>
      </c>
    </row>
    <row r="951" customFormat="false" ht="15" hidden="false" customHeight="true" outlineLevel="0" collapsed="false">
      <c r="A951" s="12" t="s">
        <v>951</v>
      </c>
      <c r="B951" s="12" t="s">
        <v>794</v>
      </c>
      <c r="C951" s="12" t="n">
        <v>2026</v>
      </c>
      <c r="D951" s="12" t="n">
        <v>1</v>
      </c>
      <c r="E951" s="12" t="n">
        <v>35.1</v>
      </c>
      <c r="F951" s="12" t="n">
        <v>4420032</v>
      </c>
    </row>
    <row r="952" customFormat="false" ht="15" hidden="false" customHeight="true" outlineLevel="0" collapsed="false">
      <c r="A952" s="12" t="s">
        <v>951</v>
      </c>
      <c r="B952" s="12" t="s">
        <v>835</v>
      </c>
      <c r="C952" s="12" t="n">
        <v>2025</v>
      </c>
      <c r="D952" s="12" t="n">
        <v>2</v>
      </c>
      <c r="E952" s="12" t="n">
        <v>75.5</v>
      </c>
      <c r="F952" s="12" t="n">
        <v>4420034</v>
      </c>
    </row>
    <row r="953" customFormat="false" ht="15" hidden="false" customHeight="true" outlineLevel="0" collapsed="false">
      <c r="A953" s="12" t="s">
        <v>951</v>
      </c>
      <c r="B953" s="12" t="s">
        <v>835</v>
      </c>
      <c r="C953" s="12" t="n">
        <v>2026</v>
      </c>
      <c r="D953" s="12" t="n">
        <v>3</v>
      </c>
      <c r="E953" s="12" t="n">
        <v>113.3</v>
      </c>
      <c r="F953" s="12" t="n">
        <v>4420034</v>
      </c>
    </row>
    <row r="954" customFormat="false" ht="15" hidden="false" customHeight="true" outlineLevel="0" collapsed="false">
      <c r="A954" s="12" t="s">
        <v>951</v>
      </c>
      <c r="B954" s="12" t="s">
        <v>770</v>
      </c>
      <c r="C954" s="12" t="n">
        <v>2025</v>
      </c>
      <c r="D954" s="12" t="n">
        <v>8</v>
      </c>
      <c r="E954" s="12" t="n">
        <v>401</v>
      </c>
      <c r="F954" s="12" t="n">
        <v>4420035</v>
      </c>
    </row>
    <row r="955" customFormat="false" ht="15" hidden="false" customHeight="true" outlineLevel="0" collapsed="false">
      <c r="A955" s="12" t="s">
        <v>951</v>
      </c>
      <c r="B955" s="12" t="s">
        <v>770</v>
      </c>
      <c r="C955" s="12" t="n">
        <v>2026</v>
      </c>
      <c r="D955" s="12" t="n">
        <v>3</v>
      </c>
      <c r="E955" s="12" t="n">
        <v>194.6</v>
      </c>
      <c r="F955" s="12" t="n">
        <v>4420035</v>
      </c>
    </row>
    <row r="956" customFormat="false" ht="15" hidden="false" customHeight="true" outlineLevel="0" collapsed="false">
      <c r="A956" s="12" t="s">
        <v>951</v>
      </c>
      <c r="B956" s="12" t="s">
        <v>769</v>
      </c>
      <c r="C956" s="12" t="n">
        <v>2025</v>
      </c>
      <c r="D956" s="12" t="n">
        <v>28</v>
      </c>
      <c r="E956" s="12" t="n">
        <v>1431.1</v>
      </c>
      <c r="F956" s="12" t="n">
        <v>4420036</v>
      </c>
    </row>
    <row r="957" customFormat="false" ht="15" hidden="false" customHeight="true" outlineLevel="0" collapsed="false">
      <c r="A957" s="12" t="s">
        <v>951</v>
      </c>
      <c r="B957" s="12" t="s">
        <v>769</v>
      </c>
      <c r="C957" s="12" t="n">
        <v>2026</v>
      </c>
      <c r="D957" s="12" t="n">
        <v>3</v>
      </c>
      <c r="E957" s="12" t="n">
        <v>185.1</v>
      </c>
      <c r="F957" s="12" t="n">
        <v>4420036</v>
      </c>
    </row>
    <row r="958" customFormat="false" ht="15" hidden="false" customHeight="true" outlineLevel="0" collapsed="false">
      <c r="A958" s="12" t="s">
        <v>951</v>
      </c>
      <c r="B958" s="12" t="s">
        <v>772</v>
      </c>
      <c r="C958" s="12" t="n">
        <v>2025</v>
      </c>
      <c r="D958" s="12" t="n">
        <v>-2</v>
      </c>
      <c r="E958" s="12" t="n">
        <v>-107.2</v>
      </c>
      <c r="F958" s="12" t="n">
        <v>4420037</v>
      </c>
    </row>
    <row r="959" customFormat="false" ht="15" hidden="false" customHeight="true" outlineLevel="0" collapsed="false">
      <c r="A959" s="12" t="s">
        <v>951</v>
      </c>
      <c r="B959" s="12" t="s">
        <v>772</v>
      </c>
      <c r="C959" s="12" t="n">
        <v>2026</v>
      </c>
      <c r="D959" s="12" t="n">
        <v>2</v>
      </c>
      <c r="E959" s="12" t="n">
        <v>146.5</v>
      </c>
      <c r="F959" s="12" t="n">
        <v>4420037</v>
      </c>
    </row>
    <row r="960" customFormat="false" ht="15" hidden="false" customHeight="true" outlineLevel="0" collapsed="false">
      <c r="A960" s="12" t="s">
        <v>951</v>
      </c>
      <c r="B960" s="12" t="s">
        <v>170</v>
      </c>
      <c r="C960" s="12" t="n">
        <v>2026</v>
      </c>
      <c r="D960" s="12" t="n">
        <v>8</v>
      </c>
      <c r="E960" s="12" t="n">
        <v>646.3</v>
      </c>
      <c r="F960" s="12" t="n">
        <v>4420039</v>
      </c>
    </row>
    <row r="961" customFormat="false" ht="15" hidden="false" customHeight="true" outlineLevel="0" collapsed="false">
      <c r="A961" s="12" t="s">
        <v>951</v>
      </c>
      <c r="B961" s="12" t="s">
        <v>556</v>
      </c>
      <c r="C961" s="12" t="n">
        <v>2025</v>
      </c>
      <c r="D961" s="12" t="n">
        <v>1693</v>
      </c>
      <c r="E961" s="12" t="n">
        <v>29905.1</v>
      </c>
      <c r="F961" s="12" t="n">
        <v>4421000</v>
      </c>
    </row>
    <row r="962" customFormat="false" ht="15" hidden="false" customHeight="true" outlineLevel="0" collapsed="false">
      <c r="A962" s="12" t="s">
        <v>951</v>
      </c>
      <c r="B962" s="12" t="s">
        <v>556</v>
      </c>
      <c r="C962" s="12" t="n">
        <v>2026</v>
      </c>
      <c r="D962" s="12" t="n">
        <v>1072</v>
      </c>
      <c r="E962" s="12" t="n">
        <v>19015.4</v>
      </c>
      <c r="F962" s="12" t="n">
        <v>4421000</v>
      </c>
    </row>
    <row r="963" customFormat="false" ht="15" hidden="false" customHeight="true" outlineLevel="0" collapsed="false">
      <c r="A963" s="12" t="s">
        <v>951</v>
      </c>
      <c r="B963" s="12" t="s">
        <v>547</v>
      </c>
      <c r="C963" s="12" t="n">
        <v>2025</v>
      </c>
      <c r="D963" s="12" t="n">
        <v>161</v>
      </c>
      <c r="E963" s="12" t="n">
        <v>9236.9</v>
      </c>
      <c r="F963" s="12" t="n">
        <v>4421001</v>
      </c>
    </row>
    <row r="964" customFormat="false" ht="15" hidden="false" customHeight="true" outlineLevel="0" collapsed="false">
      <c r="A964" s="12" t="s">
        <v>951</v>
      </c>
      <c r="B964" s="12" t="s">
        <v>547</v>
      </c>
      <c r="C964" s="12" t="n">
        <v>2026</v>
      </c>
      <c r="D964" s="12" t="n">
        <v>92</v>
      </c>
      <c r="E964" s="12" t="n">
        <v>5406.7</v>
      </c>
      <c r="F964" s="12" t="n">
        <v>4421001</v>
      </c>
    </row>
    <row r="965" customFormat="false" ht="15" hidden="false" customHeight="true" outlineLevel="0" collapsed="false">
      <c r="A965" s="12" t="s">
        <v>951</v>
      </c>
      <c r="B965" s="12" t="s">
        <v>559</v>
      </c>
      <c r="C965" s="12" t="n">
        <v>2025</v>
      </c>
      <c r="D965" s="12" t="n">
        <v>127</v>
      </c>
      <c r="E965" s="12" t="n">
        <v>4418.7</v>
      </c>
      <c r="F965" s="12" t="n">
        <v>4421003</v>
      </c>
    </row>
    <row r="966" customFormat="false" ht="15" hidden="false" customHeight="true" outlineLevel="0" collapsed="false">
      <c r="A966" s="12" t="s">
        <v>951</v>
      </c>
      <c r="B966" s="12" t="s">
        <v>559</v>
      </c>
      <c r="C966" s="12" t="n">
        <v>2026</v>
      </c>
      <c r="D966" s="12" t="n">
        <v>77</v>
      </c>
      <c r="E966" s="12" t="n">
        <v>2765</v>
      </c>
      <c r="F966" s="12" t="n">
        <v>4421003</v>
      </c>
    </row>
    <row r="967" customFormat="false" ht="15" hidden="false" customHeight="true" outlineLevel="0" collapsed="false">
      <c r="A967" s="12" t="s">
        <v>951</v>
      </c>
      <c r="B967" s="12" t="s">
        <v>370</v>
      </c>
      <c r="C967" s="12" t="n">
        <v>2025</v>
      </c>
      <c r="D967" s="12" t="n">
        <v>72</v>
      </c>
      <c r="E967" s="12" t="n">
        <v>2651</v>
      </c>
      <c r="F967" s="12" t="n">
        <v>4421005</v>
      </c>
    </row>
    <row r="968" customFormat="false" ht="15" hidden="false" customHeight="true" outlineLevel="0" collapsed="false">
      <c r="A968" s="12" t="s">
        <v>951</v>
      </c>
      <c r="B968" s="12" t="s">
        <v>370</v>
      </c>
      <c r="C968" s="12" t="n">
        <v>2026</v>
      </c>
      <c r="D968" s="12" t="n">
        <v>76</v>
      </c>
      <c r="E968" s="12" t="n">
        <v>2942</v>
      </c>
      <c r="F968" s="12" t="n">
        <v>4421005</v>
      </c>
    </row>
    <row r="969" customFormat="false" ht="15" hidden="false" customHeight="true" outlineLevel="0" collapsed="false">
      <c r="A969" s="12" t="s">
        <v>951</v>
      </c>
      <c r="B969" s="12" t="s">
        <v>369</v>
      </c>
      <c r="C969" s="12" t="n">
        <v>2025</v>
      </c>
      <c r="D969" s="12" t="n">
        <v>117</v>
      </c>
      <c r="E969" s="12" t="n">
        <v>4671.1</v>
      </c>
      <c r="F969" s="12" t="n">
        <v>4421006</v>
      </c>
    </row>
    <row r="970" customFormat="false" ht="15" hidden="false" customHeight="true" outlineLevel="0" collapsed="false">
      <c r="A970" s="12" t="s">
        <v>951</v>
      </c>
      <c r="B970" s="12" t="s">
        <v>369</v>
      </c>
      <c r="C970" s="12" t="n">
        <v>2026</v>
      </c>
      <c r="D970" s="12" t="n">
        <v>112</v>
      </c>
      <c r="E970" s="12" t="n">
        <v>4558.6</v>
      </c>
      <c r="F970" s="12" t="n">
        <v>4421006</v>
      </c>
    </row>
    <row r="971" customFormat="false" ht="15" hidden="false" customHeight="true" outlineLevel="0" collapsed="false">
      <c r="A971" s="12" t="s">
        <v>951</v>
      </c>
      <c r="B971" s="12" t="s">
        <v>364</v>
      </c>
      <c r="C971" s="12" t="n">
        <v>2025</v>
      </c>
      <c r="D971" s="12" t="n">
        <v>80</v>
      </c>
      <c r="E971" s="12" t="n">
        <v>3457.6</v>
      </c>
      <c r="F971" s="12" t="n">
        <v>4421007</v>
      </c>
    </row>
    <row r="972" customFormat="false" ht="15" hidden="false" customHeight="true" outlineLevel="0" collapsed="false">
      <c r="A972" s="12" t="s">
        <v>951</v>
      </c>
      <c r="B972" s="12" t="s">
        <v>364</v>
      </c>
      <c r="C972" s="12" t="n">
        <v>2026</v>
      </c>
      <c r="D972" s="12" t="n">
        <v>59</v>
      </c>
      <c r="E972" s="12" t="n">
        <v>2570.8</v>
      </c>
      <c r="F972" s="12" t="n">
        <v>4421007</v>
      </c>
    </row>
    <row r="973" customFormat="false" ht="15" hidden="false" customHeight="true" outlineLevel="0" collapsed="false">
      <c r="A973" s="12" t="s">
        <v>951</v>
      </c>
      <c r="B973" s="12" t="s">
        <v>363</v>
      </c>
      <c r="C973" s="12" t="n">
        <v>2025</v>
      </c>
      <c r="D973" s="12" t="n">
        <v>89</v>
      </c>
      <c r="E973" s="12" t="n">
        <v>4014.8</v>
      </c>
      <c r="F973" s="12" t="n">
        <v>4421008</v>
      </c>
    </row>
    <row r="974" customFormat="false" ht="15" hidden="false" customHeight="true" outlineLevel="0" collapsed="false">
      <c r="A974" s="12" t="s">
        <v>951</v>
      </c>
      <c r="B974" s="12" t="s">
        <v>363</v>
      </c>
      <c r="C974" s="12" t="n">
        <v>2026</v>
      </c>
      <c r="D974" s="12" t="n">
        <v>83</v>
      </c>
      <c r="E974" s="12" t="n">
        <v>3714.4</v>
      </c>
      <c r="F974" s="12" t="n">
        <v>4421008</v>
      </c>
    </row>
    <row r="975" customFormat="false" ht="15" hidden="false" customHeight="true" outlineLevel="0" collapsed="false">
      <c r="A975" s="12" t="s">
        <v>951</v>
      </c>
      <c r="B975" s="12" t="s">
        <v>838</v>
      </c>
      <c r="C975" s="12" t="n">
        <v>2025</v>
      </c>
      <c r="D975" s="12" t="n">
        <v>129</v>
      </c>
      <c r="E975" s="12" t="n">
        <v>2674.4</v>
      </c>
      <c r="F975" s="12" t="n">
        <v>4422000</v>
      </c>
    </row>
    <row r="976" customFormat="false" ht="15" hidden="false" customHeight="true" outlineLevel="0" collapsed="false">
      <c r="A976" s="12" t="s">
        <v>951</v>
      </c>
      <c r="B976" s="12" t="s">
        <v>838</v>
      </c>
      <c r="C976" s="12" t="n">
        <v>2026</v>
      </c>
      <c r="D976" s="12" t="n">
        <v>124</v>
      </c>
      <c r="E976" s="12" t="n">
        <v>2627.7</v>
      </c>
      <c r="F976" s="12" t="n">
        <v>4422000</v>
      </c>
    </row>
    <row r="977" customFormat="false" ht="15" hidden="false" customHeight="true" outlineLevel="0" collapsed="false">
      <c r="A977" s="12" t="s">
        <v>951</v>
      </c>
      <c r="B977" s="12" t="s">
        <v>706</v>
      </c>
      <c r="C977" s="12" t="n">
        <v>2025</v>
      </c>
      <c r="D977" s="12" t="n">
        <v>-1</v>
      </c>
      <c r="E977" s="12" t="n">
        <v>-36.5</v>
      </c>
      <c r="F977" s="12" t="n">
        <v>4422003</v>
      </c>
    </row>
    <row r="978" customFormat="false" ht="15" hidden="false" customHeight="true" outlineLevel="0" collapsed="false">
      <c r="A978" s="12" t="s">
        <v>951</v>
      </c>
      <c r="B978" s="12" t="s">
        <v>400</v>
      </c>
      <c r="C978" s="12" t="n">
        <v>2025</v>
      </c>
      <c r="D978" s="12" t="n">
        <v>11</v>
      </c>
      <c r="E978" s="12" t="n">
        <v>2043.8</v>
      </c>
      <c r="F978" s="12" t="n">
        <v>4422004</v>
      </c>
    </row>
    <row r="979" customFormat="false" ht="15" hidden="false" customHeight="true" outlineLevel="0" collapsed="false">
      <c r="A979" s="12" t="s">
        <v>951</v>
      </c>
      <c r="B979" s="12" t="s">
        <v>400</v>
      </c>
      <c r="C979" s="12" t="n">
        <v>2026</v>
      </c>
      <c r="D979" s="12" t="n">
        <v>5</v>
      </c>
      <c r="E979" s="12" t="n">
        <v>959.2</v>
      </c>
      <c r="F979" s="12" t="n">
        <v>4422004</v>
      </c>
    </row>
    <row r="980" customFormat="false" ht="15" hidden="false" customHeight="true" outlineLevel="0" collapsed="false">
      <c r="A980" s="12" t="s">
        <v>951</v>
      </c>
      <c r="B980" s="12" t="s">
        <v>399</v>
      </c>
      <c r="C980" s="12" t="n">
        <v>2025</v>
      </c>
      <c r="D980" s="12" t="n">
        <v>27</v>
      </c>
      <c r="E980" s="12" t="n">
        <v>5060</v>
      </c>
      <c r="F980" s="12" t="n">
        <v>4422005</v>
      </c>
    </row>
    <row r="981" customFormat="false" ht="15" hidden="false" customHeight="true" outlineLevel="0" collapsed="false">
      <c r="A981" s="12" t="s">
        <v>951</v>
      </c>
      <c r="B981" s="12" t="s">
        <v>399</v>
      </c>
      <c r="C981" s="12" t="n">
        <v>2026</v>
      </c>
      <c r="D981" s="12" t="n">
        <v>15</v>
      </c>
      <c r="E981" s="12" t="n">
        <v>2852.4</v>
      </c>
      <c r="F981" s="12" t="n">
        <v>4422005</v>
      </c>
    </row>
    <row r="982" customFormat="false" ht="15" hidden="false" customHeight="true" outlineLevel="0" collapsed="false">
      <c r="A982" s="12" t="s">
        <v>951</v>
      </c>
      <c r="B982" s="12" t="s">
        <v>398</v>
      </c>
      <c r="C982" s="12" t="n">
        <v>2025</v>
      </c>
      <c r="D982" s="12" t="n">
        <v>38</v>
      </c>
      <c r="E982" s="12" t="n">
        <v>7103.2</v>
      </c>
      <c r="F982" s="12" t="n">
        <v>4422006</v>
      </c>
    </row>
    <row r="983" customFormat="false" ht="15" hidden="false" customHeight="true" outlineLevel="0" collapsed="false">
      <c r="A983" s="12" t="s">
        <v>951</v>
      </c>
      <c r="B983" s="12" t="s">
        <v>398</v>
      </c>
      <c r="C983" s="12" t="n">
        <v>2026</v>
      </c>
      <c r="D983" s="12" t="n">
        <v>25</v>
      </c>
      <c r="E983" s="12" t="n">
        <v>4518.4</v>
      </c>
      <c r="F983" s="12" t="n">
        <v>4422006</v>
      </c>
    </row>
    <row r="984" customFormat="false" ht="15" hidden="false" customHeight="true" outlineLevel="0" collapsed="false">
      <c r="A984" s="12" t="s">
        <v>951</v>
      </c>
      <c r="B984" s="12" t="s">
        <v>401</v>
      </c>
      <c r="C984" s="12" t="n">
        <v>2025</v>
      </c>
      <c r="D984" s="12" t="n">
        <v>18</v>
      </c>
      <c r="E984" s="12" t="n">
        <v>3356.7</v>
      </c>
      <c r="F984" s="12" t="n">
        <v>4422007</v>
      </c>
    </row>
    <row r="985" customFormat="false" ht="15" hidden="false" customHeight="true" outlineLevel="0" collapsed="false">
      <c r="A985" s="12" t="s">
        <v>951</v>
      </c>
      <c r="B985" s="12" t="s">
        <v>401</v>
      </c>
      <c r="C985" s="12" t="n">
        <v>2026</v>
      </c>
      <c r="D985" s="12" t="n">
        <v>19</v>
      </c>
      <c r="E985" s="12" t="n">
        <v>3534.2</v>
      </c>
      <c r="F985" s="12" t="n">
        <v>4422007</v>
      </c>
    </row>
    <row r="986" customFormat="false" ht="15" hidden="false" customHeight="true" outlineLevel="0" collapsed="false">
      <c r="A986" s="12" t="s">
        <v>951</v>
      </c>
      <c r="B986" s="12" t="s">
        <v>402</v>
      </c>
      <c r="C986" s="12" t="n">
        <v>2025</v>
      </c>
      <c r="D986" s="12" t="n">
        <v>4</v>
      </c>
      <c r="E986" s="12" t="n">
        <v>719.4</v>
      </c>
      <c r="F986" s="12" t="n">
        <v>4422009</v>
      </c>
    </row>
    <row r="987" customFormat="false" ht="15" hidden="false" customHeight="true" outlineLevel="0" collapsed="false">
      <c r="A987" s="12" t="s">
        <v>951</v>
      </c>
      <c r="B987" s="12" t="s">
        <v>402</v>
      </c>
      <c r="C987" s="12" t="n">
        <v>2026</v>
      </c>
      <c r="D987" s="12" t="n">
        <v>3</v>
      </c>
      <c r="E987" s="12" t="n">
        <v>568</v>
      </c>
      <c r="F987" s="12" t="n">
        <v>4422009</v>
      </c>
    </row>
    <row r="988" customFormat="false" ht="15" hidden="false" customHeight="true" outlineLevel="0" collapsed="false">
      <c r="A988" s="12" t="s">
        <v>951</v>
      </c>
      <c r="B988" s="12" t="s">
        <v>839</v>
      </c>
      <c r="C988" s="12" t="n">
        <v>2025</v>
      </c>
      <c r="D988" s="12" t="n">
        <v>1500</v>
      </c>
      <c r="E988" s="12" t="n">
        <v>14703.8</v>
      </c>
      <c r="F988" s="12" t="n">
        <v>4422023</v>
      </c>
    </row>
    <row r="989" customFormat="false" ht="15" hidden="false" customHeight="true" outlineLevel="0" collapsed="false">
      <c r="A989" s="12" t="s">
        <v>951</v>
      </c>
      <c r="B989" s="12" t="s">
        <v>839</v>
      </c>
      <c r="C989" s="12" t="n">
        <v>2026</v>
      </c>
      <c r="D989" s="12" t="n">
        <v>851</v>
      </c>
      <c r="E989" s="12" t="n">
        <v>9467.1</v>
      </c>
      <c r="F989" s="12" t="n">
        <v>4422023</v>
      </c>
    </row>
    <row r="990" customFormat="false" ht="15" hidden="false" customHeight="true" outlineLevel="0" collapsed="false">
      <c r="A990" s="12" t="s">
        <v>951</v>
      </c>
      <c r="B990" s="12" t="s">
        <v>840</v>
      </c>
      <c r="C990" s="12" t="n">
        <v>2025</v>
      </c>
      <c r="D990" s="12" t="n">
        <v>928</v>
      </c>
      <c r="E990" s="12" t="n">
        <v>9313.1</v>
      </c>
      <c r="F990" s="12" t="n">
        <v>4422024</v>
      </c>
    </row>
    <row r="991" customFormat="false" ht="15" hidden="false" customHeight="true" outlineLevel="0" collapsed="false">
      <c r="A991" s="12" t="s">
        <v>951</v>
      </c>
      <c r="B991" s="12" t="s">
        <v>840</v>
      </c>
      <c r="C991" s="12" t="n">
        <v>2026</v>
      </c>
      <c r="D991" s="12" t="n">
        <v>513</v>
      </c>
      <c r="E991" s="12" t="n">
        <v>5672.9</v>
      </c>
      <c r="F991" s="12" t="n">
        <v>4422024</v>
      </c>
    </row>
    <row r="992" customFormat="false" ht="15" hidden="false" customHeight="true" outlineLevel="0" collapsed="false">
      <c r="A992" s="12" t="s">
        <v>951</v>
      </c>
      <c r="B992" s="12" t="s">
        <v>841</v>
      </c>
      <c r="C992" s="12" t="n">
        <v>2025</v>
      </c>
      <c r="D992" s="12" t="n">
        <v>476</v>
      </c>
      <c r="E992" s="12" t="n">
        <v>4540.6</v>
      </c>
      <c r="F992" s="12" t="n">
        <v>4422025</v>
      </c>
    </row>
    <row r="993" customFormat="false" ht="15" hidden="false" customHeight="true" outlineLevel="0" collapsed="false">
      <c r="A993" s="12" t="s">
        <v>951</v>
      </c>
      <c r="B993" s="12" t="s">
        <v>841</v>
      </c>
      <c r="C993" s="12" t="n">
        <v>2026</v>
      </c>
      <c r="D993" s="12" t="n">
        <v>180</v>
      </c>
      <c r="E993" s="12" t="n">
        <v>2001.6</v>
      </c>
      <c r="F993" s="12" t="n">
        <v>4422025</v>
      </c>
    </row>
    <row r="994" customFormat="false" ht="15" hidden="false" customHeight="true" outlineLevel="0" collapsed="false">
      <c r="A994" s="12" t="s">
        <v>951</v>
      </c>
      <c r="B994" s="12" t="s">
        <v>842</v>
      </c>
      <c r="C994" s="12" t="n">
        <v>2025</v>
      </c>
      <c r="D994" s="12" t="n">
        <v>471</v>
      </c>
      <c r="E994" s="12" t="n">
        <v>4693.4</v>
      </c>
      <c r="F994" s="12" t="n">
        <v>4422026</v>
      </c>
    </row>
    <row r="995" customFormat="false" ht="15" hidden="false" customHeight="true" outlineLevel="0" collapsed="false">
      <c r="A995" s="12" t="s">
        <v>951</v>
      </c>
      <c r="B995" s="12" t="s">
        <v>842</v>
      </c>
      <c r="C995" s="12" t="n">
        <v>2026</v>
      </c>
      <c r="D995" s="12" t="n">
        <v>192</v>
      </c>
      <c r="E995" s="12" t="n">
        <v>2138.5</v>
      </c>
      <c r="F995" s="12" t="n">
        <v>4422026</v>
      </c>
    </row>
    <row r="996" customFormat="false" ht="15" hidden="false" customHeight="true" outlineLevel="0" collapsed="false">
      <c r="A996" s="12" t="s">
        <v>951</v>
      </c>
      <c r="B996" s="12" t="s">
        <v>845</v>
      </c>
      <c r="C996" s="12" t="n">
        <v>2025</v>
      </c>
      <c r="D996" s="12" t="n">
        <v>702</v>
      </c>
      <c r="E996" s="12" t="n">
        <v>7071.1</v>
      </c>
      <c r="F996" s="12" t="n">
        <v>4422031</v>
      </c>
    </row>
    <row r="997" customFormat="false" ht="15" hidden="false" customHeight="true" outlineLevel="0" collapsed="false">
      <c r="A997" s="12" t="s">
        <v>951</v>
      </c>
      <c r="B997" s="12" t="s">
        <v>845</v>
      </c>
      <c r="C997" s="12" t="n">
        <v>2026</v>
      </c>
      <c r="D997" s="12" t="n">
        <v>745</v>
      </c>
      <c r="E997" s="12" t="n">
        <v>8337</v>
      </c>
      <c r="F997" s="12" t="n">
        <v>4422031</v>
      </c>
    </row>
    <row r="998" customFormat="false" ht="15" hidden="false" customHeight="true" outlineLevel="0" collapsed="false">
      <c r="A998" s="12" t="s">
        <v>951</v>
      </c>
      <c r="B998" s="12" t="s">
        <v>843</v>
      </c>
      <c r="C998" s="12" t="n">
        <v>2025</v>
      </c>
      <c r="D998" s="12" t="n">
        <v>482</v>
      </c>
      <c r="E998" s="12" t="n">
        <v>4463.1</v>
      </c>
      <c r="F998" s="12" t="n">
        <v>4422032</v>
      </c>
    </row>
    <row r="999" customFormat="false" ht="15" hidden="false" customHeight="true" outlineLevel="0" collapsed="false">
      <c r="A999" s="12" t="s">
        <v>951</v>
      </c>
      <c r="B999" s="12" t="s">
        <v>843</v>
      </c>
      <c r="C999" s="12" t="n">
        <v>2026</v>
      </c>
      <c r="D999" s="12" t="n">
        <v>212</v>
      </c>
      <c r="E999" s="12" t="n">
        <v>2361.9</v>
      </c>
      <c r="F999" s="12" t="n">
        <v>4422032</v>
      </c>
    </row>
    <row r="1000" customFormat="false" ht="15" hidden="false" customHeight="true" outlineLevel="0" collapsed="false">
      <c r="A1000" s="12" t="s">
        <v>951</v>
      </c>
      <c r="B1000" s="12" t="s">
        <v>844</v>
      </c>
      <c r="C1000" s="12" t="n">
        <v>2025</v>
      </c>
      <c r="D1000" s="12" t="n">
        <v>400</v>
      </c>
      <c r="E1000" s="12" t="n">
        <v>3741.1</v>
      </c>
      <c r="F1000" s="12" t="n">
        <v>4422033</v>
      </c>
    </row>
    <row r="1001" customFormat="false" ht="15" hidden="false" customHeight="true" outlineLevel="0" collapsed="false">
      <c r="A1001" s="12" t="s">
        <v>951</v>
      </c>
      <c r="B1001" s="12" t="s">
        <v>844</v>
      </c>
      <c r="C1001" s="12" t="n">
        <v>2026</v>
      </c>
      <c r="D1001" s="12" t="n">
        <v>124</v>
      </c>
      <c r="E1001" s="12" t="n">
        <v>1388.3</v>
      </c>
      <c r="F1001" s="12" t="n">
        <v>4422033</v>
      </c>
    </row>
    <row r="1002" customFormat="false" ht="15" hidden="false" customHeight="true" outlineLevel="0" collapsed="false">
      <c r="A1002" s="12" t="s">
        <v>951</v>
      </c>
      <c r="B1002" s="12" t="s">
        <v>846</v>
      </c>
      <c r="C1002" s="12" t="n">
        <v>2025</v>
      </c>
      <c r="D1002" s="12" t="n">
        <v>201</v>
      </c>
      <c r="E1002" s="12" t="n">
        <v>1926.5</v>
      </c>
      <c r="F1002" s="12" t="n">
        <v>4422034</v>
      </c>
    </row>
    <row r="1003" customFormat="false" ht="15" hidden="false" customHeight="true" outlineLevel="0" collapsed="false">
      <c r="A1003" s="12" t="s">
        <v>951</v>
      </c>
      <c r="B1003" s="12" t="s">
        <v>846</v>
      </c>
      <c r="C1003" s="12" t="n">
        <v>2026</v>
      </c>
      <c r="D1003" s="12" t="n">
        <v>64</v>
      </c>
      <c r="E1003" s="12" t="n">
        <v>748.7</v>
      </c>
      <c r="F1003" s="12" t="n">
        <v>4422034</v>
      </c>
    </row>
    <row r="1004" customFormat="false" ht="15" hidden="false" customHeight="true" outlineLevel="0" collapsed="false">
      <c r="A1004" s="12" t="s">
        <v>951</v>
      </c>
      <c r="B1004" s="12" t="s">
        <v>368</v>
      </c>
      <c r="C1004" s="12" t="n">
        <v>2025</v>
      </c>
      <c r="D1004" s="12" t="n">
        <v>956</v>
      </c>
      <c r="E1004" s="12" t="n">
        <v>17801.7</v>
      </c>
      <c r="F1004" s="12" t="n">
        <v>4422035</v>
      </c>
    </row>
    <row r="1005" customFormat="false" ht="15" hidden="false" customHeight="true" outlineLevel="0" collapsed="false">
      <c r="A1005" s="12" t="s">
        <v>951</v>
      </c>
      <c r="B1005" s="12" t="s">
        <v>368</v>
      </c>
      <c r="C1005" s="12" t="n">
        <v>2026</v>
      </c>
      <c r="D1005" s="12" t="n">
        <v>341</v>
      </c>
      <c r="E1005" s="12" t="n">
        <v>6493.3</v>
      </c>
      <c r="F1005" s="12" t="n">
        <v>4422035</v>
      </c>
    </row>
    <row r="1006" customFormat="false" ht="15" hidden="false" customHeight="true" outlineLevel="0" collapsed="false">
      <c r="A1006" s="12" t="s">
        <v>951</v>
      </c>
      <c r="B1006" s="12" t="s">
        <v>366</v>
      </c>
      <c r="C1006" s="12" t="n">
        <v>2025</v>
      </c>
      <c r="D1006" s="12" t="n">
        <v>1000</v>
      </c>
      <c r="E1006" s="12" t="n">
        <v>19629.5</v>
      </c>
      <c r="F1006" s="12" t="n">
        <v>4422036</v>
      </c>
    </row>
    <row r="1007" customFormat="false" ht="15" hidden="false" customHeight="true" outlineLevel="0" collapsed="false">
      <c r="A1007" s="12" t="s">
        <v>951</v>
      </c>
      <c r="B1007" s="12" t="s">
        <v>366</v>
      </c>
      <c r="C1007" s="12" t="n">
        <v>2026</v>
      </c>
      <c r="D1007" s="12" t="n">
        <v>468</v>
      </c>
      <c r="E1007" s="12" t="n">
        <v>9873.9</v>
      </c>
      <c r="F1007" s="12" t="n">
        <v>4422036</v>
      </c>
    </row>
    <row r="1008" customFormat="false" ht="15" hidden="false" customHeight="true" outlineLevel="0" collapsed="false">
      <c r="A1008" s="12" t="s">
        <v>951</v>
      </c>
      <c r="B1008" s="12" t="s">
        <v>154</v>
      </c>
      <c r="C1008" s="12" t="n">
        <v>2025</v>
      </c>
      <c r="D1008" s="12" t="n">
        <v>1</v>
      </c>
      <c r="E1008" s="12" t="n">
        <v>215.4</v>
      </c>
      <c r="F1008" s="12" t="n">
        <v>4422037</v>
      </c>
    </row>
    <row r="1009" customFormat="false" ht="15" hidden="false" customHeight="true" outlineLevel="0" collapsed="false">
      <c r="A1009" s="12" t="s">
        <v>951</v>
      </c>
      <c r="B1009" s="12" t="s">
        <v>154</v>
      </c>
      <c r="C1009" s="12" t="n">
        <v>2026</v>
      </c>
      <c r="D1009" s="12" t="n">
        <v>14</v>
      </c>
      <c r="E1009" s="12" t="n">
        <v>2943.4</v>
      </c>
      <c r="F1009" s="12" t="n">
        <v>4422037</v>
      </c>
    </row>
    <row r="1010" customFormat="false" ht="15" hidden="false" customHeight="true" outlineLevel="0" collapsed="false">
      <c r="A1010" s="12" t="s">
        <v>951</v>
      </c>
      <c r="B1010" s="12" t="s">
        <v>155</v>
      </c>
      <c r="C1010" s="12" t="n">
        <v>2025</v>
      </c>
      <c r="D1010" s="12" t="n">
        <v>3</v>
      </c>
      <c r="E1010" s="12" t="n">
        <v>646.1</v>
      </c>
      <c r="F1010" s="12" t="n">
        <v>4422038</v>
      </c>
    </row>
    <row r="1011" customFormat="false" ht="15" hidden="false" customHeight="true" outlineLevel="0" collapsed="false">
      <c r="A1011" s="12" t="s">
        <v>951</v>
      </c>
      <c r="B1011" s="12" t="s">
        <v>155</v>
      </c>
      <c r="C1011" s="12" t="n">
        <v>2026</v>
      </c>
      <c r="D1011" s="12" t="n">
        <v>20</v>
      </c>
      <c r="E1011" s="12" t="n">
        <v>4149.5</v>
      </c>
      <c r="F1011" s="12" t="n">
        <v>4422038</v>
      </c>
    </row>
    <row r="1012" customFormat="false" ht="15" hidden="false" customHeight="true" outlineLevel="0" collapsed="false">
      <c r="A1012" s="12" t="s">
        <v>951</v>
      </c>
      <c r="B1012" s="12" t="s">
        <v>156</v>
      </c>
      <c r="C1012" s="12" t="n">
        <v>2025</v>
      </c>
      <c r="D1012" s="12" t="n">
        <v>3</v>
      </c>
      <c r="E1012" s="12" t="n">
        <v>646.1</v>
      </c>
      <c r="F1012" s="12" t="n">
        <v>4422039</v>
      </c>
    </row>
    <row r="1013" customFormat="false" ht="15" hidden="false" customHeight="true" outlineLevel="0" collapsed="false">
      <c r="A1013" s="12" t="s">
        <v>951</v>
      </c>
      <c r="B1013" s="12" t="s">
        <v>156</v>
      </c>
      <c r="C1013" s="12" t="n">
        <v>2026</v>
      </c>
      <c r="D1013" s="12" t="n">
        <v>22</v>
      </c>
      <c r="E1013" s="12" t="n">
        <v>4393.6</v>
      </c>
      <c r="F1013" s="12" t="n">
        <v>4422039</v>
      </c>
    </row>
    <row r="1014" customFormat="false" ht="15" hidden="false" customHeight="true" outlineLevel="0" collapsed="false">
      <c r="A1014" s="12" t="s">
        <v>951</v>
      </c>
      <c r="B1014" s="12" t="s">
        <v>157</v>
      </c>
      <c r="C1014" s="12" t="n">
        <v>2025</v>
      </c>
      <c r="D1014" s="12" t="n">
        <v>6</v>
      </c>
      <c r="E1014" s="12" t="n">
        <v>1263.5</v>
      </c>
      <c r="F1014" s="12" t="n">
        <v>4422040</v>
      </c>
    </row>
    <row r="1015" customFormat="false" ht="15" hidden="false" customHeight="true" outlineLevel="0" collapsed="false">
      <c r="A1015" s="12" t="s">
        <v>951</v>
      </c>
      <c r="B1015" s="12" t="s">
        <v>157</v>
      </c>
      <c r="C1015" s="12" t="n">
        <v>2026</v>
      </c>
      <c r="D1015" s="12" t="n">
        <v>26</v>
      </c>
      <c r="E1015" s="12" t="n">
        <v>5212</v>
      </c>
      <c r="F1015" s="12" t="n">
        <v>4422040</v>
      </c>
    </row>
    <row r="1016" customFormat="false" ht="15" hidden="false" customHeight="true" outlineLevel="0" collapsed="false">
      <c r="A1016" s="12" t="s">
        <v>951</v>
      </c>
      <c r="B1016" s="12" t="s">
        <v>158</v>
      </c>
      <c r="C1016" s="12" t="n">
        <v>2025</v>
      </c>
      <c r="D1016" s="12" t="n">
        <v>6</v>
      </c>
      <c r="E1016" s="12" t="n">
        <v>1263.5</v>
      </c>
      <c r="F1016" s="12" t="n">
        <v>4422041</v>
      </c>
    </row>
    <row r="1017" customFormat="false" ht="15" hidden="false" customHeight="true" outlineLevel="0" collapsed="false">
      <c r="A1017" s="12" t="s">
        <v>951</v>
      </c>
      <c r="B1017" s="12" t="s">
        <v>158</v>
      </c>
      <c r="C1017" s="12" t="n">
        <v>2026</v>
      </c>
      <c r="D1017" s="12" t="n">
        <v>20</v>
      </c>
      <c r="E1017" s="12" t="n">
        <v>4082.8</v>
      </c>
      <c r="F1017" s="12" t="n">
        <v>4422041</v>
      </c>
    </row>
    <row r="1018" customFormat="false" ht="15" hidden="false" customHeight="true" outlineLevel="0" collapsed="false">
      <c r="A1018" s="12" t="s">
        <v>951</v>
      </c>
      <c r="B1018" s="12" t="s">
        <v>159</v>
      </c>
      <c r="C1018" s="12" t="n">
        <v>2026</v>
      </c>
      <c r="D1018" s="12" t="n">
        <v>12</v>
      </c>
      <c r="E1018" s="12" t="n">
        <v>2498.3</v>
      </c>
      <c r="F1018" s="12" t="n">
        <v>4422042</v>
      </c>
    </row>
    <row r="1019" customFormat="false" ht="15" hidden="false" customHeight="true" outlineLevel="0" collapsed="false">
      <c r="A1019" s="12" t="s">
        <v>952</v>
      </c>
      <c r="B1019" s="12" t="s">
        <v>953</v>
      </c>
      <c r="C1019" s="12" t="n">
        <v>2025</v>
      </c>
      <c r="D1019" s="12" t="n">
        <v>9</v>
      </c>
      <c r="E1019" s="12" t="n">
        <v>214.72</v>
      </c>
      <c r="F1019" s="12" t="n">
        <v>4401000</v>
      </c>
    </row>
    <row r="1020" customFormat="false" ht="15" hidden="false" customHeight="true" outlineLevel="0" collapsed="false">
      <c r="A1020" s="12" t="s">
        <v>952</v>
      </c>
      <c r="B1020" s="12" t="s">
        <v>953</v>
      </c>
      <c r="C1020" s="12" t="n">
        <v>2026</v>
      </c>
      <c r="D1020" s="12" t="n">
        <v>11</v>
      </c>
      <c r="E1020" s="12" t="n">
        <v>262.44</v>
      </c>
      <c r="F1020" s="12" t="n">
        <v>4401000</v>
      </c>
    </row>
    <row r="1021" customFormat="false" ht="15" hidden="false" customHeight="true" outlineLevel="0" collapsed="false">
      <c r="A1021" s="12" t="s">
        <v>952</v>
      </c>
      <c r="B1021" s="12" t="s">
        <v>954</v>
      </c>
      <c r="C1021" s="12" t="n">
        <v>2025</v>
      </c>
      <c r="D1021" s="12" t="n">
        <v>17</v>
      </c>
      <c r="E1021" s="12" t="n">
        <v>445.35</v>
      </c>
      <c r="F1021" s="12" t="n">
        <v>4401001</v>
      </c>
    </row>
    <row r="1022" customFormat="false" ht="15" hidden="false" customHeight="true" outlineLevel="0" collapsed="false">
      <c r="A1022" s="12" t="s">
        <v>952</v>
      </c>
      <c r="B1022" s="12" t="s">
        <v>954</v>
      </c>
      <c r="C1022" s="12" t="n">
        <v>2026</v>
      </c>
      <c r="D1022" s="12" t="n">
        <v>4</v>
      </c>
      <c r="E1022" s="12" t="n">
        <v>104.79</v>
      </c>
      <c r="F1022" s="12" t="n">
        <v>4401001</v>
      </c>
    </row>
    <row r="1023" customFormat="false" ht="15" hidden="false" customHeight="true" outlineLevel="0" collapsed="false">
      <c r="A1023" s="12" t="s">
        <v>952</v>
      </c>
      <c r="B1023" s="12" t="s">
        <v>955</v>
      </c>
      <c r="C1023" s="12" t="n">
        <v>2025</v>
      </c>
      <c r="D1023" s="12" t="n">
        <v>5</v>
      </c>
      <c r="E1023" s="12" t="n">
        <v>44.28</v>
      </c>
      <c r="F1023" s="12" t="n">
        <v>4401002</v>
      </c>
    </row>
    <row r="1024" customFormat="false" ht="15" hidden="false" customHeight="true" outlineLevel="0" collapsed="false">
      <c r="A1024" s="12" t="s">
        <v>952</v>
      </c>
      <c r="B1024" s="12" t="s">
        <v>956</v>
      </c>
      <c r="C1024" s="12" t="n">
        <v>2025</v>
      </c>
      <c r="D1024" s="12" t="n">
        <v>2</v>
      </c>
      <c r="E1024" s="12" t="n">
        <v>34.59</v>
      </c>
      <c r="F1024" s="12" t="n">
        <v>4401011</v>
      </c>
    </row>
    <row r="1025" customFormat="false" ht="15" hidden="false" customHeight="true" outlineLevel="0" collapsed="false">
      <c r="A1025" s="12" t="s">
        <v>952</v>
      </c>
      <c r="B1025" s="12" t="s">
        <v>956</v>
      </c>
      <c r="C1025" s="12" t="n">
        <v>2026</v>
      </c>
      <c r="D1025" s="12" t="n">
        <v>1</v>
      </c>
      <c r="E1025" s="12" t="n">
        <v>17.29</v>
      </c>
      <c r="F1025" s="12" t="n">
        <v>4401011</v>
      </c>
    </row>
    <row r="1026" customFormat="false" ht="15" hidden="false" customHeight="true" outlineLevel="0" collapsed="false">
      <c r="A1026" s="12" t="s">
        <v>952</v>
      </c>
      <c r="B1026" s="12" t="s">
        <v>957</v>
      </c>
      <c r="C1026" s="12" t="n">
        <v>2025</v>
      </c>
      <c r="D1026" s="12" t="n">
        <v>2</v>
      </c>
      <c r="E1026" s="12" t="n">
        <v>34.59</v>
      </c>
      <c r="F1026" s="12" t="n">
        <v>4401014</v>
      </c>
    </row>
    <row r="1027" customFormat="false" ht="15" hidden="false" customHeight="true" outlineLevel="0" collapsed="false">
      <c r="A1027" s="12" t="s">
        <v>952</v>
      </c>
      <c r="B1027" s="12" t="s">
        <v>958</v>
      </c>
      <c r="C1027" s="12" t="n">
        <v>2025</v>
      </c>
      <c r="D1027" s="12" t="n">
        <v>8</v>
      </c>
      <c r="E1027" s="12" t="n">
        <v>220.38</v>
      </c>
      <c r="F1027" s="12" t="n">
        <v>4402000</v>
      </c>
    </row>
    <row r="1028" customFormat="false" ht="15" hidden="false" customHeight="true" outlineLevel="0" collapsed="false">
      <c r="A1028" s="12" t="s">
        <v>952</v>
      </c>
      <c r="B1028" s="12" t="s">
        <v>958</v>
      </c>
      <c r="C1028" s="12" t="n">
        <v>2026</v>
      </c>
      <c r="D1028" s="12" t="n">
        <v>13</v>
      </c>
      <c r="E1028" s="12" t="n">
        <v>365.04</v>
      </c>
      <c r="F1028" s="12" t="n">
        <v>4402000</v>
      </c>
    </row>
    <row r="1029" customFormat="false" ht="15" hidden="false" customHeight="true" outlineLevel="0" collapsed="false">
      <c r="A1029" s="12" t="s">
        <v>952</v>
      </c>
      <c r="B1029" s="12" t="s">
        <v>959</v>
      </c>
      <c r="C1029" s="12" t="n">
        <v>2025</v>
      </c>
      <c r="D1029" s="12" t="n">
        <v>13</v>
      </c>
      <c r="E1029" s="12" t="n">
        <v>250.66</v>
      </c>
      <c r="F1029" s="12" t="n">
        <v>4402007</v>
      </c>
    </row>
    <row r="1030" customFormat="false" ht="15" hidden="false" customHeight="true" outlineLevel="0" collapsed="false">
      <c r="A1030" s="12" t="s">
        <v>952</v>
      </c>
      <c r="B1030" s="12" t="s">
        <v>959</v>
      </c>
      <c r="C1030" s="12" t="n">
        <v>2026</v>
      </c>
      <c r="D1030" s="12" t="n">
        <v>5</v>
      </c>
      <c r="E1030" s="12" t="n">
        <v>98.2</v>
      </c>
      <c r="F1030" s="12" t="n">
        <v>4402007</v>
      </c>
    </row>
    <row r="1031" customFormat="false" ht="15" hidden="false" customHeight="true" outlineLevel="0" collapsed="false">
      <c r="A1031" s="12" t="s">
        <v>952</v>
      </c>
      <c r="B1031" s="12" t="s">
        <v>960</v>
      </c>
      <c r="C1031" s="12" t="n">
        <v>2025</v>
      </c>
      <c r="D1031" s="12" t="n">
        <v>5</v>
      </c>
      <c r="E1031" s="12" t="n">
        <v>135</v>
      </c>
      <c r="F1031" s="12" t="n">
        <v>4403002</v>
      </c>
    </row>
    <row r="1032" customFormat="false" ht="15" hidden="false" customHeight="true" outlineLevel="0" collapsed="false">
      <c r="A1032" s="12" t="s">
        <v>952</v>
      </c>
      <c r="B1032" s="12" t="s">
        <v>961</v>
      </c>
      <c r="C1032" s="12" t="n">
        <v>2025</v>
      </c>
      <c r="D1032" s="12" t="n">
        <v>38</v>
      </c>
      <c r="E1032" s="12" t="n">
        <v>1202.72</v>
      </c>
      <c r="F1032" s="12" t="n">
        <v>4403005</v>
      </c>
    </row>
    <row r="1033" customFormat="false" ht="15" hidden="false" customHeight="true" outlineLevel="0" collapsed="false">
      <c r="A1033" s="12" t="s">
        <v>952</v>
      </c>
      <c r="B1033" s="12" t="s">
        <v>962</v>
      </c>
      <c r="C1033" s="12" t="n">
        <v>2025</v>
      </c>
      <c r="D1033" s="12" t="n">
        <v>5</v>
      </c>
      <c r="E1033" s="12" t="n">
        <v>124.99</v>
      </c>
      <c r="F1033" s="12" t="n">
        <v>4403017</v>
      </c>
    </row>
    <row r="1034" customFormat="false" ht="15" hidden="false" customHeight="true" outlineLevel="0" collapsed="false">
      <c r="A1034" s="12" t="s">
        <v>952</v>
      </c>
      <c r="B1034" s="12" t="s">
        <v>962</v>
      </c>
      <c r="C1034" s="12" t="n">
        <v>2026</v>
      </c>
      <c r="D1034" s="12" t="n">
        <v>2</v>
      </c>
      <c r="E1034" s="12" t="n">
        <v>56.16</v>
      </c>
      <c r="F1034" s="12" t="n">
        <v>4403017</v>
      </c>
    </row>
    <row r="1035" customFormat="false" ht="15" hidden="false" customHeight="true" outlineLevel="0" collapsed="false">
      <c r="A1035" s="12" t="s">
        <v>952</v>
      </c>
      <c r="B1035" s="12" t="s">
        <v>963</v>
      </c>
      <c r="C1035" s="12" t="n">
        <v>2025</v>
      </c>
      <c r="D1035" s="12" t="n">
        <v>19</v>
      </c>
      <c r="E1035" s="12" t="n">
        <v>424.21</v>
      </c>
      <c r="F1035" s="12" t="n">
        <v>4403018</v>
      </c>
    </row>
    <row r="1036" customFormat="false" ht="15" hidden="false" customHeight="true" outlineLevel="0" collapsed="false">
      <c r="A1036" s="12" t="s">
        <v>952</v>
      </c>
      <c r="B1036" s="12" t="s">
        <v>963</v>
      </c>
      <c r="C1036" s="12" t="n">
        <v>2026</v>
      </c>
      <c r="D1036" s="12" t="n">
        <v>1</v>
      </c>
      <c r="E1036" s="12" t="n">
        <v>28.08</v>
      </c>
      <c r="F1036" s="12" t="n">
        <v>4403018</v>
      </c>
    </row>
    <row r="1037" customFormat="false" ht="15" hidden="false" customHeight="true" outlineLevel="0" collapsed="false">
      <c r="A1037" s="12" t="s">
        <v>952</v>
      </c>
      <c r="B1037" s="12" t="s">
        <v>964</v>
      </c>
      <c r="C1037" s="12" t="n">
        <v>2025</v>
      </c>
      <c r="D1037" s="12" t="n">
        <v>56</v>
      </c>
      <c r="E1037" s="12" t="n">
        <v>1266.04</v>
      </c>
      <c r="F1037" s="12" t="n">
        <v>4403019</v>
      </c>
    </row>
    <row r="1038" customFormat="false" ht="15" hidden="false" customHeight="true" outlineLevel="0" collapsed="false">
      <c r="A1038" s="12" t="s">
        <v>952</v>
      </c>
      <c r="B1038" s="12" t="s">
        <v>964</v>
      </c>
      <c r="C1038" s="12" t="n">
        <v>2026</v>
      </c>
      <c r="D1038" s="12" t="n">
        <v>1</v>
      </c>
      <c r="E1038" s="12" t="n">
        <v>28.08</v>
      </c>
      <c r="F1038" s="12" t="n">
        <v>4403019</v>
      </c>
    </row>
    <row r="1039" customFormat="false" ht="15" hidden="false" customHeight="true" outlineLevel="0" collapsed="false">
      <c r="A1039" s="12" t="s">
        <v>952</v>
      </c>
      <c r="B1039" s="12" t="s">
        <v>965</v>
      </c>
      <c r="C1039" s="12" t="n">
        <v>2026</v>
      </c>
      <c r="D1039" s="12" t="n">
        <v>1</v>
      </c>
      <c r="E1039" s="12" t="n">
        <v>28.08</v>
      </c>
      <c r="F1039" s="12" t="n">
        <v>4403020</v>
      </c>
    </row>
    <row r="1040" customFormat="false" ht="15" hidden="false" customHeight="true" outlineLevel="0" collapsed="false">
      <c r="A1040" s="12" t="s">
        <v>952</v>
      </c>
      <c r="B1040" s="12" t="s">
        <v>966</v>
      </c>
      <c r="C1040" s="12" t="n">
        <v>2025</v>
      </c>
      <c r="D1040" s="12" t="n">
        <v>14</v>
      </c>
      <c r="E1040" s="12" t="n">
        <v>325.27</v>
      </c>
      <c r="F1040" s="12" t="n">
        <v>4403021</v>
      </c>
    </row>
    <row r="1041" customFormat="false" ht="15" hidden="false" customHeight="true" outlineLevel="0" collapsed="false">
      <c r="A1041" s="12" t="s">
        <v>952</v>
      </c>
      <c r="B1041" s="12" t="s">
        <v>966</v>
      </c>
      <c r="C1041" s="12" t="n">
        <v>2026</v>
      </c>
      <c r="D1041" s="12" t="n">
        <v>2</v>
      </c>
      <c r="E1041" s="12" t="n">
        <v>56.18</v>
      </c>
      <c r="F1041" s="12" t="n">
        <v>4403021</v>
      </c>
    </row>
    <row r="1042" customFormat="false" ht="15" hidden="false" customHeight="true" outlineLevel="0" collapsed="false">
      <c r="A1042" s="12" t="s">
        <v>952</v>
      </c>
      <c r="B1042" s="12" t="s">
        <v>967</v>
      </c>
      <c r="C1042" s="12" t="n">
        <v>2025</v>
      </c>
      <c r="D1042" s="12" t="n">
        <v>9</v>
      </c>
      <c r="E1042" s="12" t="n">
        <v>232.62</v>
      </c>
      <c r="F1042" s="12" t="n">
        <v>4403022</v>
      </c>
    </row>
    <row r="1043" customFormat="false" ht="15" hidden="false" customHeight="true" outlineLevel="0" collapsed="false">
      <c r="A1043" s="12" t="s">
        <v>952</v>
      </c>
      <c r="B1043" s="12" t="s">
        <v>967</v>
      </c>
      <c r="C1043" s="12" t="n">
        <v>2026</v>
      </c>
      <c r="D1043" s="12" t="n">
        <v>1</v>
      </c>
      <c r="E1043" s="12" t="n">
        <v>28.08</v>
      </c>
      <c r="F1043" s="12" t="n">
        <v>4403022</v>
      </c>
    </row>
    <row r="1044" customFormat="false" ht="15" hidden="false" customHeight="true" outlineLevel="0" collapsed="false">
      <c r="A1044" s="12" t="s">
        <v>952</v>
      </c>
      <c r="B1044" s="12" t="s">
        <v>968</v>
      </c>
      <c r="C1044" s="12" t="n">
        <v>2026</v>
      </c>
      <c r="D1044" s="12" t="n">
        <v>2</v>
      </c>
      <c r="E1044" s="12" t="n">
        <v>56.16</v>
      </c>
      <c r="F1044" s="12" t="n">
        <v>4403023</v>
      </c>
    </row>
    <row r="1045" customFormat="false" ht="15" hidden="false" customHeight="true" outlineLevel="0" collapsed="false">
      <c r="A1045" s="12" t="s">
        <v>952</v>
      </c>
      <c r="B1045" s="12" t="s">
        <v>969</v>
      </c>
      <c r="C1045" s="12" t="n">
        <v>2025</v>
      </c>
      <c r="D1045" s="12" t="n">
        <v>11</v>
      </c>
      <c r="E1045" s="12" t="n">
        <v>274.97</v>
      </c>
      <c r="F1045" s="12" t="n">
        <v>4403024</v>
      </c>
    </row>
    <row r="1046" customFormat="false" ht="15" hidden="false" customHeight="true" outlineLevel="0" collapsed="false">
      <c r="A1046" s="12" t="s">
        <v>952</v>
      </c>
      <c r="B1046" s="12" t="s">
        <v>969</v>
      </c>
      <c r="C1046" s="12" t="n">
        <v>2026</v>
      </c>
      <c r="D1046" s="12" t="n">
        <v>6</v>
      </c>
      <c r="E1046" s="12" t="n">
        <v>168.48</v>
      </c>
      <c r="F1046" s="12" t="n">
        <v>4403024</v>
      </c>
    </row>
    <row r="1047" customFormat="false" ht="15" hidden="false" customHeight="true" outlineLevel="0" collapsed="false">
      <c r="A1047" s="12" t="s">
        <v>952</v>
      </c>
      <c r="B1047" s="12" t="s">
        <v>970</v>
      </c>
      <c r="C1047" s="12" t="n">
        <v>2025</v>
      </c>
      <c r="D1047" s="12" t="n">
        <v>12</v>
      </c>
      <c r="E1047" s="12" t="n">
        <v>305.99</v>
      </c>
      <c r="F1047" s="12" t="n">
        <v>4403025</v>
      </c>
    </row>
    <row r="1048" customFormat="false" ht="15" hidden="false" customHeight="true" outlineLevel="0" collapsed="false">
      <c r="A1048" s="12" t="s">
        <v>952</v>
      </c>
      <c r="B1048" s="12" t="s">
        <v>970</v>
      </c>
      <c r="C1048" s="12" t="n">
        <v>2026</v>
      </c>
      <c r="D1048" s="12" t="n">
        <v>7</v>
      </c>
      <c r="E1048" s="12" t="n">
        <v>196.56</v>
      </c>
      <c r="F1048" s="12" t="n">
        <v>4403025</v>
      </c>
    </row>
    <row r="1049" customFormat="false" ht="15" hidden="false" customHeight="true" outlineLevel="0" collapsed="false">
      <c r="A1049" s="12" t="s">
        <v>952</v>
      </c>
      <c r="B1049" s="12" t="s">
        <v>971</v>
      </c>
      <c r="C1049" s="12" t="n">
        <v>2025</v>
      </c>
      <c r="D1049" s="12" t="n">
        <v>24</v>
      </c>
      <c r="E1049" s="12" t="n">
        <v>1429.05</v>
      </c>
      <c r="F1049" s="12" t="n">
        <v>4403029</v>
      </c>
    </row>
    <row r="1050" customFormat="false" ht="15" hidden="false" customHeight="true" outlineLevel="0" collapsed="false">
      <c r="A1050" s="12" t="s">
        <v>952</v>
      </c>
      <c r="B1050" s="12" t="s">
        <v>971</v>
      </c>
      <c r="C1050" s="12" t="n">
        <v>2026</v>
      </c>
      <c r="D1050" s="12" t="n">
        <v>2</v>
      </c>
      <c r="E1050" s="12" t="n">
        <v>126.46</v>
      </c>
      <c r="F1050" s="12" t="n">
        <v>4403029</v>
      </c>
    </row>
    <row r="1051" customFormat="false" ht="15" hidden="false" customHeight="true" outlineLevel="0" collapsed="false">
      <c r="A1051" s="12" t="s">
        <v>952</v>
      </c>
      <c r="B1051" s="12" t="s">
        <v>972</v>
      </c>
      <c r="C1051" s="12" t="n">
        <v>2025</v>
      </c>
      <c r="D1051" s="12" t="n">
        <v>5</v>
      </c>
      <c r="E1051" s="12" t="n">
        <v>295</v>
      </c>
      <c r="F1051" s="12" t="n">
        <v>4403034</v>
      </c>
    </row>
    <row r="1052" customFormat="false" ht="15" hidden="false" customHeight="true" outlineLevel="0" collapsed="false">
      <c r="A1052" s="12" t="s">
        <v>952</v>
      </c>
      <c r="B1052" s="12" t="s">
        <v>973</v>
      </c>
      <c r="C1052" s="12" t="n">
        <v>2025</v>
      </c>
      <c r="D1052" s="12" t="n">
        <v>11</v>
      </c>
      <c r="E1052" s="12" t="n">
        <v>702.32</v>
      </c>
      <c r="F1052" s="12" t="n">
        <v>4403035</v>
      </c>
    </row>
    <row r="1053" customFormat="false" ht="15" hidden="false" customHeight="true" outlineLevel="0" collapsed="false">
      <c r="A1053" s="12" t="s">
        <v>952</v>
      </c>
      <c r="B1053" s="12" t="s">
        <v>974</v>
      </c>
      <c r="C1053" s="12" t="n">
        <v>2025</v>
      </c>
      <c r="D1053" s="12" t="n">
        <v>16</v>
      </c>
      <c r="E1053" s="12" t="n">
        <v>977.24</v>
      </c>
      <c r="F1053" s="12" t="n">
        <v>4403041</v>
      </c>
    </row>
    <row r="1054" customFormat="false" ht="15" hidden="false" customHeight="true" outlineLevel="0" collapsed="false">
      <c r="A1054" s="12" t="s">
        <v>952</v>
      </c>
      <c r="B1054" s="12" t="s">
        <v>975</v>
      </c>
      <c r="C1054" s="12" t="n">
        <v>2025</v>
      </c>
      <c r="D1054" s="12" t="n">
        <v>1</v>
      </c>
      <c r="E1054" s="12" t="n">
        <v>63.23</v>
      </c>
      <c r="F1054" s="12" t="n">
        <v>4403041</v>
      </c>
    </row>
    <row r="1055" customFormat="false" ht="15" hidden="false" customHeight="true" outlineLevel="0" collapsed="false">
      <c r="A1055" s="12" t="s">
        <v>952</v>
      </c>
      <c r="B1055" s="12" t="s">
        <v>975</v>
      </c>
      <c r="C1055" s="12" t="n">
        <v>2026</v>
      </c>
      <c r="D1055" s="12" t="n">
        <v>19</v>
      </c>
      <c r="E1055" s="12" t="n">
        <v>1201.43</v>
      </c>
      <c r="F1055" s="12" t="n">
        <v>4403041</v>
      </c>
    </row>
    <row r="1056" customFormat="false" ht="15" hidden="false" customHeight="true" outlineLevel="0" collapsed="false">
      <c r="A1056" s="12" t="s">
        <v>952</v>
      </c>
      <c r="B1056" s="12" t="s">
        <v>976</v>
      </c>
      <c r="C1056" s="12" t="n">
        <v>2026</v>
      </c>
      <c r="D1056" s="12" t="n">
        <v>36</v>
      </c>
      <c r="E1056" s="12" t="n">
        <v>2276.35</v>
      </c>
      <c r="F1056" s="12" t="n">
        <v>4403042</v>
      </c>
    </row>
    <row r="1057" customFormat="false" ht="15" hidden="false" customHeight="true" outlineLevel="0" collapsed="false">
      <c r="A1057" s="12" t="s">
        <v>952</v>
      </c>
      <c r="B1057" s="12" t="s">
        <v>977</v>
      </c>
      <c r="C1057" s="12" t="n">
        <v>2025</v>
      </c>
      <c r="D1057" s="12" t="n">
        <v>16</v>
      </c>
      <c r="E1057" s="12" t="n">
        <v>974.95</v>
      </c>
      <c r="F1057" s="12" t="n">
        <v>4403043</v>
      </c>
    </row>
    <row r="1058" customFormat="false" ht="15" hidden="false" customHeight="true" outlineLevel="0" collapsed="false">
      <c r="A1058" s="12" t="s">
        <v>952</v>
      </c>
      <c r="B1058" s="12" t="s">
        <v>978</v>
      </c>
      <c r="C1058" s="12" t="n">
        <v>2026</v>
      </c>
      <c r="D1058" s="12" t="n">
        <v>33</v>
      </c>
      <c r="E1058" s="12" t="n">
        <v>2086.68</v>
      </c>
      <c r="F1058" s="12" t="n">
        <v>4403043</v>
      </c>
    </row>
    <row r="1059" customFormat="false" ht="15" hidden="false" customHeight="true" outlineLevel="0" collapsed="false">
      <c r="A1059" s="12" t="s">
        <v>952</v>
      </c>
      <c r="B1059" s="12" t="s">
        <v>979</v>
      </c>
      <c r="C1059" s="12" t="n">
        <v>2026</v>
      </c>
      <c r="D1059" s="12" t="n">
        <v>9</v>
      </c>
      <c r="E1059" s="12" t="n">
        <v>273.78</v>
      </c>
      <c r="F1059" s="12" t="n">
        <v>4403044</v>
      </c>
    </row>
    <row r="1060" customFormat="false" ht="15" hidden="false" customHeight="true" outlineLevel="0" collapsed="false">
      <c r="A1060" s="12" t="s">
        <v>952</v>
      </c>
      <c r="B1060" s="12" t="s">
        <v>980</v>
      </c>
      <c r="C1060" s="12" t="n">
        <v>2026</v>
      </c>
      <c r="D1060" s="12" t="n">
        <v>22</v>
      </c>
      <c r="E1060" s="12" t="n">
        <v>669.24</v>
      </c>
      <c r="F1060" s="12" t="n">
        <v>4403045</v>
      </c>
    </row>
    <row r="1061" customFormat="false" ht="15" hidden="false" customHeight="true" outlineLevel="0" collapsed="false">
      <c r="A1061" s="12" t="s">
        <v>952</v>
      </c>
      <c r="B1061" s="12" t="s">
        <v>981</v>
      </c>
      <c r="C1061" s="12" t="n">
        <v>2026</v>
      </c>
      <c r="D1061" s="12" t="n">
        <v>1</v>
      </c>
      <c r="E1061" s="12" t="n">
        <v>262.45</v>
      </c>
      <c r="F1061" s="12" t="n">
        <v>4408016</v>
      </c>
    </row>
    <row r="1062" customFormat="false" ht="15" hidden="false" customHeight="true" outlineLevel="0" collapsed="false">
      <c r="A1062" s="12" t="s">
        <v>952</v>
      </c>
      <c r="B1062" s="12" t="s">
        <v>982</v>
      </c>
      <c r="C1062" s="12" t="n">
        <v>2026</v>
      </c>
      <c r="D1062" s="12" t="n">
        <v>1</v>
      </c>
      <c r="E1062" s="12" t="n">
        <v>262.46</v>
      </c>
      <c r="F1062" s="12" t="n">
        <v>4408017</v>
      </c>
    </row>
    <row r="1063" customFormat="false" ht="15" hidden="false" customHeight="true" outlineLevel="0" collapsed="false">
      <c r="A1063" s="12" t="s">
        <v>952</v>
      </c>
      <c r="B1063" s="12" t="s">
        <v>983</v>
      </c>
      <c r="C1063" s="12" t="n">
        <v>2025</v>
      </c>
      <c r="D1063" s="12" t="n">
        <v>1</v>
      </c>
      <c r="E1063" s="12" t="n">
        <v>262.45</v>
      </c>
      <c r="F1063" s="12" t="n">
        <v>4408018</v>
      </c>
    </row>
    <row r="1064" customFormat="false" ht="15" hidden="false" customHeight="true" outlineLevel="0" collapsed="false">
      <c r="A1064" s="12" t="s">
        <v>952</v>
      </c>
      <c r="B1064" s="12" t="s">
        <v>984</v>
      </c>
      <c r="C1064" s="12" t="n">
        <v>2025</v>
      </c>
      <c r="D1064" s="12" t="n">
        <v>10</v>
      </c>
      <c r="E1064" s="12" t="n">
        <v>1300</v>
      </c>
      <c r="F1064" s="12" t="n">
        <v>4408027</v>
      </c>
    </row>
    <row r="1065" customFormat="false" ht="15" hidden="false" customHeight="true" outlineLevel="0" collapsed="false">
      <c r="A1065" s="12" t="s">
        <v>952</v>
      </c>
      <c r="B1065" s="12" t="s">
        <v>985</v>
      </c>
      <c r="C1065" s="12" t="n">
        <v>2025</v>
      </c>
      <c r="D1065" s="12" t="n">
        <v>11</v>
      </c>
      <c r="E1065" s="12" t="n">
        <v>1451.23</v>
      </c>
      <c r="F1065" s="12" t="n">
        <v>4408028</v>
      </c>
    </row>
    <row r="1066" customFormat="false" ht="15" hidden="false" customHeight="true" outlineLevel="0" collapsed="false">
      <c r="A1066" s="12" t="s">
        <v>952</v>
      </c>
      <c r="B1066" s="12" t="s">
        <v>986</v>
      </c>
      <c r="C1066" s="12" t="n">
        <v>2025</v>
      </c>
      <c r="D1066" s="12" t="n">
        <v>10</v>
      </c>
      <c r="E1066" s="12" t="n">
        <v>1300</v>
      </c>
      <c r="F1066" s="12" t="n">
        <v>4408029</v>
      </c>
    </row>
    <row r="1067" customFormat="false" ht="15" hidden="false" customHeight="true" outlineLevel="0" collapsed="false">
      <c r="A1067" s="12" t="s">
        <v>952</v>
      </c>
      <c r="B1067" s="12" t="s">
        <v>987</v>
      </c>
      <c r="C1067" s="12" t="n">
        <v>2026</v>
      </c>
      <c r="D1067" s="12" t="n">
        <v>1</v>
      </c>
      <c r="E1067" s="12" t="n">
        <v>85</v>
      </c>
      <c r="F1067" s="12" t="n">
        <v>4408031</v>
      </c>
    </row>
    <row r="1068" customFormat="false" ht="15" hidden="false" customHeight="true" outlineLevel="0" collapsed="false">
      <c r="A1068" s="12" t="s">
        <v>952</v>
      </c>
      <c r="B1068" s="12" t="s">
        <v>988</v>
      </c>
      <c r="C1068" s="12" t="n">
        <v>2025</v>
      </c>
      <c r="D1068" s="12" t="n">
        <v>5</v>
      </c>
      <c r="E1068" s="12" t="n">
        <v>443.94</v>
      </c>
      <c r="F1068" s="12" t="n">
        <v>4408032</v>
      </c>
    </row>
    <row r="1069" customFormat="false" ht="15" hidden="false" customHeight="true" outlineLevel="0" collapsed="false">
      <c r="A1069" s="12" t="s">
        <v>952</v>
      </c>
      <c r="B1069" s="12" t="s">
        <v>988</v>
      </c>
      <c r="C1069" s="12" t="n">
        <v>2026</v>
      </c>
      <c r="D1069" s="12" t="n">
        <v>2</v>
      </c>
      <c r="E1069" s="12" t="n">
        <v>170</v>
      </c>
      <c r="F1069" s="12" t="n">
        <v>4408032</v>
      </c>
    </row>
    <row r="1070" customFormat="false" ht="15" hidden="false" customHeight="true" outlineLevel="0" collapsed="false">
      <c r="A1070" s="12" t="s">
        <v>952</v>
      </c>
      <c r="B1070" s="12" t="s">
        <v>989</v>
      </c>
      <c r="C1070" s="12" t="n">
        <v>2026</v>
      </c>
      <c r="D1070" s="12" t="n">
        <v>1</v>
      </c>
      <c r="E1070" s="12" t="n">
        <v>85</v>
      </c>
      <c r="F1070" s="12" t="n">
        <v>4408033</v>
      </c>
    </row>
    <row r="1071" customFormat="false" ht="15" hidden="false" customHeight="true" outlineLevel="0" collapsed="false">
      <c r="A1071" s="12" t="s">
        <v>952</v>
      </c>
      <c r="B1071" s="12" t="s">
        <v>990</v>
      </c>
      <c r="C1071" s="12" t="n">
        <v>2025</v>
      </c>
      <c r="D1071" s="12" t="n">
        <v>4</v>
      </c>
      <c r="E1071" s="12" t="n">
        <v>340</v>
      </c>
      <c r="F1071" s="12" t="n">
        <v>4408034</v>
      </c>
    </row>
    <row r="1072" customFormat="false" ht="15" hidden="false" customHeight="true" outlineLevel="0" collapsed="false">
      <c r="A1072" s="12" t="s">
        <v>952</v>
      </c>
      <c r="B1072" s="12" t="s">
        <v>990</v>
      </c>
      <c r="C1072" s="12" t="n">
        <v>2026</v>
      </c>
      <c r="D1072" s="12" t="n">
        <v>6</v>
      </c>
      <c r="E1072" s="12" t="n">
        <v>510.01</v>
      </c>
      <c r="F1072" s="12" t="n">
        <v>4408034</v>
      </c>
    </row>
    <row r="1073" customFormat="false" ht="15" hidden="false" customHeight="true" outlineLevel="0" collapsed="false">
      <c r="A1073" s="12" t="s">
        <v>952</v>
      </c>
      <c r="B1073" s="12" t="s">
        <v>991</v>
      </c>
      <c r="C1073" s="12" t="n">
        <v>2026</v>
      </c>
      <c r="D1073" s="12" t="n">
        <v>2</v>
      </c>
      <c r="E1073" s="12" t="n">
        <v>170</v>
      </c>
      <c r="F1073" s="12" t="n">
        <v>4408035</v>
      </c>
    </row>
    <row r="1074" customFormat="false" ht="15" hidden="false" customHeight="true" outlineLevel="0" collapsed="false">
      <c r="A1074" s="12" t="s">
        <v>952</v>
      </c>
      <c r="B1074" s="12" t="s">
        <v>992</v>
      </c>
      <c r="C1074" s="12" t="n">
        <v>2025</v>
      </c>
      <c r="D1074" s="12" t="n">
        <v>1</v>
      </c>
      <c r="E1074" s="12" t="n">
        <v>33.23</v>
      </c>
      <c r="F1074" s="12" t="n">
        <v>4408046</v>
      </c>
    </row>
    <row r="1075" customFormat="false" ht="15" hidden="false" customHeight="true" outlineLevel="0" collapsed="false">
      <c r="A1075" s="12" t="s">
        <v>952</v>
      </c>
      <c r="B1075" s="12" t="s">
        <v>993</v>
      </c>
      <c r="C1075" s="12" t="n">
        <v>2025</v>
      </c>
      <c r="D1075" s="12" t="n">
        <v>4</v>
      </c>
      <c r="E1075" s="12" t="n">
        <v>132.77</v>
      </c>
      <c r="F1075" s="12" t="n">
        <v>4408047</v>
      </c>
    </row>
    <row r="1076" customFormat="false" ht="15" hidden="false" customHeight="true" outlineLevel="0" collapsed="false">
      <c r="A1076" s="12" t="s">
        <v>952</v>
      </c>
      <c r="B1076" s="12" t="s">
        <v>993</v>
      </c>
      <c r="C1076" s="12" t="n">
        <v>2026</v>
      </c>
      <c r="D1076" s="12" t="n">
        <v>2</v>
      </c>
      <c r="E1076" s="12" t="n">
        <v>66.49</v>
      </c>
      <c r="F1076" s="12" t="n">
        <v>4408047</v>
      </c>
    </row>
    <row r="1077" customFormat="false" ht="15" hidden="false" customHeight="true" outlineLevel="0" collapsed="false">
      <c r="A1077" s="12" t="s">
        <v>952</v>
      </c>
      <c r="B1077" s="12" t="s">
        <v>994</v>
      </c>
      <c r="C1077" s="12" t="n">
        <v>2026</v>
      </c>
      <c r="D1077" s="12" t="n">
        <v>1</v>
      </c>
      <c r="E1077" s="12" t="n">
        <v>33.23</v>
      </c>
      <c r="F1077" s="12" t="n">
        <v>4408048</v>
      </c>
    </row>
    <row r="1078" customFormat="false" ht="15" hidden="false" customHeight="true" outlineLevel="0" collapsed="false">
      <c r="A1078" s="12" t="s">
        <v>952</v>
      </c>
      <c r="B1078" s="12" t="s">
        <v>995</v>
      </c>
      <c r="C1078" s="12" t="n">
        <v>2025</v>
      </c>
      <c r="D1078" s="12" t="n">
        <v>3</v>
      </c>
      <c r="E1078" s="12" t="n">
        <v>117.32</v>
      </c>
      <c r="F1078" s="12" t="n">
        <v>4408051</v>
      </c>
    </row>
    <row r="1079" customFormat="false" ht="15" hidden="false" customHeight="true" outlineLevel="0" collapsed="false">
      <c r="A1079" s="12" t="s">
        <v>952</v>
      </c>
      <c r="B1079" s="12" t="s">
        <v>995</v>
      </c>
      <c r="C1079" s="12" t="n">
        <v>2026</v>
      </c>
      <c r="D1079" s="12" t="n">
        <v>5</v>
      </c>
      <c r="E1079" s="12" t="n">
        <v>199.07</v>
      </c>
      <c r="F1079" s="12" t="n">
        <v>4408051</v>
      </c>
    </row>
    <row r="1080" customFormat="false" ht="15" hidden="false" customHeight="true" outlineLevel="0" collapsed="false">
      <c r="A1080" s="12" t="s">
        <v>952</v>
      </c>
      <c r="B1080" s="12" t="s">
        <v>996</v>
      </c>
      <c r="C1080" s="12" t="n">
        <v>2025</v>
      </c>
      <c r="D1080" s="12" t="n">
        <v>4</v>
      </c>
      <c r="E1080" s="12" t="n">
        <v>157.18</v>
      </c>
      <c r="F1080" s="12" t="n">
        <v>4408052</v>
      </c>
    </row>
    <row r="1081" customFormat="false" ht="15" hidden="false" customHeight="true" outlineLevel="0" collapsed="false">
      <c r="A1081" s="12" t="s">
        <v>952</v>
      </c>
      <c r="B1081" s="12" t="s">
        <v>996</v>
      </c>
      <c r="C1081" s="12" t="n">
        <v>2026</v>
      </c>
      <c r="D1081" s="12" t="n">
        <v>10</v>
      </c>
      <c r="E1081" s="12" t="n">
        <v>397.96</v>
      </c>
      <c r="F1081" s="12" t="n">
        <v>4408052</v>
      </c>
    </row>
    <row r="1082" customFormat="false" ht="15" hidden="false" customHeight="true" outlineLevel="0" collapsed="false">
      <c r="A1082" s="12" t="s">
        <v>952</v>
      </c>
      <c r="B1082" s="12" t="s">
        <v>997</v>
      </c>
      <c r="C1082" s="12" t="n">
        <v>2025</v>
      </c>
      <c r="D1082" s="12" t="n">
        <v>6</v>
      </c>
      <c r="E1082" s="12" t="n">
        <v>236.75</v>
      </c>
      <c r="F1082" s="12" t="n">
        <v>4408053</v>
      </c>
    </row>
    <row r="1083" customFormat="false" ht="15" hidden="false" customHeight="true" outlineLevel="0" collapsed="false">
      <c r="A1083" s="12" t="s">
        <v>952</v>
      </c>
      <c r="B1083" s="12" t="s">
        <v>997</v>
      </c>
      <c r="C1083" s="12" t="n">
        <v>2026</v>
      </c>
      <c r="D1083" s="12" t="n">
        <v>4</v>
      </c>
      <c r="E1083" s="12" t="n">
        <v>159.16</v>
      </c>
      <c r="F1083" s="12" t="n">
        <v>4408053</v>
      </c>
    </row>
    <row r="1084" customFormat="false" ht="15" hidden="false" customHeight="true" outlineLevel="0" collapsed="false">
      <c r="A1084" s="12" t="s">
        <v>952</v>
      </c>
      <c r="B1084" s="12" t="s">
        <v>998</v>
      </c>
      <c r="C1084" s="12" t="n">
        <v>2025</v>
      </c>
      <c r="D1084" s="12" t="n">
        <v>5</v>
      </c>
      <c r="E1084" s="12" t="n">
        <v>199.01</v>
      </c>
      <c r="F1084" s="12" t="n">
        <v>4408054</v>
      </c>
    </row>
    <row r="1085" customFormat="false" ht="15" hidden="false" customHeight="true" outlineLevel="0" collapsed="false">
      <c r="A1085" s="12" t="s">
        <v>952</v>
      </c>
      <c r="B1085" s="12" t="s">
        <v>998</v>
      </c>
      <c r="C1085" s="12" t="n">
        <v>2026</v>
      </c>
      <c r="D1085" s="12" t="n">
        <v>1</v>
      </c>
      <c r="E1085" s="12" t="n">
        <v>39.8</v>
      </c>
      <c r="F1085" s="12" t="n">
        <v>4408054</v>
      </c>
    </row>
    <row r="1086" customFormat="false" ht="15" hidden="false" customHeight="true" outlineLevel="0" collapsed="false">
      <c r="A1086" s="12" t="s">
        <v>952</v>
      </c>
      <c r="B1086" s="12" t="s">
        <v>999</v>
      </c>
      <c r="C1086" s="12" t="n">
        <v>2025</v>
      </c>
      <c r="D1086" s="12" t="n">
        <v>1</v>
      </c>
      <c r="E1086" s="12" t="n">
        <v>180</v>
      </c>
      <c r="F1086" s="12" t="n">
        <v>4408070</v>
      </c>
    </row>
    <row r="1087" customFormat="false" ht="15" hidden="false" customHeight="true" outlineLevel="0" collapsed="false">
      <c r="A1087" s="12" t="s">
        <v>952</v>
      </c>
      <c r="B1087" s="12" t="s">
        <v>1000</v>
      </c>
      <c r="C1087" s="12" t="n">
        <v>2025</v>
      </c>
      <c r="D1087" s="12" t="n">
        <v>2</v>
      </c>
      <c r="E1087" s="12" t="n">
        <v>494</v>
      </c>
      <c r="F1087" s="12" t="n">
        <v>4408071</v>
      </c>
    </row>
    <row r="1088" customFormat="false" ht="15" hidden="false" customHeight="true" outlineLevel="0" collapsed="false">
      <c r="A1088" s="12" t="s">
        <v>952</v>
      </c>
      <c r="B1088" s="12" t="s">
        <v>1000</v>
      </c>
      <c r="C1088" s="12" t="n">
        <v>2026</v>
      </c>
      <c r="D1088" s="12" t="n">
        <v>2</v>
      </c>
      <c r="E1088" s="12" t="n">
        <v>360</v>
      </c>
      <c r="F1088" s="12" t="n">
        <v>4408071</v>
      </c>
    </row>
    <row r="1089" customFormat="false" ht="15" hidden="false" customHeight="true" outlineLevel="0" collapsed="false">
      <c r="A1089" s="12" t="s">
        <v>952</v>
      </c>
      <c r="B1089" s="12" t="s">
        <v>1001</v>
      </c>
      <c r="C1089" s="12" t="n">
        <v>2025</v>
      </c>
      <c r="D1089" s="12" t="n">
        <v>3</v>
      </c>
      <c r="E1089" s="12" t="n">
        <v>674</v>
      </c>
      <c r="F1089" s="12" t="n">
        <v>4408072</v>
      </c>
    </row>
    <row r="1090" customFormat="false" ht="15" hidden="false" customHeight="true" outlineLevel="0" collapsed="false">
      <c r="A1090" s="12" t="s">
        <v>952</v>
      </c>
      <c r="B1090" s="12" t="s">
        <v>1001</v>
      </c>
      <c r="C1090" s="12" t="n">
        <v>2026</v>
      </c>
      <c r="D1090" s="12" t="n">
        <v>2</v>
      </c>
      <c r="E1090" s="12" t="n">
        <v>360</v>
      </c>
      <c r="F1090" s="12" t="n">
        <v>4408072</v>
      </c>
    </row>
    <row r="1091" customFormat="false" ht="15" hidden="false" customHeight="true" outlineLevel="0" collapsed="false">
      <c r="A1091" s="12" t="s">
        <v>952</v>
      </c>
      <c r="B1091" s="12" t="s">
        <v>1002</v>
      </c>
      <c r="C1091" s="12" t="n">
        <v>2025</v>
      </c>
      <c r="D1091" s="12" t="n">
        <v>2</v>
      </c>
      <c r="E1091" s="12" t="n">
        <v>358</v>
      </c>
      <c r="F1091" s="12" t="n">
        <v>4408073</v>
      </c>
    </row>
    <row r="1092" customFormat="false" ht="15" hidden="false" customHeight="true" outlineLevel="0" collapsed="false">
      <c r="A1092" s="12" t="s">
        <v>952</v>
      </c>
      <c r="B1092" s="12" t="s">
        <v>1002</v>
      </c>
      <c r="C1092" s="12" t="n">
        <v>2026</v>
      </c>
      <c r="D1092" s="12" t="n">
        <v>1</v>
      </c>
      <c r="E1092" s="12" t="n">
        <v>180</v>
      </c>
      <c r="F1092" s="12" t="n">
        <v>4408073</v>
      </c>
    </row>
    <row r="1093" customFormat="false" ht="15" hidden="false" customHeight="true" outlineLevel="0" collapsed="false">
      <c r="A1093" s="12" t="s">
        <v>952</v>
      </c>
      <c r="B1093" s="12" t="s">
        <v>1003</v>
      </c>
      <c r="C1093" s="12" t="n">
        <v>2025</v>
      </c>
      <c r="D1093" s="12" t="n">
        <v>1</v>
      </c>
      <c r="E1093" s="12" t="n">
        <v>187.45</v>
      </c>
      <c r="F1093" s="12" t="n">
        <v>4408075</v>
      </c>
    </row>
    <row r="1094" customFormat="false" ht="15" hidden="false" customHeight="true" outlineLevel="0" collapsed="false">
      <c r="A1094" s="12" t="s">
        <v>952</v>
      </c>
      <c r="B1094" s="12" t="s">
        <v>1004</v>
      </c>
      <c r="C1094" s="12" t="n">
        <v>2025</v>
      </c>
      <c r="D1094" s="12" t="n">
        <v>4</v>
      </c>
      <c r="E1094" s="12" t="n">
        <v>746.67</v>
      </c>
      <c r="F1094" s="12" t="n">
        <v>4408076</v>
      </c>
    </row>
    <row r="1095" customFormat="false" ht="15" hidden="false" customHeight="true" outlineLevel="0" collapsed="false">
      <c r="A1095" s="12" t="s">
        <v>952</v>
      </c>
      <c r="B1095" s="12" t="s">
        <v>1004</v>
      </c>
      <c r="C1095" s="12" t="n">
        <v>2026</v>
      </c>
      <c r="D1095" s="12" t="n">
        <v>6</v>
      </c>
      <c r="E1095" s="12" t="n">
        <v>1029.79</v>
      </c>
      <c r="F1095" s="12" t="n">
        <v>4408076</v>
      </c>
    </row>
    <row r="1096" customFormat="false" ht="15" hidden="false" customHeight="true" outlineLevel="0" collapsed="false">
      <c r="A1096" s="12" t="s">
        <v>952</v>
      </c>
      <c r="B1096" s="12" t="s">
        <v>1005</v>
      </c>
      <c r="C1096" s="12" t="n">
        <v>2025</v>
      </c>
      <c r="D1096" s="12" t="n">
        <v>3</v>
      </c>
      <c r="E1096" s="12" t="n">
        <v>467.45</v>
      </c>
      <c r="F1096" s="12" t="n">
        <v>4408077</v>
      </c>
    </row>
    <row r="1097" customFormat="false" ht="15" hidden="false" customHeight="true" outlineLevel="0" collapsed="false">
      <c r="A1097" s="12" t="s">
        <v>952</v>
      </c>
      <c r="B1097" s="12" t="s">
        <v>1005</v>
      </c>
      <c r="C1097" s="12" t="n">
        <v>2026</v>
      </c>
      <c r="D1097" s="12" t="n">
        <v>8</v>
      </c>
      <c r="E1097" s="12" t="n">
        <v>1309.79</v>
      </c>
      <c r="F1097" s="12" t="n">
        <v>4408077</v>
      </c>
    </row>
    <row r="1098" customFormat="false" ht="15" hidden="false" customHeight="true" outlineLevel="0" collapsed="false">
      <c r="A1098" s="12" t="s">
        <v>952</v>
      </c>
      <c r="B1098" s="12" t="s">
        <v>1006</v>
      </c>
      <c r="C1098" s="12" t="n">
        <v>2025</v>
      </c>
      <c r="D1098" s="12" t="n">
        <v>2</v>
      </c>
      <c r="E1098" s="12" t="n">
        <v>371.77</v>
      </c>
      <c r="F1098" s="12" t="n">
        <v>4408078</v>
      </c>
    </row>
    <row r="1099" customFormat="false" ht="15" hidden="false" customHeight="true" outlineLevel="0" collapsed="false">
      <c r="A1099" s="12" t="s">
        <v>952</v>
      </c>
      <c r="B1099" s="12" t="s">
        <v>1007</v>
      </c>
      <c r="C1099" s="12" t="n">
        <v>2025</v>
      </c>
      <c r="D1099" s="12" t="n">
        <v>4</v>
      </c>
      <c r="E1099" s="12" t="n">
        <v>702.35</v>
      </c>
      <c r="F1099" s="12" t="n">
        <v>4408079</v>
      </c>
    </row>
    <row r="1100" customFormat="false" ht="15" hidden="false" customHeight="true" outlineLevel="0" collapsed="false">
      <c r="A1100" s="12" t="s">
        <v>952</v>
      </c>
      <c r="B1100" s="12" t="s">
        <v>1008</v>
      </c>
      <c r="C1100" s="12" t="n">
        <v>2025</v>
      </c>
      <c r="D1100" s="12" t="n">
        <v>5</v>
      </c>
      <c r="E1100" s="12" t="n">
        <v>842.35</v>
      </c>
      <c r="F1100" s="12" t="n">
        <v>4408080</v>
      </c>
    </row>
    <row r="1101" customFormat="false" ht="15" hidden="false" customHeight="true" outlineLevel="0" collapsed="false">
      <c r="A1101" s="12" t="s">
        <v>952</v>
      </c>
      <c r="B1101" s="12" t="s">
        <v>1008</v>
      </c>
      <c r="C1101" s="12" t="n">
        <v>2026</v>
      </c>
      <c r="D1101" s="12" t="n">
        <v>10</v>
      </c>
      <c r="E1101" s="12" t="n">
        <v>1684.68</v>
      </c>
      <c r="F1101" s="12" t="n">
        <v>4408080</v>
      </c>
    </row>
    <row r="1102" customFormat="false" ht="15" hidden="false" customHeight="true" outlineLevel="0" collapsed="false">
      <c r="A1102" s="12" t="s">
        <v>952</v>
      </c>
      <c r="B1102" s="12" t="s">
        <v>1009</v>
      </c>
      <c r="C1102" s="12" t="n">
        <v>2025</v>
      </c>
      <c r="D1102" s="12" t="n">
        <v>7</v>
      </c>
      <c r="E1102" s="12" t="n">
        <v>1217.25</v>
      </c>
      <c r="F1102" s="12" t="n">
        <v>4408081</v>
      </c>
    </row>
    <row r="1103" customFormat="false" ht="15" hidden="false" customHeight="true" outlineLevel="0" collapsed="false">
      <c r="A1103" s="12" t="s">
        <v>952</v>
      </c>
      <c r="B1103" s="12" t="s">
        <v>1009</v>
      </c>
      <c r="C1103" s="12" t="n">
        <v>2026</v>
      </c>
      <c r="D1103" s="12" t="n">
        <v>6</v>
      </c>
      <c r="E1103" s="12" t="n">
        <v>982.35</v>
      </c>
      <c r="F1103" s="12" t="n">
        <v>4408081</v>
      </c>
    </row>
    <row r="1104" customFormat="false" ht="15" hidden="false" customHeight="true" outlineLevel="0" collapsed="false">
      <c r="A1104" s="12" t="s">
        <v>952</v>
      </c>
      <c r="B1104" s="12" t="s">
        <v>1010</v>
      </c>
      <c r="C1104" s="12" t="n">
        <v>2025</v>
      </c>
      <c r="D1104" s="12" t="n">
        <v>1</v>
      </c>
      <c r="E1104" s="12" t="n">
        <v>187.45</v>
      </c>
      <c r="F1104" s="12" t="n">
        <v>4408082</v>
      </c>
    </row>
    <row r="1105" customFormat="false" ht="15" hidden="false" customHeight="true" outlineLevel="0" collapsed="false">
      <c r="A1105" s="12" t="s">
        <v>952</v>
      </c>
      <c r="B1105" s="12" t="s">
        <v>1010</v>
      </c>
      <c r="C1105" s="12" t="n">
        <v>2026</v>
      </c>
      <c r="D1105" s="12" t="n">
        <v>4</v>
      </c>
      <c r="E1105" s="12" t="n">
        <v>702.35</v>
      </c>
      <c r="F1105" s="12" t="n">
        <v>4408082</v>
      </c>
    </row>
    <row r="1106" customFormat="false" ht="15" hidden="false" customHeight="true" outlineLevel="0" collapsed="false">
      <c r="A1106" s="12" t="s">
        <v>952</v>
      </c>
      <c r="B1106" s="12" t="s">
        <v>1011</v>
      </c>
      <c r="C1106" s="12" t="n">
        <v>2026</v>
      </c>
      <c r="D1106" s="12" t="n">
        <v>1</v>
      </c>
      <c r="E1106" s="12" t="n">
        <v>141.97</v>
      </c>
      <c r="F1106" s="12" t="n">
        <v>4408084</v>
      </c>
    </row>
    <row r="1107" customFormat="false" ht="15" hidden="false" customHeight="true" outlineLevel="0" collapsed="false">
      <c r="A1107" s="12" t="s">
        <v>952</v>
      </c>
      <c r="B1107" s="12" t="s">
        <v>1012</v>
      </c>
      <c r="C1107" s="12" t="n">
        <v>2025</v>
      </c>
      <c r="D1107" s="12" t="n">
        <v>1</v>
      </c>
      <c r="E1107" s="12" t="n">
        <v>89</v>
      </c>
      <c r="F1107" s="12" t="n">
        <v>4408087</v>
      </c>
    </row>
    <row r="1108" customFormat="false" ht="15" hidden="false" customHeight="true" outlineLevel="0" collapsed="false">
      <c r="A1108" s="12" t="s">
        <v>952</v>
      </c>
      <c r="B1108" s="12" t="s">
        <v>1013</v>
      </c>
      <c r="C1108" s="12" t="n">
        <v>2026</v>
      </c>
      <c r="D1108" s="12" t="n">
        <v>156</v>
      </c>
      <c r="E1108" s="12" t="n">
        <v>13503.3</v>
      </c>
      <c r="F1108" s="12" t="n">
        <v>4408090</v>
      </c>
    </row>
    <row r="1109" customFormat="false" ht="15" hidden="false" customHeight="true" outlineLevel="0" collapsed="false">
      <c r="A1109" s="12" t="s">
        <v>952</v>
      </c>
      <c r="B1109" s="12" t="s">
        <v>1014</v>
      </c>
      <c r="C1109" s="12" t="n">
        <v>2025</v>
      </c>
      <c r="D1109" s="12" t="n">
        <v>1</v>
      </c>
      <c r="E1109" s="12" t="n">
        <v>94.5</v>
      </c>
      <c r="F1109" s="12" t="n">
        <v>4408091</v>
      </c>
    </row>
    <row r="1110" customFormat="false" ht="15" hidden="false" customHeight="true" outlineLevel="0" collapsed="false">
      <c r="A1110" s="12" t="s">
        <v>952</v>
      </c>
      <c r="B1110" s="12" t="s">
        <v>1015</v>
      </c>
      <c r="C1110" s="12" t="n">
        <v>2025</v>
      </c>
      <c r="D1110" s="12" t="n">
        <v>4</v>
      </c>
      <c r="E1110" s="12" t="n">
        <v>378.4</v>
      </c>
      <c r="F1110" s="12" t="n">
        <v>4408092</v>
      </c>
    </row>
    <row r="1111" customFormat="false" ht="15" hidden="false" customHeight="true" outlineLevel="0" collapsed="false">
      <c r="A1111" s="12" t="s">
        <v>952</v>
      </c>
      <c r="B1111" s="12" t="s">
        <v>1015</v>
      </c>
      <c r="C1111" s="12" t="n">
        <v>2026</v>
      </c>
      <c r="D1111" s="12" t="n">
        <v>3</v>
      </c>
      <c r="E1111" s="12" t="n">
        <v>283.91</v>
      </c>
      <c r="F1111" s="12" t="n">
        <v>4408092</v>
      </c>
    </row>
    <row r="1112" customFormat="false" ht="15" hidden="false" customHeight="true" outlineLevel="0" collapsed="false">
      <c r="A1112" s="12" t="s">
        <v>952</v>
      </c>
      <c r="B1112" s="12" t="s">
        <v>1016</v>
      </c>
      <c r="C1112" s="12" t="n">
        <v>2026</v>
      </c>
      <c r="D1112" s="12" t="n">
        <v>2</v>
      </c>
      <c r="E1112" s="12" t="n">
        <v>189.27</v>
      </c>
      <c r="F1112" s="12" t="n">
        <v>4408093</v>
      </c>
    </row>
    <row r="1113" customFormat="false" ht="15" hidden="false" customHeight="true" outlineLevel="0" collapsed="false">
      <c r="A1113" s="12" t="s">
        <v>952</v>
      </c>
      <c r="B1113" s="12" t="s">
        <v>1017</v>
      </c>
      <c r="C1113" s="12" t="n">
        <v>2025</v>
      </c>
      <c r="D1113" s="12" t="n">
        <v>2</v>
      </c>
      <c r="E1113" s="12" t="n">
        <v>70.98</v>
      </c>
      <c r="F1113" s="12" t="n">
        <v>4408094</v>
      </c>
    </row>
    <row r="1114" customFormat="false" ht="15" hidden="false" customHeight="true" outlineLevel="0" collapsed="false">
      <c r="A1114" s="12" t="s">
        <v>952</v>
      </c>
      <c r="B1114" s="12" t="s">
        <v>1018</v>
      </c>
      <c r="C1114" s="12" t="n">
        <v>2025</v>
      </c>
      <c r="D1114" s="12" t="n">
        <v>2</v>
      </c>
      <c r="E1114" s="12" t="n">
        <v>70.98</v>
      </c>
      <c r="F1114" s="12" t="n">
        <v>4408095</v>
      </c>
    </row>
    <row r="1115" customFormat="false" ht="15" hidden="false" customHeight="true" outlineLevel="0" collapsed="false">
      <c r="A1115" s="12" t="s">
        <v>952</v>
      </c>
      <c r="B1115" s="12" t="s">
        <v>1019</v>
      </c>
      <c r="C1115" s="12" t="n">
        <v>2025</v>
      </c>
      <c r="D1115" s="12" t="n">
        <v>1</v>
      </c>
      <c r="E1115" s="12" t="n">
        <v>35.57</v>
      </c>
      <c r="F1115" s="12" t="n">
        <v>4408096</v>
      </c>
    </row>
    <row r="1116" customFormat="false" ht="15" hidden="false" customHeight="true" outlineLevel="0" collapsed="false">
      <c r="A1116" s="12" t="s">
        <v>952</v>
      </c>
      <c r="B1116" s="12" t="s">
        <v>1020</v>
      </c>
      <c r="C1116" s="12" t="n">
        <v>2025</v>
      </c>
      <c r="D1116" s="12" t="n">
        <v>1</v>
      </c>
      <c r="E1116" s="12" t="n">
        <v>35.57</v>
      </c>
      <c r="F1116" s="12" t="n">
        <v>4408097</v>
      </c>
    </row>
    <row r="1117" customFormat="false" ht="15" hidden="false" customHeight="true" outlineLevel="0" collapsed="false">
      <c r="A1117" s="12" t="s">
        <v>952</v>
      </c>
      <c r="B1117" s="12" t="s">
        <v>1021</v>
      </c>
      <c r="C1117" s="12" t="n">
        <v>2025</v>
      </c>
      <c r="D1117" s="12" t="n">
        <v>26</v>
      </c>
      <c r="E1117" s="12" t="n">
        <v>1213.06</v>
      </c>
      <c r="F1117" s="12" t="n">
        <v>4408098</v>
      </c>
    </row>
    <row r="1118" customFormat="false" ht="15" hidden="false" customHeight="true" outlineLevel="0" collapsed="false">
      <c r="A1118" s="12" t="s">
        <v>952</v>
      </c>
      <c r="B1118" s="12" t="s">
        <v>1021</v>
      </c>
      <c r="C1118" s="12" t="n">
        <v>2026</v>
      </c>
      <c r="D1118" s="12" t="n">
        <v>7</v>
      </c>
      <c r="E1118" s="12" t="n">
        <v>327.75</v>
      </c>
      <c r="F1118" s="12" t="n">
        <v>4408098</v>
      </c>
    </row>
    <row r="1119" customFormat="false" ht="15" hidden="false" customHeight="true" outlineLevel="0" collapsed="false">
      <c r="A1119" s="12" t="s">
        <v>952</v>
      </c>
      <c r="B1119" s="12" t="s">
        <v>1022</v>
      </c>
      <c r="C1119" s="12" t="n">
        <v>2025</v>
      </c>
      <c r="D1119" s="12" t="n">
        <v>10</v>
      </c>
      <c r="E1119" s="12" t="n">
        <v>459.57</v>
      </c>
      <c r="F1119" s="12" t="n">
        <v>4408099</v>
      </c>
    </row>
    <row r="1120" customFormat="false" ht="15" hidden="false" customHeight="true" outlineLevel="0" collapsed="false">
      <c r="A1120" s="12" t="s">
        <v>952</v>
      </c>
      <c r="B1120" s="12" t="s">
        <v>1022</v>
      </c>
      <c r="C1120" s="12" t="n">
        <v>2026</v>
      </c>
      <c r="D1120" s="12" t="n">
        <v>4</v>
      </c>
      <c r="E1120" s="12" t="n">
        <v>187.3</v>
      </c>
      <c r="F1120" s="12" t="n">
        <v>4408099</v>
      </c>
    </row>
    <row r="1121" customFormat="false" ht="15" hidden="false" customHeight="true" outlineLevel="0" collapsed="false">
      <c r="A1121" s="12" t="s">
        <v>952</v>
      </c>
      <c r="B1121" s="12" t="s">
        <v>1023</v>
      </c>
      <c r="C1121" s="12" t="n">
        <v>2025</v>
      </c>
      <c r="D1121" s="12" t="n">
        <v>2</v>
      </c>
      <c r="E1121" s="12" t="n">
        <v>170</v>
      </c>
      <c r="F1121" s="12" t="n">
        <v>4408114</v>
      </c>
    </row>
    <row r="1122" customFormat="false" ht="15" hidden="false" customHeight="true" outlineLevel="0" collapsed="false">
      <c r="A1122" s="12" t="s">
        <v>952</v>
      </c>
      <c r="B1122" s="12" t="s">
        <v>1024</v>
      </c>
      <c r="C1122" s="12" t="n">
        <v>2025</v>
      </c>
      <c r="D1122" s="12" t="n">
        <v>3</v>
      </c>
      <c r="E1122" s="12" t="n">
        <v>239</v>
      </c>
      <c r="F1122" s="12" t="n">
        <v>4408115</v>
      </c>
    </row>
    <row r="1123" customFormat="false" ht="15" hidden="false" customHeight="true" outlineLevel="0" collapsed="false">
      <c r="A1123" s="12" t="s">
        <v>952</v>
      </c>
      <c r="B1123" s="12" t="s">
        <v>1024</v>
      </c>
      <c r="C1123" s="12" t="n">
        <v>2026</v>
      </c>
      <c r="D1123" s="12" t="n">
        <v>6</v>
      </c>
      <c r="E1123" s="12" t="n">
        <v>509.97</v>
      </c>
      <c r="F1123" s="12" t="n">
        <v>4408115</v>
      </c>
    </row>
    <row r="1124" customFormat="false" ht="15" hidden="false" customHeight="true" outlineLevel="0" collapsed="false">
      <c r="A1124" s="12" t="s">
        <v>952</v>
      </c>
      <c r="B1124" s="12" t="s">
        <v>1025</v>
      </c>
      <c r="C1124" s="12" t="n">
        <v>2025</v>
      </c>
      <c r="D1124" s="12" t="n">
        <v>1</v>
      </c>
      <c r="E1124" s="12" t="n">
        <v>85</v>
      </c>
      <c r="F1124" s="12" t="n">
        <v>4408116</v>
      </c>
    </row>
    <row r="1125" customFormat="false" ht="15" hidden="false" customHeight="true" outlineLevel="0" collapsed="false">
      <c r="A1125" s="12" t="s">
        <v>952</v>
      </c>
      <c r="B1125" s="12" t="s">
        <v>1026</v>
      </c>
      <c r="C1125" s="12" t="n">
        <v>2025</v>
      </c>
      <c r="D1125" s="12" t="n">
        <v>1</v>
      </c>
      <c r="E1125" s="12" t="n">
        <v>99</v>
      </c>
      <c r="F1125" s="12" t="n">
        <v>4408119</v>
      </c>
    </row>
    <row r="1126" customFormat="false" ht="15" hidden="false" customHeight="true" outlineLevel="0" collapsed="false">
      <c r="A1126" s="12" t="s">
        <v>952</v>
      </c>
      <c r="B1126" s="12" t="s">
        <v>1027</v>
      </c>
      <c r="C1126" s="12" t="n">
        <v>2025</v>
      </c>
      <c r="D1126" s="12" t="n">
        <v>1</v>
      </c>
      <c r="E1126" s="12" t="n">
        <v>98.99</v>
      </c>
      <c r="F1126" s="12" t="n">
        <v>4408120</v>
      </c>
    </row>
    <row r="1127" customFormat="false" ht="15" hidden="false" customHeight="true" outlineLevel="0" collapsed="false">
      <c r="A1127" s="12" t="s">
        <v>952</v>
      </c>
      <c r="B1127" s="12" t="s">
        <v>1028</v>
      </c>
      <c r="C1127" s="12" t="n">
        <v>2025</v>
      </c>
      <c r="D1127" s="12" t="n">
        <v>1</v>
      </c>
      <c r="E1127" s="12" t="n">
        <v>132.32</v>
      </c>
      <c r="F1127" s="12" t="n">
        <v>4408131</v>
      </c>
    </row>
    <row r="1128" customFormat="false" ht="15" hidden="false" customHeight="true" outlineLevel="0" collapsed="false">
      <c r="A1128" s="12" t="s">
        <v>952</v>
      </c>
      <c r="B1128" s="12" t="s">
        <v>1029</v>
      </c>
      <c r="C1128" s="12" t="n">
        <v>2025</v>
      </c>
      <c r="D1128" s="12" t="n">
        <v>2</v>
      </c>
      <c r="E1128" s="12" t="n">
        <v>220.22</v>
      </c>
      <c r="F1128" s="12" t="n">
        <v>4408132</v>
      </c>
    </row>
    <row r="1129" customFormat="false" ht="15" hidden="false" customHeight="true" outlineLevel="0" collapsed="false">
      <c r="A1129" s="12" t="s">
        <v>952</v>
      </c>
      <c r="B1129" s="12" t="s">
        <v>1029</v>
      </c>
      <c r="C1129" s="12" t="n">
        <v>2026</v>
      </c>
      <c r="D1129" s="12" t="n">
        <v>3</v>
      </c>
      <c r="E1129" s="12" t="n">
        <v>255</v>
      </c>
      <c r="F1129" s="12" t="n">
        <v>4408132</v>
      </c>
    </row>
    <row r="1130" customFormat="false" ht="15" hidden="false" customHeight="true" outlineLevel="0" collapsed="false">
      <c r="A1130" s="12" t="s">
        <v>952</v>
      </c>
      <c r="B1130" s="12" t="s">
        <v>1030</v>
      </c>
      <c r="C1130" s="12" t="n">
        <v>2025</v>
      </c>
      <c r="D1130" s="12" t="n">
        <v>53</v>
      </c>
      <c r="E1130" s="12" t="n">
        <v>4333.04</v>
      </c>
      <c r="F1130" s="12" t="n">
        <v>4408134</v>
      </c>
    </row>
    <row r="1131" customFormat="false" ht="15" hidden="false" customHeight="true" outlineLevel="0" collapsed="false">
      <c r="A1131" s="12" t="s">
        <v>952</v>
      </c>
      <c r="B1131" s="12" t="s">
        <v>1031</v>
      </c>
      <c r="C1131" s="12" t="n">
        <v>2025</v>
      </c>
      <c r="D1131" s="12" t="n">
        <v>27</v>
      </c>
      <c r="E1131" s="12" t="n">
        <v>2452</v>
      </c>
      <c r="F1131" s="12" t="n">
        <v>4408135</v>
      </c>
    </row>
    <row r="1132" customFormat="false" ht="15" hidden="false" customHeight="true" outlineLevel="0" collapsed="false">
      <c r="A1132" s="12" t="s">
        <v>952</v>
      </c>
      <c r="B1132" s="12" t="s">
        <v>1031</v>
      </c>
      <c r="C1132" s="12" t="n">
        <v>2026</v>
      </c>
      <c r="D1132" s="12" t="n">
        <v>2</v>
      </c>
      <c r="E1132" s="12" t="n">
        <v>170</v>
      </c>
      <c r="F1132" s="12" t="n">
        <v>4408135</v>
      </c>
    </row>
    <row r="1133" customFormat="false" ht="15" hidden="false" customHeight="true" outlineLevel="0" collapsed="false">
      <c r="A1133" s="12" t="s">
        <v>952</v>
      </c>
      <c r="B1133" s="12" t="s">
        <v>1032</v>
      </c>
      <c r="C1133" s="12" t="n">
        <v>2025</v>
      </c>
      <c r="D1133" s="12" t="n">
        <v>2</v>
      </c>
      <c r="E1133" s="12" t="n">
        <v>263.48</v>
      </c>
      <c r="F1133" s="12" t="n">
        <v>4408145</v>
      </c>
    </row>
    <row r="1134" customFormat="false" ht="15" hidden="false" customHeight="true" outlineLevel="0" collapsed="false">
      <c r="A1134" s="12" t="s">
        <v>952</v>
      </c>
      <c r="B1134" s="12" t="s">
        <v>1033</v>
      </c>
      <c r="C1134" s="12" t="n">
        <v>2025</v>
      </c>
      <c r="D1134" s="12" t="n">
        <v>3</v>
      </c>
      <c r="E1134" s="12" t="n">
        <v>391.07</v>
      </c>
      <c r="F1134" s="12" t="n">
        <v>4408147</v>
      </c>
    </row>
    <row r="1135" customFormat="false" ht="15" hidden="false" customHeight="true" outlineLevel="0" collapsed="false">
      <c r="A1135" s="12" t="s">
        <v>952</v>
      </c>
      <c r="B1135" s="12" t="s">
        <v>1033</v>
      </c>
      <c r="C1135" s="12" t="n">
        <v>2026</v>
      </c>
      <c r="D1135" s="12" t="n">
        <v>1</v>
      </c>
      <c r="E1135" s="12" t="n">
        <v>135.88</v>
      </c>
      <c r="F1135" s="12" t="n">
        <v>4408147</v>
      </c>
    </row>
    <row r="1136" customFormat="false" ht="15" hidden="false" customHeight="true" outlineLevel="0" collapsed="false">
      <c r="A1136" s="12" t="s">
        <v>952</v>
      </c>
      <c r="B1136" s="12" t="s">
        <v>1034</v>
      </c>
      <c r="C1136" s="12" t="n">
        <v>2025</v>
      </c>
      <c r="D1136" s="12" t="n">
        <v>4</v>
      </c>
      <c r="E1136" s="12" t="n">
        <v>518.65</v>
      </c>
      <c r="F1136" s="12" t="n">
        <v>4408148</v>
      </c>
    </row>
    <row r="1137" customFormat="false" ht="15" hidden="false" customHeight="true" outlineLevel="0" collapsed="false">
      <c r="A1137" s="12" t="s">
        <v>952</v>
      </c>
      <c r="B1137" s="12" t="s">
        <v>1035</v>
      </c>
      <c r="C1137" s="12" t="n">
        <v>2025</v>
      </c>
      <c r="D1137" s="12" t="n">
        <v>1</v>
      </c>
      <c r="E1137" s="12" t="n">
        <v>135.88</v>
      </c>
      <c r="F1137" s="12" t="n">
        <v>4408149</v>
      </c>
    </row>
    <row r="1138" customFormat="false" ht="15" hidden="false" customHeight="true" outlineLevel="0" collapsed="false">
      <c r="A1138" s="12" t="s">
        <v>952</v>
      </c>
      <c r="B1138" s="12" t="s">
        <v>1036</v>
      </c>
      <c r="C1138" s="12" t="n">
        <v>2025</v>
      </c>
      <c r="D1138" s="12" t="n">
        <v>1</v>
      </c>
      <c r="E1138" s="12" t="n">
        <v>156.98</v>
      </c>
      <c r="F1138" s="12" t="n">
        <v>4408154</v>
      </c>
    </row>
    <row r="1139" customFormat="false" ht="15" hidden="false" customHeight="true" outlineLevel="0" collapsed="false">
      <c r="A1139" s="12" t="s">
        <v>952</v>
      </c>
      <c r="B1139" s="12" t="s">
        <v>1037</v>
      </c>
      <c r="C1139" s="12" t="n">
        <v>2026</v>
      </c>
      <c r="D1139" s="12" t="n">
        <v>3</v>
      </c>
      <c r="E1139" s="12" t="n">
        <v>428.93</v>
      </c>
      <c r="F1139" s="12" t="n">
        <v>4408179</v>
      </c>
    </row>
    <row r="1140" customFormat="false" ht="15" hidden="false" customHeight="true" outlineLevel="0" collapsed="false">
      <c r="A1140" s="12" t="s">
        <v>952</v>
      </c>
      <c r="B1140" s="12" t="s">
        <v>1038</v>
      </c>
      <c r="C1140" s="12" t="n">
        <v>2025</v>
      </c>
      <c r="D1140" s="12" t="n">
        <v>1</v>
      </c>
      <c r="E1140" s="12" t="n">
        <v>117.14</v>
      </c>
      <c r="F1140" s="12" t="n">
        <v>4408192</v>
      </c>
    </row>
    <row r="1141" customFormat="false" ht="15" hidden="false" customHeight="true" outlineLevel="0" collapsed="false">
      <c r="A1141" s="12" t="s">
        <v>952</v>
      </c>
      <c r="B1141" s="12" t="s">
        <v>1038</v>
      </c>
      <c r="C1141" s="12" t="n">
        <v>2026</v>
      </c>
      <c r="D1141" s="12" t="n">
        <v>1</v>
      </c>
      <c r="E1141" s="12" t="n">
        <v>117.13</v>
      </c>
      <c r="F1141" s="12" t="n">
        <v>4408192</v>
      </c>
    </row>
    <row r="1142" customFormat="false" ht="15" hidden="false" customHeight="true" outlineLevel="0" collapsed="false">
      <c r="A1142" s="12" t="s">
        <v>952</v>
      </c>
      <c r="B1142" s="12" t="s">
        <v>1039</v>
      </c>
      <c r="C1142" s="12" t="n">
        <v>2025</v>
      </c>
      <c r="D1142" s="12" t="n">
        <v>3</v>
      </c>
      <c r="E1142" s="12" t="n">
        <v>694.88</v>
      </c>
      <c r="F1142" s="12" t="n">
        <v>4408203</v>
      </c>
    </row>
    <row r="1143" customFormat="false" ht="15" hidden="false" customHeight="true" outlineLevel="0" collapsed="false">
      <c r="A1143" s="12" t="s">
        <v>952</v>
      </c>
      <c r="B1143" s="12" t="s">
        <v>1039</v>
      </c>
      <c r="C1143" s="12" t="n">
        <v>2026</v>
      </c>
      <c r="D1143" s="12" t="n">
        <v>1</v>
      </c>
      <c r="E1143" s="12" t="n">
        <v>262.45</v>
      </c>
      <c r="F1143" s="12" t="n">
        <v>4408203</v>
      </c>
    </row>
    <row r="1144" customFormat="false" ht="15" hidden="false" customHeight="true" outlineLevel="0" collapsed="false">
      <c r="A1144" s="12" t="s">
        <v>952</v>
      </c>
      <c r="B1144" s="12" t="s">
        <v>1040</v>
      </c>
      <c r="C1144" s="12" t="n">
        <v>2025</v>
      </c>
      <c r="D1144" s="12" t="n">
        <v>31</v>
      </c>
      <c r="E1144" s="12" t="n">
        <v>2810.95</v>
      </c>
      <c r="F1144" s="12" t="n">
        <v>4408205</v>
      </c>
    </row>
    <row r="1145" customFormat="false" ht="15" hidden="false" customHeight="true" outlineLevel="0" collapsed="false">
      <c r="A1145" s="12" t="s">
        <v>952</v>
      </c>
      <c r="B1145" s="12" t="s">
        <v>1040</v>
      </c>
      <c r="C1145" s="12" t="n">
        <v>2026</v>
      </c>
      <c r="D1145" s="12" t="n">
        <v>19</v>
      </c>
      <c r="E1145" s="12" t="n">
        <v>1624.32</v>
      </c>
      <c r="F1145" s="12" t="n">
        <v>4408205</v>
      </c>
    </row>
    <row r="1146" customFormat="false" ht="15" hidden="false" customHeight="true" outlineLevel="0" collapsed="false">
      <c r="A1146" s="12" t="s">
        <v>952</v>
      </c>
      <c r="B1146" s="12" t="s">
        <v>1041</v>
      </c>
      <c r="C1146" s="12" t="n">
        <v>2025</v>
      </c>
      <c r="D1146" s="12" t="n">
        <v>24</v>
      </c>
      <c r="E1146" s="12" t="n">
        <v>892.1</v>
      </c>
      <c r="F1146" s="12" t="n">
        <v>4408207</v>
      </c>
    </row>
    <row r="1147" customFormat="false" ht="15" hidden="false" customHeight="true" outlineLevel="0" collapsed="false">
      <c r="A1147" s="12" t="s">
        <v>952</v>
      </c>
      <c r="B1147" s="12" t="s">
        <v>1041</v>
      </c>
      <c r="C1147" s="12" t="n">
        <v>2026</v>
      </c>
      <c r="D1147" s="12" t="n">
        <v>32</v>
      </c>
      <c r="E1147" s="12" t="n">
        <v>1198.58</v>
      </c>
      <c r="F1147" s="12" t="n">
        <v>4408207</v>
      </c>
    </row>
    <row r="1148" customFormat="false" ht="15" hidden="false" customHeight="true" outlineLevel="0" collapsed="false">
      <c r="A1148" s="12" t="s">
        <v>952</v>
      </c>
      <c r="B1148" s="12" t="s">
        <v>1042</v>
      </c>
      <c r="C1148" s="12" t="n">
        <v>2025</v>
      </c>
      <c r="D1148" s="12" t="n">
        <v>73</v>
      </c>
      <c r="E1148" s="12" t="n">
        <v>2644.62</v>
      </c>
      <c r="F1148" s="12" t="n">
        <v>4408208</v>
      </c>
    </row>
    <row r="1149" customFormat="false" ht="15" hidden="false" customHeight="true" outlineLevel="0" collapsed="false">
      <c r="A1149" s="12" t="s">
        <v>952</v>
      </c>
      <c r="B1149" s="12" t="s">
        <v>1042</v>
      </c>
      <c r="C1149" s="12" t="n">
        <v>2026</v>
      </c>
      <c r="D1149" s="12" t="n">
        <v>33</v>
      </c>
      <c r="E1149" s="12" t="n">
        <v>1313.22</v>
      </c>
      <c r="F1149" s="12" t="n">
        <v>4408208</v>
      </c>
    </row>
    <row r="1150" customFormat="false" ht="15" hidden="false" customHeight="true" outlineLevel="0" collapsed="false">
      <c r="A1150" s="12" t="s">
        <v>952</v>
      </c>
      <c r="B1150" s="12" t="s">
        <v>1043</v>
      </c>
      <c r="C1150" s="12" t="n">
        <v>2026</v>
      </c>
      <c r="D1150" s="12" t="n">
        <v>1</v>
      </c>
      <c r="E1150" s="12" t="n">
        <v>117.14</v>
      </c>
      <c r="F1150" s="12" t="n">
        <v>4408218</v>
      </c>
    </row>
    <row r="1151" customFormat="false" ht="15" hidden="false" customHeight="true" outlineLevel="0" collapsed="false">
      <c r="A1151" s="12" t="s">
        <v>952</v>
      </c>
      <c r="B1151" s="12" t="s">
        <v>1044</v>
      </c>
      <c r="C1151" s="12" t="n">
        <v>2025</v>
      </c>
      <c r="D1151" s="12" t="n">
        <v>1</v>
      </c>
      <c r="E1151" s="12" t="n">
        <v>74.97</v>
      </c>
      <c r="F1151" s="12" t="n">
        <v>4408222</v>
      </c>
    </row>
    <row r="1152" customFormat="false" ht="15" hidden="false" customHeight="true" outlineLevel="0" collapsed="false">
      <c r="A1152" s="12" t="s">
        <v>952</v>
      </c>
      <c r="B1152" s="12" t="s">
        <v>1045</v>
      </c>
      <c r="C1152" s="12" t="n">
        <v>2025</v>
      </c>
      <c r="D1152" s="12" t="n">
        <v>14</v>
      </c>
      <c r="E1152" s="12" t="n">
        <v>1281.02</v>
      </c>
      <c r="F1152" s="12" t="n">
        <v>4408230</v>
      </c>
    </row>
    <row r="1153" customFormat="false" ht="15" hidden="false" customHeight="true" outlineLevel="0" collapsed="false">
      <c r="A1153" s="12" t="s">
        <v>952</v>
      </c>
      <c r="B1153" s="12" t="s">
        <v>1045</v>
      </c>
      <c r="C1153" s="12" t="n">
        <v>2026</v>
      </c>
      <c r="D1153" s="12" t="n">
        <v>7</v>
      </c>
      <c r="E1153" s="12" t="n">
        <v>666.53</v>
      </c>
      <c r="F1153" s="12" t="n">
        <v>4408230</v>
      </c>
    </row>
    <row r="1154" customFormat="false" ht="15" hidden="false" customHeight="true" outlineLevel="0" collapsed="false">
      <c r="A1154" s="12" t="s">
        <v>952</v>
      </c>
      <c r="B1154" s="12" t="s">
        <v>1046</v>
      </c>
      <c r="C1154" s="12" t="n">
        <v>2025</v>
      </c>
      <c r="D1154" s="12" t="n">
        <v>8</v>
      </c>
      <c r="E1154" s="12" t="n">
        <v>780.03</v>
      </c>
      <c r="F1154" s="12" t="n">
        <v>4408231</v>
      </c>
    </row>
    <row r="1155" customFormat="false" ht="15" hidden="false" customHeight="true" outlineLevel="0" collapsed="false">
      <c r="A1155" s="12" t="s">
        <v>952</v>
      </c>
      <c r="B1155" s="12" t="s">
        <v>1046</v>
      </c>
      <c r="C1155" s="12" t="n">
        <v>2026</v>
      </c>
      <c r="D1155" s="12" t="n">
        <v>7</v>
      </c>
      <c r="E1155" s="12" t="n">
        <v>630</v>
      </c>
      <c r="F1155" s="12" t="n">
        <v>4408231</v>
      </c>
    </row>
    <row r="1156" customFormat="false" ht="15" hidden="false" customHeight="true" outlineLevel="0" collapsed="false">
      <c r="A1156" s="12" t="s">
        <v>952</v>
      </c>
      <c r="B1156" s="12" t="s">
        <v>1047</v>
      </c>
      <c r="C1156" s="12" t="n">
        <v>2025</v>
      </c>
      <c r="D1156" s="12" t="n">
        <v>3</v>
      </c>
      <c r="E1156" s="12" t="n">
        <v>248.27</v>
      </c>
      <c r="F1156" s="12" t="n">
        <v>4408247</v>
      </c>
    </row>
    <row r="1157" customFormat="false" ht="15" hidden="false" customHeight="true" outlineLevel="0" collapsed="false">
      <c r="A1157" s="12" t="s">
        <v>952</v>
      </c>
      <c r="B1157" s="12" t="s">
        <v>1047</v>
      </c>
      <c r="C1157" s="12" t="n">
        <v>2026</v>
      </c>
      <c r="D1157" s="12" t="n">
        <v>2</v>
      </c>
      <c r="E1157" s="12" t="n">
        <v>187.35</v>
      </c>
      <c r="F1157" s="12" t="n">
        <v>4408247</v>
      </c>
    </row>
    <row r="1158" customFormat="false" ht="15" hidden="false" customHeight="true" outlineLevel="0" collapsed="false">
      <c r="A1158" s="12" t="s">
        <v>952</v>
      </c>
      <c r="B1158" s="12" t="s">
        <v>1048</v>
      </c>
      <c r="C1158" s="12" t="n">
        <v>2025</v>
      </c>
      <c r="D1158" s="12" t="n">
        <v>6</v>
      </c>
      <c r="E1158" s="12" t="n">
        <v>545.68</v>
      </c>
      <c r="F1158" s="12" t="n">
        <v>4408248</v>
      </c>
    </row>
    <row r="1159" customFormat="false" ht="15" hidden="false" customHeight="true" outlineLevel="0" collapsed="false">
      <c r="A1159" s="12" t="s">
        <v>952</v>
      </c>
      <c r="B1159" s="12" t="s">
        <v>1048</v>
      </c>
      <c r="C1159" s="12" t="n">
        <v>2026</v>
      </c>
      <c r="D1159" s="12" t="n">
        <v>3</v>
      </c>
      <c r="E1159" s="12" t="n">
        <v>281.02</v>
      </c>
      <c r="F1159" s="12" t="n">
        <v>4408248</v>
      </c>
    </row>
    <row r="1160" customFormat="false" ht="15" hidden="false" customHeight="true" outlineLevel="0" collapsed="false">
      <c r="A1160" s="12" t="s">
        <v>952</v>
      </c>
      <c r="B1160" s="12" t="s">
        <v>1049</v>
      </c>
      <c r="C1160" s="12" t="n">
        <v>2025</v>
      </c>
      <c r="D1160" s="12" t="n">
        <v>6</v>
      </c>
      <c r="E1160" s="12" t="n">
        <v>512.91</v>
      </c>
      <c r="F1160" s="12" t="n">
        <v>4408249</v>
      </c>
    </row>
    <row r="1161" customFormat="false" ht="15" hidden="false" customHeight="true" outlineLevel="0" collapsed="false">
      <c r="A1161" s="12" t="s">
        <v>952</v>
      </c>
      <c r="B1161" s="12" t="s">
        <v>1049</v>
      </c>
      <c r="C1161" s="12" t="n">
        <v>2026</v>
      </c>
      <c r="D1161" s="12" t="n">
        <v>2</v>
      </c>
      <c r="E1161" s="12" t="n">
        <v>187.35</v>
      </c>
      <c r="F1161" s="12" t="n">
        <v>4408249</v>
      </c>
    </row>
    <row r="1162" customFormat="false" ht="15" hidden="false" customHeight="true" outlineLevel="0" collapsed="false">
      <c r="A1162" s="12" t="s">
        <v>952</v>
      </c>
      <c r="B1162" s="12" t="s">
        <v>1050</v>
      </c>
      <c r="C1162" s="12" t="n">
        <v>2025</v>
      </c>
      <c r="D1162" s="12" t="n">
        <v>9</v>
      </c>
      <c r="E1162" s="12" t="n">
        <v>739.69</v>
      </c>
      <c r="F1162" s="12" t="n">
        <v>4408250</v>
      </c>
    </row>
    <row r="1163" customFormat="false" ht="15" hidden="false" customHeight="true" outlineLevel="0" collapsed="false">
      <c r="A1163" s="12" t="s">
        <v>952</v>
      </c>
      <c r="B1163" s="12" t="s">
        <v>1050</v>
      </c>
      <c r="C1163" s="12" t="n">
        <v>2026</v>
      </c>
      <c r="D1163" s="12" t="n">
        <v>3</v>
      </c>
      <c r="E1163" s="12" t="n">
        <v>281.03</v>
      </c>
      <c r="F1163" s="12" t="n">
        <v>4408250</v>
      </c>
    </row>
    <row r="1164" customFormat="false" ht="15" hidden="false" customHeight="true" outlineLevel="0" collapsed="false">
      <c r="A1164" s="12" t="s">
        <v>952</v>
      </c>
      <c r="B1164" s="12" t="s">
        <v>1051</v>
      </c>
      <c r="C1164" s="12" t="n">
        <v>2025</v>
      </c>
      <c r="D1164" s="12" t="n">
        <v>1</v>
      </c>
      <c r="E1164" s="12" t="n">
        <v>105</v>
      </c>
      <c r="F1164" s="12" t="n">
        <v>4408259</v>
      </c>
    </row>
    <row r="1165" customFormat="false" ht="15" hidden="false" customHeight="true" outlineLevel="0" collapsed="false">
      <c r="A1165" s="12" t="s">
        <v>952</v>
      </c>
      <c r="B1165" s="12" t="s">
        <v>1051</v>
      </c>
      <c r="C1165" s="12" t="n">
        <v>2026</v>
      </c>
      <c r="D1165" s="12" t="n">
        <v>2</v>
      </c>
      <c r="E1165" s="12" t="n">
        <v>210.01</v>
      </c>
      <c r="F1165" s="12" t="n">
        <v>4408259</v>
      </c>
    </row>
    <row r="1166" customFormat="false" ht="15" hidden="false" customHeight="true" outlineLevel="0" collapsed="false">
      <c r="A1166" s="12" t="s">
        <v>952</v>
      </c>
      <c r="B1166" s="12" t="s">
        <v>1052</v>
      </c>
      <c r="C1166" s="12" t="n">
        <v>2025</v>
      </c>
      <c r="D1166" s="12" t="n">
        <v>7</v>
      </c>
      <c r="E1166" s="12" t="n">
        <v>735</v>
      </c>
      <c r="F1166" s="12" t="n">
        <v>4408260</v>
      </c>
    </row>
    <row r="1167" customFormat="false" ht="15" hidden="false" customHeight="true" outlineLevel="0" collapsed="false">
      <c r="A1167" s="12" t="s">
        <v>952</v>
      </c>
      <c r="B1167" s="12" t="s">
        <v>1052</v>
      </c>
      <c r="C1167" s="12" t="n">
        <v>2026</v>
      </c>
      <c r="D1167" s="12" t="n">
        <v>5</v>
      </c>
      <c r="E1167" s="12" t="n">
        <v>525.01</v>
      </c>
      <c r="F1167" s="12" t="n">
        <v>4408260</v>
      </c>
    </row>
    <row r="1168" customFormat="false" ht="15" hidden="false" customHeight="true" outlineLevel="0" collapsed="false">
      <c r="A1168" s="12" t="s">
        <v>952</v>
      </c>
      <c r="B1168" s="12" t="s">
        <v>1053</v>
      </c>
      <c r="C1168" s="12" t="n">
        <v>2025</v>
      </c>
      <c r="D1168" s="12" t="n">
        <v>24</v>
      </c>
      <c r="E1168" s="12" t="n">
        <v>2704.04</v>
      </c>
      <c r="F1168" s="12" t="n">
        <v>4408261</v>
      </c>
    </row>
    <row r="1169" customFormat="false" ht="15" hidden="false" customHeight="true" outlineLevel="0" collapsed="false">
      <c r="A1169" s="12" t="s">
        <v>952</v>
      </c>
      <c r="B1169" s="12" t="s">
        <v>1053</v>
      </c>
      <c r="C1169" s="12" t="n">
        <v>2026</v>
      </c>
      <c r="D1169" s="12" t="n">
        <v>14</v>
      </c>
      <c r="E1169" s="12" t="n">
        <v>1531.38</v>
      </c>
      <c r="F1169" s="12" t="n">
        <v>4408261</v>
      </c>
    </row>
    <row r="1170" customFormat="false" ht="15" hidden="false" customHeight="true" outlineLevel="0" collapsed="false">
      <c r="A1170" s="12" t="s">
        <v>952</v>
      </c>
      <c r="B1170" s="12" t="s">
        <v>1054</v>
      </c>
      <c r="C1170" s="12" t="n">
        <v>2025</v>
      </c>
      <c r="D1170" s="12" t="n">
        <v>11</v>
      </c>
      <c r="E1170" s="12" t="n">
        <v>1155</v>
      </c>
      <c r="F1170" s="12" t="n">
        <v>4408262</v>
      </c>
    </row>
    <row r="1171" customFormat="false" ht="15" hidden="false" customHeight="true" outlineLevel="0" collapsed="false">
      <c r="A1171" s="12" t="s">
        <v>952</v>
      </c>
      <c r="B1171" s="12" t="s">
        <v>1054</v>
      </c>
      <c r="C1171" s="12" t="n">
        <v>2026</v>
      </c>
      <c r="D1171" s="12" t="n">
        <v>8</v>
      </c>
      <c r="E1171" s="12" t="n">
        <v>962.71</v>
      </c>
      <c r="F1171" s="12" t="n">
        <v>4408262</v>
      </c>
    </row>
    <row r="1172" customFormat="false" ht="15" hidden="false" customHeight="true" outlineLevel="0" collapsed="false">
      <c r="A1172" s="12" t="s">
        <v>952</v>
      </c>
      <c r="B1172" s="12" t="s">
        <v>1055</v>
      </c>
      <c r="C1172" s="12" t="n">
        <v>2025</v>
      </c>
      <c r="D1172" s="12" t="n">
        <v>14</v>
      </c>
      <c r="E1172" s="12" t="n">
        <v>1530.41</v>
      </c>
      <c r="F1172" s="12" t="n">
        <v>4408263</v>
      </c>
    </row>
    <row r="1173" customFormat="false" ht="15" hidden="false" customHeight="true" outlineLevel="0" collapsed="false">
      <c r="A1173" s="12" t="s">
        <v>952</v>
      </c>
      <c r="B1173" s="12" t="s">
        <v>1055</v>
      </c>
      <c r="C1173" s="12" t="n">
        <v>2026</v>
      </c>
      <c r="D1173" s="12" t="n">
        <v>6</v>
      </c>
      <c r="E1173" s="12" t="n">
        <v>630.01</v>
      </c>
      <c r="F1173" s="12" t="n">
        <v>4408263</v>
      </c>
    </row>
    <row r="1174" customFormat="false" ht="15" hidden="false" customHeight="true" outlineLevel="0" collapsed="false">
      <c r="A1174" s="12" t="s">
        <v>952</v>
      </c>
      <c r="B1174" s="12" t="s">
        <v>1056</v>
      </c>
      <c r="C1174" s="12" t="n">
        <v>2025</v>
      </c>
      <c r="D1174" s="12" t="n">
        <v>1</v>
      </c>
      <c r="E1174" s="12" t="n">
        <v>42.5</v>
      </c>
      <c r="F1174" s="12" t="n">
        <v>4408264</v>
      </c>
    </row>
    <row r="1175" customFormat="false" ht="15" hidden="false" customHeight="true" outlineLevel="0" collapsed="false">
      <c r="A1175" s="12" t="s">
        <v>952</v>
      </c>
      <c r="B1175" s="12" t="s">
        <v>1056</v>
      </c>
      <c r="C1175" s="12" t="n">
        <v>2026</v>
      </c>
      <c r="D1175" s="12" t="n">
        <v>1</v>
      </c>
      <c r="E1175" s="12" t="n">
        <v>46.82</v>
      </c>
      <c r="F1175" s="12" t="n">
        <v>4408264</v>
      </c>
    </row>
    <row r="1176" customFormat="false" ht="15" hidden="false" customHeight="true" outlineLevel="0" collapsed="false">
      <c r="A1176" s="12" t="s">
        <v>952</v>
      </c>
      <c r="B1176" s="12" t="s">
        <v>1057</v>
      </c>
      <c r="C1176" s="12" t="n">
        <v>2025</v>
      </c>
      <c r="D1176" s="12" t="n">
        <v>4</v>
      </c>
      <c r="E1176" s="12" t="n">
        <v>337.28</v>
      </c>
      <c r="F1176" s="12" t="n">
        <v>4408266</v>
      </c>
    </row>
    <row r="1177" customFormat="false" ht="15" hidden="false" customHeight="true" outlineLevel="0" collapsed="false">
      <c r="A1177" s="12" t="s">
        <v>952</v>
      </c>
      <c r="B1177" s="12" t="s">
        <v>1057</v>
      </c>
      <c r="C1177" s="12" t="n">
        <v>2026</v>
      </c>
      <c r="D1177" s="12" t="n">
        <v>13</v>
      </c>
      <c r="E1177" s="12" t="n">
        <v>1096.15</v>
      </c>
      <c r="F1177" s="12" t="n">
        <v>4408266</v>
      </c>
    </row>
    <row r="1178" customFormat="false" ht="15" hidden="false" customHeight="true" outlineLevel="0" collapsed="false">
      <c r="A1178" s="12" t="s">
        <v>952</v>
      </c>
      <c r="B1178" s="12" t="s">
        <v>1058</v>
      </c>
      <c r="C1178" s="12" t="n">
        <v>2025</v>
      </c>
      <c r="D1178" s="12" t="n">
        <v>1</v>
      </c>
      <c r="E1178" s="12" t="n">
        <v>260</v>
      </c>
      <c r="F1178" s="12" t="n">
        <v>4408271</v>
      </c>
    </row>
    <row r="1179" customFormat="false" ht="15" hidden="false" customHeight="true" outlineLevel="0" collapsed="false">
      <c r="A1179" s="12" t="s">
        <v>952</v>
      </c>
      <c r="B1179" s="12" t="s">
        <v>1058</v>
      </c>
      <c r="C1179" s="12" t="n">
        <v>2026</v>
      </c>
      <c r="D1179" s="12" t="n">
        <v>2</v>
      </c>
      <c r="E1179" s="12" t="n">
        <v>583.38</v>
      </c>
      <c r="F1179" s="12" t="n">
        <v>4408271</v>
      </c>
    </row>
    <row r="1180" customFormat="false" ht="15" hidden="false" customHeight="true" outlineLevel="0" collapsed="false">
      <c r="A1180" s="12" t="s">
        <v>952</v>
      </c>
      <c r="B1180" s="12" t="s">
        <v>1059</v>
      </c>
      <c r="C1180" s="12" t="n">
        <v>2025</v>
      </c>
      <c r="D1180" s="12" t="n">
        <v>7</v>
      </c>
      <c r="E1180" s="12" t="n">
        <v>101.04</v>
      </c>
      <c r="F1180" s="12" t="n">
        <v>4409000</v>
      </c>
    </row>
    <row r="1181" customFormat="false" ht="15" hidden="false" customHeight="true" outlineLevel="0" collapsed="false">
      <c r="A1181" s="12" t="s">
        <v>952</v>
      </c>
      <c r="B1181" s="12" t="s">
        <v>1059</v>
      </c>
      <c r="C1181" s="12" t="n">
        <v>2026</v>
      </c>
      <c r="D1181" s="12" t="n">
        <v>15</v>
      </c>
      <c r="E1181" s="12" t="n">
        <v>217.22</v>
      </c>
      <c r="F1181" s="12" t="n">
        <v>4409000</v>
      </c>
    </row>
    <row r="1182" customFormat="false" ht="15" hidden="false" customHeight="true" outlineLevel="0" collapsed="false">
      <c r="A1182" s="12" t="s">
        <v>952</v>
      </c>
      <c r="B1182" s="12" t="s">
        <v>1060</v>
      </c>
      <c r="C1182" s="12" t="n">
        <v>2025</v>
      </c>
      <c r="D1182" s="12" t="n">
        <v>6</v>
      </c>
      <c r="E1182" s="12" t="n">
        <v>70.6</v>
      </c>
      <c r="F1182" s="12" t="n">
        <v>4409001</v>
      </c>
    </row>
    <row r="1183" customFormat="false" ht="15" hidden="false" customHeight="true" outlineLevel="0" collapsed="false">
      <c r="A1183" s="12" t="s">
        <v>952</v>
      </c>
      <c r="B1183" s="12" t="s">
        <v>1060</v>
      </c>
      <c r="C1183" s="12" t="n">
        <v>2026</v>
      </c>
      <c r="D1183" s="12" t="n">
        <v>5</v>
      </c>
      <c r="E1183" s="12" t="n">
        <v>70.09</v>
      </c>
      <c r="F1183" s="12" t="n">
        <v>4409001</v>
      </c>
    </row>
    <row r="1184" customFormat="false" ht="15" hidden="false" customHeight="true" outlineLevel="0" collapsed="false">
      <c r="A1184" s="12" t="s">
        <v>952</v>
      </c>
      <c r="B1184" s="12" t="s">
        <v>1061</v>
      </c>
      <c r="C1184" s="12" t="n">
        <v>2025</v>
      </c>
      <c r="D1184" s="12" t="n">
        <v>3</v>
      </c>
      <c r="E1184" s="12" t="n">
        <v>70.17</v>
      </c>
      <c r="F1184" s="12" t="n">
        <v>4409004</v>
      </c>
    </row>
    <row r="1185" customFormat="false" ht="15" hidden="false" customHeight="true" outlineLevel="0" collapsed="false">
      <c r="A1185" s="12" t="s">
        <v>952</v>
      </c>
      <c r="B1185" s="12" t="s">
        <v>1062</v>
      </c>
      <c r="C1185" s="12" t="n">
        <v>2025</v>
      </c>
      <c r="D1185" s="12" t="n">
        <v>5</v>
      </c>
      <c r="E1185" s="12" t="n">
        <v>184.45</v>
      </c>
      <c r="F1185" s="12" t="n">
        <v>4409014</v>
      </c>
    </row>
    <row r="1186" customFormat="false" ht="15" hidden="false" customHeight="true" outlineLevel="0" collapsed="false">
      <c r="A1186" s="12" t="s">
        <v>952</v>
      </c>
      <c r="B1186" s="12" t="s">
        <v>1063</v>
      </c>
      <c r="C1186" s="12" t="n">
        <v>2025</v>
      </c>
      <c r="D1186" s="12" t="n">
        <v>1</v>
      </c>
      <c r="E1186" s="12" t="n">
        <v>30</v>
      </c>
      <c r="F1186" s="12" t="n">
        <v>4409015</v>
      </c>
    </row>
    <row r="1187" customFormat="false" ht="15" hidden="false" customHeight="true" outlineLevel="0" collapsed="false">
      <c r="A1187" s="12" t="s">
        <v>952</v>
      </c>
      <c r="B1187" s="12" t="s">
        <v>1063</v>
      </c>
      <c r="C1187" s="12" t="n">
        <v>2026</v>
      </c>
      <c r="D1187" s="12" t="n">
        <v>3</v>
      </c>
      <c r="E1187" s="12" t="n">
        <v>90</v>
      </c>
      <c r="F1187" s="12" t="n">
        <v>4409015</v>
      </c>
    </row>
    <row r="1188" customFormat="false" ht="15" hidden="false" customHeight="true" outlineLevel="0" collapsed="false">
      <c r="A1188" s="12" t="s">
        <v>952</v>
      </c>
      <c r="B1188" s="12" t="s">
        <v>1064</v>
      </c>
      <c r="C1188" s="12" t="n">
        <v>2025</v>
      </c>
      <c r="D1188" s="12" t="n">
        <v>16</v>
      </c>
      <c r="E1188" s="12" t="n">
        <v>575.53</v>
      </c>
      <c r="F1188" s="12" t="n">
        <v>4409016</v>
      </c>
    </row>
    <row r="1189" customFormat="false" ht="15" hidden="false" customHeight="true" outlineLevel="0" collapsed="false">
      <c r="A1189" s="12" t="s">
        <v>952</v>
      </c>
      <c r="B1189" s="12" t="s">
        <v>1064</v>
      </c>
      <c r="C1189" s="12" t="n">
        <v>2026</v>
      </c>
      <c r="D1189" s="12" t="n">
        <v>7</v>
      </c>
      <c r="E1189" s="12" t="n">
        <v>210</v>
      </c>
      <c r="F1189" s="12" t="n">
        <v>4409016</v>
      </c>
    </row>
    <row r="1190" customFormat="false" ht="15" hidden="false" customHeight="true" outlineLevel="0" collapsed="false">
      <c r="A1190" s="12" t="s">
        <v>952</v>
      </c>
      <c r="B1190" s="12" t="s">
        <v>1065</v>
      </c>
      <c r="C1190" s="12" t="n">
        <v>2025</v>
      </c>
      <c r="D1190" s="12" t="n">
        <v>7</v>
      </c>
      <c r="E1190" s="12" t="n">
        <v>210</v>
      </c>
      <c r="F1190" s="12" t="n">
        <v>4409017</v>
      </c>
    </row>
    <row r="1191" customFormat="false" ht="15" hidden="false" customHeight="true" outlineLevel="0" collapsed="false">
      <c r="A1191" s="12" t="s">
        <v>952</v>
      </c>
      <c r="B1191" s="12" t="s">
        <v>1065</v>
      </c>
      <c r="C1191" s="12" t="n">
        <v>2026</v>
      </c>
      <c r="D1191" s="12" t="n">
        <v>3</v>
      </c>
      <c r="E1191" s="12" t="n">
        <v>90</v>
      </c>
      <c r="F1191" s="12" t="n">
        <v>4409017</v>
      </c>
    </row>
    <row r="1192" customFormat="false" ht="15" hidden="false" customHeight="true" outlineLevel="0" collapsed="false">
      <c r="A1192" s="12" t="s">
        <v>952</v>
      </c>
      <c r="B1192" s="12" t="s">
        <v>1066</v>
      </c>
      <c r="C1192" s="12" t="n">
        <v>2025</v>
      </c>
      <c r="D1192" s="12" t="n">
        <v>45</v>
      </c>
      <c r="E1192" s="12" t="n">
        <v>1315.69</v>
      </c>
      <c r="F1192" s="12" t="n">
        <v>4411000</v>
      </c>
    </row>
    <row r="1193" customFormat="false" ht="15" hidden="false" customHeight="true" outlineLevel="0" collapsed="false">
      <c r="A1193" s="12" t="s">
        <v>952</v>
      </c>
      <c r="B1193" s="12" t="s">
        <v>1066</v>
      </c>
      <c r="C1193" s="12" t="n">
        <v>2026</v>
      </c>
      <c r="D1193" s="12" t="n">
        <v>35</v>
      </c>
      <c r="E1193" s="12" t="n">
        <v>1064.7</v>
      </c>
      <c r="F1193" s="12" t="n">
        <v>4411000</v>
      </c>
    </row>
    <row r="1194" customFormat="false" ht="15" hidden="false" customHeight="true" outlineLevel="0" collapsed="false">
      <c r="A1194" s="12" t="s">
        <v>952</v>
      </c>
      <c r="B1194" s="12" t="s">
        <v>1067</v>
      </c>
      <c r="C1194" s="12" t="n">
        <v>2025</v>
      </c>
      <c r="D1194" s="12" t="n">
        <v>60</v>
      </c>
      <c r="E1194" s="12" t="n">
        <v>1707.12</v>
      </c>
      <c r="F1194" s="12" t="n">
        <v>4411001</v>
      </c>
    </row>
    <row r="1195" customFormat="false" ht="15" hidden="false" customHeight="true" outlineLevel="0" collapsed="false">
      <c r="A1195" s="12" t="s">
        <v>952</v>
      </c>
      <c r="B1195" s="12" t="s">
        <v>1067</v>
      </c>
      <c r="C1195" s="12" t="n">
        <v>2026</v>
      </c>
      <c r="D1195" s="12" t="n">
        <v>27</v>
      </c>
      <c r="E1195" s="12" t="n">
        <v>770.7</v>
      </c>
      <c r="F1195" s="12" t="n">
        <v>4411001</v>
      </c>
    </row>
    <row r="1196" customFormat="false" ht="15" hidden="false" customHeight="true" outlineLevel="0" collapsed="false">
      <c r="A1196" s="12" t="s">
        <v>952</v>
      </c>
      <c r="B1196" s="12" t="s">
        <v>1068</v>
      </c>
      <c r="C1196" s="12" t="n">
        <v>2025</v>
      </c>
      <c r="D1196" s="12" t="n">
        <v>1</v>
      </c>
      <c r="E1196" s="12" t="n">
        <v>47.3</v>
      </c>
      <c r="F1196" s="12" t="n">
        <v>4411015</v>
      </c>
    </row>
    <row r="1197" customFormat="false" ht="15" hidden="false" customHeight="true" outlineLevel="0" collapsed="false">
      <c r="A1197" s="12" t="s">
        <v>952</v>
      </c>
      <c r="B1197" s="12" t="s">
        <v>1069</v>
      </c>
      <c r="C1197" s="12" t="n">
        <v>2025</v>
      </c>
      <c r="D1197" s="12" t="n">
        <v>3</v>
      </c>
      <c r="E1197" s="12" t="n">
        <v>276.87</v>
      </c>
      <c r="F1197" s="12" t="n">
        <v>4411016</v>
      </c>
    </row>
    <row r="1198" customFormat="false" ht="15" hidden="false" customHeight="true" outlineLevel="0" collapsed="false">
      <c r="A1198" s="12" t="s">
        <v>952</v>
      </c>
      <c r="B1198" s="12" t="s">
        <v>1069</v>
      </c>
      <c r="C1198" s="12" t="n">
        <v>2026</v>
      </c>
      <c r="D1198" s="12" t="n">
        <v>2</v>
      </c>
      <c r="E1198" s="12" t="n">
        <v>184.58</v>
      </c>
      <c r="F1198" s="12" t="n">
        <v>4411016</v>
      </c>
    </row>
    <row r="1199" customFormat="false" ht="15" hidden="false" customHeight="true" outlineLevel="0" collapsed="false">
      <c r="A1199" s="12" t="s">
        <v>952</v>
      </c>
      <c r="B1199" s="12" t="s">
        <v>1070</v>
      </c>
      <c r="C1199" s="12" t="n">
        <v>2026</v>
      </c>
      <c r="D1199" s="12" t="n">
        <v>3</v>
      </c>
      <c r="E1199" s="12" t="n">
        <v>119.39</v>
      </c>
      <c r="F1199" s="12" t="n">
        <v>4411021</v>
      </c>
    </row>
    <row r="1200" customFormat="false" ht="15" hidden="false" customHeight="true" outlineLevel="0" collapsed="false">
      <c r="A1200" s="12" t="s">
        <v>952</v>
      </c>
      <c r="B1200" s="12" t="s">
        <v>1071</v>
      </c>
      <c r="C1200" s="12" t="n">
        <v>2025</v>
      </c>
      <c r="D1200" s="12" t="n">
        <v>5</v>
      </c>
      <c r="E1200" s="12" t="n">
        <v>185.81</v>
      </c>
      <c r="F1200" s="12" t="n">
        <v>4411022</v>
      </c>
    </row>
    <row r="1201" customFormat="false" ht="15" hidden="false" customHeight="true" outlineLevel="0" collapsed="false">
      <c r="A1201" s="12" t="s">
        <v>952</v>
      </c>
      <c r="B1201" s="12" t="s">
        <v>1071</v>
      </c>
      <c r="C1201" s="12" t="n">
        <v>2026</v>
      </c>
      <c r="D1201" s="12" t="n">
        <v>2</v>
      </c>
      <c r="E1201" s="12" t="n">
        <v>79.6</v>
      </c>
      <c r="F1201" s="12" t="n">
        <v>4411022</v>
      </c>
    </row>
    <row r="1202" customFormat="false" ht="15" hidden="false" customHeight="true" outlineLevel="0" collapsed="false">
      <c r="A1202" s="12" t="s">
        <v>952</v>
      </c>
      <c r="B1202" s="12" t="s">
        <v>1072</v>
      </c>
      <c r="C1202" s="12" t="n">
        <v>2025</v>
      </c>
      <c r="D1202" s="12" t="n">
        <v>4</v>
      </c>
      <c r="E1202" s="12" t="n">
        <v>150.4</v>
      </c>
      <c r="F1202" s="12" t="n">
        <v>4411023</v>
      </c>
    </row>
    <row r="1203" customFormat="false" ht="15" hidden="false" customHeight="true" outlineLevel="0" collapsed="false">
      <c r="A1203" s="12" t="s">
        <v>952</v>
      </c>
      <c r="B1203" s="12" t="s">
        <v>1072</v>
      </c>
      <c r="C1203" s="12" t="n">
        <v>2026</v>
      </c>
      <c r="D1203" s="12" t="n">
        <v>3</v>
      </c>
      <c r="E1203" s="12" t="n">
        <v>119.38</v>
      </c>
      <c r="F1203" s="12" t="n">
        <v>4411023</v>
      </c>
    </row>
    <row r="1204" customFormat="false" ht="15" hidden="false" customHeight="true" outlineLevel="0" collapsed="false">
      <c r="A1204" s="12" t="s">
        <v>952</v>
      </c>
      <c r="B1204" s="12" t="s">
        <v>1073</v>
      </c>
      <c r="C1204" s="12" t="n">
        <v>2025</v>
      </c>
      <c r="D1204" s="12" t="n">
        <v>19</v>
      </c>
      <c r="E1204" s="12" t="n">
        <v>346.57</v>
      </c>
      <c r="F1204" s="12" t="n">
        <v>4413033</v>
      </c>
    </row>
    <row r="1205" customFormat="false" ht="15" hidden="false" customHeight="true" outlineLevel="0" collapsed="false">
      <c r="A1205" s="12" t="s">
        <v>952</v>
      </c>
      <c r="B1205" s="12" t="s">
        <v>1073</v>
      </c>
      <c r="C1205" s="12" t="n">
        <v>2026</v>
      </c>
      <c r="D1205" s="12" t="n">
        <v>13</v>
      </c>
      <c r="E1205" s="12" t="n">
        <v>243.16</v>
      </c>
      <c r="F1205" s="12" t="n">
        <v>4413033</v>
      </c>
    </row>
    <row r="1206" customFormat="false" ht="15" hidden="false" customHeight="true" outlineLevel="0" collapsed="false">
      <c r="A1206" s="12" t="s">
        <v>952</v>
      </c>
      <c r="B1206" s="12" t="s">
        <v>1074</v>
      </c>
      <c r="C1206" s="12" t="n">
        <v>2025</v>
      </c>
      <c r="D1206" s="12" t="n">
        <v>6</v>
      </c>
      <c r="E1206" s="12" t="n">
        <v>131.89</v>
      </c>
      <c r="F1206" s="12" t="n">
        <v>4413034</v>
      </c>
    </row>
    <row r="1207" customFormat="false" ht="15" hidden="false" customHeight="true" outlineLevel="0" collapsed="false">
      <c r="A1207" s="12" t="s">
        <v>952</v>
      </c>
      <c r="B1207" s="12" t="s">
        <v>1074</v>
      </c>
      <c r="C1207" s="12" t="n">
        <v>2026</v>
      </c>
      <c r="D1207" s="12" t="n">
        <v>3</v>
      </c>
      <c r="E1207" s="12" t="n">
        <v>65.95</v>
      </c>
      <c r="F1207" s="12" t="n">
        <v>4413034</v>
      </c>
    </row>
    <row r="1208" customFormat="false" ht="15" hidden="false" customHeight="true" outlineLevel="0" collapsed="false">
      <c r="A1208" s="12" t="s">
        <v>952</v>
      </c>
      <c r="B1208" s="12" t="s">
        <v>1075</v>
      </c>
      <c r="C1208" s="12" t="n">
        <v>2025</v>
      </c>
      <c r="D1208" s="12" t="n">
        <v>5</v>
      </c>
      <c r="E1208" s="12" t="n">
        <v>234.1</v>
      </c>
      <c r="F1208" s="12" t="n">
        <v>4413041</v>
      </c>
    </row>
    <row r="1209" customFormat="false" ht="15" hidden="false" customHeight="true" outlineLevel="0" collapsed="false">
      <c r="A1209" s="12" t="s">
        <v>952</v>
      </c>
      <c r="B1209" s="12" t="s">
        <v>1075</v>
      </c>
      <c r="C1209" s="12" t="n">
        <v>2026</v>
      </c>
      <c r="D1209" s="12" t="n">
        <v>11</v>
      </c>
      <c r="E1209" s="12" t="n">
        <v>515.04</v>
      </c>
      <c r="F1209" s="12" t="n">
        <v>4413041</v>
      </c>
    </row>
    <row r="1210" customFormat="false" ht="15" hidden="false" customHeight="true" outlineLevel="0" collapsed="false">
      <c r="A1210" s="12" t="s">
        <v>952</v>
      </c>
      <c r="B1210" s="12" t="s">
        <v>1076</v>
      </c>
      <c r="C1210" s="12" t="n">
        <v>2026</v>
      </c>
      <c r="D1210" s="12" t="n">
        <v>2</v>
      </c>
      <c r="E1210" s="12" t="n">
        <v>93.65</v>
      </c>
      <c r="F1210" s="12" t="n">
        <v>4413042</v>
      </c>
    </row>
    <row r="1211" customFormat="false" ht="15" hidden="false" customHeight="true" outlineLevel="0" collapsed="false">
      <c r="A1211" s="12" t="s">
        <v>952</v>
      </c>
      <c r="B1211" s="12" t="s">
        <v>1077</v>
      </c>
      <c r="C1211" s="12" t="n">
        <v>2025</v>
      </c>
      <c r="D1211" s="12" t="n">
        <v>4</v>
      </c>
      <c r="E1211" s="12" t="n">
        <v>187.28</v>
      </c>
      <c r="F1211" s="12" t="n">
        <v>4413043</v>
      </c>
    </row>
    <row r="1212" customFormat="false" ht="15" hidden="false" customHeight="true" outlineLevel="0" collapsed="false">
      <c r="A1212" s="12" t="s">
        <v>952</v>
      </c>
      <c r="B1212" s="12" t="s">
        <v>1077</v>
      </c>
      <c r="C1212" s="12" t="n">
        <v>2026</v>
      </c>
      <c r="D1212" s="12" t="n">
        <v>1</v>
      </c>
      <c r="E1212" s="12" t="n">
        <v>46.82</v>
      </c>
      <c r="F1212" s="12" t="n">
        <v>4413043</v>
      </c>
    </row>
    <row r="1213" customFormat="false" ht="15" hidden="false" customHeight="true" outlineLevel="0" collapsed="false">
      <c r="A1213" s="12" t="s">
        <v>952</v>
      </c>
      <c r="B1213" s="12" t="s">
        <v>1078</v>
      </c>
      <c r="C1213" s="12" t="n">
        <v>2025</v>
      </c>
      <c r="D1213" s="12" t="n">
        <v>1</v>
      </c>
      <c r="E1213" s="12" t="n">
        <v>46.82</v>
      </c>
      <c r="F1213" s="12" t="n">
        <v>4413044</v>
      </c>
    </row>
    <row r="1214" customFormat="false" ht="15" hidden="false" customHeight="true" outlineLevel="0" collapsed="false">
      <c r="A1214" s="12" t="s">
        <v>952</v>
      </c>
      <c r="B1214" s="12" t="s">
        <v>1078</v>
      </c>
      <c r="C1214" s="12" t="n">
        <v>2026</v>
      </c>
      <c r="D1214" s="12" t="n">
        <v>5</v>
      </c>
      <c r="E1214" s="12" t="n">
        <v>234.11</v>
      </c>
      <c r="F1214" s="12" t="n">
        <v>4413044</v>
      </c>
    </row>
    <row r="1215" customFormat="false" ht="15" hidden="false" customHeight="true" outlineLevel="0" collapsed="false">
      <c r="A1215" s="12" t="s">
        <v>952</v>
      </c>
      <c r="B1215" s="12" t="s">
        <v>1079</v>
      </c>
      <c r="C1215" s="12" t="n">
        <v>2025</v>
      </c>
      <c r="D1215" s="12" t="n">
        <v>1</v>
      </c>
      <c r="E1215" s="12" t="n">
        <v>29.74</v>
      </c>
      <c r="F1215" s="12" t="n">
        <v>4413047</v>
      </c>
    </row>
    <row r="1216" customFormat="false" ht="15" hidden="false" customHeight="true" outlineLevel="0" collapsed="false">
      <c r="A1216" s="12" t="s">
        <v>952</v>
      </c>
      <c r="B1216" s="12" t="s">
        <v>1080</v>
      </c>
      <c r="C1216" s="12" t="n">
        <v>2025</v>
      </c>
      <c r="D1216" s="12" t="n">
        <v>5</v>
      </c>
      <c r="E1216" s="12" t="n">
        <v>154.45</v>
      </c>
      <c r="F1216" s="12" t="n">
        <v>4413048</v>
      </c>
    </row>
    <row r="1217" customFormat="false" ht="15" hidden="false" customHeight="true" outlineLevel="0" collapsed="false">
      <c r="A1217" s="12" t="s">
        <v>952</v>
      </c>
      <c r="B1217" s="12" t="s">
        <v>1081</v>
      </c>
      <c r="C1217" s="12" t="n">
        <v>2025</v>
      </c>
      <c r="D1217" s="12" t="n">
        <v>9</v>
      </c>
      <c r="E1217" s="12" t="n">
        <v>278.01</v>
      </c>
      <c r="F1217" s="12" t="n">
        <v>4413049</v>
      </c>
    </row>
    <row r="1218" customFormat="false" ht="15" hidden="false" customHeight="true" outlineLevel="0" collapsed="false">
      <c r="A1218" s="12" t="s">
        <v>952</v>
      </c>
      <c r="B1218" s="12" t="s">
        <v>1082</v>
      </c>
      <c r="C1218" s="12" t="n">
        <v>2025</v>
      </c>
      <c r="D1218" s="12" t="n">
        <v>11</v>
      </c>
      <c r="E1218" s="12" t="n">
        <v>339.8</v>
      </c>
      <c r="F1218" s="12" t="n">
        <v>4413050</v>
      </c>
    </row>
    <row r="1219" customFormat="false" ht="15" hidden="false" customHeight="true" outlineLevel="0" collapsed="false">
      <c r="A1219" s="12" t="s">
        <v>952</v>
      </c>
      <c r="B1219" s="12" t="s">
        <v>1082</v>
      </c>
      <c r="C1219" s="12" t="n">
        <v>2026</v>
      </c>
      <c r="D1219" s="12" t="n">
        <v>3</v>
      </c>
      <c r="E1219" s="12" t="n">
        <v>92.68</v>
      </c>
      <c r="F1219" s="12" t="n">
        <v>4413050</v>
      </c>
    </row>
    <row r="1220" customFormat="false" ht="15" hidden="false" customHeight="true" outlineLevel="0" collapsed="false">
      <c r="A1220" s="12" t="s">
        <v>952</v>
      </c>
      <c r="B1220" s="12" t="s">
        <v>1083</v>
      </c>
      <c r="C1220" s="12" t="n">
        <v>2025</v>
      </c>
      <c r="D1220" s="12" t="n">
        <v>1</v>
      </c>
      <c r="E1220" s="12" t="n">
        <v>29.74</v>
      </c>
      <c r="F1220" s="12" t="n">
        <v>4413051</v>
      </c>
    </row>
    <row r="1221" customFormat="false" ht="15" hidden="false" customHeight="true" outlineLevel="0" collapsed="false">
      <c r="A1221" s="12" t="s">
        <v>952</v>
      </c>
      <c r="B1221" s="12" t="s">
        <v>1084</v>
      </c>
      <c r="C1221" s="12" t="n">
        <v>2025</v>
      </c>
      <c r="D1221" s="12" t="n">
        <v>5</v>
      </c>
      <c r="E1221" s="12" t="n">
        <v>154.46</v>
      </c>
      <c r="F1221" s="12" t="n">
        <v>4413052</v>
      </c>
    </row>
    <row r="1222" customFormat="false" ht="15" hidden="false" customHeight="true" outlineLevel="0" collapsed="false">
      <c r="A1222" s="12" t="s">
        <v>952</v>
      </c>
      <c r="B1222" s="12" t="s">
        <v>1084</v>
      </c>
      <c r="C1222" s="12" t="n">
        <v>2026</v>
      </c>
      <c r="D1222" s="12" t="n">
        <v>8</v>
      </c>
      <c r="E1222" s="12" t="n">
        <v>247.12</v>
      </c>
      <c r="F1222" s="12" t="n">
        <v>4413052</v>
      </c>
    </row>
    <row r="1223" customFormat="false" ht="15" hidden="false" customHeight="true" outlineLevel="0" collapsed="false">
      <c r="A1223" s="12" t="s">
        <v>952</v>
      </c>
      <c r="B1223" s="12" t="s">
        <v>1085</v>
      </c>
      <c r="C1223" s="12" t="n">
        <v>2025</v>
      </c>
      <c r="D1223" s="12" t="n">
        <v>10</v>
      </c>
      <c r="E1223" s="12" t="n">
        <v>306.6</v>
      </c>
      <c r="F1223" s="12" t="n">
        <v>4413053</v>
      </c>
    </row>
    <row r="1224" customFormat="false" ht="15" hidden="false" customHeight="true" outlineLevel="0" collapsed="false">
      <c r="A1224" s="12" t="s">
        <v>952</v>
      </c>
      <c r="B1224" s="12" t="s">
        <v>1085</v>
      </c>
      <c r="C1224" s="12" t="n">
        <v>2026</v>
      </c>
      <c r="D1224" s="12" t="n">
        <v>5</v>
      </c>
      <c r="E1224" s="12" t="n">
        <v>154.45</v>
      </c>
      <c r="F1224" s="12" t="n">
        <v>4413053</v>
      </c>
    </row>
    <row r="1225" customFormat="false" ht="15" hidden="false" customHeight="true" outlineLevel="0" collapsed="false">
      <c r="A1225" s="12" t="s">
        <v>952</v>
      </c>
      <c r="B1225" s="12" t="s">
        <v>1086</v>
      </c>
      <c r="C1225" s="12" t="n">
        <v>2025</v>
      </c>
      <c r="D1225" s="12" t="n">
        <v>11</v>
      </c>
      <c r="E1225" s="12" t="n">
        <v>338.64</v>
      </c>
      <c r="F1225" s="12" t="n">
        <v>4413054</v>
      </c>
    </row>
    <row r="1226" customFormat="false" ht="15" hidden="false" customHeight="true" outlineLevel="0" collapsed="false">
      <c r="A1226" s="12" t="s">
        <v>952</v>
      </c>
      <c r="B1226" s="12" t="s">
        <v>1086</v>
      </c>
      <c r="C1226" s="12" t="n">
        <v>2026</v>
      </c>
      <c r="D1226" s="12" t="n">
        <v>4</v>
      </c>
      <c r="E1226" s="12" t="n">
        <v>123.57</v>
      </c>
      <c r="F1226" s="12" t="n">
        <v>4413054</v>
      </c>
    </row>
    <row r="1227" customFormat="false" ht="15" hidden="false" customHeight="true" outlineLevel="0" collapsed="false">
      <c r="A1227" s="12" t="s">
        <v>952</v>
      </c>
      <c r="B1227" s="12" t="s">
        <v>1087</v>
      </c>
      <c r="C1227" s="12" t="n">
        <v>2025</v>
      </c>
      <c r="D1227" s="12" t="n">
        <v>3</v>
      </c>
      <c r="E1227" s="12" t="n">
        <v>92.68</v>
      </c>
      <c r="F1227" s="12" t="n">
        <v>4413055</v>
      </c>
    </row>
    <row r="1228" customFormat="false" ht="15" hidden="false" customHeight="true" outlineLevel="0" collapsed="false">
      <c r="A1228" s="12" t="s">
        <v>952</v>
      </c>
      <c r="B1228" s="12" t="s">
        <v>1087</v>
      </c>
      <c r="C1228" s="12" t="n">
        <v>2026</v>
      </c>
      <c r="D1228" s="12" t="n">
        <v>3</v>
      </c>
      <c r="E1228" s="12" t="n">
        <v>92.67</v>
      </c>
      <c r="F1228" s="12" t="n">
        <v>4413055</v>
      </c>
    </row>
    <row r="1229" customFormat="false" ht="15" hidden="false" customHeight="true" outlineLevel="0" collapsed="false">
      <c r="A1229" s="12" t="s">
        <v>952</v>
      </c>
      <c r="B1229" s="12" t="s">
        <v>1088</v>
      </c>
      <c r="C1229" s="12" t="n">
        <v>2025</v>
      </c>
      <c r="D1229" s="12" t="n">
        <v>4</v>
      </c>
      <c r="E1229" s="12" t="n">
        <v>94.62</v>
      </c>
      <c r="F1229" s="12" t="n">
        <v>4413056</v>
      </c>
    </row>
    <row r="1230" customFormat="false" ht="15" hidden="false" customHeight="true" outlineLevel="0" collapsed="false">
      <c r="A1230" s="12" t="s">
        <v>952</v>
      </c>
      <c r="B1230" s="12" t="s">
        <v>1088</v>
      </c>
      <c r="C1230" s="12" t="n">
        <v>2026</v>
      </c>
      <c r="D1230" s="12" t="n">
        <v>9</v>
      </c>
      <c r="E1230" s="12" t="n">
        <v>214.73</v>
      </c>
      <c r="F1230" s="12" t="n">
        <v>4413056</v>
      </c>
    </row>
    <row r="1231" customFormat="false" ht="15" hidden="false" customHeight="true" outlineLevel="0" collapsed="false">
      <c r="A1231" s="12" t="s">
        <v>952</v>
      </c>
      <c r="B1231" s="12" t="s">
        <v>1089</v>
      </c>
      <c r="C1231" s="12" t="n">
        <v>2026</v>
      </c>
      <c r="D1231" s="12" t="n">
        <v>4</v>
      </c>
      <c r="E1231" s="12" t="n">
        <v>131.1</v>
      </c>
      <c r="F1231" s="12" t="n">
        <v>4413058</v>
      </c>
    </row>
    <row r="1232" customFormat="false" ht="15" hidden="false" customHeight="true" outlineLevel="0" collapsed="false">
      <c r="A1232" s="12" t="s">
        <v>952</v>
      </c>
      <c r="B1232" s="12" t="s">
        <v>1090</v>
      </c>
      <c r="C1232" s="12" t="n">
        <v>2025</v>
      </c>
      <c r="D1232" s="12" t="n">
        <v>35</v>
      </c>
      <c r="E1232" s="12" t="n">
        <v>486.18</v>
      </c>
      <c r="F1232" s="12" t="n">
        <v>4413059</v>
      </c>
    </row>
    <row r="1233" customFormat="false" ht="15" hidden="false" customHeight="true" outlineLevel="0" collapsed="false">
      <c r="A1233" s="12" t="s">
        <v>952</v>
      </c>
      <c r="B1233" s="12" t="s">
        <v>1090</v>
      </c>
      <c r="C1233" s="12" t="n">
        <v>2026</v>
      </c>
      <c r="D1233" s="12" t="n">
        <v>12</v>
      </c>
      <c r="E1233" s="12" t="n">
        <v>173.78</v>
      </c>
      <c r="F1233" s="12" t="n">
        <v>4413059</v>
      </c>
    </row>
    <row r="1234" customFormat="false" ht="15" hidden="false" customHeight="true" outlineLevel="0" collapsed="false">
      <c r="A1234" s="12" t="s">
        <v>952</v>
      </c>
      <c r="B1234" s="12" t="s">
        <v>1091</v>
      </c>
      <c r="C1234" s="12" t="n">
        <v>2025</v>
      </c>
      <c r="D1234" s="12" t="n">
        <v>12</v>
      </c>
      <c r="E1234" s="12" t="n">
        <v>173.78</v>
      </c>
      <c r="F1234" s="12" t="n">
        <v>4413060</v>
      </c>
    </row>
    <row r="1235" customFormat="false" ht="15" hidden="false" customHeight="true" outlineLevel="0" collapsed="false">
      <c r="A1235" s="12" t="s">
        <v>952</v>
      </c>
      <c r="B1235" s="12" t="s">
        <v>1091</v>
      </c>
      <c r="C1235" s="12" t="n">
        <v>2026</v>
      </c>
      <c r="D1235" s="12" t="n">
        <v>9</v>
      </c>
      <c r="E1235" s="12" t="n">
        <v>130.33</v>
      </c>
      <c r="F1235" s="12" t="n">
        <v>4413060</v>
      </c>
    </row>
    <row r="1236" customFormat="false" ht="15" hidden="false" customHeight="true" outlineLevel="0" collapsed="false">
      <c r="A1236" s="12" t="s">
        <v>952</v>
      </c>
      <c r="B1236" s="12" t="s">
        <v>1092</v>
      </c>
      <c r="C1236" s="12" t="n">
        <v>2025</v>
      </c>
      <c r="D1236" s="12" t="n">
        <v>14</v>
      </c>
      <c r="E1236" s="12" t="n">
        <v>292</v>
      </c>
      <c r="F1236" s="12" t="n">
        <v>4413061</v>
      </c>
    </row>
    <row r="1237" customFormat="false" ht="15" hidden="false" customHeight="true" outlineLevel="0" collapsed="false">
      <c r="A1237" s="12" t="s">
        <v>952</v>
      </c>
      <c r="B1237" s="12" t="s">
        <v>1092</v>
      </c>
      <c r="C1237" s="12" t="n">
        <v>2026</v>
      </c>
      <c r="D1237" s="12" t="n">
        <v>1</v>
      </c>
      <c r="E1237" s="12" t="n">
        <v>21.04</v>
      </c>
      <c r="F1237" s="12" t="n">
        <v>4413061</v>
      </c>
    </row>
    <row r="1238" customFormat="false" ht="15" hidden="false" customHeight="true" outlineLevel="0" collapsed="false">
      <c r="A1238" s="12" t="s">
        <v>952</v>
      </c>
      <c r="B1238" s="12" t="s">
        <v>1093</v>
      </c>
      <c r="C1238" s="12" t="n">
        <v>2026</v>
      </c>
      <c r="D1238" s="12" t="n">
        <v>6</v>
      </c>
      <c r="E1238" s="12" t="n">
        <v>100.93</v>
      </c>
      <c r="F1238" s="12" t="n">
        <v>4413063</v>
      </c>
    </row>
    <row r="1239" customFormat="false" ht="15" hidden="false" customHeight="true" outlineLevel="0" collapsed="false">
      <c r="A1239" s="12" t="s">
        <v>952</v>
      </c>
      <c r="B1239" s="12" t="s">
        <v>1094</v>
      </c>
      <c r="C1239" s="12" t="n">
        <v>2025</v>
      </c>
      <c r="D1239" s="12" t="n">
        <v>7</v>
      </c>
      <c r="E1239" s="12" t="n">
        <v>143.17</v>
      </c>
      <c r="F1239" s="12" t="n">
        <v>4413066</v>
      </c>
    </row>
    <row r="1240" customFormat="false" ht="15" hidden="false" customHeight="true" outlineLevel="0" collapsed="false">
      <c r="A1240" s="12" t="s">
        <v>952</v>
      </c>
      <c r="B1240" s="12" t="s">
        <v>1094</v>
      </c>
      <c r="C1240" s="12" t="n">
        <v>2026</v>
      </c>
      <c r="D1240" s="12" t="n">
        <v>2</v>
      </c>
      <c r="E1240" s="12" t="n">
        <v>41.14</v>
      </c>
      <c r="F1240" s="12" t="n">
        <v>4413066</v>
      </c>
    </row>
    <row r="1241" customFormat="false" ht="15" hidden="false" customHeight="true" outlineLevel="0" collapsed="false">
      <c r="A1241" s="12" t="s">
        <v>952</v>
      </c>
      <c r="B1241" s="12" t="s">
        <v>1095</v>
      </c>
      <c r="C1241" s="12" t="n">
        <v>2025</v>
      </c>
      <c r="D1241" s="12" t="n">
        <v>3</v>
      </c>
      <c r="E1241" s="12" t="n">
        <v>379.53</v>
      </c>
      <c r="F1241" s="12" t="n">
        <v>4413072</v>
      </c>
    </row>
    <row r="1242" customFormat="false" ht="15" hidden="false" customHeight="true" outlineLevel="0" collapsed="false">
      <c r="A1242" s="12" t="s">
        <v>952</v>
      </c>
      <c r="B1242" s="12" t="s">
        <v>1096</v>
      </c>
      <c r="C1242" s="12" t="n">
        <v>2026</v>
      </c>
      <c r="D1242" s="12" t="n">
        <v>1</v>
      </c>
      <c r="E1242" s="12" t="n">
        <v>126.51</v>
      </c>
      <c r="F1242" s="12" t="n">
        <v>4413073</v>
      </c>
    </row>
    <row r="1243" customFormat="false" ht="15" hidden="false" customHeight="true" outlineLevel="0" collapsed="false">
      <c r="A1243" s="12" t="s">
        <v>952</v>
      </c>
      <c r="B1243" s="12" t="s">
        <v>1097</v>
      </c>
      <c r="C1243" s="12" t="n">
        <v>2026</v>
      </c>
      <c r="D1243" s="12" t="n">
        <v>1</v>
      </c>
      <c r="E1243" s="12" t="n">
        <v>126.51</v>
      </c>
      <c r="F1243" s="12" t="n">
        <v>4413074</v>
      </c>
    </row>
    <row r="1244" customFormat="false" ht="15" hidden="false" customHeight="true" outlineLevel="0" collapsed="false">
      <c r="A1244" s="12" t="s">
        <v>952</v>
      </c>
      <c r="B1244" s="12" t="s">
        <v>1098</v>
      </c>
      <c r="C1244" s="12" t="n">
        <v>2025</v>
      </c>
      <c r="D1244" s="12" t="n">
        <v>2</v>
      </c>
      <c r="E1244" s="12" t="n">
        <v>271.77</v>
      </c>
      <c r="F1244" s="12" t="n">
        <v>4413076</v>
      </c>
    </row>
    <row r="1245" customFormat="false" ht="15" hidden="false" customHeight="true" outlineLevel="0" collapsed="false">
      <c r="A1245" s="12" t="s">
        <v>952</v>
      </c>
      <c r="B1245" s="12" t="s">
        <v>1099</v>
      </c>
      <c r="C1245" s="12" t="n">
        <v>2025</v>
      </c>
      <c r="D1245" s="12" t="n">
        <v>17</v>
      </c>
      <c r="E1245" s="12" t="n">
        <v>523.99</v>
      </c>
      <c r="F1245" s="12" t="n">
        <v>4413092</v>
      </c>
    </row>
    <row r="1246" customFormat="false" ht="15" hidden="false" customHeight="true" outlineLevel="0" collapsed="false">
      <c r="A1246" s="12" t="s">
        <v>952</v>
      </c>
      <c r="B1246" s="12" t="s">
        <v>1099</v>
      </c>
      <c r="C1246" s="12" t="n">
        <v>2026</v>
      </c>
      <c r="D1246" s="12" t="n">
        <v>8</v>
      </c>
      <c r="E1246" s="12" t="n">
        <v>247.13</v>
      </c>
      <c r="F1246" s="12" t="n">
        <v>4413092</v>
      </c>
    </row>
    <row r="1247" customFormat="false" ht="15" hidden="false" customHeight="true" outlineLevel="0" collapsed="false">
      <c r="A1247" s="12" t="s">
        <v>952</v>
      </c>
      <c r="B1247" s="12" t="s">
        <v>1100</v>
      </c>
      <c r="C1247" s="12" t="n">
        <v>2025</v>
      </c>
      <c r="D1247" s="12" t="n">
        <v>12</v>
      </c>
      <c r="E1247" s="12" t="n">
        <v>367.25</v>
      </c>
      <c r="F1247" s="12" t="n">
        <v>4413093</v>
      </c>
    </row>
    <row r="1248" customFormat="false" ht="15" hidden="false" customHeight="true" outlineLevel="0" collapsed="false">
      <c r="A1248" s="12" t="s">
        <v>952</v>
      </c>
      <c r="B1248" s="12" t="s">
        <v>1100</v>
      </c>
      <c r="C1248" s="12" t="n">
        <v>2026</v>
      </c>
      <c r="D1248" s="12" t="n">
        <v>5</v>
      </c>
      <c r="E1248" s="12" t="n">
        <v>154.45</v>
      </c>
      <c r="F1248" s="12" t="n">
        <v>4413093</v>
      </c>
    </row>
    <row r="1249" customFormat="false" ht="15" hidden="false" customHeight="true" outlineLevel="0" collapsed="false">
      <c r="A1249" s="12" t="s">
        <v>952</v>
      </c>
      <c r="B1249" s="12" t="s">
        <v>1101</v>
      </c>
      <c r="C1249" s="12" t="n">
        <v>2025</v>
      </c>
      <c r="D1249" s="12" t="n">
        <v>3</v>
      </c>
      <c r="E1249" s="12" t="n">
        <v>91.52</v>
      </c>
      <c r="F1249" s="12" t="n">
        <v>4413094</v>
      </c>
    </row>
    <row r="1250" customFormat="false" ht="15" hidden="false" customHeight="true" outlineLevel="0" collapsed="false">
      <c r="A1250" s="12" t="s">
        <v>952</v>
      </c>
      <c r="B1250" s="12" t="s">
        <v>1101</v>
      </c>
      <c r="C1250" s="12" t="n">
        <v>2026</v>
      </c>
      <c r="D1250" s="12" t="n">
        <v>1</v>
      </c>
      <c r="E1250" s="12" t="n">
        <v>30.89</v>
      </c>
      <c r="F1250" s="12" t="n">
        <v>4413094</v>
      </c>
    </row>
    <row r="1251" customFormat="false" ht="15" hidden="false" customHeight="true" outlineLevel="0" collapsed="false">
      <c r="A1251" s="12" t="s">
        <v>952</v>
      </c>
      <c r="B1251" s="12" t="s">
        <v>1102</v>
      </c>
      <c r="C1251" s="12" t="n">
        <v>2025</v>
      </c>
      <c r="D1251" s="12" t="n">
        <v>5</v>
      </c>
      <c r="E1251" s="12" t="n">
        <v>153.3</v>
      </c>
      <c r="F1251" s="12" t="n">
        <v>4413095</v>
      </c>
    </row>
    <row r="1252" customFormat="false" ht="15" hidden="false" customHeight="true" outlineLevel="0" collapsed="false">
      <c r="A1252" s="12" t="s">
        <v>952</v>
      </c>
      <c r="B1252" s="12" t="s">
        <v>1102</v>
      </c>
      <c r="C1252" s="12" t="n">
        <v>2026</v>
      </c>
      <c r="D1252" s="12" t="n">
        <v>2</v>
      </c>
      <c r="E1252" s="12" t="n">
        <v>61.78</v>
      </c>
      <c r="F1252" s="12" t="n">
        <v>4413095</v>
      </c>
    </row>
    <row r="1253" customFormat="false" ht="15" hidden="false" customHeight="true" outlineLevel="0" collapsed="false">
      <c r="A1253" s="12" t="s">
        <v>952</v>
      </c>
      <c r="B1253" s="12" t="s">
        <v>1103</v>
      </c>
      <c r="C1253" s="12" t="n">
        <v>2025</v>
      </c>
      <c r="D1253" s="12" t="n">
        <v>3</v>
      </c>
      <c r="E1253" s="12" t="n">
        <v>90.37</v>
      </c>
      <c r="F1253" s="12" t="n">
        <v>4413096</v>
      </c>
    </row>
    <row r="1254" customFormat="false" ht="15" hidden="false" customHeight="true" outlineLevel="0" collapsed="false">
      <c r="A1254" s="12" t="s">
        <v>952</v>
      </c>
      <c r="B1254" s="12" t="s">
        <v>1103</v>
      </c>
      <c r="C1254" s="12" t="n">
        <v>2026</v>
      </c>
      <c r="D1254" s="12" t="n">
        <v>2</v>
      </c>
      <c r="E1254" s="12" t="n">
        <v>61.79</v>
      </c>
      <c r="F1254" s="12" t="n">
        <v>4413096</v>
      </c>
    </row>
    <row r="1255" customFormat="false" ht="15" hidden="false" customHeight="true" outlineLevel="0" collapsed="false">
      <c r="A1255" s="12" t="s">
        <v>952</v>
      </c>
      <c r="B1255" s="12" t="s">
        <v>1104</v>
      </c>
      <c r="C1255" s="12" t="n">
        <v>2025</v>
      </c>
      <c r="D1255" s="12" t="n">
        <v>5</v>
      </c>
      <c r="E1255" s="12" t="n">
        <v>154.45</v>
      </c>
      <c r="F1255" s="12" t="n">
        <v>4413097</v>
      </c>
    </row>
    <row r="1256" customFormat="false" ht="15" hidden="false" customHeight="true" outlineLevel="0" collapsed="false">
      <c r="A1256" s="12" t="s">
        <v>952</v>
      </c>
      <c r="B1256" s="12" t="s">
        <v>1104</v>
      </c>
      <c r="C1256" s="12" t="n">
        <v>2026</v>
      </c>
      <c r="D1256" s="12" t="n">
        <v>4</v>
      </c>
      <c r="E1256" s="12" t="n">
        <v>123.56</v>
      </c>
      <c r="F1256" s="12" t="n">
        <v>4413097</v>
      </c>
    </row>
    <row r="1257" customFormat="false" ht="15" hidden="false" customHeight="true" outlineLevel="0" collapsed="false">
      <c r="A1257" s="12" t="s">
        <v>952</v>
      </c>
      <c r="B1257" s="12" t="s">
        <v>1105</v>
      </c>
      <c r="C1257" s="12" t="n">
        <v>2025</v>
      </c>
      <c r="D1257" s="12" t="n">
        <v>15</v>
      </c>
      <c r="E1257" s="12" t="n">
        <v>461.08</v>
      </c>
      <c r="F1257" s="12" t="n">
        <v>4413098</v>
      </c>
    </row>
    <row r="1258" customFormat="false" ht="15" hidden="false" customHeight="true" outlineLevel="0" collapsed="false">
      <c r="A1258" s="12" t="s">
        <v>952</v>
      </c>
      <c r="B1258" s="12" t="s">
        <v>1105</v>
      </c>
      <c r="C1258" s="12" t="n">
        <v>2026</v>
      </c>
      <c r="D1258" s="12" t="n">
        <v>10</v>
      </c>
      <c r="E1258" s="12" t="n">
        <v>308.91</v>
      </c>
      <c r="F1258" s="12" t="n">
        <v>4413098</v>
      </c>
    </row>
    <row r="1259" customFormat="false" ht="15" hidden="false" customHeight="true" outlineLevel="0" collapsed="false">
      <c r="A1259" s="12" t="s">
        <v>952</v>
      </c>
      <c r="B1259" s="12" t="s">
        <v>1106</v>
      </c>
      <c r="C1259" s="12" t="n">
        <v>2025</v>
      </c>
      <c r="D1259" s="12" t="n">
        <v>3</v>
      </c>
      <c r="E1259" s="12" t="n">
        <v>92.67</v>
      </c>
      <c r="F1259" s="12" t="n">
        <v>4413099</v>
      </c>
    </row>
    <row r="1260" customFormat="false" ht="15" hidden="false" customHeight="true" outlineLevel="0" collapsed="false">
      <c r="A1260" s="12" t="s">
        <v>952</v>
      </c>
      <c r="B1260" s="12" t="s">
        <v>1106</v>
      </c>
      <c r="C1260" s="12" t="n">
        <v>2026</v>
      </c>
      <c r="D1260" s="12" t="n">
        <v>8</v>
      </c>
      <c r="E1260" s="12" t="n">
        <v>247.13</v>
      </c>
      <c r="F1260" s="12" t="n">
        <v>4413099</v>
      </c>
    </row>
    <row r="1261" customFormat="false" ht="15" hidden="false" customHeight="true" outlineLevel="0" collapsed="false">
      <c r="A1261" s="12" t="s">
        <v>952</v>
      </c>
      <c r="B1261" s="12" t="s">
        <v>1107</v>
      </c>
      <c r="C1261" s="12" t="n">
        <v>2025</v>
      </c>
      <c r="D1261" s="12" t="n">
        <v>1</v>
      </c>
      <c r="E1261" s="12" t="n">
        <v>30.89</v>
      </c>
      <c r="F1261" s="12" t="n">
        <v>4413100</v>
      </c>
    </row>
    <row r="1262" customFormat="false" ht="15" hidden="false" customHeight="true" outlineLevel="0" collapsed="false">
      <c r="A1262" s="12" t="s">
        <v>952</v>
      </c>
      <c r="B1262" s="12" t="s">
        <v>1107</v>
      </c>
      <c r="C1262" s="12" t="n">
        <v>2026</v>
      </c>
      <c r="D1262" s="12" t="n">
        <v>7</v>
      </c>
      <c r="E1262" s="12" t="n">
        <v>216.24</v>
      </c>
      <c r="F1262" s="12" t="n">
        <v>4413100</v>
      </c>
    </row>
    <row r="1263" customFormat="false" ht="15" hidden="false" customHeight="true" outlineLevel="0" collapsed="false">
      <c r="A1263" s="12" t="s">
        <v>952</v>
      </c>
      <c r="B1263" s="12" t="s">
        <v>1108</v>
      </c>
      <c r="C1263" s="12" t="n">
        <v>2026</v>
      </c>
      <c r="D1263" s="12" t="n">
        <v>1</v>
      </c>
      <c r="E1263" s="12" t="n">
        <v>37.45</v>
      </c>
      <c r="F1263" s="12" t="n">
        <v>4413101</v>
      </c>
    </row>
    <row r="1264" customFormat="false" ht="15" hidden="false" customHeight="true" outlineLevel="0" collapsed="false">
      <c r="A1264" s="12" t="s">
        <v>952</v>
      </c>
      <c r="B1264" s="12" t="s">
        <v>1109</v>
      </c>
      <c r="C1264" s="12" t="n">
        <v>2025</v>
      </c>
      <c r="D1264" s="12" t="n">
        <v>9</v>
      </c>
      <c r="E1264" s="12" t="n">
        <v>337.09</v>
      </c>
      <c r="F1264" s="12" t="n">
        <v>4413102</v>
      </c>
    </row>
    <row r="1265" customFormat="false" ht="15" hidden="false" customHeight="true" outlineLevel="0" collapsed="false">
      <c r="A1265" s="12" t="s">
        <v>952</v>
      </c>
      <c r="B1265" s="12" t="s">
        <v>1109</v>
      </c>
      <c r="C1265" s="12" t="n">
        <v>2026</v>
      </c>
      <c r="D1265" s="12" t="n">
        <v>2</v>
      </c>
      <c r="E1265" s="12" t="n">
        <v>74.91</v>
      </c>
      <c r="F1265" s="12" t="n">
        <v>4413102</v>
      </c>
    </row>
    <row r="1266" customFormat="false" ht="15" hidden="false" customHeight="true" outlineLevel="0" collapsed="false">
      <c r="A1266" s="12" t="s">
        <v>952</v>
      </c>
      <c r="B1266" s="12" t="s">
        <v>1110</v>
      </c>
      <c r="C1266" s="12" t="n">
        <v>2025</v>
      </c>
      <c r="D1266" s="12" t="n">
        <v>4</v>
      </c>
      <c r="E1266" s="12" t="n">
        <v>146.67</v>
      </c>
      <c r="F1266" s="12" t="n">
        <v>4413103</v>
      </c>
    </row>
    <row r="1267" customFormat="false" ht="15" hidden="false" customHeight="true" outlineLevel="0" collapsed="false">
      <c r="A1267" s="12" t="s">
        <v>952</v>
      </c>
      <c r="B1267" s="12" t="s">
        <v>1110</v>
      </c>
      <c r="C1267" s="12" t="n">
        <v>2026</v>
      </c>
      <c r="D1267" s="12" t="n">
        <v>10</v>
      </c>
      <c r="E1267" s="12" t="n">
        <v>374.55</v>
      </c>
      <c r="F1267" s="12" t="n">
        <v>4413103</v>
      </c>
    </row>
    <row r="1268" customFormat="false" ht="15" hidden="false" customHeight="true" outlineLevel="0" collapsed="false">
      <c r="A1268" s="12" t="s">
        <v>952</v>
      </c>
      <c r="B1268" s="12" t="s">
        <v>1111</v>
      </c>
      <c r="C1268" s="12" t="n">
        <v>2025</v>
      </c>
      <c r="D1268" s="12" t="n">
        <v>2</v>
      </c>
      <c r="E1268" s="12" t="n">
        <v>74.9</v>
      </c>
      <c r="F1268" s="12" t="n">
        <v>4413104</v>
      </c>
    </row>
    <row r="1269" customFormat="false" ht="15" hidden="false" customHeight="true" outlineLevel="0" collapsed="false">
      <c r="A1269" s="12" t="s">
        <v>952</v>
      </c>
      <c r="B1269" s="12" t="s">
        <v>1111</v>
      </c>
      <c r="C1269" s="12" t="n">
        <v>2026</v>
      </c>
      <c r="D1269" s="12" t="n">
        <v>4</v>
      </c>
      <c r="E1269" s="12" t="n">
        <v>149.83</v>
      </c>
      <c r="F1269" s="12" t="n">
        <v>4413104</v>
      </c>
    </row>
    <row r="1270" customFormat="false" ht="15" hidden="false" customHeight="true" outlineLevel="0" collapsed="false">
      <c r="A1270" s="12" t="s">
        <v>952</v>
      </c>
      <c r="B1270" s="12" t="s">
        <v>1112</v>
      </c>
      <c r="C1270" s="12" t="n">
        <v>2025</v>
      </c>
      <c r="D1270" s="12" t="n">
        <v>9</v>
      </c>
      <c r="E1270" s="12" t="n">
        <v>326.06</v>
      </c>
      <c r="F1270" s="12" t="n">
        <v>4413105</v>
      </c>
    </row>
    <row r="1271" customFormat="false" ht="15" hidden="false" customHeight="true" outlineLevel="0" collapsed="false">
      <c r="A1271" s="12" t="s">
        <v>952</v>
      </c>
      <c r="B1271" s="12" t="s">
        <v>1113</v>
      </c>
      <c r="C1271" s="12" t="n">
        <v>2025</v>
      </c>
      <c r="D1271" s="12" t="n">
        <v>2</v>
      </c>
      <c r="E1271" s="12" t="n">
        <v>113.35</v>
      </c>
      <c r="F1271" s="12" t="n">
        <v>4413107</v>
      </c>
    </row>
    <row r="1272" customFormat="false" ht="15" hidden="false" customHeight="true" outlineLevel="0" collapsed="false">
      <c r="A1272" s="12" t="s">
        <v>952</v>
      </c>
      <c r="B1272" s="12" t="s">
        <v>1113</v>
      </c>
      <c r="C1272" s="12" t="n">
        <v>2026</v>
      </c>
      <c r="D1272" s="12" t="n">
        <v>1</v>
      </c>
      <c r="E1272" s="12" t="n">
        <v>56.67</v>
      </c>
      <c r="F1272" s="12" t="n">
        <v>4413107</v>
      </c>
    </row>
    <row r="1273" customFormat="false" ht="15" hidden="false" customHeight="true" outlineLevel="0" collapsed="false">
      <c r="A1273" s="12" t="s">
        <v>952</v>
      </c>
      <c r="B1273" s="12" t="s">
        <v>1114</v>
      </c>
      <c r="C1273" s="12" t="n">
        <v>2025</v>
      </c>
      <c r="D1273" s="12" t="n">
        <v>1</v>
      </c>
      <c r="E1273" s="12" t="n">
        <v>56.67</v>
      </c>
      <c r="F1273" s="12" t="n">
        <v>4413108</v>
      </c>
    </row>
    <row r="1274" customFormat="false" ht="15" hidden="false" customHeight="true" outlineLevel="0" collapsed="false">
      <c r="A1274" s="12" t="s">
        <v>952</v>
      </c>
      <c r="B1274" s="12" t="s">
        <v>1115</v>
      </c>
      <c r="C1274" s="12" t="n">
        <v>2026</v>
      </c>
      <c r="D1274" s="12" t="n">
        <v>3</v>
      </c>
      <c r="E1274" s="12" t="n">
        <v>105.32</v>
      </c>
      <c r="F1274" s="12" t="n">
        <v>4413112</v>
      </c>
    </row>
    <row r="1275" customFormat="false" ht="15" hidden="false" customHeight="true" outlineLevel="0" collapsed="false">
      <c r="A1275" s="12" t="s">
        <v>952</v>
      </c>
      <c r="B1275" s="12" t="s">
        <v>1116</v>
      </c>
      <c r="C1275" s="12" t="n">
        <v>2025</v>
      </c>
      <c r="D1275" s="12" t="n">
        <v>12</v>
      </c>
      <c r="E1275" s="12" t="n">
        <v>1122.26</v>
      </c>
      <c r="F1275" s="12" t="n">
        <v>4413117</v>
      </c>
    </row>
    <row r="1276" customFormat="false" ht="15" hidden="false" customHeight="true" outlineLevel="0" collapsed="false">
      <c r="A1276" s="12" t="s">
        <v>952</v>
      </c>
      <c r="B1276" s="12" t="s">
        <v>1116</v>
      </c>
      <c r="C1276" s="12" t="n">
        <v>2026</v>
      </c>
      <c r="D1276" s="12" t="n">
        <v>14</v>
      </c>
      <c r="E1276" s="12" t="n">
        <v>1554.52</v>
      </c>
      <c r="F1276" s="12" t="n">
        <v>4413117</v>
      </c>
    </row>
    <row r="1277" customFormat="false" ht="15" hidden="false" customHeight="true" outlineLevel="0" collapsed="false">
      <c r="A1277" s="12" t="s">
        <v>952</v>
      </c>
      <c r="B1277" s="12" t="s">
        <v>1117</v>
      </c>
      <c r="C1277" s="12" t="n">
        <v>2025</v>
      </c>
      <c r="D1277" s="12" t="n">
        <v>8</v>
      </c>
      <c r="E1277" s="12" t="n">
        <v>762.18</v>
      </c>
      <c r="F1277" s="12" t="n">
        <v>4413118</v>
      </c>
    </row>
    <row r="1278" customFormat="false" ht="15" hidden="false" customHeight="true" outlineLevel="0" collapsed="false">
      <c r="A1278" s="12" t="s">
        <v>952</v>
      </c>
      <c r="B1278" s="12" t="s">
        <v>1117</v>
      </c>
      <c r="C1278" s="12" t="n">
        <v>2026</v>
      </c>
      <c r="D1278" s="12" t="n">
        <v>6</v>
      </c>
      <c r="E1278" s="12" t="n">
        <v>666.23</v>
      </c>
      <c r="F1278" s="12" t="n">
        <v>4413118</v>
      </c>
    </row>
    <row r="1279" customFormat="false" ht="15" hidden="false" customHeight="true" outlineLevel="0" collapsed="false">
      <c r="A1279" s="12" t="s">
        <v>952</v>
      </c>
      <c r="B1279" s="12" t="s">
        <v>1118</v>
      </c>
      <c r="C1279" s="12" t="n">
        <v>2025</v>
      </c>
      <c r="D1279" s="12" t="n">
        <v>6</v>
      </c>
      <c r="E1279" s="12" t="n">
        <v>540.12</v>
      </c>
      <c r="F1279" s="12" t="n">
        <v>4413119</v>
      </c>
    </row>
    <row r="1280" customFormat="false" ht="15" hidden="false" customHeight="true" outlineLevel="0" collapsed="false">
      <c r="A1280" s="12" t="s">
        <v>952</v>
      </c>
      <c r="B1280" s="12" t="s">
        <v>1118</v>
      </c>
      <c r="C1280" s="12" t="n">
        <v>2026</v>
      </c>
      <c r="D1280" s="12" t="n">
        <v>13</v>
      </c>
      <c r="E1280" s="12" t="n">
        <v>1443.48</v>
      </c>
      <c r="F1280" s="12" t="n">
        <v>4413119</v>
      </c>
    </row>
    <row r="1281" customFormat="false" ht="15" hidden="false" customHeight="true" outlineLevel="0" collapsed="false">
      <c r="A1281" s="12" t="s">
        <v>952</v>
      </c>
      <c r="B1281" s="12" t="s">
        <v>1119</v>
      </c>
      <c r="C1281" s="12" t="n">
        <v>2025</v>
      </c>
      <c r="D1281" s="12" t="n">
        <v>1</v>
      </c>
      <c r="E1281" s="12" t="n">
        <v>84.32</v>
      </c>
      <c r="F1281" s="12" t="n">
        <v>4413122</v>
      </c>
    </row>
    <row r="1282" customFormat="false" ht="15" hidden="false" customHeight="true" outlineLevel="0" collapsed="false">
      <c r="A1282" s="12" t="s">
        <v>952</v>
      </c>
      <c r="B1282" s="12" t="s">
        <v>1119</v>
      </c>
      <c r="C1282" s="12" t="n">
        <v>2026</v>
      </c>
      <c r="D1282" s="12" t="n">
        <v>4</v>
      </c>
      <c r="E1282" s="12" t="n">
        <v>337.29</v>
      </c>
      <c r="F1282" s="12" t="n">
        <v>4413122</v>
      </c>
    </row>
    <row r="1283" customFormat="false" ht="15" hidden="false" customHeight="true" outlineLevel="0" collapsed="false">
      <c r="A1283" s="12" t="s">
        <v>952</v>
      </c>
      <c r="B1283" s="12" t="s">
        <v>1120</v>
      </c>
      <c r="C1283" s="12" t="n">
        <v>2025</v>
      </c>
      <c r="D1283" s="12" t="n">
        <v>1</v>
      </c>
      <c r="E1283" s="12" t="n">
        <v>84.32</v>
      </c>
      <c r="F1283" s="12" t="n">
        <v>4413124</v>
      </c>
    </row>
    <row r="1284" customFormat="false" ht="15" hidden="false" customHeight="true" outlineLevel="0" collapsed="false">
      <c r="A1284" s="12" t="s">
        <v>952</v>
      </c>
      <c r="B1284" s="12" t="s">
        <v>1120</v>
      </c>
      <c r="C1284" s="12" t="n">
        <v>2026</v>
      </c>
      <c r="D1284" s="12" t="n">
        <v>1</v>
      </c>
      <c r="E1284" s="12" t="n">
        <v>84.32</v>
      </c>
      <c r="F1284" s="12" t="n">
        <v>4413124</v>
      </c>
    </row>
    <row r="1285" customFormat="false" ht="15" hidden="false" customHeight="true" outlineLevel="0" collapsed="false">
      <c r="A1285" s="12" t="s">
        <v>952</v>
      </c>
      <c r="B1285" s="12" t="s">
        <v>1121</v>
      </c>
      <c r="C1285" s="12" t="n">
        <v>2026</v>
      </c>
      <c r="D1285" s="12" t="n">
        <v>1</v>
      </c>
      <c r="E1285" s="12" t="n">
        <v>164.01</v>
      </c>
      <c r="F1285" s="12" t="n">
        <v>4413127</v>
      </c>
    </row>
    <row r="1286" customFormat="false" ht="15" hidden="false" customHeight="true" outlineLevel="0" collapsed="false">
      <c r="A1286" s="12" t="s">
        <v>952</v>
      </c>
      <c r="B1286" s="12" t="s">
        <v>1122</v>
      </c>
      <c r="C1286" s="12" t="n">
        <v>2025</v>
      </c>
      <c r="D1286" s="12" t="n">
        <v>1</v>
      </c>
      <c r="E1286" s="12" t="n">
        <v>164.01</v>
      </c>
      <c r="F1286" s="12" t="n">
        <v>4413130</v>
      </c>
    </row>
    <row r="1287" customFormat="false" ht="15" hidden="false" customHeight="true" outlineLevel="0" collapsed="false">
      <c r="A1287" s="12" t="s">
        <v>952</v>
      </c>
      <c r="B1287" s="12" t="s">
        <v>1123</v>
      </c>
      <c r="C1287" s="12" t="n">
        <v>2026</v>
      </c>
      <c r="D1287" s="12" t="n">
        <v>1</v>
      </c>
      <c r="E1287" s="12" t="n">
        <v>210.88</v>
      </c>
      <c r="F1287" s="12" t="n">
        <v>4413131</v>
      </c>
    </row>
    <row r="1288" customFormat="false" ht="15" hidden="false" customHeight="true" outlineLevel="0" collapsed="false">
      <c r="A1288" s="12" t="s">
        <v>952</v>
      </c>
      <c r="B1288" s="12" t="s">
        <v>1124</v>
      </c>
      <c r="C1288" s="12" t="n">
        <v>2025</v>
      </c>
      <c r="D1288" s="12" t="n">
        <v>1</v>
      </c>
      <c r="E1288" s="12" t="n">
        <v>160</v>
      </c>
      <c r="F1288" s="12" t="n">
        <v>4413132</v>
      </c>
    </row>
    <row r="1289" customFormat="false" ht="15" hidden="false" customHeight="true" outlineLevel="0" collapsed="false">
      <c r="A1289" s="12" t="s">
        <v>952</v>
      </c>
      <c r="B1289" s="12" t="s">
        <v>1124</v>
      </c>
      <c r="C1289" s="12" t="n">
        <v>2026</v>
      </c>
      <c r="D1289" s="12" t="n">
        <v>2</v>
      </c>
      <c r="E1289" s="12" t="n">
        <v>370.88</v>
      </c>
      <c r="F1289" s="12" t="n">
        <v>4413132</v>
      </c>
    </row>
    <row r="1290" customFormat="false" ht="15" hidden="false" customHeight="true" outlineLevel="0" collapsed="false">
      <c r="A1290" s="12" t="s">
        <v>952</v>
      </c>
      <c r="B1290" s="12" t="s">
        <v>1125</v>
      </c>
      <c r="C1290" s="12" t="n">
        <v>2025</v>
      </c>
      <c r="D1290" s="12" t="n">
        <v>1</v>
      </c>
      <c r="E1290" s="12" t="n">
        <v>210.88</v>
      </c>
      <c r="F1290" s="12" t="n">
        <v>4413133</v>
      </c>
    </row>
    <row r="1291" customFormat="false" ht="15" hidden="false" customHeight="true" outlineLevel="0" collapsed="false">
      <c r="A1291" s="12" t="s">
        <v>952</v>
      </c>
      <c r="B1291" s="12" t="s">
        <v>1125</v>
      </c>
      <c r="C1291" s="12" t="n">
        <v>2026</v>
      </c>
      <c r="D1291" s="12" t="n">
        <v>1</v>
      </c>
      <c r="E1291" s="12" t="n">
        <v>160</v>
      </c>
      <c r="F1291" s="12" t="n">
        <v>4413133</v>
      </c>
    </row>
    <row r="1292" customFormat="false" ht="15" hidden="false" customHeight="true" outlineLevel="0" collapsed="false">
      <c r="A1292" s="12" t="s">
        <v>952</v>
      </c>
      <c r="B1292" s="12" t="s">
        <v>1126</v>
      </c>
      <c r="C1292" s="12" t="n">
        <v>2026</v>
      </c>
      <c r="D1292" s="12" t="n">
        <v>1</v>
      </c>
      <c r="E1292" s="12" t="n">
        <v>160</v>
      </c>
      <c r="F1292" s="12" t="n">
        <v>4413134</v>
      </c>
    </row>
    <row r="1293" customFormat="false" ht="15" hidden="false" customHeight="true" outlineLevel="0" collapsed="false">
      <c r="A1293" s="12" t="s">
        <v>952</v>
      </c>
      <c r="B1293" s="12" t="s">
        <v>1127</v>
      </c>
      <c r="C1293" s="12" t="n">
        <v>2025</v>
      </c>
      <c r="D1293" s="12" t="n">
        <v>20</v>
      </c>
      <c r="E1293" s="12" t="n">
        <v>1125.71</v>
      </c>
      <c r="F1293" s="12" t="n">
        <v>4413135</v>
      </c>
    </row>
    <row r="1294" customFormat="false" ht="15" hidden="false" customHeight="true" outlineLevel="0" collapsed="false">
      <c r="A1294" s="12" t="s">
        <v>952</v>
      </c>
      <c r="B1294" s="12" t="s">
        <v>1127</v>
      </c>
      <c r="C1294" s="12" t="n">
        <v>2026</v>
      </c>
      <c r="D1294" s="12" t="n">
        <v>14</v>
      </c>
      <c r="E1294" s="12" t="n">
        <v>785.7</v>
      </c>
      <c r="F1294" s="12" t="n">
        <v>4413135</v>
      </c>
    </row>
    <row r="1295" customFormat="false" ht="15" hidden="false" customHeight="true" outlineLevel="0" collapsed="false">
      <c r="A1295" s="12" t="s">
        <v>952</v>
      </c>
      <c r="B1295" s="12" t="s">
        <v>1128</v>
      </c>
      <c r="C1295" s="12" t="n">
        <v>2025</v>
      </c>
      <c r="D1295" s="12" t="n">
        <v>14</v>
      </c>
      <c r="E1295" s="12" t="n">
        <v>785.71</v>
      </c>
      <c r="F1295" s="12" t="n">
        <v>4413136</v>
      </c>
    </row>
    <row r="1296" customFormat="false" ht="15" hidden="false" customHeight="true" outlineLevel="0" collapsed="false">
      <c r="A1296" s="12" t="s">
        <v>952</v>
      </c>
      <c r="B1296" s="12" t="s">
        <v>1128</v>
      </c>
      <c r="C1296" s="12" t="n">
        <v>2026</v>
      </c>
      <c r="D1296" s="12" t="n">
        <v>11</v>
      </c>
      <c r="E1296" s="12" t="n">
        <v>615.7</v>
      </c>
      <c r="F1296" s="12" t="n">
        <v>4413136</v>
      </c>
    </row>
    <row r="1297" customFormat="false" ht="15" hidden="false" customHeight="true" outlineLevel="0" collapsed="false">
      <c r="A1297" s="12" t="s">
        <v>952</v>
      </c>
      <c r="B1297" s="12" t="s">
        <v>1129</v>
      </c>
      <c r="C1297" s="12" t="n">
        <v>2025</v>
      </c>
      <c r="D1297" s="12" t="n">
        <v>1</v>
      </c>
      <c r="E1297" s="12" t="n">
        <v>49</v>
      </c>
      <c r="F1297" s="12" t="n">
        <v>4413137</v>
      </c>
    </row>
    <row r="1298" customFormat="false" ht="15" hidden="false" customHeight="true" outlineLevel="0" collapsed="false">
      <c r="A1298" s="12" t="s">
        <v>952</v>
      </c>
      <c r="B1298" s="12" t="s">
        <v>1129</v>
      </c>
      <c r="C1298" s="12" t="n">
        <v>2026</v>
      </c>
      <c r="D1298" s="12" t="n">
        <v>8</v>
      </c>
      <c r="E1298" s="12" t="n">
        <v>453.36</v>
      </c>
      <c r="F1298" s="12" t="n">
        <v>4413137</v>
      </c>
    </row>
    <row r="1299" customFormat="false" ht="15" hidden="false" customHeight="true" outlineLevel="0" collapsed="false">
      <c r="A1299" s="12" t="s">
        <v>952</v>
      </c>
      <c r="B1299" s="12" t="s">
        <v>1130</v>
      </c>
      <c r="C1299" s="12" t="n">
        <v>2025</v>
      </c>
      <c r="D1299" s="12" t="n">
        <v>2</v>
      </c>
      <c r="E1299" s="12" t="n">
        <v>105.67</v>
      </c>
      <c r="F1299" s="12" t="n">
        <v>4413138</v>
      </c>
    </row>
    <row r="1300" customFormat="false" ht="15" hidden="false" customHeight="true" outlineLevel="0" collapsed="false">
      <c r="A1300" s="12" t="s">
        <v>952</v>
      </c>
      <c r="B1300" s="12" t="s">
        <v>1130</v>
      </c>
      <c r="C1300" s="12" t="n">
        <v>2026</v>
      </c>
      <c r="D1300" s="12" t="n">
        <v>9</v>
      </c>
      <c r="E1300" s="12" t="n">
        <v>502.37</v>
      </c>
      <c r="F1300" s="12" t="n">
        <v>4413138</v>
      </c>
    </row>
    <row r="1301" customFormat="false" ht="15" hidden="false" customHeight="true" outlineLevel="0" collapsed="false">
      <c r="A1301" s="12" t="s">
        <v>952</v>
      </c>
      <c r="B1301" s="12" t="s">
        <v>1131</v>
      </c>
      <c r="C1301" s="12" t="n">
        <v>2025</v>
      </c>
      <c r="D1301" s="12" t="n">
        <v>7</v>
      </c>
      <c r="E1301" s="12" t="n">
        <v>212.79</v>
      </c>
      <c r="F1301" s="12" t="n">
        <v>4413139</v>
      </c>
    </row>
    <row r="1302" customFormat="false" ht="15" hidden="false" customHeight="true" outlineLevel="0" collapsed="false">
      <c r="A1302" s="12" t="s">
        <v>952</v>
      </c>
      <c r="B1302" s="12" t="s">
        <v>1131</v>
      </c>
      <c r="C1302" s="12" t="n">
        <v>2026</v>
      </c>
      <c r="D1302" s="12" t="n">
        <v>2</v>
      </c>
      <c r="E1302" s="12" t="n">
        <v>61.78</v>
      </c>
      <c r="F1302" s="12" t="n">
        <v>4413139</v>
      </c>
    </row>
    <row r="1303" customFormat="false" ht="15" hidden="false" customHeight="true" outlineLevel="0" collapsed="false">
      <c r="A1303" s="12" t="s">
        <v>952</v>
      </c>
      <c r="B1303" s="12" t="s">
        <v>1132</v>
      </c>
      <c r="C1303" s="12" t="n">
        <v>2026</v>
      </c>
      <c r="D1303" s="12" t="n">
        <v>3</v>
      </c>
      <c r="E1303" s="12" t="n">
        <v>92.66</v>
      </c>
      <c r="F1303" s="12" t="n">
        <v>4413140</v>
      </c>
    </row>
    <row r="1304" customFormat="false" ht="15" hidden="false" customHeight="true" outlineLevel="0" collapsed="false">
      <c r="A1304" s="12" t="s">
        <v>952</v>
      </c>
      <c r="B1304" s="12" t="s">
        <v>1133</v>
      </c>
      <c r="C1304" s="12" t="n">
        <v>2025</v>
      </c>
      <c r="D1304" s="12" t="n">
        <v>1</v>
      </c>
      <c r="E1304" s="12" t="n">
        <v>30.89</v>
      </c>
      <c r="F1304" s="12" t="n">
        <v>4413142</v>
      </c>
    </row>
    <row r="1305" customFormat="false" ht="15" hidden="false" customHeight="true" outlineLevel="0" collapsed="false">
      <c r="A1305" s="12" t="s">
        <v>952</v>
      </c>
      <c r="B1305" s="12" t="s">
        <v>1134</v>
      </c>
      <c r="C1305" s="12" t="n">
        <v>2026</v>
      </c>
      <c r="D1305" s="12" t="n">
        <v>3</v>
      </c>
      <c r="E1305" s="12" t="n">
        <v>92.67</v>
      </c>
      <c r="F1305" s="12" t="n">
        <v>4413143</v>
      </c>
    </row>
    <row r="1306" customFormat="false" ht="15" hidden="false" customHeight="true" outlineLevel="0" collapsed="false">
      <c r="A1306" s="12" t="s">
        <v>952</v>
      </c>
      <c r="B1306" s="12" t="s">
        <v>1135</v>
      </c>
      <c r="C1306" s="12" t="n">
        <v>2025</v>
      </c>
      <c r="D1306" s="12" t="n">
        <v>5</v>
      </c>
      <c r="E1306" s="12" t="n">
        <v>67.49</v>
      </c>
      <c r="F1306" s="12" t="n">
        <v>4413149</v>
      </c>
    </row>
    <row r="1307" customFormat="false" ht="15" hidden="false" customHeight="true" outlineLevel="0" collapsed="false">
      <c r="A1307" s="12" t="s">
        <v>952</v>
      </c>
      <c r="B1307" s="12" t="s">
        <v>1135</v>
      </c>
      <c r="C1307" s="12" t="n">
        <v>2026</v>
      </c>
      <c r="D1307" s="12" t="n">
        <v>4</v>
      </c>
      <c r="E1307" s="12" t="n">
        <v>56.08</v>
      </c>
      <c r="F1307" s="12" t="n">
        <v>4413149</v>
      </c>
    </row>
    <row r="1308" customFormat="false" ht="15" hidden="false" customHeight="true" outlineLevel="0" collapsed="false">
      <c r="A1308" s="12" t="s">
        <v>952</v>
      </c>
      <c r="B1308" s="12" t="s">
        <v>1136</v>
      </c>
      <c r="C1308" s="12" t="n">
        <v>2025</v>
      </c>
      <c r="D1308" s="12" t="n">
        <v>4</v>
      </c>
      <c r="E1308" s="12" t="n">
        <v>117.92</v>
      </c>
      <c r="F1308" s="12" t="n">
        <v>4413150</v>
      </c>
    </row>
    <row r="1309" customFormat="false" ht="15" hidden="false" customHeight="true" outlineLevel="0" collapsed="false">
      <c r="A1309" s="12" t="s">
        <v>952</v>
      </c>
      <c r="B1309" s="12" t="s">
        <v>1136</v>
      </c>
      <c r="C1309" s="12" t="n">
        <v>2026</v>
      </c>
      <c r="D1309" s="12" t="n">
        <v>5</v>
      </c>
      <c r="E1309" s="12" t="n">
        <v>147.41</v>
      </c>
      <c r="F1309" s="12" t="n">
        <v>4413150</v>
      </c>
    </row>
    <row r="1310" customFormat="false" ht="15" hidden="false" customHeight="true" outlineLevel="0" collapsed="false">
      <c r="A1310" s="12" t="s">
        <v>952</v>
      </c>
      <c r="B1310" s="12" t="s">
        <v>1137</v>
      </c>
      <c r="C1310" s="12" t="n">
        <v>2026</v>
      </c>
      <c r="D1310" s="12" t="n">
        <v>3</v>
      </c>
      <c r="E1310" s="12" t="n">
        <v>281.09</v>
      </c>
      <c r="F1310" s="12" t="n">
        <v>4413155</v>
      </c>
    </row>
    <row r="1311" customFormat="false" ht="15" hidden="false" customHeight="true" outlineLevel="0" collapsed="false">
      <c r="A1311" s="12" t="s">
        <v>952</v>
      </c>
      <c r="B1311" s="12" t="s">
        <v>1138</v>
      </c>
      <c r="C1311" s="12" t="n">
        <v>2025</v>
      </c>
      <c r="D1311" s="12" t="n">
        <v>8</v>
      </c>
      <c r="E1311" s="12" t="n">
        <v>741.79</v>
      </c>
      <c r="F1311" s="12" t="n">
        <v>4413156</v>
      </c>
    </row>
    <row r="1312" customFormat="false" ht="15" hidden="false" customHeight="true" outlineLevel="0" collapsed="false">
      <c r="A1312" s="12" t="s">
        <v>952</v>
      </c>
      <c r="B1312" s="12" t="s">
        <v>1139</v>
      </c>
      <c r="C1312" s="12" t="n">
        <v>2025</v>
      </c>
      <c r="D1312" s="12" t="n">
        <v>6</v>
      </c>
      <c r="E1312" s="12" t="n">
        <v>560.63</v>
      </c>
      <c r="F1312" s="12" t="n">
        <v>4413157</v>
      </c>
    </row>
    <row r="1313" customFormat="false" ht="15" hidden="false" customHeight="true" outlineLevel="0" collapsed="false">
      <c r="A1313" s="12" t="s">
        <v>952</v>
      </c>
      <c r="B1313" s="12" t="s">
        <v>1140</v>
      </c>
      <c r="C1313" s="12" t="n">
        <v>2026</v>
      </c>
      <c r="D1313" s="12" t="n">
        <v>2</v>
      </c>
      <c r="E1313" s="12" t="n">
        <v>187.4</v>
      </c>
      <c r="F1313" s="12" t="n">
        <v>4413158</v>
      </c>
    </row>
    <row r="1314" customFormat="false" ht="15" hidden="false" customHeight="true" outlineLevel="0" collapsed="false">
      <c r="A1314" s="12" t="s">
        <v>952</v>
      </c>
      <c r="B1314" s="12" t="s">
        <v>1141</v>
      </c>
      <c r="C1314" s="12" t="n">
        <v>2025</v>
      </c>
      <c r="D1314" s="12" t="n">
        <v>1</v>
      </c>
      <c r="E1314" s="12" t="n">
        <v>70.26</v>
      </c>
      <c r="F1314" s="12" t="n">
        <v>4413160</v>
      </c>
    </row>
    <row r="1315" customFormat="false" ht="15" hidden="false" customHeight="true" outlineLevel="0" collapsed="false">
      <c r="A1315" s="12" t="s">
        <v>952</v>
      </c>
      <c r="B1315" s="12" t="s">
        <v>1142</v>
      </c>
      <c r="C1315" s="12" t="n">
        <v>2025</v>
      </c>
      <c r="D1315" s="12" t="n">
        <v>1</v>
      </c>
      <c r="E1315" s="12" t="n">
        <v>70.26</v>
      </c>
      <c r="F1315" s="12" t="n">
        <v>4413161</v>
      </c>
    </row>
    <row r="1316" customFormat="false" ht="15" hidden="false" customHeight="true" outlineLevel="0" collapsed="false">
      <c r="A1316" s="12" t="s">
        <v>952</v>
      </c>
      <c r="B1316" s="12" t="s">
        <v>1142</v>
      </c>
      <c r="C1316" s="12" t="n">
        <v>2026</v>
      </c>
      <c r="D1316" s="12" t="n">
        <v>1</v>
      </c>
      <c r="E1316" s="12" t="n">
        <v>70.26</v>
      </c>
      <c r="F1316" s="12" t="n">
        <v>4413161</v>
      </c>
    </row>
    <row r="1317" customFormat="false" ht="15" hidden="false" customHeight="true" outlineLevel="0" collapsed="false">
      <c r="A1317" s="12" t="s">
        <v>952</v>
      </c>
      <c r="B1317" s="12" t="s">
        <v>1143</v>
      </c>
      <c r="C1317" s="12" t="n">
        <v>2025</v>
      </c>
      <c r="D1317" s="12" t="n">
        <v>1</v>
      </c>
      <c r="E1317" s="12" t="n">
        <v>70.26</v>
      </c>
      <c r="F1317" s="12" t="n">
        <v>4413162</v>
      </c>
    </row>
    <row r="1318" customFormat="false" ht="15" hidden="false" customHeight="true" outlineLevel="0" collapsed="false">
      <c r="A1318" s="12" t="s">
        <v>952</v>
      </c>
      <c r="B1318" s="12" t="s">
        <v>1144</v>
      </c>
      <c r="C1318" s="12" t="n">
        <v>2025</v>
      </c>
      <c r="D1318" s="12" t="n">
        <v>1</v>
      </c>
      <c r="E1318" s="12" t="n">
        <v>130</v>
      </c>
      <c r="F1318" s="12" t="n">
        <v>4413165</v>
      </c>
    </row>
    <row r="1319" customFormat="false" ht="15" hidden="false" customHeight="true" outlineLevel="0" collapsed="false">
      <c r="A1319" s="12" t="s">
        <v>952</v>
      </c>
      <c r="B1319" s="12" t="s">
        <v>1145</v>
      </c>
      <c r="C1319" s="12" t="n">
        <v>2025</v>
      </c>
      <c r="D1319" s="12" t="n">
        <v>2</v>
      </c>
      <c r="E1319" s="12" t="n">
        <v>140.01</v>
      </c>
      <c r="F1319" s="12" t="n">
        <v>4413176</v>
      </c>
    </row>
    <row r="1320" customFormat="false" ht="15" hidden="false" customHeight="true" outlineLevel="0" collapsed="false">
      <c r="A1320" s="12" t="s">
        <v>952</v>
      </c>
      <c r="B1320" s="12" t="s">
        <v>1146</v>
      </c>
      <c r="C1320" s="12" t="n">
        <v>2025</v>
      </c>
      <c r="D1320" s="12" t="n">
        <v>3</v>
      </c>
      <c r="E1320" s="12" t="n">
        <v>209.99</v>
      </c>
      <c r="F1320" s="12" t="n">
        <v>4413177</v>
      </c>
    </row>
    <row r="1321" customFormat="false" ht="15" hidden="false" customHeight="true" outlineLevel="0" collapsed="false">
      <c r="A1321" s="12" t="s">
        <v>952</v>
      </c>
      <c r="B1321" s="12" t="s">
        <v>1147</v>
      </c>
      <c r="C1321" s="12" t="n">
        <v>2025</v>
      </c>
      <c r="D1321" s="12" t="n">
        <v>2</v>
      </c>
      <c r="E1321" s="12" t="n">
        <v>207.91</v>
      </c>
      <c r="F1321" s="12" t="n">
        <v>4413180</v>
      </c>
    </row>
    <row r="1322" customFormat="false" ht="15" hidden="false" customHeight="true" outlineLevel="0" collapsed="false">
      <c r="A1322" s="12" t="s">
        <v>952</v>
      </c>
      <c r="B1322" s="12" t="s">
        <v>1148</v>
      </c>
      <c r="C1322" s="12" t="n">
        <v>2025</v>
      </c>
      <c r="D1322" s="12" t="n">
        <v>1</v>
      </c>
      <c r="E1322" s="12" t="n">
        <v>105.42</v>
      </c>
      <c r="F1322" s="12" t="n">
        <v>4413184</v>
      </c>
    </row>
    <row r="1323" customFormat="false" ht="15" hidden="false" customHeight="true" outlineLevel="0" collapsed="false">
      <c r="A1323" s="12" t="s">
        <v>952</v>
      </c>
      <c r="B1323" s="12" t="s">
        <v>1149</v>
      </c>
      <c r="C1323" s="12" t="n">
        <v>2025</v>
      </c>
      <c r="D1323" s="12" t="n">
        <v>1</v>
      </c>
      <c r="E1323" s="12" t="n">
        <v>127</v>
      </c>
      <c r="F1323" s="12" t="n">
        <v>4413195</v>
      </c>
    </row>
    <row r="1324" customFormat="false" ht="15" hidden="false" customHeight="true" outlineLevel="0" collapsed="false">
      <c r="A1324" s="12" t="s">
        <v>952</v>
      </c>
      <c r="B1324" s="12" t="s">
        <v>1149</v>
      </c>
      <c r="C1324" s="12" t="n">
        <v>2026</v>
      </c>
      <c r="D1324" s="12" t="n">
        <v>1</v>
      </c>
      <c r="E1324" s="12" t="n">
        <v>140</v>
      </c>
      <c r="F1324" s="12" t="n">
        <v>4413195</v>
      </c>
    </row>
    <row r="1325" customFormat="false" ht="15" hidden="false" customHeight="true" outlineLevel="0" collapsed="false">
      <c r="A1325" s="12" t="s">
        <v>952</v>
      </c>
      <c r="B1325" s="12" t="s">
        <v>1150</v>
      </c>
      <c r="C1325" s="12" t="n">
        <v>2025</v>
      </c>
      <c r="D1325" s="12" t="n">
        <v>12</v>
      </c>
      <c r="E1325" s="12" t="n">
        <v>1874.53</v>
      </c>
      <c r="F1325" s="12" t="n">
        <v>4413196</v>
      </c>
    </row>
    <row r="1326" customFormat="false" ht="15" hidden="false" customHeight="true" outlineLevel="0" collapsed="false">
      <c r="A1326" s="12" t="s">
        <v>952</v>
      </c>
      <c r="B1326" s="12" t="s">
        <v>1150</v>
      </c>
      <c r="C1326" s="12" t="n">
        <v>2026</v>
      </c>
      <c r="D1326" s="12" t="n">
        <v>2</v>
      </c>
      <c r="E1326" s="12" t="n">
        <v>280.02</v>
      </c>
      <c r="F1326" s="12" t="n">
        <v>4413196</v>
      </c>
    </row>
    <row r="1327" customFormat="false" ht="15" hidden="false" customHeight="true" outlineLevel="0" collapsed="false">
      <c r="A1327" s="12" t="s">
        <v>952</v>
      </c>
      <c r="B1327" s="12" t="s">
        <v>1151</v>
      </c>
      <c r="C1327" s="12" t="n">
        <v>2025</v>
      </c>
      <c r="D1327" s="12" t="n">
        <v>17</v>
      </c>
      <c r="E1327" s="12" t="n">
        <v>2671.55</v>
      </c>
      <c r="F1327" s="12" t="n">
        <v>4413197</v>
      </c>
    </row>
    <row r="1328" customFormat="false" ht="15" hidden="false" customHeight="true" outlineLevel="0" collapsed="false">
      <c r="A1328" s="12" t="s">
        <v>952</v>
      </c>
      <c r="B1328" s="12" t="s">
        <v>1151</v>
      </c>
      <c r="C1328" s="12" t="n">
        <v>2026</v>
      </c>
      <c r="D1328" s="12" t="n">
        <v>11</v>
      </c>
      <c r="E1328" s="12" t="n">
        <v>1601.52</v>
      </c>
      <c r="F1328" s="12" t="n">
        <v>4413197</v>
      </c>
    </row>
    <row r="1329" customFormat="false" ht="15" hidden="false" customHeight="true" outlineLevel="0" collapsed="false">
      <c r="A1329" s="12" t="s">
        <v>952</v>
      </c>
      <c r="B1329" s="12" t="s">
        <v>1152</v>
      </c>
      <c r="C1329" s="12" t="n">
        <v>2025</v>
      </c>
      <c r="D1329" s="12" t="n">
        <v>16</v>
      </c>
      <c r="E1329" s="12" t="n">
        <v>2373.61</v>
      </c>
      <c r="F1329" s="12" t="n">
        <v>4413198</v>
      </c>
    </row>
    <row r="1330" customFormat="false" ht="15" hidden="false" customHeight="true" outlineLevel="0" collapsed="false">
      <c r="A1330" s="12" t="s">
        <v>952</v>
      </c>
      <c r="B1330" s="12" t="s">
        <v>1152</v>
      </c>
      <c r="C1330" s="12" t="n">
        <v>2026</v>
      </c>
      <c r="D1330" s="12" t="n">
        <v>11</v>
      </c>
      <c r="E1330" s="12" t="n">
        <v>1724.5</v>
      </c>
      <c r="F1330" s="12" t="n">
        <v>4413198</v>
      </c>
    </row>
    <row r="1331" customFormat="false" ht="15" hidden="false" customHeight="true" outlineLevel="0" collapsed="false">
      <c r="A1331" s="12" t="s">
        <v>952</v>
      </c>
      <c r="B1331" s="12" t="s">
        <v>1153</v>
      </c>
      <c r="C1331" s="12" t="n">
        <v>2025</v>
      </c>
      <c r="D1331" s="12" t="n">
        <v>11</v>
      </c>
      <c r="E1331" s="12" t="n">
        <v>1598.55</v>
      </c>
      <c r="F1331" s="12" t="n">
        <v>4413204</v>
      </c>
    </row>
    <row r="1332" customFormat="false" ht="15" hidden="false" customHeight="true" outlineLevel="0" collapsed="false">
      <c r="A1332" s="12" t="s">
        <v>952</v>
      </c>
      <c r="B1332" s="12" t="s">
        <v>1153</v>
      </c>
      <c r="C1332" s="12" t="n">
        <v>2026</v>
      </c>
      <c r="D1332" s="12" t="n">
        <v>8</v>
      </c>
      <c r="E1332" s="12" t="n">
        <v>1181.51</v>
      </c>
      <c r="F1332" s="12" t="n">
        <v>4413204</v>
      </c>
    </row>
    <row r="1333" customFormat="false" ht="15" hidden="false" customHeight="true" outlineLevel="0" collapsed="false">
      <c r="A1333" s="12" t="s">
        <v>952</v>
      </c>
      <c r="B1333" s="12" t="s">
        <v>1154</v>
      </c>
      <c r="C1333" s="12" t="n">
        <v>2026</v>
      </c>
      <c r="D1333" s="12" t="n">
        <v>1</v>
      </c>
      <c r="E1333" s="12" t="n">
        <v>118.13</v>
      </c>
      <c r="F1333" s="12" t="n">
        <v>4413224</v>
      </c>
    </row>
    <row r="1334" customFormat="false" ht="15" hidden="false" customHeight="true" outlineLevel="0" collapsed="false">
      <c r="A1334" s="12" t="s">
        <v>952</v>
      </c>
      <c r="B1334" s="12" t="s">
        <v>1155</v>
      </c>
      <c r="C1334" s="12" t="n">
        <v>2026</v>
      </c>
      <c r="D1334" s="12" t="n">
        <v>2</v>
      </c>
      <c r="E1334" s="12" t="n">
        <v>236.26</v>
      </c>
      <c r="F1334" s="12" t="n">
        <v>4413260</v>
      </c>
    </row>
    <row r="1335" customFormat="false" ht="15" hidden="false" customHeight="true" outlineLevel="0" collapsed="false">
      <c r="A1335" s="12" t="s">
        <v>952</v>
      </c>
      <c r="B1335" s="12" t="s">
        <v>1156</v>
      </c>
      <c r="C1335" s="12" t="n">
        <v>2025</v>
      </c>
      <c r="D1335" s="12" t="n">
        <v>1</v>
      </c>
      <c r="E1335" s="12" t="n">
        <v>103.96</v>
      </c>
      <c r="F1335" s="12" t="n">
        <v>4413286</v>
      </c>
    </row>
    <row r="1336" customFormat="false" ht="15" hidden="false" customHeight="true" outlineLevel="0" collapsed="false">
      <c r="A1336" s="12" t="s">
        <v>952</v>
      </c>
      <c r="B1336" s="12" t="s">
        <v>1157</v>
      </c>
      <c r="C1336" s="12" t="n">
        <v>2025</v>
      </c>
      <c r="D1336" s="12" t="n">
        <v>16</v>
      </c>
      <c r="E1336" s="12" t="n">
        <v>524.28</v>
      </c>
      <c r="F1336" s="12" t="n">
        <v>4413307</v>
      </c>
    </row>
    <row r="1337" customFormat="false" ht="15" hidden="false" customHeight="true" outlineLevel="0" collapsed="false">
      <c r="A1337" s="12" t="s">
        <v>952</v>
      </c>
      <c r="B1337" s="12" t="s">
        <v>1157</v>
      </c>
      <c r="C1337" s="12" t="n">
        <v>2026</v>
      </c>
      <c r="D1337" s="12" t="n">
        <v>4</v>
      </c>
      <c r="E1337" s="12" t="n">
        <v>131.07</v>
      </c>
      <c r="F1337" s="12" t="n">
        <v>4413307</v>
      </c>
    </row>
    <row r="1338" customFormat="false" ht="15" hidden="false" customHeight="true" outlineLevel="0" collapsed="false">
      <c r="A1338" s="12" t="s">
        <v>952</v>
      </c>
      <c r="B1338" s="12" t="s">
        <v>1158</v>
      </c>
      <c r="C1338" s="12" t="n">
        <v>2025</v>
      </c>
      <c r="D1338" s="12" t="n">
        <v>7</v>
      </c>
      <c r="E1338" s="12" t="n">
        <v>246.76</v>
      </c>
      <c r="F1338" s="12" t="n">
        <v>4413326</v>
      </c>
    </row>
    <row r="1339" customFormat="false" ht="15" hidden="false" customHeight="true" outlineLevel="0" collapsed="false">
      <c r="A1339" s="12" t="s">
        <v>952</v>
      </c>
      <c r="B1339" s="12" t="s">
        <v>1158</v>
      </c>
      <c r="C1339" s="12" t="n">
        <v>2026</v>
      </c>
      <c r="D1339" s="12" t="n">
        <v>8</v>
      </c>
      <c r="E1339" s="12" t="n">
        <v>299.63</v>
      </c>
      <c r="F1339" s="12" t="n">
        <v>4413326</v>
      </c>
    </row>
    <row r="1340" customFormat="false" ht="15" hidden="false" customHeight="true" outlineLevel="0" collapsed="false">
      <c r="A1340" s="12" t="s">
        <v>952</v>
      </c>
      <c r="B1340" s="12" t="s">
        <v>1159</v>
      </c>
      <c r="C1340" s="12" t="n">
        <v>2025</v>
      </c>
      <c r="D1340" s="12" t="n">
        <v>15</v>
      </c>
      <c r="E1340" s="12" t="n">
        <v>1434.44</v>
      </c>
      <c r="F1340" s="12" t="n">
        <v>4413328</v>
      </c>
    </row>
    <row r="1341" customFormat="false" ht="15" hidden="false" customHeight="true" outlineLevel="0" collapsed="false">
      <c r="A1341" s="12" t="s">
        <v>952</v>
      </c>
      <c r="B1341" s="12" t="s">
        <v>1159</v>
      </c>
      <c r="C1341" s="12" t="n">
        <v>2026</v>
      </c>
      <c r="D1341" s="12" t="n">
        <v>8</v>
      </c>
      <c r="E1341" s="12" t="n">
        <v>824.57</v>
      </c>
      <c r="F1341" s="12" t="n">
        <v>4413328</v>
      </c>
    </row>
    <row r="1342" customFormat="false" ht="15" hidden="false" customHeight="true" outlineLevel="0" collapsed="false">
      <c r="A1342" s="12" t="s">
        <v>952</v>
      </c>
      <c r="B1342" s="12" t="s">
        <v>1160</v>
      </c>
      <c r="C1342" s="12" t="n">
        <v>2025</v>
      </c>
      <c r="D1342" s="12" t="n">
        <v>5</v>
      </c>
      <c r="E1342" s="12" t="n">
        <v>370.66</v>
      </c>
      <c r="F1342" s="12" t="n">
        <v>4413329</v>
      </c>
    </row>
    <row r="1343" customFormat="false" ht="15" hidden="false" customHeight="true" outlineLevel="0" collapsed="false">
      <c r="A1343" s="12" t="s">
        <v>952</v>
      </c>
      <c r="B1343" s="12" t="s">
        <v>1160</v>
      </c>
      <c r="C1343" s="12" t="n">
        <v>2026</v>
      </c>
      <c r="D1343" s="12" t="n">
        <v>3</v>
      </c>
      <c r="E1343" s="12" t="n">
        <v>224.85</v>
      </c>
      <c r="F1343" s="12" t="n">
        <v>4413329</v>
      </c>
    </row>
    <row r="1344" customFormat="false" ht="15" hidden="false" customHeight="true" outlineLevel="0" collapsed="false">
      <c r="A1344" s="12" t="s">
        <v>952</v>
      </c>
      <c r="B1344" s="12" t="s">
        <v>1161</v>
      </c>
      <c r="C1344" s="12" t="n">
        <v>2025</v>
      </c>
      <c r="D1344" s="12" t="n">
        <v>1</v>
      </c>
      <c r="E1344" s="12" t="n">
        <v>61.82</v>
      </c>
      <c r="F1344" s="12" t="n">
        <v>4413330</v>
      </c>
    </row>
    <row r="1345" customFormat="false" ht="15" hidden="false" customHeight="true" outlineLevel="0" collapsed="false">
      <c r="A1345" s="12" t="s">
        <v>952</v>
      </c>
      <c r="B1345" s="12" t="s">
        <v>1161</v>
      </c>
      <c r="C1345" s="12" t="n">
        <v>2026</v>
      </c>
      <c r="D1345" s="12" t="n">
        <v>4</v>
      </c>
      <c r="E1345" s="12" t="n">
        <v>247.28</v>
      </c>
      <c r="F1345" s="12" t="n">
        <v>4413330</v>
      </c>
    </row>
    <row r="1346" customFormat="false" ht="15" hidden="false" customHeight="true" outlineLevel="0" collapsed="false">
      <c r="A1346" s="12" t="s">
        <v>952</v>
      </c>
      <c r="B1346" s="12" t="s">
        <v>1162</v>
      </c>
      <c r="C1346" s="12" t="n">
        <v>2025</v>
      </c>
      <c r="D1346" s="12" t="n">
        <v>15</v>
      </c>
      <c r="E1346" s="12" t="n">
        <v>577.37</v>
      </c>
      <c r="F1346" s="12" t="n">
        <v>4413331</v>
      </c>
    </row>
    <row r="1347" customFormat="false" ht="15" hidden="false" customHeight="true" outlineLevel="0" collapsed="false">
      <c r="A1347" s="12" t="s">
        <v>952</v>
      </c>
      <c r="B1347" s="12" t="s">
        <v>1162</v>
      </c>
      <c r="C1347" s="12" t="n">
        <v>2026</v>
      </c>
      <c r="D1347" s="12" t="n">
        <v>2</v>
      </c>
      <c r="E1347" s="12" t="n">
        <v>84.26</v>
      </c>
      <c r="F1347" s="12" t="n">
        <v>4413331</v>
      </c>
    </row>
    <row r="1348" customFormat="false" ht="15" hidden="false" customHeight="true" outlineLevel="0" collapsed="false">
      <c r="A1348" s="12" t="s">
        <v>952</v>
      </c>
      <c r="B1348" s="12" t="s">
        <v>1163</v>
      </c>
      <c r="C1348" s="12" t="n">
        <v>2025</v>
      </c>
      <c r="D1348" s="12" t="n">
        <v>1</v>
      </c>
      <c r="E1348" s="12" t="n">
        <v>29.74</v>
      </c>
      <c r="F1348" s="12" t="n">
        <v>4413332</v>
      </c>
    </row>
    <row r="1349" customFormat="false" ht="15" hidden="false" customHeight="true" outlineLevel="0" collapsed="false">
      <c r="A1349" s="12" t="s">
        <v>952</v>
      </c>
      <c r="B1349" s="12" t="s">
        <v>1163</v>
      </c>
      <c r="C1349" s="12" t="n">
        <v>2026</v>
      </c>
      <c r="D1349" s="12" t="n">
        <v>1</v>
      </c>
      <c r="E1349" s="12" t="n">
        <v>30.89</v>
      </c>
      <c r="F1349" s="12" t="n">
        <v>4413332</v>
      </c>
    </row>
    <row r="1350" customFormat="false" ht="15" hidden="false" customHeight="true" outlineLevel="0" collapsed="false">
      <c r="A1350" s="12" t="s">
        <v>952</v>
      </c>
      <c r="B1350" s="12" t="s">
        <v>1164</v>
      </c>
      <c r="C1350" s="12" t="n">
        <v>2025</v>
      </c>
      <c r="D1350" s="12" t="n">
        <v>7</v>
      </c>
      <c r="E1350" s="12" t="n">
        <v>498.04</v>
      </c>
      <c r="F1350" s="12" t="n">
        <v>4413348</v>
      </c>
    </row>
    <row r="1351" customFormat="false" ht="15" hidden="false" customHeight="true" outlineLevel="0" collapsed="false">
      <c r="A1351" s="12" t="s">
        <v>952</v>
      </c>
      <c r="B1351" s="12" t="s">
        <v>1164</v>
      </c>
      <c r="C1351" s="12" t="n">
        <v>2026</v>
      </c>
      <c r="D1351" s="12" t="n">
        <v>6</v>
      </c>
      <c r="E1351" s="12" t="n">
        <v>382.41</v>
      </c>
      <c r="F1351" s="12" t="n">
        <v>4413348</v>
      </c>
    </row>
    <row r="1352" customFormat="false" ht="15" hidden="false" customHeight="true" outlineLevel="0" collapsed="false">
      <c r="A1352" s="12" t="s">
        <v>952</v>
      </c>
      <c r="B1352" s="12" t="s">
        <v>1165</v>
      </c>
      <c r="C1352" s="12" t="n">
        <v>2025</v>
      </c>
      <c r="D1352" s="12" t="n">
        <v>11</v>
      </c>
      <c r="E1352" s="12" t="n">
        <v>337.49</v>
      </c>
      <c r="F1352" s="12" t="n">
        <v>4413364</v>
      </c>
    </row>
    <row r="1353" customFormat="false" ht="15" hidden="false" customHeight="true" outlineLevel="0" collapsed="false">
      <c r="A1353" s="12" t="s">
        <v>952</v>
      </c>
      <c r="B1353" s="12" t="s">
        <v>1165</v>
      </c>
      <c r="C1353" s="12" t="n">
        <v>2026</v>
      </c>
      <c r="D1353" s="12" t="n">
        <v>3</v>
      </c>
      <c r="E1353" s="12" t="n">
        <v>92.67</v>
      </c>
      <c r="F1353" s="12" t="n">
        <v>4413364</v>
      </c>
    </row>
    <row r="1354" customFormat="false" ht="15" hidden="false" customHeight="true" outlineLevel="0" collapsed="false">
      <c r="A1354" s="12" t="s">
        <v>952</v>
      </c>
      <c r="B1354" s="12" t="s">
        <v>1166</v>
      </c>
      <c r="C1354" s="12" t="n">
        <v>2025</v>
      </c>
      <c r="D1354" s="12" t="n">
        <v>2</v>
      </c>
      <c r="E1354" s="12" t="n">
        <v>61.78</v>
      </c>
      <c r="F1354" s="12" t="n">
        <v>4413365</v>
      </c>
    </row>
    <row r="1355" customFormat="false" ht="15" hidden="false" customHeight="true" outlineLevel="0" collapsed="false">
      <c r="A1355" s="12" t="s">
        <v>952</v>
      </c>
      <c r="B1355" s="12" t="s">
        <v>1167</v>
      </c>
      <c r="C1355" s="12" t="n">
        <v>2025</v>
      </c>
      <c r="D1355" s="12" t="n">
        <v>2</v>
      </c>
      <c r="E1355" s="12" t="n">
        <v>61.78</v>
      </c>
      <c r="F1355" s="12" t="n">
        <v>4413367</v>
      </c>
    </row>
    <row r="1356" customFormat="false" ht="15" hidden="false" customHeight="true" outlineLevel="0" collapsed="false">
      <c r="A1356" s="12" t="s">
        <v>952</v>
      </c>
      <c r="B1356" s="12" t="s">
        <v>1168</v>
      </c>
      <c r="C1356" s="12" t="n">
        <v>2025</v>
      </c>
      <c r="D1356" s="12" t="n">
        <v>21</v>
      </c>
      <c r="E1356" s="12" t="n">
        <v>791.11</v>
      </c>
      <c r="F1356" s="12" t="n">
        <v>4413370</v>
      </c>
    </row>
    <row r="1357" customFormat="false" ht="15" hidden="false" customHeight="true" outlineLevel="0" collapsed="false">
      <c r="A1357" s="12" t="s">
        <v>952</v>
      </c>
      <c r="B1357" s="12" t="s">
        <v>1168</v>
      </c>
      <c r="C1357" s="12" t="n">
        <v>2026</v>
      </c>
      <c r="D1357" s="12" t="n">
        <v>12</v>
      </c>
      <c r="E1357" s="12" t="n">
        <v>483.24</v>
      </c>
      <c r="F1357" s="12" t="n">
        <v>4413370</v>
      </c>
    </row>
    <row r="1358" customFormat="false" ht="15" hidden="false" customHeight="true" outlineLevel="0" collapsed="false">
      <c r="A1358" s="12" t="s">
        <v>952</v>
      </c>
      <c r="B1358" s="12" t="s">
        <v>1169</v>
      </c>
      <c r="C1358" s="12" t="n">
        <v>2025</v>
      </c>
      <c r="D1358" s="12" t="n">
        <v>16</v>
      </c>
      <c r="E1358" s="12" t="n">
        <v>483.9</v>
      </c>
      <c r="F1358" s="12" t="n">
        <v>4413371</v>
      </c>
    </row>
    <row r="1359" customFormat="false" ht="15" hidden="false" customHeight="true" outlineLevel="0" collapsed="false">
      <c r="A1359" s="12" t="s">
        <v>952</v>
      </c>
      <c r="B1359" s="12" t="s">
        <v>1169</v>
      </c>
      <c r="C1359" s="12" t="n">
        <v>2026</v>
      </c>
      <c r="D1359" s="12" t="n">
        <v>7</v>
      </c>
      <c r="E1359" s="12" t="n">
        <v>212.94</v>
      </c>
      <c r="F1359" s="12" t="n">
        <v>4413371</v>
      </c>
    </row>
    <row r="1360" customFormat="false" ht="15" hidden="false" customHeight="true" outlineLevel="0" collapsed="false">
      <c r="A1360" s="12" t="s">
        <v>952</v>
      </c>
      <c r="B1360" s="12" t="s">
        <v>1170</v>
      </c>
      <c r="C1360" s="12" t="n">
        <v>2025</v>
      </c>
      <c r="D1360" s="12" t="n">
        <v>4</v>
      </c>
      <c r="E1360" s="12" t="n">
        <v>284.79</v>
      </c>
      <c r="F1360" s="12" t="n">
        <v>4413372</v>
      </c>
    </row>
    <row r="1361" customFormat="false" ht="15" hidden="false" customHeight="true" outlineLevel="0" collapsed="false">
      <c r="A1361" s="12" t="s">
        <v>952</v>
      </c>
      <c r="B1361" s="12" t="s">
        <v>1170</v>
      </c>
      <c r="C1361" s="12" t="n">
        <v>2026</v>
      </c>
      <c r="D1361" s="12" t="n">
        <v>5</v>
      </c>
      <c r="E1361" s="12" t="n">
        <v>333.59</v>
      </c>
      <c r="F1361" s="12" t="n">
        <v>4413372</v>
      </c>
    </row>
    <row r="1362" customFormat="false" ht="15" hidden="false" customHeight="true" outlineLevel="0" collapsed="false">
      <c r="A1362" s="12" t="s">
        <v>952</v>
      </c>
      <c r="B1362" s="12" t="s">
        <v>1171</v>
      </c>
      <c r="C1362" s="12" t="n">
        <v>2025</v>
      </c>
      <c r="D1362" s="12" t="n">
        <v>2</v>
      </c>
      <c r="E1362" s="12" t="n">
        <v>74.9</v>
      </c>
      <c r="F1362" s="12" t="n">
        <v>4413394</v>
      </c>
    </row>
    <row r="1363" customFormat="false" ht="15" hidden="false" customHeight="true" outlineLevel="0" collapsed="false">
      <c r="A1363" s="12" t="s">
        <v>952</v>
      </c>
      <c r="B1363" s="12" t="s">
        <v>1171</v>
      </c>
      <c r="C1363" s="12" t="n">
        <v>2026</v>
      </c>
      <c r="D1363" s="12" t="n">
        <v>1</v>
      </c>
      <c r="E1363" s="12" t="n">
        <v>37.45</v>
      </c>
      <c r="F1363" s="12" t="n">
        <v>4413394</v>
      </c>
    </row>
    <row r="1364" customFormat="false" ht="15" hidden="false" customHeight="true" outlineLevel="0" collapsed="false">
      <c r="A1364" s="12" t="s">
        <v>952</v>
      </c>
      <c r="B1364" s="12" t="s">
        <v>1172</v>
      </c>
      <c r="C1364" s="12" t="n">
        <v>2025</v>
      </c>
      <c r="D1364" s="12" t="n">
        <v>2</v>
      </c>
      <c r="E1364" s="12" t="n">
        <v>74.91</v>
      </c>
      <c r="F1364" s="12" t="n">
        <v>4413395</v>
      </c>
    </row>
    <row r="1365" customFormat="false" ht="15" hidden="false" customHeight="true" outlineLevel="0" collapsed="false">
      <c r="A1365" s="12" t="s">
        <v>952</v>
      </c>
      <c r="B1365" s="12" t="s">
        <v>1172</v>
      </c>
      <c r="C1365" s="12" t="n">
        <v>2026</v>
      </c>
      <c r="D1365" s="12" t="n">
        <v>2</v>
      </c>
      <c r="E1365" s="12" t="n">
        <v>74.91</v>
      </c>
      <c r="F1365" s="12" t="n">
        <v>4413395</v>
      </c>
    </row>
    <row r="1366" customFormat="false" ht="15" hidden="false" customHeight="true" outlineLevel="0" collapsed="false">
      <c r="A1366" s="12" t="s">
        <v>952</v>
      </c>
      <c r="B1366" s="12" t="s">
        <v>1173</v>
      </c>
      <c r="C1366" s="12" t="n">
        <v>2025</v>
      </c>
      <c r="D1366" s="12" t="n">
        <v>6</v>
      </c>
      <c r="E1366" s="12" t="n">
        <v>224.72</v>
      </c>
      <c r="F1366" s="12" t="n">
        <v>4413396</v>
      </c>
    </row>
    <row r="1367" customFormat="false" ht="15" hidden="false" customHeight="true" outlineLevel="0" collapsed="false">
      <c r="A1367" s="12" t="s">
        <v>952</v>
      </c>
      <c r="B1367" s="12" t="s">
        <v>1173</v>
      </c>
      <c r="C1367" s="12" t="n">
        <v>2026</v>
      </c>
      <c r="D1367" s="12" t="n">
        <v>4</v>
      </c>
      <c r="E1367" s="12" t="n">
        <v>149.82</v>
      </c>
      <c r="F1367" s="12" t="n">
        <v>4413396</v>
      </c>
    </row>
    <row r="1368" customFormat="false" ht="15" hidden="false" customHeight="true" outlineLevel="0" collapsed="false">
      <c r="A1368" s="12" t="s">
        <v>952</v>
      </c>
      <c r="B1368" s="12" t="s">
        <v>1174</v>
      </c>
      <c r="C1368" s="12" t="n">
        <v>2026</v>
      </c>
      <c r="D1368" s="12" t="n">
        <v>3</v>
      </c>
      <c r="E1368" s="12" t="n">
        <v>112.36</v>
      </c>
      <c r="F1368" s="12" t="n">
        <v>4413397</v>
      </c>
    </row>
    <row r="1369" customFormat="false" ht="15" hidden="false" customHeight="true" outlineLevel="0" collapsed="false">
      <c r="A1369" s="12" t="s">
        <v>952</v>
      </c>
      <c r="B1369" s="12" t="s">
        <v>1175</v>
      </c>
      <c r="C1369" s="12" t="n">
        <v>2026</v>
      </c>
      <c r="D1369" s="12" t="n">
        <v>3</v>
      </c>
      <c r="E1369" s="12" t="n">
        <v>112.35</v>
      </c>
      <c r="F1369" s="12" t="n">
        <v>4413398</v>
      </c>
    </row>
    <row r="1370" customFormat="false" ht="15" hidden="false" customHeight="true" outlineLevel="0" collapsed="false">
      <c r="A1370" s="12" t="s">
        <v>952</v>
      </c>
      <c r="B1370" s="12" t="s">
        <v>1176</v>
      </c>
      <c r="C1370" s="12" t="n">
        <v>2025</v>
      </c>
      <c r="D1370" s="12" t="n">
        <v>5</v>
      </c>
      <c r="E1370" s="12" t="n">
        <v>433.9</v>
      </c>
      <c r="F1370" s="12" t="n">
        <v>4413406</v>
      </c>
    </row>
    <row r="1371" customFormat="false" ht="15" hidden="false" customHeight="true" outlineLevel="0" collapsed="false">
      <c r="A1371" s="12" t="s">
        <v>952</v>
      </c>
      <c r="B1371" s="12" t="s">
        <v>1176</v>
      </c>
      <c r="C1371" s="12" t="n">
        <v>2026</v>
      </c>
      <c r="D1371" s="12" t="n">
        <v>2</v>
      </c>
      <c r="E1371" s="12" t="n">
        <v>187.35</v>
      </c>
      <c r="F1371" s="12" t="n">
        <v>4413406</v>
      </c>
    </row>
    <row r="1372" customFormat="false" ht="15" hidden="false" customHeight="true" outlineLevel="0" collapsed="false">
      <c r="A1372" s="12" t="s">
        <v>952</v>
      </c>
      <c r="B1372" s="12" t="s">
        <v>1177</v>
      </c>
      <c r="C1372" s="12" t="n">
        <v>2025</v>
      </c>
      <c r="D1372" s="12" t="n">
        <v>4</v>
      </c>
      <c r="E1372" s="12" t="n">
        <v>358.32</v>
      </c>
      <c r="F1372" s="12" t="n">
        <v>4413407</v>
      </c>
    </row>
    <row r="1373" customFormat="false" ht="15" hidden="false" customHeight="true" outlineLevel="0" collapsed="false">
      <c r="A1373" s="12" t="s">
        <v>952</v>
      </c>
      <c r="B1373" s="12" t="s">
        <v>1177</v>
      </c>
      <c r="C1373" s="12" t="n">
        <v>2026</v>
      </c>
      <c r="D1373" s="12" t="n">
        <v>6</v>
      </c>
      <c r="E1373" s="12" t="n">
        <v>562.04</v>
      </c>
      <c r="F1373" s="12" t="n">
        <v>4413407</v>
      </c>
    </row>
    <row r="1374" customFormat="false" ht="15" hidden="false" customHeight="true" outlineLevel="0" collapsed="false">
      <c r="A1374" s="12" t="s">
        <v>952</v>
      </c>
      <c r="B1374" s="12" t="s">
        <v>1178</v>
      </c>
      <c r="C1374" s="12" t="n">
        <v>2025</v>
      </c>
      <c r="D1374" s="12" t="n">
        <v>2</v>
      </c>
      <c r="E1374" s="12" t="n">
        <v>154.58</v>
      </c>
      <c r="F1374" s="12" t="n">
        <v>4413408</v>
      </c>
    </row>
    <row r="1375" customFormat="false" ht="15" hidden="false" customHeight="true" outlineLevel="0" collapsed="false">
      <c r="A1375" s="12" t="s">
        <v>952</v>
      </c>
      <c r="B1375" s="12" t="s">
        <v>1178</v>
      </c>
      <c r="C1375" s="12" t="n">
        <v>2026</v>
      </c>
      <c r="D1375" s="12" t="n">
        <v>4</v>
      </c>
      <c r="E1375" s="12" t="n">
        <v>374.69</v>
      </c>
      <c r="F1375" s="12" t="n">
        <v>4413408</v>
      </c>
    </row>
    <row r="1376" customFormat="false" ht="15" hidden="false" customHeight="true" outlineLevel="0" collapsed="false">
      <c r="A1376" s="12" t="s">
        <v>952</v>
      </c>
      <c r="B1376" s="12" t="s">
        <v>1179</v>
      </c>
      <c r="C1376" s="12" t="n">
        <v>2025</v>
      </c>
      <c r="D1376" s="12" t="n">
        <v>3</v>
      </c>
      <c r="E1376" s="12" t="n">
        <v>447.56</v>
      </c>
      <c r="F1376" s="12" t="n">
        <v>4413415</v>
      </c>
    </row>
    <row r="1377" customFormat="false" ht="15" hidden="false" customHeight="true" outlineLevel="0" collapsed="false">
      <c r="A1377" s="12" t="s">
        <v>952</v>
      </c>
      <c r="B1377" s="12" t="s">
        <v>1179</v>
      </c>
      <c r="C1377" s="12" t="n">
        <v>2026</v>
      </c>
      <c r="D1377" s="12" t="n">
        <v>1</v>
      </c>
      <c r="E1377" s="12" t="n">
        <v>164.03</v>
      </c>
      <c r="F1377" s="12" t="n">
        <v>4413415</v>
      </c>
    </row>
    <row r="1378" customFormat="false" ht="15" hidden="false" customHeight="true" outlineLevel="0" collapsed="false">
      <c r="A1378" s="12" t="s">
        <v>952</v>
      </c>
      <c r="B1378" s="12" t="s">
        <v>1180</v>
      </c>
      <c r="C1378" s="12" t="n">
        <v>2025</v>
      </c>
      <c r="D1378" s="12" t="n">
        <v>9</v>
      </c>
      <c r="E1378" s="12" t="n">
        <v>1397.67</v>
      </c>
      <c r="F1378" s="12" t="n">
        <v>4413416</v>
      </c>
    </row>
    <row r="1379" customFormat="false" ht="15" hidden="false" customHeight="true" outlineLevel="0" collapsed="false">
      <c r="A1379" s="12" t="s">
        <v>952</v>
      </c>
      <c r="B1379" s="12" t="s">
        <v>1180</v>
      </c>
      <c r="C1379" s="12" t="n">
        <v>2026</v>
      </c>
      <c r="D1379" s="12" t="n">
        <v>3</v>
      </c>
      <c r="E1379" s="12" t="n">
        <v>492.08</v>
      </c>
      <c r="F1379" s="12" t="n">
        <v>4413416</v>
      </c>
    </row>
    <row r="1380" customFormat="false" ht="15" hidden="false" customHeight="true" outlineLevel="0" collapsed="false">
      <c r="A1380" s="12" t="s">
        <v>952</v>
      </c>
      <c r="B1380" s="12" t="s">
        <v>1181</v>
      </c>
      <c r="C1380" s="12" t="n">
        <v>2025</v>
      </c>
      <c r="D1380" s="12" t="n">
        <v>2</v>
      </c>
      <c r="E1380" s="12" t="n">
        <v>290.52</v>
      </c>
      <c r="F1380" s="12" t="n">
        <v>4413417</v>
      </c>
    </row>
    <row r="1381" customFormat="false" ht="15" hidden="false" customHeight="true" outlineLevel="0" collapsed="false">
      <c r="A1381" s="12" t="s">
        <v>952</v>
      </c>
      <c r="B1381" s="12" t="s">
        <v>1181</v>
      </c>
      <c r="C1381" s="12" t="n">
        <v>2026</v>
      </c>
      <c r="D1381" s="12" t="n">
        <v>6</v>
      </c>
      <c r="E1381" s="12" t="n">
        <v>984.14</v>
      </c>
      <c r="F1381" s="12" t="n">
        <v>4413417</v>
      </c>
    </row>
    <row r="1382" customFormat="false" ht="15" hidden="false" customHeight="true" outlineLevel="0" collapsed="false">
      <c r="A1382" s="12" t="s">
        <v>952</v>
      </c>
      <c r="B1382" s="12" t="s">
        <v>1182</v>
      </c>
      <c r="C1382" s="12" t="n">
        <v>2025</v>
      </c>
      <c r="D1382" s="12" t="n">
        <v>1</v>
      </c>
      <c r="E1382" s="12" t="n">
        <v>145.26</v>
      </c>
      <c r="F1382" s="12" t="n">
        <v>4413418</v>
      </c>
    </row>
    <row r="1383" customFormat="false" ht="15" hidden="false" customHeight="true" outlineLevel="0" collapsed="false">
      <c r="A1383" s="12" t="s">
        <v>952</v>
      </c>
      <c r="B1383" s="12" t="s">
        <v>1183</v>
      </c>
      <c r="C1383" s="12" t="n">
        <v>2025</v>
      </c>
      <c r="D1383" s="12" t="n">
        <v>1</v>
      </c>
      <c r="E1383" s="12" t="n">
        <v>77.3</v>
      </c>
      <c r="F1383" s="12" t="n">
        <v>4413420</v>
      </c>
    </row>
    <row r="1384" customFormat="false" ht="15" hidden="false" customHeight="true" outlineLevel="0" collapsed="false">
      <c r="A1384" s="12" t="s">
        <v>952</v>
      </c>
      <c r="B1384" s="12" t="s">
        <v>1183</v>
      </c>
      <c r="C1384" s="12" t="n">
        <v>2026</v>
      </c>
      <c r="D1384" s="12" t="n">
        <v>1</v>
      </c>
      <c r="E1384" s="12" t="n">
        <v>93.68</v>
      </c>
      <c r="F1384" s="12" t="n">
        <v>4413420</v>
      </c>
    </row>
    <row r="1385" customFormat="false" ht="15" hidden="false" customHeight="true" outlineLevel="0" collapsed="false">
      <c r="A1385" s="12" t="s">
        <v>952</v>
      </c>
      <c r="B1385" s="12" t="s">
        <v>1184</v>
      </c>
      <c r="C1385" s="12" t="n">
        <v>2025</v>
      </c>
      <c r="D1385" s="12" t="n">
        <v>2</v>
      </c>
      <c r="E1385" s="12" t="n">
        <v>154.59</v>
      </c>
      <c r="F1385" s="12" t="n">
        <v>4413421</v>
      </c>
    </row>
    <row r="1386" customFormat="false" ht="15" hidden="false" customHeight="true" outlineLevel="0" collapsed="false">
      <c r="A1386" s="12" t="s">
        <v>952</v>
      </c>
      <c r="B1386" s="12" t="s">
        <v>1184</v>
      </c>
      <c r="C1386" s="12" t="n">
        <v>2026</v>
      </c>
      <c r="D1386" s="12" t="n">
        <v>1</v>
      </c>
      <c r="E1386" s="12" t="n">
        <v>93.67</v>
      </c>
      <c r="F1386" s="12" t="n">
        <v>4413421</v>
      </c>
    </row>
    <row r="1387" customFormat="false" ht="15" hidden="false" customHeight="true" outlineLevel="0" collapsed="false">
      <c r="A1387" s="12" t="s">
        <v>952</v>
      </c>
      <c r="B1387" s="12" t="s">
        <v>1185</v>
      </c>
      <c r="C1387" s="12" t="n">
        <v>2025</v>
      </c>
      <c r="D1387" s="12" t="n">
        <v>1</v>
      </c>
      <c r="E1387" s="12" t="n">
        <v>77.29</v>
      </c>
      <c r="F1387" s="12" t="n">
        <v>4413422</v>
      </c>
    </row>
    <row r="1388" customFormat="false" ht="15" hidden="false" customHeight="true" outlineLevel="0" collapsed="false">
      <c r="A1388" s="12" t="s">
        <v>952</v>
      </c>
      <c r="B1388" s="12" t="s">
        <v>1185</v>
      </c>
      <c r="C1388" s="12" t="n">
        <v>2026</v>
      </c>
      <c r="D1388" s="12" t="n">
        <v>1</v>
      </c>
      <c r="E1388" s="12" t="n">
        <v>93.67</v>
      </c>
      <c r="F1388" s="12" t="n">
        <v>4413422</v>
      </c>
    </row>
    <row r="1389" customFormat="false" ht="15" hidden="false" customHeight="true" outlineLevel="0" collapsed="false">
      <c r="A1389" s="12" t="s">
        <v>952</v>
      </c>
      <c r="B1389" s="12" t="s">
        <v>1186</v>
      </c>
      <c r="C1389" s="12" t="n">
        <v>2025</v>
      </c>
      <c r="D1389" s="12" t="n">
        <v>1</v>
      </c>
      <c r="E1389" s="12" t="n">
        <v>93.68</v>
      </c>
      <c r="F1389" s="12" t="n">
        <v>4413423</v>
      </c>
    </row>
    <row r="1390" customFormat="false" ht="15" hidden="false" customHeight="true" outlineLevel="0" collapsed="false">
      <c r="A1390" s="12" t="s">
        <v>952</v>
      </c>
      <c r="B1390" s="12" t="s">
        <v>1187</v>
      </c>
      <c r="C1390" s="12" t="n">
        <v>2026</v>
      </c>
      <c r="D1390" s="12" t="n">
        <v>1</v>
      </c>
      <c r="E1390" s="12" t="n">
        <v>93.67</v>
      </c>
      <c r="F1390" s="12" t="n">
        <v>4413424</v>
      </c>
    </row>
    <row r="1391" customFormat="false" ht="15" hidden="false" customHeight="true" outlineLevel="0" collapsed="false">
      <c r="A1391" s="12" t="s">
        <v>952</v>
      </c>
      <c r="B1391" s="12" t="s">
        <v>1188</v>
      </c>
      <c r="C1391" s="12" t="n">
        <v>2026</v>
      </c>
      <c r="D1391" s="12" t="n">
        <v>1</v>
      </c>
      <c r="E1391" s="12" t="n">
        <v>93.67</v>
      </c>
      <c r="F1391" s="12" t="n">
        <v>4413425</v>
      </c>
    </row>
    <row r="1392" customFormat="false" ht="15" hidden="false" customHeight="true" outlineLevel="0" collapsed="false">
      <c r="A1392" s="12" t="s">
        <v>952</v>
      </c>
      <c r="B1392" s="12" t="s">
        <v>1189</v>
      </c>
      <c r="C1392" s="12" t="n">
        <v>2025</v>
      </c>
      <c r="D1392" s="12" t="n">
        <v>4</v>
      </c>
      <c r="E1392" s="12" t="n">
        <v>309.17</v>
      </c>
      <c r="F1392" s="12" t="n">
        <v>4413426</v>
      </c>
    </row>
    <row r="1393" customFormat="false" ht="15" hidden="false" customHeight="true" outlineLevel="0" collapsed="false">
      <c r="A1393" s="12" t="s">
        <v>952</v>
      </c>
      <c r="B1393" s="12" t="s">
        <v>1190</v>
      </c>
      <c r="C1393" s="12" t="n">
        <v>2025</v>
      </c>
      <c r="D1393" s="12" t="n">
        <v>1</v>
      </c>
      <c r="E1393" s="12" t="n">
        <v>77.29</v>
      </c>
      <c r="F1393" s="12" t="n">
        <v>4413427</v>
      </c>
    </row>
    <row r="1394" customFormat="false" ht="15" hidden="false" customHeight="true" outlineLevel="0" collapsed="false">
      <c r="A1394" s="12" t="s">
        <v>952</v>
      </c>
      <c r="B1394" s="12" t="s">
        <v>1191</v>
      </c>
      <c r="C1394" s="12" t="n">
        <v>2025</v>
      </c>
      <c r="D1394" s="12" t="n">
        <v>9</v>
      </c>
      <c r="E1394" s="12" t="n">
        <v>1247.53</v>
      </c>
      <c r="F1394" s="12" t="n">
        <v>4413438</v>
      </c>
    </row>
    <row r="1395" customFormat="false" ht="15" hidden="false" customHeight="true" outlineLevel="0" collapsed="false">
      <c r="A1395" s="12" t="s">
        <v>952</v>
      </c>
      <c r="B1395" s="12" t="s">
        <v>1191</v>
      </c>
      <c r="C1395" s="12" t="n">
        <v>2026</v>
      </c>
      <c r="D1395" s="12" t="n">
        <v>4</v>
      </c>
      <c r="E1395" s="12" t="n">
        <v>562.28</v>
      </c>
      <c r="F1395" s="12" t="n">
        <v>4413438</v>
      </c>
    </row>
    <row r="1396" customFormat="false" ht="15" hidden="false" customHeight="true" outlineLevel="0" collapsed="false">
      <c r="A1396" s="12" t="s">
        <v>952</v>
      </c>
      <c r="B1396" s="12" t="s">
        <v>1192</v>
      </c>
      <c r="C1396" s="12" t="n">
        <v>2025</v>
      </c>
      <c r="D1396" s="12" t="n">
        <v>6</v>
      </c>
      <c r="E1396" s="12" t="n">
        <v>836.38</v>
      </c>
      <c r="F1396" s="12" t="n">
        <v>4413439</v>
      </c>
    </row>
    <row r="1397" customFormat="false" ht="15" hidden="false" customHeight="true" outlineLevel="0" collapsed="false">
      <c r="A1397" s="12" t="s">
        <v>952</v>
      </c>
      <c r="B1397" s="12" t="s">
        <v>1192</v>
      </c>
      <c r="C1397" s="12" t="n">
        <v>2026</v>
      </c>
      <c r="D1397" s="12" t="n">
        <v>7</v>
      </c>
      <c r="E1397" s="12" t="n">
        <v>984</v>
      </c>
      <c r="F1397" s="12" t="n">
        <v>4413439</v>
      </c>
    </row>
    <row r="1398" customFormat="false" ht="15" hidden="false" customHeight="true" outlineLevel="0" collapsed="false">
      <c r="A1398" s="12" t="s">
        <v>952</v>
      </c>
      <c r="B1398" s="12" t="s">
        <v>1193</v>
      </c>
      <c r="C1398" s="12" t="n">
        <v>2025</v>
      </c>
      <c r="D1398" s="12" t="n">
        <v>6</v>
      </c>
      <c r="E1398" s="12" t="n">
        <v>839.9</v>
      </c>
      <c r="F1398" s="12" t="n">
        <v>4413440</v>
      </c>
    </row>
    <row r="1399" customFormat="false" ht="15" hidden="false" customHeight="true" outlineLevel="0" collapsed="false">
      <c r="A1399" s="12" t="s">
        <v>952</v>
      </c>
      <c r="B1399" s="12" t="s">
        <v>1193</v>
      </c>
      <c r="C1399" s="12" t="n">
        <v>2026</v>
      </c>
      <c r="D1399" s="12" t="n">
        <v>6</v>
      </c>
      <c r="E1399" s="12" t="n">
        <v>843.42</v>
      </c>
      <c r="F1399" s="12" t="n">
        <v>4413440</v>
      </c>
    </row>
    <row r="1400" customFormat="false" ht="15" hidden="false" customHeight="true" outlineLevel="0" collapsed="false">
      <c r="A1400" s="12" t="s">
        <v>952</v>
      </c>
      <c r="B1400" s="12" t="s">
        <v>1194</v>
      </c>
      <c r="C1400" s="12" t="n">
        <v>2025</v>
      </c>
      <c r="D1400" s="12" t="n">
        <v>2</v>
      </c>
      <c r="E1400" s="12" t="n">
        <v>281.14</v>
      </c>
      <c r="F1400" s="12" t="n">
        <v>4413441</v>
      </c>
    </row>
    <row r="1401" customFormat="false" ht="15" hidden="false" customHeight="true" outlineLevel="0" collapsed="false">
      <c r="A1401" s="12" t="s">
        <v>952</v>
      </c>
      <c r="B1401" s="12" t="s">
        <v>1194</v>
      </c>
      <c r="C1401" s="12" t="n">
        <v>2026</v>
      </c>
      <c r="D1401" s="12" t="n">
        <v>2</v>
      </c>
      <c r="E1401" s="12" t="n">
        <v>281.14</v>
      </c>
      <c r="F1401" s="12" t="n">
        <v>4413441</v>
      </c>
    </row>
    <row r="1402" customFormat="false" ht="15" hidden="false" customHeight="true" outlineLevel="0" collapsed="false">
      <c r="A1402" s="12" t="s">
        <v>952</v>
      </c>
      <c r="B1402" s="12" t="s">
        <v>1195</v>
      </c>
      <c r="C1402" s="12" t="n">
        <v>2025</v>
      </c>
      <c r="D1402" s="12" t="n">
        <v>1</v>
      </c>
      <c r="E1402" s="12" t="n">
        <v>137.05</v>
      </c>
      <c r="F1402" s="12" t="n">
        <v>4413442</v>
      </c>
    </row>
    <row r="1403" customFormat="false" ht="15" hidden="false" customHeight="true" outlineLevel="0" collapsed="false">
      <c r="A1403" s="12" t="s">
        <v>952</v>
      </c>
      <c r="B1403" s="12" t="s">
        <v>1195</v>
      </c>
      <c r="C1403" s="12" t="n">
        <v>2026</v>
      </c>
      <c r="D1403" s="12" t="n">
        <v>2</v>
      </c>
      <c r="E1403" s="12" t="n">
        <v>281.14</v>
      </c>
      <c r="F1403" s="12" t="n">
        <v>4413442</v>
      </c>
    </row>
    <row r="1404" customFormat="false" ht="15" hidden="false" customHeight="true" outlineLevel="0" collapsed="false">
      <c r="A1404" s="12" t="s">
        <v>952</v>
      </c>
      <c r="B1404" s="12" t="s">
        <v>1196</v>
      </c>
      <c r="C1404" s="12" t="n">
        <v>2025</v>
      </c>
      <c r="D1404" s="12" t="n">
        <v>2</v>
      </c>
      <c r="E1404" s="12" t="n">
        <v>147.09</v>
      </c>
      <c r="F1404" s="12" t="n">
        <v>4413449</v>
      </c>
    </row>
    <row r="1405" customFormat="false" ht="15" hidden="false" customHeight="true" outlineLevel="0" collapsed="false">
      <c r="A1405" s="12" t="s">
        <v>952</v>
      </c>
      <c r="B1405" s="12" t="s">
        <v>1197</v>
      </c>
      <c r="C1405" s="12" t="n">
        <v>2026</v>
      </c>
      <c r="D1405" s="12" t="n">
        <v>1</v>
      </c>
      <c r="E1405" s="12" t="n">
        <v>47.3</v>
      </c>
      <c r="F1405" s="12" t="n">
        <v>4413452</v>
      </c>
    </row>
    <row r="1406" customFormat="false" ht="15" hidden="false" customHeight="true" outlineLevel="0" collapsed="false">
      <c r="A1406" s="12" t="s">
        <v>952</v>
      </c>
      <c r="B1406" s="12" t="s">
        <v>1198</v>
      </c>
      <c r="C1406" s="12" t="n">
        <v>2025</v>
      </c>
      <c r="D1406" s="12" t="n">
        <v>22</v>
      </c>
      <c r="E1406" s="12" t="n">
        <v>1516.56</v>
      </c>
      <c r="F1406" s="12" t="n">
        <v>4413453</v>
      </c>
    </row>
    <row r="1407" customFormat="false" ht="15" hidden="false" customHeight="true" outlineLevel="0" collapsed="false">
      <c r="A1407" s="12" t="s">
        <v>952</v>
      </c>
      <c r="B1407" s="12" t="s">
        <v>1198</v>
      </c>
      <c r="C1407" s="12" t="n">
        <v>2026</v>
      </c>
      <c r="D1407" s="12" t="n">
        <v>17</v>
      </c>
      <c r="E1407" s="12" t="n">
        <v>1332.92</v>
      </c>
      <c r="F1407" s="12" t="n">
        <v>4413453</v>
      </c>
    </row>
    <row r="1408" customFormat="false" ht="15" hidden="false" customHeight="true" outlineLevel="0" collapsed="false">
      <c r="A1408" s="12" t="s">
        <v>952</v>
      </c>
      <c r="B1408" s="12" t="s">
        <v>1199</v>
      </c>
      <c r="C1408" s="12" t="n">
        <v>2025</v>
      </c>
      <c r="D1408" s="12" t="n">
        <v>12</v>
      </c>
      <c r="E1408" s="12" t="n">
        <v>623.74</v>
      </c>
      <c r="F1408" s="12" t="n">
        <v>4413455</v>
      </c>
    </row>
    <row r="1409" customFormat="false" ht="15" hidden="false" customHeight="true" outlineLevel="0" collapsed="false">
      <c r="A1409" s="12" t="s">
        <v>952</v>
      </c>
      <c r="B1409" s="12" t="s">
        <v>1199</v>
      </c>
      <c r="C1409" s="12" t="n">
        <v>2026</v>
      </c>
      <c r="D1409" s="12" t="n">
        <v>9</v>
      </c>
      <c r="E1409" s="12" t="n">
        <v>467.84</v>
      </c>
      <c r="F1409" s="12" t="n">
        <v>4413455</v>
      </c>
    </row>
    <row r="1410" customFormat="false" ht="15" hidden="false" customHeight="true" outlineLevel="0" collapsed="false">
      <c r="A1410" s="12" t="s">
        <v>952</v>
      </c>
      <c r="B1410" s="12" t="s">
        <v>1200</v>
      </c>
      <c r="C1410" s="12" t="n">
        <v>2025</v>
      </c>
      <c r="D1410" s="12" t="n">
        <v>1</v>
      </c>
      <c r="E1410" s="12" t="n">
        <v>72.61</v>
      </c>
      <c r="F1410" s="12" t="n">
        <v>4413456</v>
      </c>
    </row>
    <row r="1411" customFormat="false" ht="15" hidden="false" customHeight="true" outlineLevel="0" collapsed="false">
      <c r="A1411" s="12" t="s">
        <v>952</v>
      </c>
      <c r="B1411" s="12" t="s">
        <v>1200</v>
      </c>
      <c r="C1411" s="12" t="n">
        <v>2026</v>
      </c>
      <c r="D1411" s="12" t="n">
        <v>4</v>
      </c>
      <c r="E1411" s="12" t="n">
        <v>318.6</v>
      </c>
      <c r="F1411" s="12" t="n">
        <v>4413456</v>
      </c>
    </row>
    <row r="1412" customFormat="false" ht="15" hidden="false" customHeight="true" outlineLevel="0" collapsed="false">
      <c r="A1412" s="12" t="s">
        <v>952</v>
      </c>
      <c r="B1412" s="12" t="s">
        <v>1201</v>
      </c>
      <c r="C1412" s="12" t="n">
        <v>2025</v>
      </c>
      <c r="D1412" s="12" t="n">
        <v>1</v>
      </c>
      <c r="E1412" s="12" t="n">
        <v>30.89</v>
      </c>
      <c r="F1412" s="12" t="n">
        <v>4413497</v>
      </c>
    </row>
    <row r="1413" customFormat="false" ht="15" hidden="false" customHeight="true" outlineLevel="0" collapsed="false">
      <c r="A1413" s="12" t="s">
        <v>952</v>
      </c>
      <c r="B1413" s="12" t="s">
        <v>1202</v>
      </c>
      <c r="C1413" s="12" t="n">
        <v>2025</v>
      </c>
      <c r="D1413" s="12" t="n">
        <v>1</v>
      </c>
      <c r="E1413" s="12" t="n">
        <v>30.89</v>
      </c>
      <c r="F1413" s="12" t="n">
        <v>4413501</v>
      </c>
    </row>
    <row r="1414" customFormat="false" ht="15" hidden="false" customHeight="true" outlineLevel="0" collapsed="false">
      <c r="A1414" s="12" t="s">
        <v>952</v>
      </c>
      <c r="B1414" s="12" t="s">
        <v>1203</v>
      </c>
      <c r="C1414" s="12" t="n">
        <v>2025</v>
      </c>
      <c r="D1414" s="12" t="n">
        <v>1</v>
      </c>
      <c r="E1414" s="12" t="n">
        <v>30.89</v>
      </c>
      <c r="F1414" s="12" t="n">
        <v>4413503</v>
      </c>
    </row>
    <row r="1415" customFormat="false" ht="15" hidden="false" customHeight="true" outlineLevel="0" collapsed="false">
      <c r="A1415" s="12" t="s">
        <v>952</v>
      </c>
      <c r="B1415" s="12" t="s">
        <v>1204</v>
      </c>
      <c r="C1415" s="12" t="n">
        <v>2025</v>
      </c>
      <c r="D1415" s="12" t="n">
        <v>1</v>
      </c>
      <c r="E1415" s="12" t="n">
        <v>56.67</v>
      </c>
      <c r="F1415" s="12" t="n">
        <v>4413517</v>
      </c>
    </row>
    <row r="1416" customFormat="false" ht="15" hidden="false" customHeight="true" outlineLevel="0" collapsed="false">
      <c r="A1416" s="12" t="s">
        <v>952</v>
      </c>
      <c r="B1416" s="12" t="s">
        <v>1204</v>
      </c>
      <c r="C1416" s="12" t="n">
        <v>2026</v>
      </c>
      <c r="D1416" s="12" t="n">
        <v>3</v>
      </c>
      <c r="E1416" s="12" t="n">
        <v>170.01</v>
      </c>
      <c r="F1416" s="12" t="n">
        <v>4413517</v>
      </c>
    </row>
    <row r="1417" customFormat="false" ht="15" hidden="false" customHeight="true" outlineLevel="0" collapsed="false">
      <c r="A1417" s="12" t="s">
        <v>952</v>
      </c>
      <c r="B1417" s="12" t="s">
        <v>1205</v>
      </c>
      <c r="C1417" s="12" t="n">
        <v>2025</v>
      </c>
      <c r="D1417" s="12" t="n">
        <v>20</v>
      </c>
      <c r="E1417" s="12" t="n">
        <v>729.69</v>
      </c>
      <c r="F1417" s="12" t="n">
        <v>4414000</v>
      </c>
    </row>
    <row r="1418" customFormat="false" ht="15" hidden="false" customHeight="true" outlineLevel="0" collapsed="false">
      <c r="A1418" s="12" t="s">
        <v>952</v>
      </c>
      <c r="B1418" s="12" t="s">
        <v>1205</v>
      </c>
      <c r="C1418" s="12" t="n">
        <v>2026</v>
      </c>
      <c r="D1418" s="12" t="n">
        <v>17</v>
      </c>
      <c r="E1418" s="12" t="n">
        <v>620.79</v>
      </c>
      <c r="F1418" s="12" t="n">
        <v>4414000</v>
      </c>
    </row>
    <row r="1419" customFormat="false" ht="15" hidden="false" customHeight="true" outlineLevel="0" collapsed="false">
      <c r="A1419" s="12" t="s">
        <v>952</v>
      </c>
      <c r="B1419" s="12" t="s">
        <v>1206</v>
      </c>
      <c r="C1419" s="12" t="n">
        <v>2026</v>
      </c>
      <c r="D1419" s="12" t="n">
        <v>2</v>
      </c>
      <c r="E1419" s="12" t="n">
        <v>206.14</v>
      </c>
      <c r="F1419" s="12" t="n">
        <v>4415000</v>
      </c>
    </row>
    <row r="1420" customFormat="false" ht="15" hidden="false" customHeight="true" outlineLevel="0" collapsed="false">
      <c r="A1420" s="12" t="s">
        <v>952</v>
      </c>
      <c r="B1420" s="12" t="s">
        <v>1207</v>
      </c>
      <c r="C1420" s="12" t="n">
        <v>2026</v>
      </c>
      <c r="D1420" s="12" t="n">
        <v>4</v>
      </c>
      <c r="E1420" s="12" t="n">
        <v>412.28</v>
      </c>
      <c r="F1420" s="12" t="n">
        <v>4415001</v>
      </c>
    </row>
    <row r="1421" customFormat="false" ht="15" hidden="false" customHeight="true" outlineLevel="0" collapsed="false">
      <c r="A1421" s="12" t="s">
        <v>952</v>
      </c>
      <c r="B1421" s="12" t="s">
        <v>1208</v>
      </c>
      <c r="C1421" s="12" t="n">
        <v>2025</v>
      </c>
      <c r="D1421" s="12" t="n">
        <v>3</v>
      </c>
      <c r="E1421" s="12" t="n">
        <v>300.63</v>
      </c>
      <c r="F1421" s="12" t="n">
        <v>4415005</v>
      </c>
    </row>
    <row r="1422" customFormat="false" ht="15" hidden="false" customHeight="true" outlineLevel="0" collapsed="false">
      <c r="A1422" s="12" t="s">
        <v>952</v>
      </c>
      <c r="B1422" s="12" t="s">
        <v>1209</v>
      </c>
      <c r="C1422" s="12" t="n">
        <v>2025</v>
      </c>
      <c r="D1422" s="12" t="n">
        <v>1</v>
      </c>
      <c r="E1422" s="12" t="n">
        <v>103.07</v>
      </c>
      <c r="F1422" s="12" t="n">
        <v>4415006</v>
      </c>
    </row>
    <row r="1423" customFormat="false" ht="15" hidden="false" customHeight="true" outlineLevel="0" collapsed="false">
      <c r="A1423" s="12" t="s">
        <v>952</v>
      </c>
      <c r="B1423" s="12" t="s">
        <v>1210</v>
      </c>
      <c r="C1423" s="12" t="n">
        <v>2025</v>
      </c>
      <c r="D1423" s="12" t="n">
        <v>1</v>
      </c>
      <c r="E1423" s="12" t="n">
        <v>103.08</v>
      </c>
      <c r="F1423" s="12" t="n">
        <v>4415007</v>
      </c>
    </row>
    <row r="1424" customFormat="false" ht="15" hidden="false" customHeight="true" outlineLevel="0" collapsed="false">
      <c r="A1424" s="12" t="s">
        <v>952</v>
      </c>
      <c r="B1424" s="12" t="s">
        <v>1210</v>
      </c>
      <c r="C1424" s="12" t="n">
        <v>2026</v>
      </c>
      <c r="D1424" s="12" t="n">
        <v>1</v>
      </c>
      <c r="E1424" s="12" t="n">
        <v>103.07</v>
      </c>
      <c r="F1424" s="12" t="n">
        <v>4415007</v>
      </c>
    </row>
    <row r="1425" customFormat="false" ht="15" hidden="false" customHeight="true" outlineLevel="0" collapsed="false">
      <c r="A1425" s="12" t="s">
        <v>952</v>
      </c>
      <c r="B1425" s="12" t="s">
        <v>1211</v>
      </c>
      <c r="C1425" s="12" t="n">
        <v>2025</v>
      </c>
      <c r="D1425" s="12" t="n">
        <v>2</v>
      </c>
      <c r="E1425" s="12" t="n">
        <v>197.57</v>
      </c>
      <c r="F1425" s="12" t="n">
        <v>4415008</v>
      </c>
    </row>
    <row r="1426" customFormat="false" ht="15" hidden="false" customHeight="true" outlineLevel="0" collapsed="false">
      <c r="A1426" s="12" t="s">
        <v>952</v>
      </c>
      <c r="B1426" s="12" t="s">
        <v>1212</v>
      </c>
      <c r="C1426" s="12" t="n">
        <v>2026</v>
      </c>
      <c r="D1426" s="12" t="n">
        <v>1</v>
      </c>
      <c r="E1426" s="12" t="n">
        <v>103.09</v>
      </c>
      <c r="F1426" s="12" t="n">
        <v>4415025</v>
      </c>
    </row>
    <row r="1427" customFormat="false" ht="15" hidden="false" customHeight="true" outlineLevel="0" collapsed="false">
      <c r="A1427" s="12" t="s">
        <v>952</v>
      </c>
      <c r="B1427" s="12" t="s">
        <v>1213</v>
      </c>
      <c r="C1427" s="12" t="n">
        <v>2025</v>
      </c>
      <c r="D1427" s="12" t="n">
        <v>7</v>
      </c>
      <c r="E1427" s="12" t="n">
        <v>280.94</v>
      </c>
      <c r="F1427" s="12" t="n">
        <v>4415026</v>
      </c>
    </row>
    <row r="1428" customFormat="false" ht="15" hidden="false" customHeight="true" outlineLevel="0" collapsed="false">
      <c r="A1428" s="12" t="s">
        <v>952</v>
      </c>
      <c r="B1428" s="12" t="s">
        <v>1213</v>
      </c>
      <c r="C1428" s="12" t="n">
        <v>2026</v>
      </c>
      <c r="D1428" s="12" t="n">
        <v>5</v>
      </c>
      <c r="E1428" s="12" t="n">
        <v>234.09</v>
      </c>
      <c r="F1428" s="12" t="n">
        <v>4415026</v>
      </c>
    </row>
    <row r="1429" customFormat="false" ht="15" hidden="false" customHeight="true" outlineLevel="0" collapsed="false">
      <c r="A1429" s="12" t="s">
        <v>952</v>
      </c>
      <c r="B1429" s="12" t="s">
        <v>1214</v>
      </c>
      <c r="C1429" s="12" t="n">
        <v>2025</v>
      </c>
      <c r="D1429" s="12" t="n">
        <v>5</v>
      </c>
      <c r="E1429" s="12" t="n">
        <v>187.3</v>
      </c>
      <c r="F1429" s="12" t="n">
        <v>4415027</v>
      </c>
    </row>
    <row r="1430" customFormat="false" ht="15" hidden="false" customHeight="true" outlineLevel="0" collapsed="false">
      <c r="A1430" s="12" t="s">
        <v>952</v>
      </c>
      <c r="B1430" s="12" t="s">
        <v>1214</v>
      </c>
      <c r="C1430" s="12" t="n">
        <v>2026</v>
      </c>
      <c r="D1430" s="12" t="n">
        <v>1</v>
      </c>
      <c r="E1430" s="12" t="n">
        <v>46.82</v>
      </c>
      <c r="F1430" s="12" t="n">
        <v>4415027</v>
      </c>
    </row>
    <row r="1431" customFormat="false" ht="15" hidden="false" customHeight="true" outlineLevel="0" collapsed="false">
      <c r="A1431" s="12" t="s">
        <v>952</v>
      </c>
      <c r="B1431" s="12" t="s">
        <v>1215</v>
      </c>
      <c r="C1431" s="12" t="n">
        <v>2025</v>
      </c>
      <c r="D1431" s="12" t="n">
        <v>52</v>
      </c>
      <c r="E1431" s="12" t="n">
        <v>2006.41</v>
      </c>
      <c r="F1431" s="12" t="n">
        <v>4415028</v>
      </c>
    </row>
    <row r="1432" customFormat="false" ht="15" hidden="false" customHeight="true" outlineLevel="0" collapsed="false">
      <c r="A1432" s="12" t="s">
        <v>952</v>
      </c>
      <c r="B1432" s="12" t="s">
        <v>1215</v>
      </c>
      <c r="C1432" s="12" t="n">
        <v>2026</v>
      </c>
      <c r="D1432" s="12" t="n">
        <v>38</v>
      </c>
      <c r="E1432" s="12" t="n">
        <v>1558.97</v>
      </c>
      <c r="F1432" s="12" t="n">
        <v>4415028</v>
      </c>
    </row>
    <row r="1433" customFormat="false" ht="15" hidden="false" customHeight="true" outlineLevel="0" collapsed="false">
      <c r="A1433" s="12" t="s">
        <v>952</v>
      </c>
      <c r="B1433" s="12" t="s">
        <v>1216</v>
      </c>
      <c r="C1433" s="12" t="n">
        <v>2025</v>
      </c>
      <c r="D1433" s="12" t="n">
        <v>10</v>
      </c>
      <c r="E1433" s="12" t="n">
        <v>297.94</v>
      </c>
      <c r="F1433" s="12" t="n">
        <v>4415029</v>
      </c>
    </row>
    <row r="1434" customFormat="false" ht="15" hidden="false" customHeight="true" outlineLevel="0" collapsed="false">
      <c r="A1434" s="12" t="s">
        <v>952</v>
      </c>
      <c r="B1434" s="12" t="s">
        <v>1216</v>
      </c>
      <c r="C1434" s="12" t="n">
        <v>2026</v>
      </c>
      <c r="D1434" s="12" t="n">
        <v>18</v>
      </c>
      <c r="E1434" s="12" t="n">
        <v>547.56</v>
      </c>
      <c r="F1434" s="12" t="n">
        <v>4415029</v>
      </c>
    </row>
    <row r="1435" customFormat="false" ht="15" hidden="false" customHeight="true" outlineLevel="0" collapsed="false">
      <c r="A1435" s="12" t="s">
        <v>952</v>
      </c>
      <c r="B1435" s="12" t="s">
        <v>1217</v>
      </c>
      <c r="C1435" s="12" t="n">
        <v>2025</v>
      </c>
      <c r="D1435" s="12" t="n">
        <v>1</v>
      </c>
      <c r="E1435" s="12" t="n">
        <v>70.26</v>
      </c>
      <c r="F1435" s="12" t="n">
        <v>4415073</v>
      </c>
    </row>
    <row r="1436" customFormat="false" ht="15" hidden="false" customHeight="true" outlineLevel="0" collapsed="false">
      <c r="A1436" s="12" t="s">
        <v>952</v>
      </c>
      <c r="B1436" s="12" t="s">
        <v>1218</v>
      </c>
      <c r="C1436" s="12" t="n">
        <v>2025</v>
      </c>
      <c r="D1436" s="12" t="n">
        <v>18</v>
      </c>
      <c r="E1436" s="12" t="n">
        <v>1362.88</v>
      </c>
      <c r="F1436" s="12" t="n">
        <v>4415158</v>
      </c>
    </row>
    <row r="1437" customFormat="false" ht="15" hidden="false" customHeight="true" outlineLevel="0" collapsed="false">
      <c r="A1437" s="12" t="s">
        <v>952</v>
      </c>
      <c r="B1437" s="12" t="s">
        <v>1218</v>
      </c>
      <c r="C1437" s="12" t="n">
        <v>2026</v>
      </c>
      <c r="D1437" s="12" t="n">
        <v>12</v>
      </c>
      <c r="E1437" s="12" t="n">
        <v>896.74</v>
      </c>
      <c r="F1437" s="12" t="n">
        <v>4415158</v>
      </c>
    </row>
    <row r="1438" customFormat="false" ht="15" hidden="false" customHeight="true" outlineLevel="0" collapsed="false">
      <c r="A1438" s="12" t="s">
        <v>952</v>
      </c>
      <c r="B1438" s="12" t="s">
        <v>1219</v>
      </c>
      <c r="C1438" s="12" t="n">
        <v>2025</v>
      </c>
      <c r="D1438" s="12" t="n">
        <v>14</v>
      </c>
      <c r="E1438" s="12" t="n">
        <v>1492.07</v>
      </c>
      <c r="F1438" s="12" t="n">
        <v>4415159</v>
      </c>
    </row>
    <row r="1439" customFormat="false" ht="15" hidden="false" customHeight="true" outlineLevel="0" collapsed="false">
      <c r="A1439" s="12" t="s">
        <v>952</v>
      </c>
      <c r="B1439" s="12" t="s">
        <v>1219</v>
      </c>
      <c r="C1439" s="12" t="n">
        <v>2026</v>
      </c>
      <c r="D1439" s="12" t="n">
        <v>10</v>
      </c>
      <c r="E1439" s="12" t="n">
        <v>1150.26</v>
      </c>
      <c r="F1439" s="12" t="n">
        <v>4415159</v>
      </c>
    </row>
    <row r="1440" customFormat="false" ht="15" hidden="false" customHeight="true" outlineLevel="0" collapsed="false">
      <c r="A1440" s="12" t="s">
        <v>952</v>
      </c>
      <c r="B1440" s="12" t="s">
        <v>1220</v>
      </c>
      <c r="C1440" s="12" t="n">
        <v>2025</v>
      </c>
      <c r="D1440" s="12" t="n">
        <v>10</v>
      </c>
      <c r="E1440" s="12" t="n">
        <v>185.74</v>
      </c>
      <c r="F1440" s="12" t="n">
        <v>4415160</v>
      </c>
    </row>
    <row r="1441" customFormat="false" ht="15" hidden="false" customHeight="true" outlineLevel="0" collapsed="false">
      <c r="A1441" s="12" t="s">
        <v>952</v>
      </c>
      <c r="B1441" s="12" t="s">
        <v>1220</v>
      </c>
      <c r="C1441" s="12" t="n">
        <v>2026</v>
      </c>
      <c r="D1441" s="12" t="n">
        <v>4</v>
      </c>
      <c r="E1441" s="12" t="n">
        <v>80.43</v>
      </c>
      <c r="F1441" s="12" t="n">
        <v>4415160</v>
      </c>
    </row>
    <row r="1442" customFormat="false" ht="15" hidden="false" customHeight="true" outlineLevel="0" collapsed="false">
      <c r="A1442" s="12" t="s">
        <v>952</v>
      </c>
      <c r="B1442" s="12" t="s">
        <v>1221</v>
      </c>
      <c r="C1442" s="12" t="n">
        <v>2025</v>
      </c>
      <c r="D1442" s="12" t="n">
        <v>22</v>
      </c>
      <c r="E1442" s="12" t="n">
        <v>418.29</v>
      </c>
      <c r="F1442" s="12" t="n">
        <v>4415161</v>
      </c>
    </row>
    <row r="1443" customFormat="false" ht="15" hidden="false" customHeight="true" outlineLevel="0" collapsed="false">
      <c r="A1443" s="12" t="s">
        <v>952</v>
      </c>
      <c r="B1443" s="12" t="s">
        <v>1221</v>
      </c>
      <c r="C1443" s="12" t="n">
        <v>2026</v>
      </c>
      <c r="D1443" s="12" t="n">
        <v>10</v>
      </c>
      <c r="E1443" s="12" t="n">
        <v>201.07</v>
      </c>
      <c r="F1443" s="12" t="n">
        <v>4415161</v>
      </c>
    </row>
    <row r="1444" customFormat="false" ht="15" hidden="false" customHeight="true" outlineLevel="0" collapsed="false">
      <c r="A1444" s="12" t="s">
        <v>952</v>
      </c>
      <c r="B1444" s="12" t="s">
        <v>1222</v>
      </c>
      <c r="C1444" s="12" t="n">
        <v>2025</v>
      </c>
      <c r="D1444" s="12" t="n">
        <v>17</v>
      </c>
      <c r="E1444" s="12" t="n">
        <v>330.87</v>
      </c>
      <c r="F1444" s="12" t="n">
        <v>4415162</v>
      </c>
    </row>
    <row r="1445" customFormat="false" ht="15" hidden="false" customHeight="true" outlineLevel="0" collapsed="false">
      <c r="A1445" s="12" t="s">
        <v>952</v>
      </c>
      <c r="B1445" s="12" t="s">
        <v>1222</v>
      </c>
      <c r="C1445" s="12" t="n">
        <v>2026</v>
      </c>
      <c r="D1445" s="12" t="n">
        <v>6</v>
      </c>
      <c r="E1445" s="12" t="n">
        <v>120.67</v>
      </c>
      <c r="F1445" s="12" t="n">
        <v>4415162</v>
      </c>
    </row>
    <row r="1446" customFormat="false" ht="15" hidden="false" customHeight="true" outlineLevel="0" collapsed="false">
      <c r="A1446" s="12" t="s">
        <v>952</v>
      </c>
      <c r="B1446" s="12" t="s">
        <v>1223</v>
      </c>
      <c r="C1446" s="12" t="n">
        <v>2025</v>
      </c>
      <c r="D1446" s="12" t="n">
        <v>9</v>
      </c>
      <c r="E1446" s="12" t="n">
        <v>170.02</v>
      </c>
      <c r="F1446" s="12" t="n">
        <v>4415163</v>
      </c>
    </row>
    <row r="1447" customFormat="false" ht="15" hidden="false" customHeight="true" outlineLevel="0" collapsed="false">
      <c r="A1447" s="12" t="s">
        <v>952</v>
      </c>
      <c r="B1447" s="12" t="s">
        <v>1223</v>
      </c>
      <c r="C1447" s="12" t="n">
        <v>2026</v>
      </c>
      <c r="D1447" s="12" t="n">
        <v>6</v>
      </c>
      <c r="E1447" s="12" t="n">
        <v>120.64</v>
      </c>
      <c r="F1447" s="12" t="n">
        <v>4415163</v>
      </c>
    </row>
    <row r="1448" customFormat="false" ht="15" hidden="false" customHeight="true" outlineLevel="0" collapsed="false">
      <c r="A1448" s="12" t="s">
        <v>952</v>
      </c>
      <c r="B1448" s="12" t="s">
        <v>1224</v>
      </c>
      <c r="C1448" s="12" t="n">
        <v>2025</v>
      </c>
      <c r="D1448" s="12" t="n">
        <v>4</v>
      </c>
      <c r="E1448" s="12" t="n">
        <v>94.89</v>
      </c>
      <c r="F1448" s="12" t="n">
        <v>4415297</v>
      </c>
    </row>
    <row r="1449" customFormat="false" ht="15" hidden="false" customHeight="true" outlineLevel="0" collapsed="false">
      <c r="A1449" s="12" t="s">
        <v>952</v>
      </c>
      <c r="B1449" s="12" t="s">
        <v>1224</v>
      </c>
      <c r="C1449" s="12" t="n">
        <v>2026</v>
      </c>
      <c r="D1449" s="12" t="n">
        <v>5</v>
      </c>
      <c r="E1449" s="12" t="n">
        <v>119.29</v>
      </c>
      <c r="F1449" s="12" t="n">
        <v>4415297</v>
      </c>
    </row>
    <row r="1450" customFormat="false" ht="15" hidden="false" customHeight="true" outlineLevel="0" collapsed="false">
      <c r="A1450" s="12" t="s">
        <v>952</v>
      </c>
      <c r="B1450" s="12" t="s">
        <v>1225</v>
      </c>
      <c r="C1450" s="12" t="n">
        <v>2025</v>
      </c>
      <c r="D1450" s="12" t="n">
        <v>4</v>
      </c>
      <c r="E1450" s="12" t="n">
        <v>240</v>
      </c>
      <c r="F1450" s="12" t="n">
        <v>4415298</v>
      </c>
    </row>
    <row r="1451" customFormat="false" ht="15" hidden="false" customHeight="true" outlineLevel="0" collapsed="false">
      <c r="A1451" s="12" t="s">
        <v>952</v>
      </c>
      <c r="B1451" s="12" t="s">
        <v>1225</v>
      </c>
      <c r="C1451" s="12" t="n">
        <v>2026</v>
      </c>
      <c r="D1451" s="12" t="n">
        <v>4</v>
      </c>
      <c r="E1451" s="12" t="n">
        <v>253.55</v>
      </c>
      <c r="F1451" s="12" t="n">
        <v>4415298</v>
      </c>
    </row>
    <row r="1452" customFormat="false" ht="15" hidden="false" customHeight="true" outlineLevel="0" collapsed="false">
      <c r="A1452" s="12" t="s">
        <v>952</v>
      </c>
      <c r="B1452" s="12" t="s">
        <v>1226</v>
      </c>
      <c r="C1452" s="12" t="n">
        <v>2025</v>
      </c>
      <c r="D1452" s="12" t="n">
        <v>2</v>
      </c>
      <c r="E1452" s="12" t="n">
        <v>120</v>
      </c>
      <c r="F1452" s="12" t="n">
        <v>4415299</v>
      </c>
    </row>
    <row r="1453" customFormat="false" ht="15" hidden="false" customHeight="true" outlineLevel="0" collapsed="false">
      <c r="A1453" s="12" t="s">
        <v>952</v>
      </c>
      <c r="B1453" s="12" t="s">
        <v>1226</v>
      </c>
      <c r="C1453" s="12" t="n">
        <v>2026</v>
      </c>
      <c r="D1453" s="12" t="n">
        <v>6</v>
      </c>
      <c r="E1453" s="12" t="n">
        <v>373.55</v>
      </c>
      <c r="F1453" s="12" t="n">
        <v>4415299</v>
      </c>
    </row>
    <row r="1454" customFormat="false" ht="15" hidden="false" customHeight="true" outlineLevel="0" collapsed="false">
      <c r="A1454" s="12" t="s">
        <v>952</v>
      </c>
      <c r="B1454" s="12" t="s">
        <v>1227</v>
      </c>
      <c r="C1454" s="12" t="n">
        <v>2025</v>
      </c>
      <c r="D1454" s="12" t="n">
        <v>3</v>
      </c>
      <c r="E1454" s="12" t="n">
        <v>276.73</v>
      </c>
      <c r="F1454" s="12" t="n">
        <v>4416000</v>
      </c>
    </row>
    <row r="1455" customFormat="false" ht="15" hidden="false" customHeight="true" outlineLevel="0" collapsed="false">
      <c r="A1455" s="12" t="s">
        <v>952</v>
      </c>
      <c r="B1455" s="12" t="s">
        <v>1227</v>
      </c>
      <c r="C1455" s="12" t="n">
        <v>2026</v>
      </c>
      <c r="D1455" s="12" t="n">
        <v>1</v>
      </c>
      <c r="E1455" s="12" t="n">
        <v>92.29</v>
      </c>
      <c r="F1455" s="12" t="n">
        <v>4416000</v>
      </c>
    </row>
    <row r="1456" customFormat="false" ht="15" hidden="false" customHeight="true" outlineLevel="0" collapsed="false">
      <c r="A1456" s="12" t="s">
        <v>952</v>
      </c>
      <c r="B1456" s="12" t="s">
        <v>1228</v>
      </c>
      <c r="C1456" s="12" t="n">
        <v>2025</v>
      </c>
      <c r="D1456" s="12" t="n">
        <v>2</v>
      </c>
      <c r="E1456" s="12" t="n">
        <v>184.59</v>
      </c>
      <c r="F1456" s="12" t="n">
        <v>4416001</v>
      </c>
    </row>
    <row r="1457" customFormat="false" ht="15" hidden="false" customHeight="true" outlineLevel="0" collapsed="false">
      <c r="A1457" s="12" t="s">
        <v>952</v>
      </c>
      <c r="B1457" s="12" t="s">
        <v>1229</v>
      </c>
      <c r="C1457" s="12" t="n">
        <v>2026</v>
      </c>
      <c r="D1457" s="12" t="n">
        <v>1</v>
      </c>
      <c r="E1457" s="12" t="n">
        <v>92.3</v>
      </c>
      <c r="F1457" s="12" t="n">
        <v>4416002</v>
      </c>
    </row>
    <row r="1458" customFormat="false" ht="15" hidden="false" customHeight="true" outlineLevel="0" collapsed="false">
      <c r="A1458" s="12" t="s">
        <v>952</v>
      </c>
      <c r="B1458" s="12" t="s">
        <v>1230</v>
      </c>
      <c r="C1458" s="12" t="n">
        <v>2025</v>
      </c>
      <c r="D1458" s="12" t="n">
        <v>4</v>
      </c>
      <c r="E1458" s="12" t="n">
        <v>228.1</v>
      </c>
      <c r="F1458" s="12" t="n">
        <v>4416003</v>
      </c>
    </row>
    <row r="1459" customFormat="false" ht="15" hidden="false" customHeight="true" outlineLevel="0" collapsed="false">
      <c r="A1459" s="12" t="s">
        <v>952</v>
      </c>
      <c r="B1459" s="12" t="s">
        <v>1230</v>
      </c>
      <c r="C1459" s="12" t="n">
        <v>2026</v>
      </c>
      <c r="D1459" s="12" t="n">
        <v>1</v>
      </c>
      <c r="E1459" s="12" t="n">
        <v>60.88</v>
      </c>
      <c r="F1459" s="12" t="n">
        <v>4416003</v>
      </c>
    </row>
    <row r="1460" customFormat="false" ht="15" hidden="false" customHeight="true" outlineLevel="0" collapsed="false">
      <c r="A1460" s="12" t="s">
        <v>952</v>
      </c>
      <c r="B1460" s="12" t="s">
        <v>1231</v>
      </c>
      <c r="C1460" s="12" t="n">
        <v>2025</v>
      </c>
      <c r="D1460" s="12" t="n">
        <v>5</v>
      </c>
      <c r="E1460" s="12" t="n">
        <v>126.34</v>
      </c>
      <c r="F1460" s="12" t="n">
        <v>4417000</v>
      </c>
    </row>
    <row r="1461" customFormat="false" ht="15" hidden="false" customHeight="true" outlineLevel="0" collapsed="false">
      <c r="A1461" s="12" t="s">
        <v>952</v>
      </c>
      <c r="B1461" s="12" t="s">
        <v>1231</v>
      </c>
      <c r="C1461" s="12" t="n">
        <v>2026</v>
      </c>
      <c r="D1461" s="12" t="n">
        <v>2</v>
      </c>
      <c r="E1461" s="12" t="n">
        <v>50.54</v>
      </c>
      <c r="F1461" s="12" t="n">
        <v>4417000</v>
      </c>
    </row>
    <row r="1462" customFormat="false" ht="15" hidden="false" customHeight="true" outlineLevel="0" collapsed="false">
      <c r="A1462" s="12" t="s">
        <v>952</v>
      </c>
      <c r="B1462" s="12" t="s">
        <v>1232</v>
      </c>
      <c r="C1462" s="12" t="n">
        <v>2025</v>
      </c>
      <c r="D1462" s="12" t="n">
        <v>13</v>
      </c>
      <c r="E1462" s="12" t="n">
        <v>645.08</v>
      </c>
      <c r="F1462" s="12" t="n">
        <v>4418000</v>
      </c>
    </row>
    <row r="1463" customFormat="false" ht="15" hidden="false" customHeight="true" outlineLevel="0" collapsed="false">
      <c r="A1463" s="12" t="s">
        <v>952</v>
      </c>
      <c r="B1463" s="12" t="s">
        <v>1232</v>
      </c>
      <c r="C1463" s="12" t="n">
        <v>2026</v>
      </c>
      <c r="D1463" s="12" t="n">
        <v>3</v>
      </c>
      <c r="E1463" s="12" t="n">
        <v>148.9</v>
      </c>
      <c r="F1463" s="12" t="n">
        <v>4418000</v>
      </c>
    </row>
    <row r="1464" customFormat="false" ht="15" hidden="false" customHeight="true" outlineLevel="0" collapsed="false">
      <c r="A1464" s="12" t="s">
        <v>952</v>
      </c>
      <c r="B1464" s="12" t="s">
        <v>1233</v>
      </c>
      <c r="C1464" s="12" t="n">
        <v>2025</v>
      </c>
      <c r="D1464" s="12" t="n">
        <v>13</v>
      </c>
      <c r="E1464" s="12" t="n">
        <v>645.24</v>
      </c>
      <c r="F1464" s="12" t="n">
        <v>4418001</v>
      </c>
    </row>
    <row r="1465" customFormat="false" ht="15" hidden="false" customHeight="true" outlineLevel="0" collapsed="false">
      <c r="A1465" s="12" t="s">
        <v>952</v>
      </c>
      <c r="B1465" s="12" t="s">
        <v>1233</v>
      </c>
      <c r="C1465" s="12" t="n">
        <v>2026</v>
      </c>
      <c r="D1465" s="12" t="n">
        <v>7</v>
      </c>
      <c r="E1465" s="12" t="n">
        <v>347.44</v>
      </c>
      <c r="F1465" s="12" t="n">
        <v>4418001</v>
      </c>
    </row>
    <row r="1466" customFormat="false" ht="15" hidden="false" customHeight="true" outlineLevel="0" collapsed="false">
      <c r="A1466" s="12" t="s">
        <v>952</v>
      </c>
      <c r="B1466" s="12" t="s">
        <v>1234</v>
      </c>
      <c r="C1466" s="12" t="n">
        <v>2025</v>
      </c>
      <c r="D1466" s="12" t="n">
        <v>10</v>
      </c>
      <c r="E1466" s="12" t="n">
        <v>496.25</v>
      </c>
      <c r="F1466" s="12" t="n">
        <v>4418002</v>
      </c>
    </row>
    <row r="1467" customFormat="false" ht="15" hidden="false" customHeight="true" outlineLevel="0" collapsed="false">
      <c r="A1467" s="12" t="s">
        <v>952</v>
      </c>
      <c r="B1467" s="12" t="s">
        <v>1234</v>
      </c>
      <c r="C1467" s="12" t="n">
        <v>2026</v>
      </c>
      <c r="D1467" s="12" t="n">
        <v>1</v>
      </c>
      <c r="E1467" s="12" t="n">
        <v>49.64</v>
      </c>
      <c r="F1467" s="12" t="n">
        <v>4418002</v>
      </c>
    </row>
    <row r="1468" customFormat="false" ht="15" hidden="false" customHeight="true" outlineLevel="0" collapsed="false">
      <c r="A1468" s="12" t="s">
        <v>952</v>
      </c>
      <c r="B1468" s="12" t="s">
        <v>1235</v>
      </c>
      <c r="C1468" s="12" t="n">
        <v>2025</v>
      </c>
      <c r="D1468" s="12" t="n">
        <v>4</v>
      </c>
      <c r="E1468" s="12" t="n">
        <v>198.54</v>
      </c>
      <c r="F1468" s="12" t="n">
        <v>4418003</v>
      </c>
    </row>
    <row r="1469" customFormat="false" ht="15" hidden="false" customHeight="true" outlineLevel="0" collapsed="false">
      <c r="A1469" s="12" t="s">
        <v>952</v>
      </c>
      <c r="B1469" s="12" t="s">
        <v>1236</v>
      </c>
      <c r="C1469" s="12" t="n">
        <v>2025</v>
      </c>
      <c r="D1469" s="12" t="n">
        <v>3</v>
      </c>
      <c r="E1469" s="12" t="n">
        <v>57.56</v>
      </c>
      <c r="F1469" s="12" t="n">
        <v>4419011</v>
      </c>
    </row>
    <row r="1470" customFormat="false" ht="15" hidden="false" customHeight="true" outlineLevel="0" collapsed="false">
      <c r="A1470" s="12" t="s">
        <v>952</v>
      </c>
      <c r="B1470" s="12" t="s">
        <v>1236</v>
      </c>
      <c r="C1470" s="12" t="n">
        <v>2026</v>
      </c>
      <c r="D1470" s="12" t="n">
        <v>3</v>
      </c>
      <c r="E1470" s="12" t="n">
        <v>57.51</v>
      </c>
      <c r="F1470" s="12" t="n">
        <v>4419011</v>
      </c>
    </row>
    <row r="1471" customFormat="false" ht="15" hidden="false" customHeight="true" outlineLevel="0" collapsed="false">
      <c r="A1471" s="12" t="s">
        <v>952</v>
      </c>
      <c r="B1471" s="12" t="s">
        <v>1237</v>
      </c>
      <c r="C1471" s="12" t="n">
        <v>2025</v>
      </c>
      <c r="D1471" s="12" t="n">
        <v>2</v>
      </c>
      <c r="E1471" s="12" t="n">
        <v>26.16</v>
      </c>
      <c r="F1471" s="12" t="n">
        <v>4420000</v>
      </c>
    </row>
    <row r="1472" customFormat="false" ht="15" hidden="false" customHeight="true" outlineLevel="0" collapsed="false">
      <c r="A1472" s="12" t="s">
        <v>952</v>
      </c>
      <c r="B1472" s="12" t="s">
        <v>1238</v>
      </c>
      <c r="C1472" s="12" t="n">
        <v>2025</v>
      </c>
      <c r="D1472" s="12" t="n">
        <v>11</v>
      </c>
      <c r="E1472" s="12" t="n">
        <v>132.15</v>
      </c>
      <c r="F1472" s="12" t="n">
        <v>4420001</v>
      </c>
    </row>
    <row r="1473" customFormat="false" ht="15" hidden="false" customHeight="true" outlineLevel="0" collapsed="false">
      <c r="A1473" s="12" t="s">
        <v>952</v>
      </c>
      <c r="B1473" s="12" t="s">
        <v>1238</v>
      </c>
      <c r="C1473" s="12" t="n">
        <v>2026</v>
      </c>
      <c r="D1473" s="12" t="n">
        <v>2</v>
      </c>
      <c r="E1473" s="12" t="n">
        <v>24.28</v>
      </c>
      <c r="F1473" s="12" t="n">
        <v>4420001</v>
      </c>
    </row>
    <row r="1474" customFormat="false" ht="15" hidden="false" customHeight="true" outlineLevel="0" collapsed="false">
      <c r="A1474" s="12" t="s">
        <v>952</v>
      </c>
      <c r="B1474" s="12" t="s">
        <v>1239</v>
      </c>
      <c r="C1474" s="12" t="n">
        <v>2025</v>
      </c>
      <c r="D1474" s="12" t="n">
        <v>23</v>
      </c>
      <c r="E1474" s="12" t="n">
        <v>343.41</v>
      </c>
      <c r="F1474" s="12" t="n">
        <v>4420002</v>
      </c>
    </row>
    <row r="1475" customFormat="false" ht="15" hidden="false" customHeight="true" outlineLevel="0" collapsed="false">
      <c r="A1475" s="12" t="s">
        <v>952</v>
      </c>
      <c r="B1475" s="12" t="s">
        <v>1239</v>
      </c>
      <c r="C1475" s="12" t="n">
        <v>2026</v>
      </c>
      <c r="D1475" s="12" t="n">
        <v>13</v>
      </c>
      <c r="E1475" s="12" t="n">
        <v>200.46</v>
      </c>
      <c r="F1475" s="12" t="n">
        <v>4420002</v>
      </c>
    </row>
    <row r="1476" customFormat="false" ht="15" hidden="false" customHeight="true" outlineLevel="0" collapsed="false">
      <c r="A1476" s="12" t="s">
        <v>952</v>
      </c>
      <c r="B1476" s="12" t="s">
        <v>1240</v>
      </c>
      <c r="C1476" s="12" t="n">
        <v>2025</v>
      </c>
      <c r="D1476" s="12" t="n">
        <v>11</v>
      </c>
      <c r="E1476" s="12" t="n">
        <v>167.37</v>
      </c>
      <c r="F1476" s="12" t="n">
        <v>4420003</v>
      </c>
    </row>
    <row r="1477" customFormat="false" ht="15" hidden="false" customHeight="true" outlineLevel="0" collapsed="false">
      <c r="A1477" s="12" t="s">
        <v>952</v>
      </c>
      <c r="B1477" s="12" t="s">
        <v>1240</v>
      </c>
      <c r="C1477" s="12" t="n">
        <v>2026</v>
      </c>
      <c r="D1477" s="12" t="n">
        <v>1</v>
      </c>
      <c r="E1477" s="12" t="n">
        <v>15.42</v>
      </c>
      <c r="F1477" s="12" t="n">
        <v>4420003</v>
      </c>
    </row>
    <row r="1478" customFormat="false" ht="15" hidden="false" customHeight="true" outlineLevel="0" collapsed="false">
      <c r="A1478" s="12" t="s">
        <v>952</v>
      </c>
      <c r="B1478" s="12" t="s">
        <v>1241</v>
      </c>
      <c r="C1478" s="12" t="n">
        <v>2025</v>
      </c>
      <c r="D1478" s="12" t="n">
        <v>6</v>
      </c>
      <c r="E1478" s="12" t="n">
        <v>567.81</v>
      </c>
      <c r="F1478" s="12" t="n">
        <v>4420017</v>
      </c>
    </row>
    <row r="1479" customFormat="false" ht="15" hidden="false" customHeight="true" outlineLevel="0" collapsed="false">
      <c r="A1479" s="12" t="s">
        <v>952</v>
      </c>
      <c r="B1479" s="12" t="s">
        <v>1241</v>
      </c>
      <c r="C1479" s="12" t="n">
        <v>2026</v>
      </c>
      <c r="D1479" s="12" t="n">
        <v>4</v>
      </c>
      <c r="E1479" s="12" t="n">
        <v>378.54</v>
      </c>
      <c r="F1479" s="12" t="n">
        <v>4420017</v>
      </c>
    </row>
    <row r="1480" customFormat="false" ht="15" hidden="false" customHeight="true" outlineLevel="0" collapsed="false">
      <c r="A1480" s="12" t="s">
        <v>952</v>
      </c>
      <c r="B1480" s="12" t="s">
        <v>1242</v>
      </c>
      <c r="C1480" s="12" t="n">
        <v>2025</v>
      </c>
      <c r="D1480" s="12" t="n">
        <v>4</v>
      </c>
      <c r="E1480" s="12" t="n">
        <v>114.18</v>
      </c>
      <c r="F1480" s="12" t="n">
        <v>4420023</v>
      </c>
    </row>
    <row r="1481" customFormat="false" ht="15" hidden="false" customHeight="true" outlineLevel="0" collapsed="false">
      <c r="A1481" s="12" t="s">
        <v>952</v>
      </c>
      <c r="B1481" s="12" t="s">
        <v>1242</v>
      </c>
      <c r="C1481" s="12" t="n">
        <v>2026</v>
      </c>
      <c r="D1481" s="12" t="n">
        <v>8</v>
      </c>
      <c r="E1481" s="12" t="n">
        <v>228.35</v>
      </c>
      <c r="F1481" s="12" t="n">
        <v>4420023</v>
      </c>
    </row>
    <row r="1482" customFormat="false" ht="15" hidden="false" customHeight="true" outlineLevel="0" collapsed="false">
      <c r="A1482" s="12" t="s">
        <v>952</v>
      </c>
      <c r="B1482" s="12" t="s">
        <v>1243</v>
      </c>
      <c r="C1482" s="12" t="n">
        <v>2026</v>
      </c>
      <c r="D1482" s="12" t="n">
        <v>4</v>
      </c>
      <c r="E1482" s="12" t="n">
        <v>86.08</v>
      </c>
      <c r="F1482" s="12" t="n">
        <v>4420024</v>
      </c>
    </row>
    <row r="1483" customFormat="false" ht="15" hidden="false" customHeight="true" outlineLevel="0" collapsed="false">
      <c r="A1483" s="12" t="s">
        <v>952</v>
      </c>
      <c r="B1483" s="12" t="s">
        <v>1244</v>
      </c>
      <c r="C1483" s="12" t="n">
        <v>2025</v>
      </c>
      <c r="D1483" s="12" t="n">
        <v>1</v>
      </c>
      <c r="E1483" s="12" t="n">
        <v>80.57</v>
      </c>
      <c r="F1483" s="12" t="n">
        <v>4420026</v>
      </c>
    </row>
    <row r="1484" customFormat="false" ht="15" hidden="false" customHeight="true" outlineLevel="0" collapsed="false">
      <c r="A1484" s="12" t="s">
        <v>952</v>
      </c>
      <c r="B1484" s="12" t="s">
        <v>1244</v>
      </c>
      <c r="C1484" s="12" t="n">
        <v>2026</v>
      </c>
      <c r="D1484" s="12" t="n">
        <v>1</v>
      </c>
      <c r="E1484" s="12" t="n">
        <v>80.57</v>
      </c>
      <c r="F1484" s="12" t="n">
        <v>4420026</v>
      </c>
    </row>
    <row r="1485" customFormat="false" ht="15" hidden="false" customHeight="true" outlineLevel="0" collapsed="false">
      <c r="A1485" s="12" t="s">
        <v>952</v>
      </c>
      <c r="B1485" s="12" t="s">
        <v>1245</v>
      </c>
      <c r="C1485" s="12" t="n">
        <v>2025</v>
      </c>
      <c r="D1485" s="12" t="n">
        <v>60</v>
      </c>
      <c r="E1485" s="12" t="n">
        <v>1186.88</v>
      </c>
      <c r="F1485" s="12" t="n">
        <v>4421000</v>
      </c>
    </row>
    <row r="1486" customFormat="false" ht="15" hidden="false" customHeight="true" outlineLevel="0" collapsed="false">
      <c r="A1486" s="12" t="s">
        <v>952</v>
      </c>
      <c r="B1486" s="12" t="s">
        <v>1245</v>
      </c>
      <c r="C1486" s="12" t="n">
        <v>2026</v>
      </c>
      <c r="D1486" s="12" t="n">
        <v>32</v>
      </c>
      <c r="E1486" s="12" t="n">
        <v>598.55</v>
      </c>
      <c r="F1486" s="12" t="n">
        <v>4421000</v>
      </c>
    </row>
    <row r="1487" customFormat="false" ht="15" hidden="false" customHeight="true" outlineLevel="0" collapsed="false">
      <c r="A1487" s="12" t="s">
        <v>952</v>
      </c>
      <c r="B1487" s="12" t="s">
        <v>1246</v>
      </c>
      <c r="C1487" s="12" t="n">
        <v>2025</v>
      </c>
      <c r="D1487" s="12" t="n">
        <v>8</v>
      </c>
      <c r="E1487" s="12" t="n">
        <v>487.07</v>
      </c>
      <c r="F1487" s="12" t="n">
        <v>4421001</v>
      </c>
    </row>
    <row r="1488" customFormat="false" ht="15" hidden="false" customHeight="true" outlineLevel="0" collapsed="false">
      <c r="A1488" s="12" t="s">
        <v>952</v>
      </c>
      <c r="B1488" s="12" t="s">
        <v>1246</v>
      </c>
      <c r="C1488" s="12" t="n">
        <v>2026</v>
      </c>
      <c r="D1488" s="12" t="n">
        <v>2</v>
      </c>
      <c r="E1488" s="12" t="n">
        <v>121.77</v>
      </c>
      <c r="F1488" s="12" t="n">
        <v>4421001</v>
      </c>
    </row>
    <row r="1489" customFormat="false" ht="15" hidden="false" customHeight="true" outlineLevel="0" collapsed="false">
      <c r="A1489" s="12" t="s">
        <v>952</v>
      </c>
      <c r="B1489" s="12" t="s">
        <v>1247</v>
      </c>
      <c r="C1489" s="12" t="n">
        <v>2025</v>
      </c>
      <c r="D1489" s="12" t="n">
        <v>9</v>
      </c>
      <c r="E1489" s="12" t="n">
        <v>328.87</v>
      </c>
      <c r="F1489" s="12" t="n">
        <v>4421003</v>
      </c>
    </row>
    <row r="1490" customFormat="false" ht="15" hidden="false" customHeight="true" outlineLevel="0" collapsed="false">
      <c r="A1490" s="12" t="s">
        <v>952</v>
      </c>
      <c r="B1490" s="12" t="s">
        <v>1247</v>
      </c>
      <c r="C1490" s="12" t="n">
        <v>2026</v>
      </c>
      <c r="D1490" s="12" t="n">
        <v>3</v>
      </c>
      <c r="E1490" s="12" t="n">
        <v>112.36</v>
      </c>
      <c r="F1490" s="12" t="n">
        <v>4421003</v>
      </c>
    </row>
    <row r="1491" customFormat="false" ht="15" hidden="false" customHeight="true" outlineLevel="0" collapsed="false">
      <c r="A1491" s="12" t="s">
        <v>952</v>
      </c>
      <c r="B1491" s="12" t="s">
        <v>1248</v>
      </c>
      <c r="C1491" s="12" t="n">
        <v>2025</v>
      </c>
      <c r="D1491" s="12" t="n">
        <v>10</v>
      </c>
      <c r="E1491" s="12" t="n">
        <v>364.2</v>
      </c>
      <c r="F1491" s="12" t="n">
        <v>4421005</v>
      </c>
    </row>
    <row r="1492" customFormat="false" ht="15" hidden="false" customHeight="true" outlineLevel="0" collapsed="false">
      <c r="A1492" s="12" t="s">
        <v>952</v>
      </c>
      <c r="B1492" s="12" t="s">
        <v>1248</v>
      </c>
      <c r="C1492" s="12" t="n">
        <v>2026</v>
      </c>
      <c r="D1492" s="12" t="n">
        <v>8</v>
      </c>
      <c r="E1492" s="12" t="n">
        <v>318.36</v>
      </c>
      <c r="F1492" s="12" t="n">
        <v>4421005</v>
      </c>
    </row>
    <row r="1493" customFormat="false" ht="15" hidden="false" customHeight="true" outlineLevel="0" collapsed="false">
      <c r="A1493" s="12" t="s">
        <v>952</v>
      </c>
      <c r="B1493" s="12" t="s">
        <v>1249</v>
      </c>
      <c r="C1493" s="12" t="n">
        <v>2025</v>
      </c>
      <c r="D1493" s="12" t="n">
        <v>19</v>
      </c>
      <c r="E1493" s="12" t="n">
        <v>769.33</v>
      </c>
      <c r="F1493" s="12" t="n">
        <v>4421006</v>
      </c>
    </row>
    <row r="1494" customFormat="false" ht="15" hidden="false" customHeight="true" outlineLevel="0" collapsed="false">
      <c r="A1494" s="12" t="s">
        <v>952</v>
      </c>
      <c r="B1494" s="12" t="s">
        <v>1249</v>
      </c>
      <c r="C1494" s="12" t="n">
        <v>2026</v>
      </c>
      <c r="D1494" s="12" t="n">
        <v>10</v>
      </c>
      <c r="E1494" s="12" t="n">
        <v>421.33</v>
      </c>
      <c r="F1494" s="12" t="n">
        <v>4421006</v>
      </c>
    </row>
    <row r="1495" customFormat="false" ht="15" hidden="false" customHeight="true" outlineLevel="0" collapsed="false">
      <c r="A1495" s="12" t="s">
        <v>952</v>
      </c>
      <c r="B1495" s="12" t="s">
        <v>1250</v>
      </c>
      <c r="C1495" s="12" t="n">
        <v>2025</v>
      </c>
      <c r="D1495" s="12" t="n">
        <v>9</v>
      </c>
      <c r="E1495" s="12" t="n">
        <v>402.08</v>
      </c>
      <c r="F1495" s="12" t="n">
        <v>4421007</v>
      </c>
    </row>
    <row r="1496" customFormat="false" ht="15" hidden="false" customHeight="true" outlineLevel="0" collapsed="false">
      <c r="A1496" s="12" t="s">
        <v>952</v>
      </c>
      <c r="B1496" s="12" t="s">
        <v>1250</v>
      </c>
      <c r="C1496" s="12" t="n">
        <v>2026</v>
      </c>
      <c r="D1496" s="12" t="n">
        <v>6</v>
      </c>
      <c r="E1496" s="12" t="n">
        <v>269.69</v>
      </c>
      <c r="F1496" s="12" t="n">
        <v>4421007</v>
      </c>
    </row>
    <row r="1497" customFormat="false" ht="15" hidden="false" customHeight="true" outlineLevel="0" collapsed="false">
      <c r="A1497" s="12" t="s">
        <v>952</v>
      </c>
      <c r="B1497" s="12" t="s">
        <v>1251</v>
      </c>
      <c r="C1497" s="12" t="n">
        <v>2025</v>
      </c>
      <c r="D1497" s="12" t="n">
        <v>15</v>
      </c>
      <c r="E1497" s="12" t="n">
        <v>692.54</v>
      </c>
      <c r="F1497" s="12" t="n">
        <v>4421008</v>
      </c>
    </row>
    <row r="1498" customFormat="false" ht="15" hidden="false" customHeight="true" outlineLevel="0" collapsed="false">
      <c r="A1498" s="12" t="s">
        <v>952</v>
      </c>
      <c r="B1498" s="12" t="s">
        <v>1251</v>
      </c>
      <c r="C1498" s="12" t="n">
        <v>2026</v>
      </c>
      <c r="D1498" s="12" t="n">
        <v>9</v>
      </c>
      <c r="E1498" s="12" t="n">
        <v>421.39</v>
      </c>
      <c r="F1498" s="12" t="n">
        <v>4421008</v>
      </c>
    </row>
    <row r="1499" customFormat="false" ht="15" hidden="false" customHeight="true" outlineLevel="0" collapsed="false">
      <c r="A1499" s="12" t="s">
        <v>952</v>
      </c>
      <c r="B1499" s="12" t="s">
        <v>1252</v>
      </c>
      <c r="C1499" s="12" t="n">
        <v>2025</v>
      </c>
      <c r="D1499" s="12" t="n">
        <v>7</v>
      </c>
      <c r="E1499" s="12" t="n">
        <v>149.87</v>
      </c>
      <c r="F1499" s="12" t="n">
        <v>4422000</v>
      </c>
    </row>
    <row r="1500" customFormat="false" ht="15" hidden="false" customHeight="true" outlineLevel="0" collapsed="false">
      <c r="A1500" s="12" t="s">
        <v>952</v>
      </c>
      <c r="B1500" s="12" t="s">
        <v>1252</v>
      </c>
      <c r="C1500" s="12" t="n">
        <v>2026</v>
      </c>
      <c r="D1500" s="12" t="n">
        <v>9</v>
      </c>
      <c r="E1500" s="12" t="n">
        <v>193.65</v>
      </c>
      <c r="F1500" s="12" t="n">
        <v>4422000</v>
      </c>
    </row>
    <row r="1501" customFormat="false" ht="15" hidden="false" customHeight="true" outlineLevel="0" collapsed="false">
      <c r="A1501" s="12" t="s">
        <v>952</v>
      </c>
      <c r="B1501" s="12" t="s">
        <v>1253</v>
      </c>
      <c r="C1501" s="12" t="n">
        <v>2025</v>
      </c>
      <c r="D1501" s="12" t="n">
        <v>2</v>
      </c>
      <c r="E1501" s="12" t="n">
        <v>378.64</v>
      </c>
      <c r="F1501" s="12" t="n">
        <v>4422004</v>
      </c>
    </row>
    <row r="1502" customFormat="false" ht="15" hidden="false" customHeight="true" outlineLevel="0" collapsed="false">
      <c r="A1502" s="12" t="s">
        <v>952</v>
      </c>
      <c r="B1502" s="12" t="s">
        <v>1254</v>
      </c>
      <c r="C1502" s="12" t="n">
        <v>2025</v>
      </c>
      <c r="D1502" s="12" t="n">
        <v>5</v>
      </c>
      <c r="E1502" s="12" t="n">
        <v>944.73</v>
      </c>
      <c r="F1502" s="12" t="n">
        <v>4422005</v>
      </c>
    </row>
    <row r="1503" customFormat="false" ht="15" hidden="false" customHeight="true" outlineLevel="0" collapsed="false">
      <c r="A1503" s="12" t="s">
        <v>952</v>
      </c>
      <c r="B1503" s="12" t="s">
        <v>1254</v>
      </c>
      <c r="C1503" s="12" t="n">
        <v>2026</v>
      </c>
      <c r="D1503" s="12" t="n">
        <v>1</v>
      </c>
      <c r="E1503" s="12" t="n">
        <v>130</v>
      </c>
      <c r="F1503" s="12" t="n">
        <v>4422005</v>
      </c>
    </row>
    <row r="1504" customFormat="false" ht="15" hidden="false" customHeight="true" outlineLevel="0" collapsed="false">
      <c r="A1504" s="12" t="s">
        <v>952</v>
      </c>
      <c r="B1504" s="12" t="s">
        <v>1255</v>
      </c>
      <c r="C1504" s="12" t="n">
        <v>2025</v>
      </c>
      <c r="D1504" s="12" t="n">
        <v>3</v>
      </c>
      <c r="E1504" s="12" t="n">
        <v>567.13</v>
      </c>
      <c r="F1504" s="12" t="n">
        <v>4422006</v>
      </c>
    </row>
    <row r="1505" customFormat="false" ht="15" hidden="false" customHeight="true" outlineLevel="0" collapsed="false">
      <c r="A1505" s="12" t="s">
        <v>952</v>
      </c>
      <c r="B1505" s="12" t="s">
        <v>1255</v>
      </c>
      <c r="C1505" s="12" t="n">
        <v>2026</v>
      </c>
      <c r="D1505" s="12" t="n">
        <v>2</v>
      </c>
      <c r="E1505" s="12" t="n">
        <v>317.45</v>
      </c>
      <c r="F1505" s="12" t="n">
        <v>4422006</v>
      </c>
    </row>
    <row r="1506" customFormat="false" ht="15" hidden="false" customHeight="true" outlineLevel="0" collapsed="false">
      <c r="A1506" s="12" t="s">
        <v>952</v>
      </c>
      <c r="B1506" s="12" t="s">
        <v>1256</v>
      </c>
      <c r="C1506" s="12" t="n">
        <v>2025</v>
      </c>
      <c r="D1506" s="12" t="n">
        <v>2</v>
      </c>
      <c r="E1506" s="12" t="n">
        <v>378.64</v>
      </c>
      <c r="F1506" s="12" t="n">
        <v>4422007</v>
      </c>
    </row>
    <row r="1507" customFormat="false" ht="15" hidden="false" customHeight="true" outlineLevel="0" collapsed="false">
      <c r="A1507" s="12" t="s">
        <v>952</v>
      </c>
      <c r="B1507" s="12" t="s">
        <v>1256</v>
      </c>
      <c r="C1507" s="12" t="n">
        <v>2026</v>
      </c>
      <c r="D1507" s="12" t="n">
        <v>1</v>
      </c>
      <c r="E1507" s="12" t="n">
        <v>187.45</v>
      </c>
      <c r="F1507" s="12" t="n">
        <v>4422007</v>
      </c>
    </row>
    <row r="1508" customFormat="false" ht="15" hidden="false" customHeight="true" outlineLevel="0" collapsed="false">
      <c r="A1508" s="12" t="s">
        <v>952</v>
      </c>
      <c r="B1508" s="12" t="s">
        <v>1257</v>
      </c>
      <c r="C1508" s="12" t="n">
        <v>2025</v>
      </c>
      <c r="D1508" s="12" t="n">
        <v>1</v>
      </c>
      <c r="E1508" s="12" t="n">
        <v>189.32</v>
      </c>
      <c r="F1508" s="12" t="n">
        <v>4422009</v>
      </c>
    </row>
    <row r="1509" customFormat="false" ht="15" hidden="false" customHeight="true" outlineLevel="0" collapsed="false">
      <c r="A1509" s="12" t="s">
        <v>952</v>
      </c>
      <c r="B1509" s="12" t="s">
        <v>1258</v>
      </c>
      <c r="C1509" s="12" t="n">
        <v>2025</v>
      </c>
      <c r="D1509" s="12" t="n">
        <v>18</v>
      </c>
      <c r="E1509" s="12" t="n">
        <v>135</v>
      </c>
      <c r="F1509" s="12" t="n">
        <v>4422023</v>
      </c>
    </row>
    <row r="1510" customFormat="false" ht="15" hidden="false" customHeight="true" outlineLevel="0" collapsed="false">
      <c r="A1510" s="12" t="s">
        <v>952</v>
      </c>
      <c r="B1510" s="12" t="s">
        <v>1259</v>
      </c>
      <c r="C1510" s="12" t="n">
        <v>2025</v>
      </c>
      <c r="D1510" s="12" t="n">
        <v>40</v>
      </c>
      <c r="E1510" s="12" t="n">
        <v>387.08</v>
      </c>
      <c r="F1510" s="12" t="n">
        <v>4422024</v>
      </c>
    </row>
    <row r="1511" customFormat="false" ht="15" hidden="false" customHeight="true" outlineLevel="0" collapsed="false">
      <c r="A1511" s="12" t="s">
        <v>952</v>
      </c>
      <c r="B1511" s="12" t="s">
        <v>1260</v>
      </c>
      <c r="C1511" s="12" t="n">
        <v>2025</v>
      </c>
      <c r="D1511" s="12" t="n">
        <v>13</v>
      </c>
      <c r="E1511" s="12" t="n">
        <v>120.61</v>
      </c>
      <c r="F1511" s="12" t="n">
        <v>4422025</v>
      </c>
    </row>
    <row r="1512" customFormat="false" ht="15" hidden="false" customHeight="true" outlineLevel="0" collapsed="false">
      <c r="A1512" s="12" t="s">
        <v>952</v>
      </c>
      <c r="B1512" s="12" t="s">
        <v>1260</v>
      </c>
      <c r="C1512" s="12" t="n">
        <v>2026</v>
      </c>
      <c r="D1512" s="12" t="n">
        <v>5</v>
      </c>
      <c r="E1512" s="12" t="n">
        <v>52.5</v>
      </c>
      <c r="F1512" s="12" t="n">
        <v>4422025</v>
      </c>
    </row>
    <row r="1513" customFormat="false" ht="15" hidden="false" customHeight="true" outlineLevel="0" collapsed="false">
      <c r="A1513" s="12" t="s">
        <v>952</v>
      </c>
      <c r="B1513" s="12" t="s">
        <v>1261</v>
      </c>
      <c r="C1513" s="12" t="n">
        <v>2025</v>
      </c>
      <c r="D1513" s="12" t="n">
        <v>22</v>
      </c>
      <c r="E1513" s="12" t="n">
        <v>215.11</v>
      </c>
      <c r="F1513" s="12" t="n">
        <v>4422026</v>
      </c>
    </row>
    <row r="1514" customFormat="false" ht="15" hidden="false" customHeight="true" outlineLevel="0" collapsed="false">
      <c r="A1514" s="12" t="s">
        <v>952</v>
      </c>
      <c r="B1514" s="12" t="s">
        <v>1261</v>
      </c>
      <c r="C1514" s="12" t="n">
        <v>2026</v>
      </c>
      <c r="D1514" s="12" t="n">
        <v>12</v>
      </c>
      <c r="E1514" s="12" t="n">
        <v>147.06</v>
      </c>
      <c r="F1514" s="12" t="n">
        <v>4422026</v>
      </c>
    </row>
    <row r="1515" customFormat="false" ht="15" hidden="false" customHeight="true" outlineLevel="0" collapsed="false">
      <c r="A1515" s="12" t="s">
        <v>952</v>
      </c>
      <c r="B1515" s="12" t="s">
        <v>1262</v>
      </c>
      <c r="C1515" s="12" t="n">
        <v>2025</v>
      </c>
      <c r="D1515" s="12" t="n">
        <v>3</v>
      </c>
      <c r="E1515" s="12" t="n">
        <v>31.5</v>
      </c>
      <c r="F1515" s="12" t="n">
        <v>4422031</v>
      </c>
    </row>
    <row r="1516" customFormat="false" ht="15" hidden="false" customHeight="true" outlineLevel="0" collapsed="false">
      <c r="A1516" s="12" t="s">
        <v>952</v>
      </c>
      <c r="B1516" s="12" t="s">
        <v>1262</v>
      </c>
      <c r="C1516" s="12" t="n">
        <v>2026</v>
      </c>
      <c r="D1516" s="12" t="n">
        <v>4</v>
      </c>
      <c r="E1516" s="12" t="n">
        <v>50.43</v>
      </c>
      <c r="F1516" s="12" t="n">
        <v>4422031</v>
      </c>
    </row>
    <row r="1517" customFormat="false" ht="15" hidden="false" customHeight="true" outlineLevel="0" collapsed="false">
      <c r="A1517" s="12" t="s">
        <v>952</v>
      </c>
      <c r="B1517" s="12" t="s">
        <v>1263</v>
      </c>
      <c r="C1517" s="12" t="n">
        <v>2026</v>
      </c>
      <c r="D1517" s="12" t="n">
        <v>2</v>
      </c>
      <c r="E1517" s="12" t="n">
        <v>25.22</v>
      </c>
      <c r="F1517" s="12" t="n">
        <v>4422034</v>
      </c>
    </row>
    <row r="1518" customFormat="false" ht="15" hidden="false" customHeight="true" outlineLevel="0" collapsed="false">
      <c r="A1518" s="12" t="s">
        <v>952</v>
      </c>
      <c r="B1518" s="12" t="s">
        <v>1264</v>
      </c>
      <c r="C1518" s="12" t="n">
        <v>2025</v>
      </c>
      <c r="D1518" s="12" t="n">
        <v>15</v>
      </c>
      <c r="E1518" s="12" t="n">
        <v>298.62</v>
      </c>
      <c r="F1518" s="12" t="n">
        <v>4422035</v>
      </c>
    </row>
    <row r="1519" customFormat="false" ht="15" hidden="false" customHeight="true" outlineLevel="0" collapsed="false">
      <c r="A1519" s="12" t="s">
        <v>952</v>
      </c>
      <c r="B1519" s="12" t="s">
        <v>1265</v>
      </c>
      <c r="C1519" s="12" t="n">
        <v>2025</v>
      </c>
      <c r="D1519" s="12" t="n">
        <v>18</v>
      </c>
      <c r="E1519" s="12" t="n">
        <v>397.81</v>
      </c>
      <c r="F1519" s="12" t="n">
        <v>4422036</v>
      </c>
    </row>
    <row r="1520" customFormat="false" ht="15" hidden="false" customHeight="true" outlineLevel="0" collapsed="false">
      <c r="A1520" s="12" t="s">
        <v>952</v>
      </c>
      <c r="B1520" s="12" t="s">
        <v>1265</v>
      </c>
      <c r="C1520" s="12" t="n">
        <v>2026</v>
      </c>
      <c r="D1520" s="12" t="n">
        <v>6</v>
      </c>
      <c r="E1520" s="12" t="n">
        <v>93.62</v>
      </c>
      <c r="F1520" s="12" t="n">
        <v>4422036</v>
      </c>
    </row>
    <row r="1521" customFormat="false" ht="15" hidden="false" customHeight="true" outlineLevel="0" collapsed="false">
      <c r="A1521" s="12" t="s">
        <v>952</v>
      </c>
      <c r="B1521" s="12" t="s">
        <v>1266</v>
      </c>
      <c r="C1521" s="12" t="n">
        <v>2025</v>
      </c>
      <c r="D1521" s="12" t="n">
        <v>3</v>
      </c>
      <c r="E1521" s="12" t="n">
        <v>360</v>
      </c>
      <c r="F1521" s="12" t="n">
        <v>4422038</v>
      </c>
    </row>
    <row r="1522" customFormat="false" ht="15" hidden="false" customHeight="true" outlineLevel="0" collapsed="false">
      <c r="A1522" s="12" t="s">
        <v>952</v>
      </c>
      <c r="B1522" s="12" t="s">
        <v>1266</v>
      </c>
      <c r="C1522" s="12" t="n">
        <v>2026</v>
      </c>
      <c r="D1522" s="12" t="n">
        <v>2</v>
      </c>
      <c r="E1522" s="12" t="n">
        <v>421.76</v>
      </c>
      <c r="F1522" s="12" t="n">
        <v>4422038</v>
      </c>
    </row>
    <row r="1523" customFormat="false" ht="15" hidden="false" customHeight="true" outlineLevel="0" collapsed="false">
      <c r="A1523" s="12" t="s">
        <v>952</v>
      </c>
      <c r="B1523" s="12" t="s">
        <v>1267</v>
      </c>
      <c r="C1523" s="12" t="n">
        <v>2025</v>
      </c>
      <c r="D1523" s="12" t="n">
        <v>2</v>
      </c>
      <c r="E1523" s="12" t="n">
        <v>240</v>
      </c>
      <c r="F1523" s="12" t="n">
        <v>4422039</v>
      </c>
    </row>
    <row r="1524" customFormat="false" ht="15" hidden="false" customHeight="true" outlineLevel="0" collapsed="false">
      <c r="A1524" s="12" t="s">
        <v>952</v>
      </c>
      <c r="B1524" s="12" t="s">
        <v>1267</v>
      </c>
      <c r="C1524" s="12" t="n">
        <v>2026</v>
      </c>
      <c r="D1524" s="12" t="n">
        <v>3</v>
      </c>
      <c r="E1524" s="12" t="n">
        <v>450.88</v>
      </c>
      <c r="F1524" s="12" t="n">
        <v>4422039</v>
      </c>
    </row>
    <row r="1525" customFormat="false" ht="15" hidden="false" customHeight="true" outlineLevel="0" collapsed="false">
      <c r="A1525" s="12" t="s">
        <v>952</v>
      </c>
      <c r="B1525" s="12" t="s">
        <v>1268</v>
      </c>
      <c r="C1525" s="12" t="n">
        <v>2025</v>
      </c>
      <c r="D1525" s="12" t="n">
        <v>2</v>
      </c>
      <c r="E1525" s="12" t="n">
        <v>240</v>
      </c>
      <c r="F1525" s="12" t="n">
        <v>4422040</v>
      </c>
    </row>
    <row r="1526" customFormat="false" ht="15" hidden="false" customHeight="true" outlineLevel="0" collapsed="false">
      <c r="A1526" s="12" t="s">
        <v>952</v>
      </c>
      <c r="B1526" s="12" t="s">
        <v>1268</v>
      </c>
      <c r="C1526" s="12" t="n">
        <v>2026</v>
      </c>
      <c r="D1526" s="12" t="n">
        <v>5</v>
      </c>
      <c r="E1526" s="12" t="n">
        <v>690.88</v>
      </c>
      <c r="F1526" s="12" t="n">
        <v>4422040</v>
      </c>
    </row>
    <row r="1527" customFormat="false" ht="15" hidden="false" customHeight="true" outlineLevel="0" collapsed="false">
      <c r="A1527" s="12" t="s">
        <v>952</v>
      </c>
      <c r="B1527" s="12" t="s">
        <v>1269</v>
      </c>
      <c r="C1527" s="12" t="n">
        <v>2025</v>
      </c>
      <c r="D1527" s="12" t="n">
        <v>2</v>
      </c>
      <c r="E1527" s="12" t="n">
        <v>240</v>
      </c>
      <c r="F1527" s="12" t="n">
        <v>4422041</v>
      </c>
    </row>
    <row r="1528" customFormat="false" ht="15" hidden="false" customHeight="true" outlineLevel="0" collapsed="false">
      <c r="A1528" s="12" t="s">
        <v>952</v>
      </c>
      <c r="B1528" s="12" t="s">
        <v>1269</v>
      </c>
      <c r="C1528" s="12" t="n">
        <v>2026</v>
      </c>
      <c r="D1528" s="12" t="n">
        <v>8</v>
      </c>
      <c r="E1528" s="12" t="n">
        <v>1323.52</v>
      </c>
      <c r="F1528" s="12" t="n">
        <v>4422041</v>
      </c>
    </row>
    <row r="1529" customFormat="false" ht="15" hidden="false" customHeight="true" outlineLevel="0" collapsed="false">
      <c r="A1529" s="12" t="s">
        <v>952</v>
      </c>
      <c r="B1529" s="12" t="s">
        <v>1270</v>
      </c>
      <c r="C1529" s="12" t="n">
        <v>2025</v>
      </c>
      <c r="D1529" s="12" t="n">
        <v>1</v>
      </c>
      <c r="E1529" s="12" t="n">
        <v>120</v>
      </c>
      <c r="F1529" s="12" t="n">
        <v>4422042</v>
      </c>
    </row>
    <row r="1530" customFormat="false" ht="15" hidden="false" customHeight="true" outlineLevel="0" collapsed="false">
      <c r="A1530" s="12" t="s">
        <v>952</v>
      </c>
      <c r="B1530" s="12" t="s">
        <v>1270</v>
      </c>
      <c r="C1530" s="12" t="n">
        <v>2026</v>
      </c>
      <c r="D1530" s="12" t="n">
        <v>5</v>
      </c>
      <c r="E1530" s="12" t="n">
        <v>781.77</v>
      </c>
      <c r="F1530" s="12" t="n">
        <v>4422042</v>
      </c>
    </row>
    <row r="1531" customFormat="false" ht="15" hidden="false" customHeight="true" outlineLevel="0" collapsed="false">
      <c r="A1531" s="12" t="s">
        <v>952</v>
      </c>
      <c r="B1531" s="12" t="s">
        <v>871</v>
      </c>
      <c r="C1531" s="12" t="n">
        <v>2025</v>
      </c>
      <c r="D1531" s="12" t="n">
        <v>0</v>
      </c>
      <c r="E1531" s="12" t="n">
        <v>0.01</v>
      </c>
      <c r="F1531" s="12" t="s">
        <v>871</v>
      </c>
    </row>
    <row r="1532" customFormat="false" ht="15" hidden="false" customHeight="true" outlineLevel="0" collapsed="false">
      <c r="A1532" s="12" t="s">
        <v>952</v>
      </c>
      <c r="B1532" s="12" t="s">
        <v>872</v>
      </c>
      <c r="C1532" s="12" t="n">
        <v>2025</v>
      </c>
      <c r="D1532" s="12" t="n">
        <v>2</v>
      </c>
      <c r="E1532" s="12" t="n">
        <v>281.15</v>
      </c>
      <c r="F1532" s="12" t="s">
        <v>872</v>
      </c>
    </row>
    <row r="1533" customFormat="false" ht="15" hidden="false" customHeight="true" outlineLevel="0" collapsed="false">
      <c r="A1533" s="12" t="s">
        <v>952</v>
      </c>
      <c r="B1533" s="12" t="s">
        <v>873</v>
      </c>
      <c r="C1533" s="12" t="n">
        <v>2025</v>
      </c>
      <c r="D1533" s="12" t="n">
        <v>1</v>
      </c>
      <c r="E1533" s="12" t="n">
        <v>140.57</v>
      </c>
      <c r="F1533" s="12" t="s">
        <v>873</v>
      </c>
    </row>
    <row r="1534" customFormat="false" ht="15" hidden="false" customHeight="true" outlineLevel="0" collapsed="false">
      <c r="A1534" s="12" t="s">
        <v>952</v>
      </c>
      <c r="B1534" s="12" t="s">
        <v>874</v>
      </c>
      <c r="C1534" s="12" t="n">
        <v>2025</v>
      </c>
      <c r="D1534" s="12" t="n">
        <v>50</v>
      </c>
      <c r="E1534" s="12" t="n">
        <v>6250</v>
      </c>
      <c r="F1534" s="12" t="s">
        <v>874</v>
      </c>
    </row>
    <row r="1535" customFormat="false" ht="15" hidden="false" customHeight="true" outlineLevel="0" collapsed="false">
      <c r="A1535" s="12" t="s">
        <v>952</v>
      </c>
      <c r="B1535" s="12" t="s">
        <v>874</v>
      </c>
      <c r="C1535" s="12" t="n">
        <v>2026</v>
      </c>
      <c r="D1535" s="12" t="n">
        <v>1</v>
      </c>
      <c r="E1535" s="12" t="n">
        <v>234.31</v>
      </c>
      <c r="F1535" s="12" t="s">
        <v>874</v>
      </c>
    </row>
    <row r="1536" customFormat="false" ht="15" hidden="false" customHeight="true" outlineLevel="0" collapsed="false">
      <c r="A1536" s="12" t="s">
        <v>952</v>
      </c>
      <c r="B1536" s="12" t="s">
        <v>875</v>
      </c>
      <c r="C1536" s="12" t="n">
        <v>2025</v>
      </c>
      <c r="D1536" s="12" t="n">
        <v>10</v>
      </c>
      <c r="E1536" s="12" t="n">
        <v>1250</v>
      </c>
      <c r="F1536" s="12" t="s">
        <v>875</v>
      </c>
    </row>
    <row r="1537" customFormat="false" ht="15" hidden="false" customHeight="true" outlineLevel="0" collapsed="false">
      <c r="A1537" s="12" t="s">
        <v>952</v>
      </c>
      <c r="B1537" s="12" t="s">
        <v>876</v>
      </c>
      <c r="C1537" s="12" t="n">
        <v>2025</v>
      </c>
      <c r="D1537" s="12" t="n">
        <v>10</v>
      </c>
      <c r="E1537" s="12" t="n">
        <v>1300</v>
      </c>
      <c r="F1537" s="12" t="s">
        <v>876</v>
      </c>
    </row>
    <row r="1538" customFormat="false" ht="15" hidden="false" customHeight="true" outlineLevel="0" collapsed="false">
      <c r="A1538" s="12" t="s">
        <v>952</v>
      </c>
      <c r="B1538" s="12" t="s">
        <v>877</v>
      </c>
      <c r="C1538" s="12" t="n">
        <v>2025</v>
      </c>
      <c r="D1538" s="12" t="n">
        <v>1</v>
      </c>
      <c r="E1538" s="12" t="n">
        <v>69.01</v>
      </c>
      <c r="F1538" s="12" t="s">
        <v>877</v>
      </c>
    </row>
    <row r="1539" customFormat="false" ht="15" hidden="false" customHeight="true" outlineLevel="0" collapsed="false">
      <c r="A1539" s="12" t="s">
        <v>952</v>
      </c>
      <c r="B1539" s="12" t="s">
        <v>877</v>
      </c>
      <c r="C1539" s="12" t="n">
        <v>2026</v>
      </c>
      <c r="D1539" s="12" t="n">
        <v>1</v>
      </c>
      <c r="E1539" s="12" t="n">
        <v>85</v>
      </c>
      <c r="F1539" s="12" t="s">
        <v>877</v>
      </c>
    </row>
    <row r="1540" customFormat="false" ht="15" hidden="false" customHeight="true" outlineLevel="0" collapsed="false">
      <c r="A1540" s="12" t="s">
        <v>952</v>
      </c>
      <c r="B1540" s="12" t="s">
        <v>878</v>
      </c>
      <c r="C1540" s="12" t="n">
        <v>2025</v>
      </c>
      <c r="D1540" s="12" t="n">
        <v>1</v>
      </c>
      <c r="E1540" s="12" t="n">
        <v>69</v>
      </c>
      <c r="F1540" s="12" t="s">
        <v>878</v>
      </c>
    </row>
    <row r="1541" customFormat="false" ht="15" hidden="false" customHeight="true" outlineLevel="0" collapsed="false">
      <c r="A1541" s="12" t="s">
        <v>952</v>
      </c>
      <c r="B1541" s="12" t="s">
        <v>879</v>
      </c>
      <c r="C1541" s="12" t="n">
        <v>2025</v>
      </c>
      <c r="D1541" s="12" t="n">
        <v>1</v>
      </c>
      <c r="E1541" s="12" t="n">
        <v>135.88</v>
      </c>
      <c r="F1541" s="12" t="s">
        <v>879</v>
      </c>
    </row>
    <row r="1542" customFormat="false" ht="15" hidden="false" customHeight="true" outlineLevel="0" collapsed="false">
      <c r="A1542" s="12" t="s">
        <v>952</v>
      </c>
      <c r="B1542" s="12" t="s">
        <v>880</v>
      </c>
      <c r="C1542" s="12" t="n">
        <v>2026</v>
      </c>
      <c r="D1542" s="12" t="n">
        <v>1</v>
      </c>
      <c r="E1542" s="12" t="n">
        <v>156.97</v>
      </c>
      <c r="F1542" s="12" t="s">
        <v>880</v>
      </c>
    </row>
    <row r="1543" customFormat="false" ht="15" hidden="false" customHeight="true" outlineLevel="0" collapsed="false">
      <c r="A1543" s="12" t="s">
        <v>952</v>
      </c>
      <c r="B1543" s="12" t="s">
        <v>881</v>
      </c>
      <c r="C1543" s="12" t="n">
        <v>2025</v>
      </c>
      <c r="D1543" s="12" t="n">
        <v>1</v>
      </c>
      <c r="E1543" s="12" t="n">
        <v>156.98</v>
      </c>
      <c r="F1543" s="12" t="s">
        <v>881</v>
      </c>
    </row>
    <row r="1544" customFormat="false" ht="15" hidden="false" customHeight="true" outlineLevel="0" collapsed="false">
      <c r="A1544" s="12" t="s">
        <v>952</v>
      </c>
      <c r="B1544" s="12" t="s">
        <v>882</v>
      </c>
      <c r="C1544" s="12" t="n">
        <v>2025</v>
      </c>
      <c r="D1544" s="12" t="n">
        <v>1</v>
      </c>
      <c r="E1544" s="12" t="n">
        <v>140.57</v>
      </c>
      <c r="F1544" s="12" t="s">
        <v>882</v>
      </c>
    </row>
    <row r="1545" customFormat="false" ht="15" hidden="false" customHeight="true" outlineLevel="0" collapsed="false">
      <c r="A1545" s="12" t="s">
        <v>952</v>
      </c>
      <c r="B1545" s="12" t="s">
        <v>882</v>
      </c>
      <c r="C1545" s="12" t="n">
        <v>2026</v>
      </c>
      <c r="D1545" s="12" t="n">
        <v>1</v>
      </c>
      <c r="E1545" s="12" t="n">
        <v>140.58</v>
      </c>
      <c r="F1545" s="12" t="s">
        <v>882</v>
      </c>
    </row>
    <row r="1546" customFormat="false" ht="15" hidden="false" customHeight="true" outlineLevel="0" collapsed="false">
      <c r="A1546" s="12" t="s">
        <v>952</v>
      </c>
      <c r="B1546" s="12" t="s">
        <v>883</v>
      </c>
      <c r="C1546" s="12" t="n">
        <v>2026</v>
      </c>
      <c r="D1546" s="12" t="n">
        <v>2</v>
      </c>
      <c r="E1546" s="12" t="n">
        <v>281.14</v>
      </c>
      <c r="F1546" s="12" t="s">
        <v>883</v>
      </c>
    </row>
    <row r="1547" customFormat="false" ht="15" hidden="false" customHeight="true" outlineLevel="0" collapsed="false">
      <c r="A1547" s="12" t="s">
        <v>952</v>
      </c>
      <c r="B1547" s="12" t="s">
        <v>884</v>
      </c>
      <c r="C1547" s="12" t="n">
        <v>2025</v>
      </c>
      <c r="D1547" s="12" t="n">
        <v>1</v>
      </c>
      <c r="E1547" s="12" t="n">
        <v>140.58</v>
      </c>
      <c r="F1547" s="12" t="s">
        <v>884</v>
      </c>
    </row>
    <row r="1548" customFormat="false" ht="15" hidden="false" customHeight="true" outlineLevel="0" collapsed="false">
      <c r="A1548" s="12" t="s">
        <v>952</v>
      </c>
      <c r="B1548" s="12" t="s">
        <v>885</v>
      </c>
      <c r="C1548" s="12" t="n">
        <v>2025</v>
      </c>
      <c r="D1548" s="12" t="n">
        <v>1</v>
      </c>
      <c r="E1548" s="12" t="n">
        <v>132.33</v>
      </c>
      <c r="F1548" s="12" t="s">
        <v>885</v>
      </c>
    </row>
    <row r="1549" customFormat="false" ht="15" hidden="false" customHeight="true" outlineLevel="0" collapsed="false">
      <c r="A1549" s="12" t="s">
        <v>952</v>
      </c>
      <c r="B1549" s="12" t="s">
        <v>886</v>
      </c>
      <c r="C1549" s="12" t="n">
        <v>2025</v>
      </c>
      <c r="D1549" s="12" t="n">
        <v>1</v>
      </c>
      <c r="E1549" s="12" t="n">
        <v>268</v>
      </c>
      <c r="F1549" s="12" t="s">
        <v>886</v>
      </c>
    </row>
    <row r="1550" customFormat="false" ht="15" hidden="false" customHeight="true" outlineLevel="0" collapsed="false">
      <c r="A1550" s="12" t="s">
        <v>952</v>
      </c>
      <c r="B1550" s="12" t="s">
        <v>886</v>
      </c>
      <c r="C1550" s="12" t="n">
        <v>2026</v>
      </c>
      <c r="D1550" s="12" t="n">
        <v>1</v>
      </c>
      <c r="E1550" s="12" t="n">
        <v>309.32</v>
      </c>
      <c r="F1550" s="12" t="s">
        <v>886</v>
      </c>
    </row>
    <row r="1551" customFormat="false" ht="15" hidden="false" customHeight="true" outlineLevel="0" collapsed="false">
      <c r="A1551" s="12" t="s">
        <v>952</v>
      </c>
      <c r="B1551" s="12" t="s">
        <v>887</v>
      </c>
      <c r="C1551" s="12" t="n">
        <v>2025</v>
      </c>
      <c r="D1551" s="12" t="n">
        <v>1</v>
      </c>
      <c r="E1551" s="12" t="n">
        <v>268</v>
      </c>
      <c r="F1551" s="12" t="s">
        <v>887</v>
      </c>
    </row>
    <row r="1552" customFormat="false" ht="15" hidden="false" customHeight="true" outlineLevel="0" collapsed="false">
      <c r="A1552" s="12" t="s">
        <v>952</v>
      </c>
      <c r="B1552" s="12" t="s">
        <v>887</v>
      </c>
      <c r="C1552" s="12" t="n">
        <v>2026</v>
      </c>
      <c r="D1552" s="12" t="n">
        <v>1</v>
      </c>
      <c r="E1552" s="12" t="n">
        <v>268</v>
      </c>
      <c r="F1552" s="12" t="s">
        <v>887</v>
      </c>
    </row>
    <row r="1553" customFormat="false" ht="15" hidden="false" customHeight="true" outlineLevel="0" collapsed="false">
      <c r="A1553" s="12" t="s">
        <v>952</v>
      </c>
      <c r="B1553" s="12" t="s">
        <v>888</v>
      </c>
      <c r="C1553" s="12" t="n">
        <v>2025</v>
      </c>
      <c r="D1553" s="12" t="n">
        <v>1</v>
      </c>
      <c r="E1553" s="12" t="n">
        <v>268</v>
      </c>
      <c r="F1553" s="12" t="s">
        <v>888</v>
      </c>
    </row>
    <row r="1554" customFormat="false" ht="15" hidden="false" customHeight="true" outlineLevel="0" collapsed="false">
      <c r="A1554" s="12" t="s">
        <v>952</v>
      </c>
      <c r="B1554" s="12" t="s">
        <v>889</v>
      </c>
      <c r="C1554" s="12" t="n">
        <v>2025</v>
      </c>
      <c r="D1554" s="12" t="n">
        <v>1</v>
      </c>
      <c r="E1554" s="12" t="n">
        <v>268</v>
      </c>
      <c r="F1554" s="12" t="s">
        <v>889</v>
      </c>
    </row>
    <row r="1555" customFormat="false" ht="15" hidden="false" customHeight="true" outlineLevel="0" collapsed="false">
      <c r="A1555" s="12" t="s">
        <v>952</v>
      </c>
      <c r="B1555" s="12" t="s">
        <v>889</v>
      </c>
      <c r="C1555" s="12" t="n">
        <v>2026</v>
      </c>
      <c r="D1555" s="12" t="n">
        <v>1</v>
      </c>
      <c r="E1555" s="12" t="n">
        <v>309.31</v>
      </c>
      <c r="F1555" s="12" t="s">
        <v>889</v>
      </c>
    </row>
    <row r="1556" customFormat="false" ht="15" hidden="false" customHeight="true" outlineLevel="0" collapsed="false">
      <c r="A1556" s="12" t="s">
        <v>952</v>
      </c>
      <c r="B1556" s="12" t="s">
        <v>890</v>
      </c>
      <c r="C1556" s="12" t="n">
        <v>2026</v>
      </c>
      <c r="D1556" s="12" t="n">
        <v>1</v>
      </c>
      <c r="E1556" s="12" t="n">
        <v>309.32</v>
      </c>
      <c r="F1556" s="12" t="s">
        <v>890</v>
      </c>
    </row>
    <row r="1557" customFormat="false" ht="15" hidden="false" customHeight="true" outlineLevel="0" collapsed="false">
      <c r="A1557" s="12" t="s">
        <v>952</v>
      </c>
      <c r="B1557" s="12" t="s">
        <v>891</v>
      </c>
      <c r="C1557" s="12" t="n">
        <v>2025</v>
      </c>
      <c r="D1557" s="12" t="n">
        <v>2</v>
      </c>
      <c r="E1557" s="12" t="n">
        <v>38.34</v>
      </c>
      <c r="F1557" s="12" t="s">
        <v>891</v>
      </c>
    </row>
    <row r="1558" customFormat="false" ht="15" hidden="false" customHeight="true" outlineLevel="0" collapsed="false">
      <c r="A1558" s="12" t="s">
        <v>952</v>
      </c>
      <c r="B1558" s="12" t="s">
        <v>892</v>
      </c>
      <c r="C1558" s="12" t="n">
        <v>2025</v>
      </c>
      <c r="D1558" s="12" t="n">
        <v>3</v>
      </c>
      <c r="E1558" s="12" t="n">
        <v>198.4</v>
      </c>
      <c r="F1558" s="12" t="s">
        <v>892</v>
      </c>
    </row>
    <row r="1559" customFormat="false" ht="15" hidden="false" customHeight="true" outlineLevel="0" collapsed="false">
      <c r="A1559" s="12" t="s">
        <v>952</v>
      </c>
      <c r="B1559" s="12" t="s">
        <v>893</v>
      </c>
      <c r="C1559" s="12" t="n">
        <v>2025</v>
      </c>
      <c r="D1559" s="12" t="n">
        <v>6</v>
      </c>
      <c r="E1559" s="12" t="n">
        <v>711.22</v>
      </c>
      <c r="F1559" s="12" t="s">
        <v>893</v>
      </c>
    </row>
    <row r="1560" customFormat="false" ht="15" hidden="false" customHeight="true" outlineLevel="0" collapsed="false">
      <c r="A1560" s="12" t="s">
        <v>952</v>
      </c>
      <c r="B1560" s="12" t="s">
        <v>894</v>
      </c>
      <c r="C1560" s="12" t="n">
        <v>2025</v>
      </c>
      <c r="D1560" s="12" t="n">
        <v>2</v>
      </c>
      <c r="E1560" s="12" t="n">
        <v>187.4</v>
      </c>
      <c r="F1560" s="12" t="s">
        <v>894</v>
      </c>
    </row>
    <row r="1561" customFormat="false" ht="15" hidden="false" customHeight="true" outlineLevel="0" collapsed="false">
      <c r="A1561" s="12" t="s">
        <v>952</v>
      </c>
      <c r="B1561" s="12" t="s">
        <v>895</v>
      </c>
      <c r="C1561" s="12" t="n">
        <v>2026</v>
      </c>
      <c r="D1561" s="12" t="n">
        <v>1</v>
      </c>
      <c r="E1561" s="12" t="n">
        <v>212.75</v>
      </c>
      <c r="F1561" s="12" t="s">
        <v>895</v>
      </c>
    </row>
    <row r="1562" customFormat="false" ht="15" hidden="false" customHeight="true" outlineLevel="0" collapsed="false">
      <c r="A1562" s="12" t="s">
        <v>952</v>
      </c>
      <c r="B1562" s="12" t="s">
        <v>896</v>
      </c>
      <c r="C1562" s="12" t="n">
        <v>2025</v>
      </c>
      <c r="D1562" s="12" t="n">
        <v>5</v>
      </c>
      <c r="E1562" s="12" t="n">
        <v>523.08</v>
      </c>
      <c r="F1562" s="12" t="s">
        <v>896</v>
      </c>
    </row>
    <row r="1563" customFormat="false" ht="15" hidden="false" customHeight="true" outlineLevel="0" collapsed="false">
      <c r="A1563" s="12" t="s">
        <v>952</v>
      </c>
      <c r="B1563" s="12" t="s">
        <v>897</v>
      </c>
      <c r="C1563" s="12" t="n">
        <v>2026</v>
      </c>
      <c r="D1563" s="12" t="n">
        <v>1</v>
      </c>
      <c r="E1563" s="12" t="n">
        <v>123.23</v>
      </c>
      <c r="F1563" s="12" t="s">
        <v>897</v>
      </c>
    </row>
    <row r="1564" customFormat="false" ht="15" hidden="false" customHeight="true" outlineLevel="0" collapsed="false">
      <c r="A1564" s="12" t="s">
        <v>952</v>
      </c>
      <c r="B1564" s="12" t="s">
        <v>898</v>
      </c>
      <c r="C1564" s="12" t="n">
        <v>2025</v>
      </c>
      <c r="D1564" s="12" t="n">
        <v>1</v>
      </c>
      <c r="E1564" s="12" t="n">
        <v>123.23</v>
      </c>
      <c r="F1564" s="12" t="s">
        <v>898</v>
      </c>
    </row>
    <row r="1565" customFormat="false" ht="15" hidden="false" customHeight="true" outlineLevel="0" collapsed="false">
      <c r="A1565" s="12" t="s">
        <v>952</v>
      </c>
      <c r="B1565" s="12" t="s">
        <v>899</v>
      </c>
      <c r="C1565" s="12" t="n">
        <v>2025</v>
      </c>
      <c r="D1565" s="12" t="n">
        <v>4</v>
      </c>
      <c r="E1565" s="12" t="n">
        <v>121.26</v>
      </c>
      <c r="F1565" s="12" t="s">
        <v>899</v>
      </c>
    </row>
    <row r="1566" customFormat="false" ht="15" hidden="false" customHeight="true" outlineLevel="0" collapsed="false">
      <c r="A1566" s="12" t="s">
        <v>952</v>
      </c>
      <c r="B1566" s="12" t="s">
        <v>900</v>
      </c>
      <c r="C1566" s="12" t="n">
        <v>2025</v>
      </c>
      <c r="D1566" s="12" t="n">
        <v>2</v>
      </c>
      <c r="E1566" s="12" t="n">
        <v>66.09</v>
      </c>
      <c r="F1566" s="12" t="s">
        <v>900</v>
      </c>
    </row>
    <row r="1567" customFormat="false" ht="15" hidden="false" customHeight="true" outlineLevel="0" collapsed="false">
      <c r="A1567" s="12" t="s">
        <v>952</v>
      </c>
      <c r="B1567" s="12" t="s">
        <v>901</v>
      </c>
      <c r="C1567" s="12" t="n">
        <v>2026</v>
      </c>
      <c r="D1567" s="12" t="n">
        <v>2</v>
      </c>
      <c r="E1567" s="12" t="n">
        <v>70.21</v>
      </c>
      <c r="F1567" s="12" t="s">
        <v>901</v>
      </c>
    </row>
    <row r="1568" customFormat="false" ht="15" hidden="false" customHeight="true" outlineLevel="0" collapsed="false">
      <c r="A1568" s="12" t="s">
        <v>952</v>
      </c>
      <c r="B1568" s="12" t="s">
        <v>902</v>
      </c>
      <c r="C1568" s="12" t="n">
        <v>2025</v>
      </c>
      <c r="D1568" s="12" t="n">
        <v>6</v>
      </c>
      <c r="E1568" s="12" t="n">
        <v>188.76</v>
      </c>
      <c r="F1568" s="12" t="s">
        <v>902</v>
      </c>
    </row>
    <row r="1569" customFormat="false" ht="15" hidden="false" customHeight="true" outlineLevel="0" collapsed="false">
      <c r="A1569" s="12" t="s">
        <v>952</v>
      </c>
      <c r="B1569" s="12" t="s">
        <v>903</v>
      </c>
      <c r="C1569" s="12" t="n">
        <v>2025</v>
      </c>
      <c r="D1569" s="12" t="n">
        <v>1</v>
      </c>
      <c r="E1569" s="12" t="n">
        <v>174.86</v>
      </c>
      <c r="F1569" s="12" t="s">
        <v>903</v>
      </c>
    </row>
    <row r="1570" customFormat="false" ht="15" hidden="false" customHeight="true" outlineLevel="0" collapsed="false">
      <c r="A1570" s="12" t="s">
        <v>952</v>
      </c>
      <c r="B1570" s="12" t="s">
        <v>904</v>
      </c>
      <c r="C1570" s="12" t="n">
        <v>2025</v>
      </c>
      <c r="D1570" s="12" t="n">
        <v>1</v>
      </c>
      <c r="E1570" s="12" t="n">
        <v>187.45</v>
      </c>
      <c r="F1570" s="12" t="s">
        <v>904</v>
      </c>
    </row>
    <row r="1571" customFormat="false" ht="15" hidden="false" customHeight="true" outlineLevel="0" collapsed="false">
      <c r="A1571" s="12" t="s">
        <v>952</v>
      </c>
      <c r="B1571" s="12" t="s">
        <v>905</v>
      </c>
      <c r="C1571" s="12" t="n">
        <v>2025</v>
      </c>
      <c r="D1571" s="12" t="n">
        <v>1</v>
      </c>
      <c r="E1571" s="12" t="n">
        <v>203.38</v>
      </c>
      <c r="F1571" s="12" t="s">
        <v>905</v>
      </c>
    </row>
    <row r="1572" customFormat="false" ht="15" hidden="false" customHeight="true" outlineLevel="0" collapsed="false">
      <c r="A1572" s="12" t="s">
        <v>952</v>
      </c>
      <c r="B1572" s="12" t="s">
        <v>906</v>
      </c>
      <c r="C1572" s="12" t="n">
        <v>2025</v>
      </c>
      <c r="D1572" s="12" t="n">
        <v>1</v>
      </c>
      <c r="E1572" s="12" t="n">
        <v>203.38</v>
      </c>
      <c r="F1572" s="12" t="s">
        <v>906</v>
      </c>
    </row>
    <row r="1573" customFormat="false" ht="15" hidden="false" customHeight="true" outlineLevel="0" collapsed="false">
      <c r="A1573" s="12" t="s">
        <v>952</v>
      </c>
      <c r="B1573" s="12" t="s">
        <v>907</v>
      </c>
      <c r="C1573" s="12" t="n">
        <v>2026</v>
      </c>
      <c r="D1573" s="12" t="n">
        <v>1</v>
      </c>
      <c r="E1573" s="12" t="n">
        <v>330.88</v>
      </c>
      <c r="F1573" s="12" t="s">
        <v>907</v>
      </c>
    </row>
    <row r="1574" customFormat="false" ht="15" hidden="false" customHeight="true" outlineLevel="0" collapsed="false">
      <c r="A1574" s="12" t="s">
        <v>952</v>
      </c>
      <c r="B1574" s="12" t="s">
        <v>908</v>
      </c>
      <c r="C1574" s="12" t="n">
        <v>2025</v>
      </c>
      <c r="D1574" s="12" t="n">
        <v>2</v>
      </c>
      <c r="E1574" s="12" t="n">
        <v>61.78</v>
      </c>
      <c r="F1574" s="12" t="s">
        <v>908</v>
      </c>
    </row>
    <row r="1575" customFormat="false" ht="15" hidden="false" customHeight="true" outlineLevel="0" collapsed="false">
      <c r="A1575" s="12" t="s">
        <v>952</v>
      </c>
      <c r="B1575" s="12" t="s">
        <v>908</v>
      </c>
      <c r="C1575" s="12" t="n">
        <v>2026</v>
      </c>
      <c r="D1575" s="12" t="n">
        <v>1</v>
      </c>
      <c r="E1575" s="12" t="n">
        <v>30.89</v>
      </c>
      <c r="F1575" s="12" t="s">
        <v>908</v>
      </c>
    </row>
    <row r="1576" customFormat="false" ht="15" hidden="false" customHeight="true" outlineLevel="0" collapsed="false">
      <c r="A1576" s="12" t="s">
        <v>952</v>
      </c>
      <c r="B1576" s="12" t="s">
        <v>909</v>
      </c>
      <c r="C1576" s="12" t="n">
        <v>2026</v>
      </c>
      <c r="D1576" s="12" t="n">
        <v>2</v>
      </c>
      <c r="E1576" s="12" t="n">
        <v>113.34</v>
      </c>
      <c r="F1576" s="12" t="s">
        <v>909</v>
      </c>
    </row>
    <row r="1577" customFormat="false" ht="15" hidden="false" customHeight="true" outlineLevel="0" collapsed="false">
      <c r="A1577" s="12" t="s">
        <v>952</v>
      </c>
      <c r="B1577" s="12" t="s">
        <v>910</v>
      </c>
      <c r="C1577" s="12" t="n">
        <v>2025</v>
      </c>
      <c r="D1577" s="12" t="n">
        <v>4</v>
      </c>
      <c r="E1577" s="12" t="n">
        <v>226.69</v>
      </c>
      <c r="F1577" s="12" t="s">
        <v>910</v>
      </c>
    </row>
    <row r="1578" customFormat="false" ht="15" hidden="false" customHeight="true" outlineLevel="0" collapsed="false">
      <c r="A1578" s="12" t="s">
        <v>952</v>
      </c>
      <c r="B1578" s="12" t="s">
        <v>911</v>
      </c>
      <c r="C1578" s="12" t="n">
        <v>2025</v>
      </c>
      <c r="D1578" s="12" t="n">
        <v>2</v>
      </c>
      <c r="E1578" s="12" t="n">
        <v>228.54</v>
      </c>
      <c r="F1578" s="12" t="s">
        <v>911</v>
      </c>
    </row>
    <row r="1579" customFormat="false" ht="15" hidden="false" customHeight="true" outlineLevel="0" collapsed="false">
      <c r="A1579" s="12" t="s">
        <v>952</v>
      </c>
      <c r="B1579" s="12" t="s">
        <v>911</v>
      </c>
      <c r="C1579" s="12" t="n">
        <v>2026</v>
      </c>
      <c r="D1579" s="12" t="n">
        <v>1</v>
      </c>
      <c r="E1579" s="12" t="n">
        <v>133.54</v>
      </c>
      <c r="F1579" s="12" t="s">
        <v>911</v>
      </c>
    </row>
    <row r="1580" customFormat="false" ht="15" hidden="false" customHeight="true" outlineLevel="0" collapsed="false">
      <c r="A1580" s="12" t="s">
        <v>952</v>
      </c>
      <c r="B1580" s="12" t="s">
        <v>912</v>
      </c>
      <c r="C1580" s="12" t="n">
        <v>2025</v>
      </c>
      <c r="D1580" s="12" t="n">
        <v>1</v>
      </c>
      <c r="E1580" s="12" t="n">
        <v>133.54</v>
      </c>
      <c r="F1580" s="12" t="s">
        <v>912</v>
      </c>
    </row>
    <row r="1581" customFormat="false" ht="15" hidden="false" customHeight="true" outlineLevel="0" collapsed="false">
      <c r="A1581" s="12" t="s">
        <v>952</v>
      </c>
      <c r="B1581" s="12" t="s">
        <v>913</v>
      </c>
      <c r="C1581" s="12" t="n">
        <v>2026</v>
      </c>
      <c r="D1581" s="12" t="n">
        <v>1</v>
      </c>
      <c r="E1581" s="12" t="n">
        <v>133.54</v>
      </c>
      <c r="F1581" s="12" t="s">
        <v>913</v>
      </c>
    </row>
    <row r="1582" customFormat="false" ht="15" hidden="false" customHeight="true" outlineLevel="0" collapsed="false">
      <c r="A1582" s="12" t="s">
        <v>952</v>
      </c>
      <c r="B1582" s="12" t="s">
        <v>914</v>
      </c>
      <c r="C1582" s="12" t="n">
        <v>2026</v>
      </c>
      <c r="D1582" s="12" t="n">
        <v>2</v>
      </c>
      <c r="E1582" s="12" t="n">
        <v>222.08</v>
      </c>
      <c r="F1582" s="12" t="s">
        <v>914</v>
      </c>
    </row>
    <row r="1583" customFormat="false" ht="15" hidden="false" customHeight="true" outlineLevel="0" collapsed="false">
      <c r="A1583" s="12" t="s">
        <v>952</v>
      </c>
      <c r="B1583" s="12" t="s">
        <v>915</v>
      </c>
      <c r="C1583" s="12" t="n">
        <v>2025</v>
      </c>
      <c r="D1583" s="12" t="n">
        <v>2</v>
      </c>
      <c r="E1583" s="12" t="n">
        <v>180.04</v>
      </c>
      <c r="F1583" s="12" t="s">
        <v>915</v>
      </c>
    </row>
    <row r="1584" customFormat="false" ht="15" hidden="false" customHeight="true" outlineLevel="0" collapsed="false">
      <c r="A1584" s="12" t="s">
        <v>952</v>
      </c>
      <c r="B1584" s="12" t="s">
        <v>915</v>
      </c>
      <c r="C1584" s="12" t="n">
        <v>2026</v>
      </c>
      <c r="D1584" s="12" t="n">
        <v>3</v>
      </c>
      <c r="E1584" s="12" t="n">
        <v>333.11</v>
      </c>
      <c r="F1584" s="12" t="s">
        <v>915</v>
      </c>
    </row>
    <row r="1585" customFormat="false" ht="15" hidden="false" customHeight="true" outlineLevel="0" collapsed="false">
      <c r="A1585" s="12" t="s">
        <v>952</v>
      </c>
      <c r="B1585" s="12" t="s">
        <v>916</v>
      </c>
      <c r="C1585" s="12" t="n">
        <v>2025</v>
      </c>
      <c r="D1585" s="12" t="n">
        <v>1</v>
      </c>
      <c r="E1585" s="12" t="n">
        <v>80.32</v>
      </c>
      <c r="F1585" s="12" t="s">
        <v>916</v>
      </c>
    </row>
    <row r="1586" customFormat="false" ht="15" hidden="false" customHeight="true" outlineLevel="0" collapsed="false">
      <c r="A1586" s="12" t="s">
        <v>952</v>
      </c>
      <c r="B1586" s="12" t="s">
        <v>916</v>
      </c>
      <c r="C1586" s="12" t="n">
        <v>2026</v>
      </c>
      <c r="D1586" s="12" t="n">
        <v>2</v>
      </c>
      <c r="E1586" s="12" t="n">
        <v>168.64</v>
      </c>
      <c r="F1586" s="12" t="s">
        <v>916</v>
      </c>
    </row>
    <row r="1587" customFormat="false" ht="15" hidden="false" customHeight="true" outlineLevel="0" collapsed="false">
      <c r="A1587" s="12" t="s">
        <v>952</v>
      </c>
      <c r="B1587" s="12" t="s">
        <v>917</v>
      </c>
      <c r="C1587" s="12" t="n">
        <v>2025</v>
      </c>
      <c r="D1587" s="12" t="n">
        <v>3</v>
      </c>
      <c r="E1587" s="12" t="n">
        <v>252.96</v>
      </c>
      <c r="F1587" s="12" t="s">
        <v>917</v>
      </c>
    </row>
    <row r="1588" customFormat="false" ht="15" hidden="false" customHeight="true" outlineLevel="0" collapsed="false">
      <c r="A1588" s="12" t="s">
        <v>952</v>
      </c>
      <c r="B1588" s="12" t="s">
        <v>917</v>
      </c>
      <c r="C1588" s="12" t="n">
        <v>2026</v>
      </c>
      <c r="D1588" s="12" t="n">
        <v>1</v>
      </c>
      <c r="E1588" s="12" t="n">
        <v>84.32</v>
      </c>
      <c r="F1588" s="12" t="s">
        <v>917</v>
      </c>
    </row>
    <row r="1589" customFormat="false" ht="15" hidden="false" customHeight="true" outlineLevel="0" collapsed="false">
      <c r="A1589" s="12" t="s">
        <v>952</v>
      </c>
      <c r="B1589" s="12" t="s">
        <v>918</v>
      </c>
      <c r="C1589" s="12" t="n">
        <v>2026</v>
      </c>
      <c r="D1589" s="12" t="n">
        <v>3</v>
      </c>
      <c r="E1589" s="12" t="n">
        <v>252.96</v>
      </c>
      <c r="F1589" s="12" t="s">
        <v>918</v>
      </c>
    </row>
    <row r="1590" customFormat="false" ht="15" hidden="false" customHeight="true" outlineLevel="0" collapsed="false">
      <c r="A1590" s="12" t="s">
        <v>952</v>
      </c>
      <c r="B1590" s="12" t="s">
        <v>919</v>
      </c>
      <c r="C1590" s="12" t="n">
        <v>2026</v>
      </c>
      <c r="D1590" s="12" t="n">
        <v>1</v>
      </c>
      <c r="E1590" s="12" t="n">
        <v>187.45</v>
      </c>
      <c r="F1590" s="12" t="s">
        <v>919</v>
      </c>
    </row>
    <row r="1591" customFormat="false" ht="15" hidden="false" customHeight="true" outlineLevel="0" collapsed="false">
      <c r="A1591" s="12" t="s">
        <v>952</v>
      </c>
      <c r="B1591" s="12" t="s">
        <v>920</v>
      </c>
      <c r="C1591" s="12" t="n">
        <v>2025</v>
      </c>
      <c r="D1591" s="12" t="n">
        <v>1</v>
      </c>
      <c r="E1591" s="12" t="n">
        <v>66.51</v>
      </c>
      <c r="F1591" s="12" t="s">
        <v>920</v>
      </c>
    </row>
    <row r="1592" customFormat="false" ht="15" hidden="false" customHeight="true" outlineLevel="0" collapsed="false">
      <c r="A1592" s="12" t="s">
        <v>952</v>
      </c>
      <c r="B1592" s="12" t="s">
        <v>921</v>
      </c>
      <c r="C1592" s="12" t="n">
        <v>2026</v>
      </c>
      <c r="D1592" s="12" t="n">
        <v>1</v>
      </c>
      <c r="E1592" s="12" t="n">
        <v>66.51</v>
      </c>
      <c r="F1592" s="12" t="s">
        <v>921</v>
      </c>
    </row>
    <row r="1593" customFormat="false" ht="15" hidden="false" customHeight="true" outlineLevel="0" collapsed="false">
      <c r="A1593" s="12" t="s">
        <v>952</v>
      </c>
      <c r="B1593" s="12" t="s">
        <v>922</v>
      </c>
      <c r="C1593" s="12" t="n">
        <v>2025</v>
      </c>
      <c r="D1593" s="12" t="n">
        <v>108</v>
      </c>
      <c r="E1593" s="12" t="n">
        <v>13580.19</v>
      </c>
      <c r="F1593" s="12" t="s">
        <v>922</v>
      </c>
    </row>
    <row r="1594" customFormat="false" ht="15" hidden="false" customHeight="true" outlineLevel="0" collapsed="false">
      <c r="A1594" s="12" t="s">
        <v>952</v>
      </c>
      <c r="B1594" s="12" t="s">
        <v>922</v>
      </c>
      <c r="C1594" s="12" t="n">
        <v>2026</v>
      </c>
      <c r="D1594" s="12" t="n">
        <v>51</v>
      </c>
      <c r="E1594" s="12" t="n">
        <v>8495.51</v>
      </c>
      <c r="F1594" s="12" t="s">
        <v>922</v>
      </c>
    </row>
    <row r="1595" customFormat="false" ht="15" hidden="false" customHeight="true" outlineLevel="0" collapsed="false">
      <c r="A1595" s="12" t="s">
        <v>952</v>
      </c>
      <c r="B1595" s="12" t="s">
        <v>923</v>
      </c>
      <c r="C1595" s="12" t="n">
        <v>2026</v>
      </c>
      <c r="D1595" s="12" t="n">
        <v>3</v>
      </c>
      <c r="E1595" s="12" t="n">
        <v>0</v>
      </c>
      <c r="F1595" s="12" t="s">
        <v>923</v>
      </c>
    </row>
    <row r="1596" customFormat="false" ht="15" hidden="false" customHeight="true" outlineLevel="0" collapsed="false">
      <c r="A1596" s="12" t="s">
        <v>952</v>
      </c>
      <c r="B1596" s="12" t="s">
        <v>924</v>
      </c>
      <c r="C1596" s="12" t="n">
        <v>2025</v>
      </c>
      <c r="D1596" s="12" t="n">
        <v>1</v>
      </c>
      <c r="E1596" s="12" t="n">
        <v>472.68</v>
      </c>
      <c r="F1596" s="12" t="s">
        <v>924</v>
      </c>
    </row>
    <row r="1597" customFormat="false" ht="15" hidden="false" customHeight="true" outlineLevel="0" collapsed="false">
      <c r="A1597" s="12" t="s">
        <v>952</v>
      </c>
      <c r="B1597" s="12" t="s">
        <v>925</v>
      </c>
      <c r="C1597" s="12" t="n">
        <v>2025</v>
      </c>
      <c r="D1597" s="12" t="n">
        <v>1</v>
      </c>
      <c r="E1597" s="12" t="n">
        <v>472.7</v>
      </c>
      <c r="F1597" s="12" t="s">
        <v>925</v>
      </c>
    </row>
    <row r="1598" customFormat="false" ht="15" hidden="false" customHeight="true" outlineLevel="0" collapsed="false">
      <c r="A1598" s="12" t="s">
        <v>952</v>
      </c>
      <c r="B1598" s="12" t="s">
        <v>926</v>
      </c>
      <c r="C1598" s="12" t="n">
        <v>2025</v>
      </c>
      <c r="D1598" s="12" t="n">
        <v>1</v>
      </c>
      <c r="E1598" s="12" t="n">
        <v>472.9</v>
      </c>
      <c r="F1598" s="12" t="s">
        <v>926</v>
      </c>
    </row>
    <row r="1599" customFormat="false" ht="15" hidden="false" customHeight="true" outlineLevel="0" collapsed="false">
      <c r="A1599" s="12" t="s">
        <v>952</v>
      </c>
      <c r="B1599" s="12" t="s">
        <v>927</v>
      </c>
      <c r="C1599" s="12" t="n">
        <v>2025</v>
      </c>
      <c r="D1599" s="12" t="n">
        <v>1</v>
      </c>
      <c r="E1599" s="12" t="n">
        <v>165.41</v>
      </c>
      <c r="F1599" s="12" t="s">
        <v>927</v>
      </c>
    </row>
    <row r="1600" customFormat="false" ht="15" hidden="false" customHeight="true" outlineLevel="0" collapsed="false">
      <c r="A1600" s="12" t="s">
        <v>952</v>
      </c>
      <c r="B1600" s="12" t="s">
        <v>928</v>
      </c>
      <c r="C1600" s="12" t="n">
        <v>2025</v>
      </c>
      <c r="D1600" s="12" t="n">
        <v>1</v>
      </c>
      <c r="E1600" s="12" t="n">
        <v>140.24</v>
      </c>
      <c r="F1600" s="12" t="s">
        <v>928</v>
      </c>
    </row>
    <row r="1601" customFormat="false" ht="15" hidden="false" customHeight="true" outlineLevel="0" collapsed="false">
      <c r="A1601" s="12" t="s">
        <v>952</v>
      </c>
      <c r="B1601" s="12" t="s">
        <v>929</v>
      </c>
      <c r="C1601" s="12" t="n">
        <v>2025</v>
      </c>
      <c r="D1601" s="12" t="n">
        <v>-1</v>
      </c>
      <c r="E1601" s="12" t="n">
        <v>-37.77</v>
      </c>
      <c r="F1601" s="12" t="s">
        <v>929</v>
      </c>
    </row>
    <row r="1602" customFormat="false" ht="15" hidden="false" customHeight="true" outlineLevel="0" collapsed="false">
      <c r="A1602" s="12" t="s">
        <v>952</v>
      </c>
      <c r="B1602" s="12" t="s">
        <v>930</v>
      </c>
      <c r="C1602" s="12" t="n">
        <v>2025</v>
      </c>
      <c r="D1602" s="12" t="n">
        <v>17</v>
      </c>
      <c r="E1602" s="12" t="n">
        <v>511.6</v>
      </c>
      <c r="F1602" s="12" t="s">
        <v>930</v>
      </c>
    </row>
    <row r="1603" customFormat="false" ht="15" hidden="false" customHeight="true" outlineLevel="0" collapsed="false">
      <c r="A1603" s="12" t="s">
        <v>952</v>
      </c>
      <c r="B1603" s="12" t="s">
        <v>930</v>
      </c>
      <c r="C1603" s="12" t="n">
        <v>2026</v>
      </c>
      <c r="D1603" s="12" t="n">
        <v>5</v>
      </c>
      <c r="E1603" s="12" t="n">
        <v>136.26</v>
      </c>
      <c r="F1603" s="12" t="s">
        <v>930</v>
      </c>
    </row>
    <row r="1604" customFormat="false" ht="15" hidden="false" customHeight="true" outlineLevel="0" collapsed="false">
      <c r="A1604" s="12" t="s">
        <v>952</v>
      </c>
      <c r="B1604" s="12" t="s">
        <v>931</v>
      </c>
      <c r="C1604" s="12" t="n">
        <v>2026</v>
      </c>
      <c r="D1604" s="12" t="n">
        <v>1</v>
      </c>
      <c r="E1604" s="12" t="n">
        <v>350</v>
      </c>
      <c r="F1604" s="12" t="s">
        <v>931</v>
      </c>
    </row>
    <row r="1605" customFormat="false" ht="15" hidden="false" customHeight="true" outlineLevel="0" collapsed="false">
      <c r="A1605" s="12" t="s">
        <v>952</v>
      </c>
      <c r="B1605" s="12" t="s">
        <v>932</v>
      </c>
      <c r="C1605" s="12" t="n">
        <v>2025</v>
      </c>
      <c r="D1605" s="12" t="n">
        <v>2</v>
      </c>
      <c r="E1605" s="12" t="n">
        <v>140.54</v>
      </c>
      <c r="F1605" s="12" t="s">
        <v>932</v>
      </c>
    </row>
    <row r="1606" customFormat="false" ht="15" hidden="false" customHeight="true" outlineLevel="0" collapsed="false">
      <c r="A1606" s="12" t="s">
        <v>952</v>
      </c>
      <c r="B1606" s="12" t="s">
        <v>933</v>
      </c>
      <c r="C1606" s="12" t="n">
        <v>2025</v>
      </c>
      <c r="D1606" s="12" t="n">
        <v>2</v>
      </c>
      <c r="E1606" s="12" t="n">
        <v>140.52</v>
      </c>
      <c r="F1606" s="12" t="s">
        <v>933</v>
      </c>
    </row>
    <row r="1607" customFormat="false" ht="15" hidden="false" customHeight="true" outlineLevel="0" collapsed="false">
      <c r="A1607" s="12" t="s">
        <v>952</v>
      </c>
      <c r="B1607" s="12" t="s">
        <v>934</v>
      </c>
      <c r="C1607" s="12" t="n">
        <v>2025</v>
      </c>
      <c r="D1607" s="12" t="n">
        <v>2</v>
      </c>
      <c r="E1607" s="12" t="n">
        <v>215.52</v>
      </c>
      <c r="F1607" s="12" t="s">
        <v>934</v>
      </c>
    </row>
    <row r="1608" customFormat="false" ht="15" hidden="false" customHeight="true" outlineLevel="0" collapsed="false">
      <c r="A1608" s="12" t="s">
        <v>952</v>
      </c>
      <c r="B1608" s="12" t="s">
        <v>935</v>
      </c>
      <c r="C1608" s="12" t="n">
        <v>2025</v>
      </c>
      <c r="D1608" s="12" t="n">
        <v>1</v>
      </c>
      <c r="E1608" s="12" t="n">
        <v>107.76</v>
      </c>
      <c r="F1608" s="12" t="s">
        <v>935</v>
      </c>
    </row>
    <row r="1609" customFormat="false" ht="15" hidden="false" customHeight="true" outlineLevel="0" collapsed="false">
      <c r="A1609" s="12" t="s">
        <v>952</v>
      </c>
      <c r="B1609" s="12" t="s">
        <v>936</v>
      </c>
      <c r="C1609" s="12" t="n">
        <v>2025</v>
      </c>
      <c r="D1609" s="12" t="n">
        <v>3</v>
      </c>
      <c r="E1609" s="12" t="n">
        <v>283.89</v>
      </c>
      <c r="F1609" s="12" t="s">
        <v>936</v>
      </c>
    </row>
    <row r="1610" customFormat="false" ht="15" hidden="false" customHeight="true" outlineLevel="0" collapsed="false">
      <c r="A1610" s="12" t="s">
        <v>952</v>
      </c>
      <c r="B1610" s="12" t="s">
        <v>936</v>
      </c>
      <c r="C1610" s="12" t="n">
        <v>2026</v>
      </c>
      <c r="D1610" s="12" t="n">
        <v>3</v>
      </c>
      <c r="E1610" s="12" t="n">
        <v>283.9</v>
      </c>
      <c r="F1610" s="12" t="s">
        <v>936</v>
      </c>
    </row>
    <row r="1611" customFormat="false" ht="15" hidden="false" customHeight="true" outlineLevel="0" collapsed="false">
      <c r="A1611" s="12" t="s">
        <v>952</v>
      </c>
      <c r="B1611" s="12" t="s">
        <v>937</v>
      </c>
      <c r="C1611" s="12" t="n">
        <v>2025</v>
      </c>
      <c r="D1611" s="12" t="n">
        <v>4</v>
      </c>
      <c r="E1611" s="12" t="n">
        <v>378.54</v>
      </c>
      <c r="F1611" s="12" t="s">
        <v>937</v>
      </c>
    </row>
    <row r="1612" customFormat="false" ht="15" hidden="false" customHeight="true" outlineLevel="0" collapsed="false">
      <c r="A1612" s="12" t="s">
        <v>952</v>
      </c>
      <c r="B1612" s="12" t="s">
        <v>937</v>
      </c>
      <c r="C1612" s="12" t="n">
        <v>2026</v>
      </c>
      <c r="D1612" s="12" t="n">
        <v>2</v>
      </c>
      <c r="E1612" s="12" t="n">
        <v>189.26</v>
      </c>
      <c r="F1612" s="12" t="s">
        <v>937</v>
      </c>
    </row>
    <row r="1613" customFormat="false" ht="15" hidden="false" customHeight="true" outlineLevel="0" collapsed="false">
      <c r="A1613" s="12" t="s">
        <v>952</v>
      </c>
      <c r="B1613" s="12" t="s">
        <v>938</v>
      </c>
      <c r="C1613" s="12" t="n">
        <v>2026</v>
      </c>
      <c r="D1613" s="12" t="n">
        <v>1</v>
      </c>
      <c r="E1613" s="12" t="n">
        <v>94.63</v>
      </c>
      <c r="F1613" s="12" t="s">
        <v>938</v>
      </c>
    </row>
    <row r="1614" customFormat="false" ht="15" hidden="false" customHeight="true" outlineLevel="0" collapsed="false">
      <c r="A1614" s="12" t="s">
        <v>952</v>
      </c>
      <c r="B1614" s="12" t="s">
        <v>939</v>
      </c>
      <c r="C1614" s="12" t="n">
        <v>2026</v>
      </c>
      <c r="D1614" s="12" t="n">
        <v>1</v>
      </c>
      <c r="E1614" s="12" t="n">
        <v>94.63</v>
      </c>
      <c r="F1614" s="12" t="s">
        <v>939</v>
      </c>
    </row>
    <row r="1615" customFormat="false" ht="15" hidden="false" customHeight="true" outlineLevel="0" collapsed="false">
      <c r="A1615" s="12" t="s">
        <v>952</v>
      </c>
      <c r="B1615" s="12" t="s">
        <v>940</v>
      </c>
      <c r="C1615" s="12" t="n">
        <v>2026</v>
      </c>
      <c r="D1615" s="12" t="n">
        <v>1</v>
      </c>
      <c r="E1615" s="12" t="n">
        <v>118.13</v>
      </c>
      <c r="F1615" s="12" t="s">
        <v>940</v>
      </c>
    </row>
    <row r="1616" customFormat="false" ht="15" hidden="false" customHeight="true" outlineLevel="0" collapsed="false">
      <c r="A1616" s="12" t="s">
        <v>952</v>
      </c>
      <c r="B1616" s="12" t="s">
        <v>941</v>
      </c>
      <c r="C1616" s="12" t="n">
        <v>2026</v>
      </c>
      <c r="D1616" s="12" t="n">
        <v>2</v>
      </c>
      <c r="E1616" s="12" t="n">
        <v>236.26</v>
      </c>
      <c r="F1616" s="12" t="s">
        <v>941</v>
      </c>
    </row>
  </sheetData>
  <mergeCells count="1">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3"/>
    <col collapsed="false" customWidth="true" hidden="false" outlineLevel="0" max="4" min="4" style="1" width="15"/>
    <col collapsed="false" customWidth="true" hidden="false" outlineLevel="0" max="6" min="5" style="1" width="13"/>
    <col collapsed="false" customWidth="true" hidden="false" outlineLevel="0" max="7" min="7" style="1" width="16"/>
    <col collapsed="false" customWidth="true" hidden="false" outlineLevel="0" max="8" min="8" style="1" width="15"/>
    <col collapsed="false" customWidth="true" hidden="false" outlineLevel="0" max="9" min="9" style="1" width="17"/>
    <col collapsed="false" customWidth="true" hidden="false" outlineLevel="0" max="10" min="10" style="1" width="15"/>
  </cols>
  <sheetData>
    <row r="1" customFormat="false" ht="15.75" hidden="false" customHeight="true" outlineLevel="0" collapsed="false">
      <c r="A1" s="11" t="s">
        <v>1271</v>
      </c>
    </row>
    <row r="2" customFormat="false" ht="15" hidden="false" customHeight="true" outlineLevel="0" collapsed="false">
      <c r="A2" s="3" t="s">
        <v>1</v>
      </c>
      <c r="B2" s="4" t="n">
        <v>46290</v>
      </c>
    </row>
    <row r="3" customFormat="false" ht="21.75" hidden="false" customHeight="true" outlineLevel="0" collapsed="false">
      <c r="A3" s="5" t="s">
        <v>1272</v>
      </c>
      <c r="B3" s="5"/>
      <c r="C3" s="5"/>
      <c r="D3" s="5"/>
      <c r="E3" s="5"/>
      <c r="F3" s="5"/>
      <c r="G3" s="5"/>
      <c r="H3" s="5"/>
      <c r="I3" s="5"/>
      <c r="J3" s="5"/>
    </row>
    <row r="4" customFormat="false" ht="21.75" hidden="false" customHeight="true" outlineLevel="0" collapsed="false">
      <c r="A4" s="5" t="s">
        <v>1273</v>
      </c>
      <c r="B4" s="5"/>
      <c r="C4" s="5"/>
      <c r="D4" s="5"/>
      <c r="E4" s="5"/>
      <c r="F4" s="5"/>
      <c r="G4" s="5"/>
      <c r="H4" s="5"/>
      <c r="I4" s="3" t="s">
        <v>853</v>
      </c>
      <c r="J4" s="29" t="n">
        <v>12</v>
      </c>
      <c r="K4" s="3" t="s">
        <v>854</v>
      </c>
      <c r="L4" s="29" t="n">
        <v>9.5</v>
      </c>
    </row>
    <row r="5" customFormat="false" ht="15" hidden="false" customHeight="true" outlineLevel="0" collapsed="false">
      <c r="A5" s="30" t="s">
        <v>855</v>
      </c>
      <c r="B5" s="30" t="n">
        <f aca="false">SUMPRODUCT(--((($C$9:$C$354&lt;&gt;0)+($H$9:$H$354&lt;&gt;0)&gt;0)*(($D$9:$D$354=0)*($I$9:$I$354=0))))</f>
        <v>64</v>
      </c>
      <c r="C5" s="30" t="s">
        <v>856</v>
      </c>
      <c r="D5" s="30" t="n">
        <f aca="false">SUMPRODUCT(--((($D$9:$D$354&lt;&gt;0)+($I$9:$I$354&lt;&gt;0)&gt;0)*(($C$9:$C$354=0)*($H$9:$H$354=0))))</f>
        <v>18</v>
      </c>
      <c r="I5" s="30" t="s">
        <v>857</v>
      </c>
      <c r="J5" s="30" t="n">
        <f aca="false">J4/L4</f>
        <v>1.26315789473684</v>
      </c>
    </row>
    <row r="6" customFormat="false" ht="15" hidden="false" customHeight="true" outlineLevel="0" collapsed="false">
      <c r="A6" s="30" t="s">
        <v>858</v>
      </c>
      <c r="B6" s="30" t="n">
        <f aca="false">SUMPRODUCT(--((($C$9:$C$354&lt;&gt;0)+($H$9:$H$354&lt;&gt;0)&gt;0)*(($D$9:$D$354=0)*($I$9:$I$354=0)))*$C$9:$C$354)</f>
        <v>55</v>
      </c>
      <c r="C6" s="30" t="s">
        <v>859</v>
      </c>
      <c r="D6" s="30" t="n">
        <f aca="false">SUMPRODUCT(--((($C$9:$C$354&lt;&gt;0)+($H$9:$H$354&lt;&gt;0)&gt;0)*(($D$9:$D$354=0)*($I$9:$I$354=0)))*$H$9:$H$354)</f>
        <v>4567.1</v>
      </c>
      <c r="E6" s="30" t="s">
        <v>860</v>
      </c>
      <c r="F6" s="30" t="n">
        <f aca="false">SUMPRODUCT(--((($D$9:$D$354&lt;&gt;0)+($I$9:$I$354&lt;&gt;0)&gt;0)*(($C$9:$C$354=0)*($H$9:$H$354=0)))*$D$9:$D$354)</f>
        <v>11</v>
      </c>
      <c r="G6" s="30" t="s">
        <v>861</v>
      </c>
      <c r="H6" s="30" t="n">
        <f aca="false">SUMPRODUCT(--((($D$9:$D$354&lt;&gt;0)+($I$9:$I$354&lt;&gt;0)&gt;0)*(($C$9:$C$354=0)*($H$9:$H$354=0)))*$I$9:$I$354)</f>
        <v>1501.2</v>
      </c>
      <c r="I6" s="30" t="s">
        <v>862</v>
      </c>
      <c r="J6" s="30" t="n">
        <f aca="false">F6*$J$5</f>
        <v>13.8947368421053</v>
      </c>
      <c r="K6" s="30" t="s">
        <v>863</v>
      </c>
      <c r="L6" s="30" t="n">
        <f aca="false">H6*$J$5</f>
        <v>1896.25263157895</v>
      </c>
    </row>
    <row r="8" customFormat="false" ht="51.75" hidden="false" customHeight="true" outlineLevel="0" collapsed="false">
      <c r="A8" s="19" t="s">
        <v>70</v>
      </c>
      <c r="B8" s="19" t="s">
        <v>865</v>
      </c>
      <c r="C8" s="19" t="s">
        <v>17</v>
      </c>
      <c r="D8" s="19" t="s">
        <v>866</v>
      </c>
      <c r="E8" s="19" t="s">
        <v>867</v>
      </c>
      <c r="F8" s="19" t="s">
        <v>868</v>
      </c>
      <c r="G8" s="19" t="s">
        <v>869</v>
      </c>
      <c r="H8" s="19" t="s">
        <v>21</v>
      </c>
      <c r="I8" s="19" t="s">
        <v>870</v>
      </c>
      <c r="J8" s="19" t="s">
        <v>23</v>
      </c>
    </row>
    <row r="9" customFormat="false" ht="15" hidden="false" customHeight="true" outlineLevel="0" collapsed="false">
      <c r="A9" s="12" t="n">
        <v>4401000</v>
      </c>
      <c r="B9" s="12" t="str">
        <f aca="false">IFERROR(INDEX('Catalog'!$B:$B,MATCH($A9,'Catalog'!$A:$A,0)),"")</f>
        <v>369  S-L אצבעון מסיליקון יחידה</v>
      </c>
      <c r="C9" s="12" t="n">
        <f aca="false">SUMIFS('BE Raw'!$C$6:$C$615,'BE Raw'!$E$6:$E$615,$A9,'BE Raw'!$B$6:$B$615,2025)</f>
        <v>134</v>
      </c>
      <c r="D9" s="12" t="n">
        <f aca="false">SUMIFS('BE Raw'!$C$6:$C$615,'BE Raw'!$E$6:$E$615,$A9,'BE Raw'!$B$6:$B$615,2026)</f>
        <v>91</v>
      </c>
      <c r="E9" s="12" t="n">
        <f aca="false">D9*$J$5</f>
        <v>114.947368421053</v>
      </c>
      <c r="F9" s="12" t="n">
        <f aca="false">E9-C9</f>
        <v>-19.0526315789474</v>
      </c>
      <c r="G9" s="21" t="n">
        <f aca="false">IF(AND(C9=0,E9=0),0,IF(C9=0,"New",(E9-C9)/C9))</f>
        <v>-0.142183817753339</v>
      </c>
      <c r="H9" s="12" t="n">
        <f aca="false">SUMIFS('BE Raw'!$D$6:$D$615,'BE Raw'!$E$6:$E$615,$A9,'BE Raw'!$B$6:$B$615,2025)</f>
        <v>2713.5</v>
      </c>
      <c r="I9" s="12" t="n">
        <f aca="false">SUMIFS('BE Raw'!$D$6:$D$615,'BE Raw'!$E$6:$E$615,$A9,'BE Raw'!$B$6:$B$615,2026)</f>
        <v>1849.2</v>
      </c>
      <c r="J9" s="12" t="n">
        <f aca="false">I9*$J$5</f>
        <v>2335.83157894737</v>
      </c>
    </row>
    <row r="10" customFormat="false" ht="15" hidden="false" customHeight="true" outlineLevel="0" collapsed="false">
      <c r="A10" s="12" t="n">
        <v>4401001</v>
      </c>
      <c r="B10" s="12" t="str">
        <f aca="false">IFERROR(INDEX('Catalog'!$B:$B,MATCH($A10,'Catalog'!$A:$A,0)),"")</f>
        <v>369   XL אצבעון מסיליקון יחידה</v>
      </c>
      <c r="C10" s="12" t="n">
        <f aca="false">SUMIFS('BE Raw'!$C$6:$C$615,'BE Raw'!$E$6:$E$615,$A10,'BE Raw'!$B$6:$B$615,2025)</f>
        <v>168</v>
      </c>
      <c r="D10" s="12" t="n">
        <f aca="false">SUMIFS('BE Raw'!$C$6:$C$615,'BE Raw'!$E$6:$E$615,$A10,'BE Raw'!$B$6:$B$615,2026)</f>
        <v>90</v>
      </c>
      <c r="E10" s="12" t="n">
        <f aca="false">D10*$J$5</f>
        <v>113.684210526316</v>
      </c>
      <c r="F10" s="12" t="n">
        <f aca="false">E10-C10</f>
        <v>-54.3157894736842</v>
      </c>
      <c r="G10" s="21" t="n">
        <f aca="false">IF(AND(C10=0,E10=0),0,IF(C10=0,"New",(E10-C10)/C10))</f>
        <v>-0.323308270676692</v>
      </c>
      <c r="H10" s="12" t="n">
        <f aca="false">SUMIFS('BE Raw'!$D$6:$D$615,'BE Raw'!$E$6:$E$615,$A10,'BE Raw'!$B$6:$B$615,2025)</f>
        <v>3675.7</v>
      </c>
      <c r="I10" s="12" t="n">
        <f aca="false">SUMIFS('BE Raw'!$D$6:$D$615,'BE Raw'!$E$6:$E$615,$A10,'BE Raw'!$B$6:$B$615,2026)</f>
        <v>1964.7</v>
      </c>
      <c r="J10" s="12" t="n">
        <f aca="false">I10*$J$5</f>
        <v>2481.72631578947</v>
      </c>
    </row>
    <row r="11" customFormat="false" ht="15" hidden="false" customHeight="true" outlineLevel="0" collapsed="false">
      <c r="A11" s="12" t="n">
        <v>4401002</v>
      </c>
      <c r="B11" s="12" t="str">
        <f aca="false">IFERROR(INDEX('Catalog'!$B:$B,MATCH($A11,'Catalog'!$A:$A,0)),"")</f>
        <v>PD 344-אבן טבעית להסרת עור קשה</v>
      </c>
      <c r="C11" s="12" t="n">
        <f aca="false">SUMIFS('BE Raw'!$C$6:$C$615,'BE Raw'!$E$6:$E$615,$A11,'BE Raw'!$B$6:$B$615,2025)</f>
        <v>118</v>
      </c>
      <c r="D11" s="12" t="n">
        <f aca="false">SUMIFS('BE Raw'!$C$6:$C$615,'BE Raw'!$E$6:$E$615,$A11,'BE Raw'!$B$6:$B$615,2026)</f>
        <v>160</v>
      </c>
      <c r="E11" s="12" t="n">
        <f aca="false">D11*$J$5</f>
        <v>202.105263157895</v>
      </c>
      <c r="F11" s="12" t="n">
        <f aca="false">E11-C11</f>
        <v>84.1052631578947</v>
      </c>
      <c r="G11" s="21" t="n">
        <f aca="false">IF(AND(C11=0,E11=0),0,IF(C11=0,"New",(E11-C11)/C11))</f>
        <v>0.712756467439786</v>
      </c>
      <c r="H11" s="12" t="n">
        <f aca="false">SUMIFS('BE Raw'!$D$6:$D$615,'BE Raw'!$E$6:$E$615,$A11,'BE Raw'!$B$6:$B$615,2025)</f>
        <v>852</v>
      </c>
      <c r="I11" s="12" t="n">
        <f aca="false">SUMIFS('BE Raw'!$D$6:$D$615,'BE Raw'!$E$6:$E$615,$A11,'BE Raw'!$B$6:$B$615,2026)</f>
        <v>1155.2</v>
      </c>
      <c r="J11" s="12" t="n">
        <f aca="false">I11*$J$5</f>
        <v>1459.2</v>
      </c>
    </row>
    <row r="12" customFormat="false" ht="15" hidden="false" customHeight="true" outlineLevel="0" collapsed="false">
      <c r="A12" s="12" t="n">
        <v>4402000</v>
      </c>
      <c r="B12" s="12" t="str">
        <f aca="false">IFERROR(INDEX('Catalog'!$B:$B,MATCH($A12,'Catalog'!$A:$A,0)),"")</f>
        <v>363  בננה לתמיכת אצבעות ז.כרית</v>
      </c>
      <c r="C12" s="12" t="n">
        <f aca="false">SUMIFS('BE Raw'!$C$6:$C$615,'BE Raw'!$E$6:$E$615,$A12,'BE Raw'!$B$6:$B$615,2025)</f>
        <v>53</v>
      </c>
      <c r="D12" s="12" t="n">
        <f aca="false">SUMIFS('BE Raw'!$C$6:$C$615,'BE Raw'!$E$6:$E$615,$A12,'BE Raw'!$B$6:$B$615,2026)</f>
        <v>24</v>
      </c>
      <c r="E12" s="12" t="n">
        <f aca="false">D12*$J$5</f>
        <v>30.3157894736842</v>
      </c>
      <c r="F12" s="12" t="n">
        <f aca="false">E12-C12</f>
        <v>-22.6842105263158</v>
      </c>
      <c r="G12" s="21" t="n">
        <f aca="false">IF(AND(C12=0,E12=0),0,IF(C12=0,"New",(E12-C12)/C12))</f>
        <v>-0.428003972194638</v>
      </c>
      <c r="H12" s="12" t="n">
        <f aca="false">SUMIFS('BE Raw'!$D$6:$D$615,'BE Raw'!$E$6:$E$615,$A12,'BE Raw'!$B$6:$B$615,2025)</f>
        <v>1249.8</v>
      </c>
      <c r="I12" s="12" t="n">
        <f aca="false">SUMIFS('BE Raw'!$D$6:$D$615,'BE Raw'!$E$6:$E$615,$A12,'BE Raw'!$B$6:$B$615,2026)</f>
        <v>565.9</v>
      </c>
      <c r="J12" s="12" t="n">
        <f aca="false">I12*$J$5</f>
        <v>714.821052631579</v>
      </c>
    </row>
    <row r="13" customFormat="false" ht="15" hidden="false" customHeight="true" outlineLevel="0" collapsed="false">
      <c r="A13" s="12" t="n">
        <v>4402007</v>
      </c>
      <c r="B13" s="12" t="str">
        <f aca="false">IFERROR(INDEX('Catalog'!$B:$B,MATCH($A13,'Catalog'!$A:$A,0)),"")</f>
        <v>320 בליסטר פלסטר</v>
      </c>
      <c r="C13" s="12" t="n">
        <f aca="false">SUMIFS('BE Raw'!$C$6:$C$615,'BE Raw'!$E$6:$E$615,$A13,'BE Raw'!$B$6:$B$615,2025)</f>
        <v>148</v>
      </c>
      <c r="D13" s="12" t="n">
        <f aca="false">SUMIFS('BE Raw'!$C$6:$C$615,'BE Raw'!$E$6:$E$615,$A13,'BE Raw'!$B$6:$B$615,2026)</f>
        <v>40</v>
      </c>
      <c r="E13" s="12" t="n">
        <f aca="false">D13*$J$5</f>
        <v>50.5263157894737</v>
      </c>
      <c r="F13" s="12" t="n">
        <f aca="false">E13-C13</f>
        <v>-97.4736842105263</v>
      </c>
      <c r="G13" s="21" t="n">
        <f aca="false">IF(AND(C13=0,E13=0),0,IF(C13=0,"New",(E13-C13)/C13))</f>
        <v>-0.658605974395448</v>
      </c>
      <c r="H13" s="12" t="n">
        <f aca="false">SUMIFS('BE Raw'!$D$6:$D$615,'BE Raw'!$E$6:$E$615,$A13,'BE Raw'!$B$6:$B$615,2025)</f>
        <v>2837.2</v>
      </c>
      <c r="I13" s="12" t="n">
        <f aca="false">SUMIFS('BE Raw'!$D$6:$D$615,'BE Raw'!$E$6:$E$615,$A13,'BE Raw'!$B$6:$B$615,2026)</f>
        <v>766.8</v>
      </c>
      <c r="J13" s="12" t="n">
        <f aca="false">I13*$J$5</f>
        <v>968.58947368421</v>
      </c>
    </row>
    <row r="14" customFormat="false" ht="15" hidden="false" customHeight="true" outlineLevel="0" collapsed="false">
      <c r="A14" s="12" t="n">
        <v>4402012</v>
      </c>
      <c r="B14" s="12" t="str">
        <f aca="false">IFERROR(INDEX('Catalog'!$B:$B,MATCH($A14,'Catalog'!$A:$A,0)),"")</f>
        <v>BE CARE  תחבושת אלסטית 5 ס""מ</v>
      </c>
      <c r="C14" s="12" t="n">
        <f aca="false">SUMIFS('BE Raw'!$C$6:$C$615,'BE Raw'!$E$6:$E$615,$A14,'BE Raw'!$B$6:$B$615,2025)</f>
        <v>-8</v>
      </c>
      <c r="D14" s="12" t="n">
        <f aca="false">SUMIFS('BE Raw'!$C$6:$C$615,'BE Raw'!$E$6:$E$615,$A14,'BE Raw'!$B$6:$B$615,2026)</f>
        <v>0</v>
      </c>
      <c r="E14" s="12" t="n">
        <f aca="false">D14*$J$5</f>
        <v>0</v>
      </c>
      <c r="F14" s="12" t="n">
        <f aca="false">E14-C14</f>
        <v>8</v>
      </c>
      <c r="G14" s="21" t="n">
        <f aca="false">IF(AND(C14=0,E14=0),0,IF(C14=0,"New",(E14-C14)/C14))</f>
        <v>-1</v>
      </c>
      <c r="H14" s="12" t="n">
        <f aca="false">SUMIFS('BE Raw'!$D$6:$D$615,'BE Raw'!$E$6:$E$615,$A14,'BE Raw'!$B$6:$B$615,2025)</f>
        <v>-26.4</v>
      </c>
      <c r="I14" s="12" t="n">
        <f aca="false">SUMIFS('BE Raw'!$D$6:$D$615,'BE Raw'!$E$6:$E$615,$A14,'BE Raw'!$B$6:$B$615,2026)</f>
        <v>0</v>
      </c>
      <c r="J14" s="12" t="n">
        <f aca="false">I14*$J$5</f>
        <v>0</v>
      </c>
    </row>
    <row r="15" customFormat="false" ht="15" hidden="false" customHeight="true" outlineLevel="0" collapsed="false">
      <c r="A15" s="12" t="n">
        <v>4402020</v>
      </c>
      <c r="B15" s="12" t="str">
        <f aca="false">IFERROR(INDEX('Catalog'!$B:$B,MATCH($A15,'Catalog'!$A:$A,0)),"")</f>
        <v>BE CARE KT BLACK</v>
      </c>
      <c r="C15" s="12" t="n">
        <f aca="false">SUMIFS('BE Raw'!$C$6:$C$615,'BE Raw'!$E$6:$E$615,$A15,'BE Raw'!$B$6:$B$615,2025)</f>
        <v>-2</v>
      </c>
      <c r="D15" s="12" t="n">
        <f aca="false">SUMIFS('BE Raw'!$C$6:$C$615,'BE Raw'!$E$6:$E$615,$A15,'BE Raw'!$B$6:$B$615,2026)</f>
        <v>0</v>
      </c>
      <c r="E15" s="12" t="n">
        <f aca="false">D15*$J$5</f>
        <v>0</v>
      </c>
      <c r="F15" s="12" t="n">
        <f aca="false">E15-C15</f>
        <v>2</v>
      </c>
      <c r="G15" s="21" t="n">
        <f aca="false">IF(AND(C15=0,E15=0),0,IF(C15=0,"New",(E15-C15)/C15))</f>
        <v>-1</v>
      </c>
      <c r="H15" s="12" t="n">
        <f aca="false">SUMIFS('BE Raw'!$D$6:$D$615,'BE Raw'!$E$6:$E$615,$A15,'BE Raw'!$B$6:$B$615,2025)</f>
        <v>-48</v>
      </c>
      <c r="I15" s="12" t="n">
        <f aca="false">SUMIFS('BE Raw'!$D$6:$D$615,'BE Raw'!$E$6:$E$615,$A15,'BE Raw'!$B$6:$B$615,2026)</f>
        <v>0</v>
      </c>
      <c r="J15" s="12" t="n">
        <f aca="false">I15*$J$5</f>
        <v>0</v>
      </c>
    </row>
    <row r="16" customFormat="false" ht="15" hidden="false" customHeight="true" outlineLevel="0" collapsed="false">
      <c r="A16" s="12" t="n">
        <v>4402021</v>
      </c>
      <c r="B16" s="12" t="str">
        <f aca="false">IFERROR(INDEX('Catalog'!$B:$B,MATCH($A16,'Catalog'!$A:$A,0)),"")</f>
        <v>BE CARE KT BLUE</v>
      </c>
      <c r="C16" s="12" t="n">
        <f aca="false">SUMIFS('BE Raw'!$C$6:$C$615,'BE Raw'!$E$6:$E$615,$A16,'BE Raw'!$B$6:$B$615,2025)</f>
        <v>-1</v>
      </c>
      <c r="D16" s="12" t="n">
        <f aca="false">SUMIFS('BE Raw'!$C$6:$C$615,'BE Raw'!$E$6:$E$615,$A16,'BE Raw'!$B$6:$B$615,2026)</f>
        <v>0</v>
      </c>
      <c r="E16" s="12" t="n">
        <f aca="false">D16*$J$5</f>
        <v>0</v>
      </c>
      <c r="F16" s="12" t="n">
        <f aca="false">E16-C16</f>
        <v>1</v>
      </c>
      <c r="G16" s="21" t="n">
        <f aca="false">IF(AND(C16=0,E16=0),0,IF(C16=0,"New",(E16-C16)/C16))</f>
        <v>-1</v>
      </c>
      <c r="H16" s="12" t="n">
        <f aca="false">SUMIFS('BE Raw'!$D$6:$D$615,'BE Raw'!$E$6:$E$615,$A16,'BE Raw'!$B$6:$B$615,2025)</f>
        <v>-24</v>
      </c>
      <c r="I16" s="12" t="n">
        <f aca="false">SUMIFS('BE Raw'!$D$6:$D$615,'BE Raw'!$E$6:$E$615,$A16,'BE Raw'!$B$6:$B$615,2026)</f>
        <v>0</v>
      </c>
      <c r="J16" s="12" t="n">
        <f aca="false">I16*$J$5</f>
        <v>0</v>
      </c>
    </row>
    <row r="17" customFormat="false" ht="15" hidden="false" customHeight="true" outlineLevel="0" collapsed="false">
      <c r="A17" s="12" t="n">
        <v>4403000</v>
      </c>
      <c r="B17" s="12" t="str">
        <f aca="false">IFERROR(INDEX('Catalog'!$B:$B,MATCH($A17,'Catalog'!$A:$A,0)),"")</f>
        <v>390B גרב.כסף לסכרתים שחור35-38</v>
      </c>
      <c r="C17" s="12" t="n">
        <f aca="false">SUMIFS('BE Raw'!$C$6:$C$615,'BE Raw'!$E$6:$E$615,$A17,'BE Raw'!$B$6:$B$615,2025)</f>
        <v>0</v>
      </c>
      <c r="D17" s="12" t="n">
        <f aca="false">SUMIFS('BE Raw'!$C$6:$C$615,'BE Raw'!$E$6:$E$615,$A17,'BE Raw'!$B$6:$B$615,2026)</f>
        <v>4</v>
      </c>
      <c r="E17" s="12" t="n">
        <f aca="false">D17*$J$5</f>
        <v>5.05263157894737</v>
      </c>
      <c r="F17" s="12" t="n">
        <f aca="false">E17-C17</f>
        <v>5.05263157894737</v>
      </c>
      <c r="G17" s="21" t="str">
        <f aca="false">IF(AND(C17=0,E17=0),0,IF(C17=0,"New",(E17-C17)/C17))</f>
        <v>New</v>
      </c>
      <c r="H17" s="12" t="n">
        <f aca="false">SUMIFS('BE Raw'!$D$6:$D$615,'BE Raw'!$E$6:$E$615,$A17,'BE Raw'!$B$6:$B$615,2025)</f>
        <v>0</v>
      </c>
      <c r="I17" s="12" t="n">
        <f aca="false">SUMIFS('BE Raw'!$D$6:$D$615,'BE Raw'!$E$6:$E$615,$A17,'BE Raw'!$B$6:$B$615,2026)</f>
        <v>125.8</v>
      </c>
      <c r="J17" s="12" t="n">
        <f aca="false">I17*$J$5</f>
        <v>158.905263157895</v>
      </c>
    </row>
    <row r="18" customFormat="false" ht="15" hidden="false" customHeight="true" outlineLevel="0" collapsed="false">
      <c r="A18" s="12" t="n">
        <v>4403001</v>
      </c>
      <c r="B18" s="12" t="str">
        <f aca="false">IFERROR(INDEX('Catalog'!$B:$B,MATCH($A18,'Catalog'!$A:$A,0)),"")</f>
        <v>390B 39-42.גרב.כסף לסכרתיים שח</v>
      </c>
      <c r="C18" s="12" t="n">
        <f aca="false">SUMIFS('BE Raw'!$C$6:$C$615,'BE Raw'!$E$6:$E$615,$A18,'BE Raw'!$B$6:$B$615,2025)</f>
        <v>14</v>
      </c>
      <c r="D18" s="12" t="n">
        <f aca="false">SUMIFS('BE Raw'!$C$6:$C$615,'BE Raw'!$E$6:$E$615,$A18,'BE Raw'!$B$6:$B$615,2026)</f>
        <v>2</v>
      </c>
      <c r="E18" s="12" t="n">
        <f aca="false">D18*$J$5</f>
        <v>2.52631578947368</v>
      </c>
      <c r="F18" s="12" t="n">
        <f aca="false">E18-C18</f>
        <v>-11.4736842105263</v>
      </c>
      <c r="G18" s="21" t="n">
        <f aca="false">IF(AND(C18=0,E18=0),0,IF(C18=0,"New",(E18-C18)/C18))</f>
        <v>-0.819548872180451</v>
      </c>
      <c r="H18" s="12" t="n">
        <f aca="false">SUMIFS('BE Raw'!$D$6:$D$615,'BE Raw'!$E$6:$E$615,$A18,'BE Raw'!$B$6:$B$615,2025)</f>
        <v>440.4</v>
      </c>
      <c r="I18" s="12" t="n">
        <f aca="false">SUMIFS('BE Raw'!$D$6:$D$615,'BE Raw'!$E$6:$E$615,$A18,'BE Raw'!$B$6:$B$615,2026)</f>
        <v>62.9</v>
      </c>
      <c r="J18" s="12" t="n">
        <f aca="false">I18*$J$5</f>
        <v>79.4526315789474</v>
      </c>
    </row>
    <row r="19" customFormat="false" ht="15" hidden="false" customHeight="true" outlineLevel="0" collapsed="false">
      <c r="A19" s="12" t="n">
        <v>4403002</v>
      </c>
      <c r="B19" s="12" t="str">
        <f aca="false">IFERROR(INDEX('Catalog'!$B:$B,MATCH($A19,'Catalog'!$A:$A,0)),"")</f>
        <v>390B 43-46.גרב.כסף לסכרתיים שח</v>
      </c>
      <c r="C19" s="12" t="n">
        <f aca="false">SUMIFS('BE Raw'!$C$6:$C$615,'BE Raw'!$E$6:$E$615,$A19,'BE Raw'!$B$6:$B$615,2025)</f>
        <v>18</v>
      </c>
      <c r="D19" s="12" t="n">
        <f aca="false">SUMIFS('BE Raw'!$C$6:$C$615,'BE Raw'!$E$6:$E$615,$A19,'BE Raw'!$B$6:$B$615,2026)</f>
        <v>2</v>
      </c>
      <c r="E19" s="12" t="n">
        <f aca="false">D19*$J$5</f>
        <v>2.52631578947368</v>
      </c>
      <c r="F19" s="12" t="n">
        <f aca="false">E19-C19</f>
        <v>-15.4736842105263</v>
      </c>
      <c r="G19" s="21" t="n">
        <f aca="false">IF(AND(C19=0,E19=0),0,IF(C19=0,"New",(E19-C19)/C19))</f>
        <v>-0.859649122807018</v>
      </c>
      <c r="H19" s="12" t="n">
        <f aca="false">SUMIFS('BE Raw'!$D$6:$D$615,'BE Raw'!$E$6:$E$615,$A19,'BE Raw'!$B$6:$B$615,2025)</f>
        <v>566.3</v>
      </c>
      <c r="I19" s="12" t="n">
        <f aca="false">SUMIFS('BE Raw'!$D$6:$D$615,'BE Raw'!$E$6:$E$615,$A19,'BE Raw'!$B$6:$B$615,2026)</f>
        <v>62.9</v>
      </c>
      <c r="J19" s="12" t="n">
        <f aca="false">I19*$J$5</f>
        <v>79.4526315789474</v>
      </c>
    </row>
    <row r="20" customFormat="false" ht="15" hidden="false" customHeight="true" outlineLevel="0" collapsed="false">
      <c r="A20" s="12" t="n">
        <v>4403003</v>
      </c>
      <c r="B20" s="12" t="str">
        <f aca="false">IFERROR(INDEX('Catalog'!$B:$B,MATCH($A20,'Catalog'!$A:$A,0)),"")</f>
        <v>390G ג.כסף לסכרתיים אפור35-38</v>
      </c>
      <c r="C20" s="12" t="n">
        <f aca="false">SUMIFS('BE Raw'!$C$6:$C$615,'BE Raw'!$E$6:$E$615,$A20,'BE Raw'!$B$6:$B$615,2025)</f>
        <v>2</v>
      </c>
      <c r="D20" s="12" t="n">
        <f aca="false">SUMIFS('BE Raw'!$C$6:$C$615,'BE Raw'!$E$6:$E$615,$A20,'BE Raw'!$B$6:$B$615,2026)</f>
        <v>0</v>
      </c>
      <c r="E20" s="12" t="n">
        <f aca="false">D20*$J$5</f>
        <v>0</v>
      </c>
      <c r="F20" s="12" t="n">
        <f aca="false">E20-C20</f>
        <v>-2</v>
      </c>
      <c r="G20" s="21" t="n">
        <f aca="false">IF(AND(C20=0,E20=0),0,IF(C20=0,"New",(E20-C20)/C20))</f>
        <v>-1</v>
      </c>
      <c r="H20" s="12" t="n">
        <f aca="false">SUMIFS('BE Raw'!$D$6:$D$615,'BE Raw'!$E$6:$E$615,$A20,'BE Raw'!$B$6:$B$615,2025)</f>
        <v>62.9</v>
      </c>
      <c r="I20" s="12" t="n">
        <f aca="false">SUMIFS('BE Raw'!$D$6:$D$615,'BE Raw'!$E$6:$E$615,$A20,'BE Raw'!$B$6:$B$615,2026)</f>
        <v>0</v>
      </c>
      <c r="J20" s="12" t="n">
        <f aca="false">I20*$J$5</f>
        <v>0</v>
      </c>
    </row>
    <row r="21" customFormat="false" ht="15" hidden="false" customHeight="true" outlineLevel="0" collapsed="false">
      <c r="A21" s="12" t="n">
        <v>4403004</v>
      </c>
      <c r="B21" s="12" t="str">
        <f aca="false">IFERROR(INDEX('Catalog'!$B:$B,MATCH($A21,'Catalog'!$A:$A,0)),"")</f>
        <v>390G 39-42.גרב.כסף לסכרתיים אפ</v>
      </c>
      <c r="C21" s="12" t="n">
        <f aca="false">SUMIFS('BE Raw'!$C$6:$C$615,'BE Raw'!$E$6:$E$615,$A21,'BE Raw'!$B$6:$B$615,2025)</f>
        <v>2</v>
      </c>
      <c r="D21" s="12" t="n">
        <f aca="false">SUMIFS('BE Raw'!$C$6:$C$615,'BE Raw'!$E$6:$E$615,$A21,'BE Raw'!$B$6:$B$615,2026)</f>
        <v>0</v>
      </c>
      <c r="E21" s="12" t="n">
        <f aca="false">D21*$J$5</f>
        <v>0</v>
      </c>
      <c r="F21" s="12" t="n">
        <f aca="false">E21-C21</f>
        <v>-2</v>
      </c>
      <c r="G21" s="21" t="n">
        <f aca="false">IF(AND(C21=0,E21=0),0,IF(C21=0,"New",(E21-C21)/C21))</f>
        <v>-1</v>
      </c>
      <c r="H21" s="12" t="n">
        <f aca="false">SUMIFS('BE Raw'!$D$6:$D$615,'BE Raw'!$E$6:$E$615,$A21,'BE Raw'!$B$6:$B$615,2025)</f>
        <v>62.9</v>
      </c>
      <c r="I21" s="12" t="n">
        <f aca="false">SUMIFS('BE Raw'!$D$6:$D$615,'BE Raw'!$E$6:$E$615,$A21,'BE Raw'!$B$6:$B$615,2026)</f>
        <v>0</v>
      </c>
      <c r="J21" s="12" t="n">
        <f aca="false">I21*$J$5</f>
        <v>0</v>
      </c>
    </row>
    <row r="22" customFormat="false" ht="15" hidden="false" customHeight="true" outlineLevel="0" collapsed="false">
      <c r="A22" s="12" t="n">
        <v>4403005</v>
      </c>
      <c r="B22" s="12" t="str">
        <f aca="false">IFERROR(INDEX('Catalog'!$B:$B,MATCH($A22,'Catalog'!$A:$A,0)),"")</f>
        <v>G390.43-46 גרבי כסף לסכרת מידה</v>
      </c>
      <c r="C22" s="12" t="n">
        <f aca="false">SUMIFS('BE Raw'!$C$6:$C$615,'BE Raw'!$E$6:$E$615,$A22,'BE Raw'!$B$6:$B$615,2025)</f>
        <v>3</v>
      </c>
      <c r="D22" s="12" t="n">
        <f aca="false">SUMIFS('BE Raw'!$C$6:$C$615,'BE Raw'!$E$6:$E$615,$A22,'BE Raw'!$B$6:$B$615,2026)</f>
        <v>0</v>
      </c>
      <c r="E22" s="12" t="n">
        <f aca="false">D22*$J$5</f>
        <v>0</v>
      </c>
      <c r="F22" s="12" t="n">
        <f aca="false">E22-C22</f>
        <v>-3</v>
      </c>
      <c r="G22" s="21" t="n">
        <f aca="false">IF(AND(C22=0,E22=0),0,IF(C22=0,"New",(E22-C22)/C22))</f>
        <v>-1</v>
      </c>
      <c r="H22" s="12" t="n">
        <f aca="false">SUMIFS('BE Raw'!$D$6:$D$615,'BE Raw'!$E$6:$E$615,$A22,'BE Raw'!$B$6:$B$615,2025)</f>
        <v>79</v>
      </c>
      <c r="I22" s="12" t="n">
        <f aca="false">SUMIFS('BE Raw'!$D$6:$D$615,'BE Raw'!$E$6:$E$615,$A22,'BE Raw'!$B$6:$B$615,2026)</f>
        <v>0</v>
      </c>
      <c r="J22" s="12" t="n">
        <f aca="false">I22*$J$5</f>
        <v>0</v>
      </c>
    </row>
    <row r="23" customFormat="false" ht="15" hidden="false" customHeight="true" outlineLevel="0" collapsed="false">
      <c r="A23" s="12" t="n">
        <v>4403006</v>
      </c>
      <c r="B23" s="12" t="str">
        <f aca="false">IFERROR(INDEX('Catalog'!$B:$B,MATCH($A23,'Catalog'!$A:$A,0)),"")</f>
        <v>390W גרב כסף לסכרתיים לבן35-38</v>
      </c>
      <c r="C23" s="12" t="n">
        <f aca="false">SUMIFS('BE Raw'!$C$6:$C$615,'BE Raw'!$E$6:$E$615,$A23,'BE Raw'!$B$6:$B$615,2025)</f>
        <v>2</v>
      </c>
      <c r="D23" s="12" t="n">
        <f aca="false">SUMIFS('BE Raw'!$C$6:$C$615,'BE Raw'!$E$6:$E$615,$A23,'BE Raw'!$B$6:$B$615,2026)</f>
        <v>7</v>
      </c>
      <c r="E23" s="12" t="n">
        <f aca="false">D23*$J$5</f>
        <v>8.84210526315789</v>
      </c>
      <c r="F23" s="12" t="n">
        <f aca="false">E23-C23</f>
        <v>6.84210526315789</v>
      </c>
      <c r="G23" s="21" t="n">
        <f aca="false">IF(AND(C23=0,E23=0),0,IF(C23=0,"New",(E23-C23)/C23))</f>
        <v>3.42105263157895</v>
      </c>
      <c r="H23" s="12" t="n">
        <f aca="false">SUMIFS('BE Raw'!$D$6:$D$615,'BE Raw'!$E$6:$E$615,$A23,'BE Raw'!$B$6:$B$615,2025)</f>
        <v>62.9</v>
      </c>
      <c r="I23" s="12" t="n">
        <f aca="false">SUMIFS('BE Raw'!$D$6:$D$615,'BE Raw'!$E$6:$E$615,$A23,'BE Raw'!$B$6:$B$615,2026)</f>
        <v>220.2</v>
      </c>
      <c r="J23" s="12" t="n">
        <f aca="false">I23*$J$5</f>
        <v>278.147368421053</v>
      </c>
    </row>
    <row r="24" customFormat="false" ht="15" hidden="false" customHeight="true" outlineLevel="0" collapsed="false">
      <c r="A24" s="12" t="n">
        <v>4403007</v>
      </c>
      <c r="B24" s="12" t="str">
        <f aca="false">IFERROR(INDEX('Catalog'!$B:$B,MATCH($A24,'Catalog'!$A:$A,0)),"")</f>
        <v>390W גרב.כסף לסכרתיים לבן39-42</v>
      </c>
      <c r="C24" s="12" t="n">
        <f aca="false">SUMIFS('BE Raw'!$C$6:$C$615,'BE Raw'!$E$6:$E$615,$A24,'BE Raw'!$B$6:$B$615,2025)</f>
        <v>16</v>
      </c>
      <c r="D24" s="12" t="n">
        <f aca="false">SUMIFS('BE Raw'!$C$6:$C$615,'BE Raw'!$E$6:$E$615,$A24,'BE Raw'!$B$6:$B$615,2026)</f>
        <v>6</v>
      </c>
      <c r="E24" s="12" t="n">
        <f aca="false">D24*$J$5</f>
        <v>7.57894736842105</v>
      </c>
      <c r="F24" s="12" t="n">
        <f aca="false">E24-C24</f>
        <v>-8.42105263157895</v>
      </c>
      <c r="G24" s="21" t="n">
        <f aca="false">IF(AND(C24=0,E24=0),0,IF(C24=0,"New",(E24-C24)/C24))</f>
        <v>-0.526315789473684</v>
      </c>
      <c r="H24" s="12" t="n">
        <f aca="false">SUMIFS('BE Raw'!$D$6:$D$615,'BE Raw'!$E$6:$E$615,$A24,'BE Raw'!$B$6:$B$615,2025)</f>
        <v>499.9</v>
      </c>
      <c r="I24" s="12" t="n">
        <f aca="false">SUMIFS('BE Raw'!$D$6:$D$615,'BE Raw'!$E$6:$E$615,$A24,'BE Raw'!$B$6:$B$615,2026)</f>
        <v>188.8</v>
      </c>
      <c r="J24" s="12" t="n">
        <f aca="false">I24*$J$5</f>
        <v>238.484210526316</v>
      </c>
    </row>
    <row r="25" customFormat="false" ht="15" hidden="false" customHeight="true" outlineLevel="0" collapsed="false">
      <c r="A25" s="12" t="n">
        <v>4403017</v>
      </c>
      <c r="B25" s="12" t="str">
        <f aca="false">IFERROR(INDEX('Catalog'!$B:$B,MATCH($A25,'Catalog'!$A:$A,0)),"")</f>
        <v>394B גרב.כסף לסכרתים שחור35-38</v>
      </c>
      <c r="C25" s="12" t="n">
        <f aca="false">SUMIFS('BE Raw'!$C$6:$C$615,'BE Raw'!$E$6:$E$615,$A25,'BE Raw'!$B$6:$B$615,2025)</f>
        <v>0</v>
      </c>
      <c r="D25" s="12" t="n">
        <f aca="false">SUMIFS('BE Raw'!$C$6:$C$615,'BE Raw'!$E$6:$E$615,$A25,'BE Raw'!$B$6:$B$615,2026)</f>
        <v>-2</v>
      </c>
      <c r="E25" s="12" t="n">
        <f aca="false">D25*$J$5</f>
        <v>-2.52631578947368</v>
      </c>
      <c r="F25" s="12" t="n">
        <f aca="false">E25-C25</f>
        <v>-2.52631578947368</v>
      </c>
      <c r="G25" s="21" t="str">
        <f aca="false">IF(AND(C25=0,E25=0),0,IF(C25=0,"New",(E25-C25)/C25))</f>
        <v>New</v>
      </c>
      <c r="H25" s="12" t="n">
        <f aca="false">SUMIFS('BE Raw'!$D$6:$D$615,'BE Raw'!$E$6:$E$615,$A25,'BE Raw'!$B$6:$B$615,2025)</f>
        <v>0</v>
      </c>
      <c r="I25" s="12" t="n">
        <f aca="false">SUMIFS('BE Raw'!$D$6:$D$615,'BE Raw'!$E$6:$E$615,$A25,'BE Raw'!$B$6:$B$615,2026)</f>
        <v>-74.9</v>
      </c>
      <c r="J25" s="12" t="n">
        <f aca="false">I25*$J$5</f>
        <v>-94.6105263157895</v>
      </c>
    </row>
    <row r="26" customFormat="false" ht="15" hidden="false" customHeight="true" outlineLevel="0" collapsed="false">
      <c r="A26" s="12" t="n">
        <v>4403018</v>
      </c>
      <c r="B26" s="12" t="str">
        <f aca="false">IFERROR(INDEX('Catalog'!$B:$B,MATCH($A26,'Catalog'!$A:$A,0)),"")</f>
        <v>394B גרב.כסף לסכרתים שחור39-42</v>
      </c>
      <c r="C26" s="12" t="n">
        <f aca="false">SUMIFS('BE Raw'!$C$6:$C$615,'BE Raw'!$E$6:$E$615,$A26,'BE Raw'!$B$6:$B$615,2025)</f>
        <v>25</v>
      </c>
      <c r="D26" s="12" t="n">
        <f aca="false">SUMIFS('BE Raw'!$C$6:$C$615,'BE Raw'!$E$6:$E$615,$A26,'BE Raw'!$B$6:$B$615,2026)</f>
        <v>4</v>
      </c>
      <c r="E26" s="12" t="n">
        <f aca="false">D26*$J$5</f>
        <v>5.05263157894737</v>
      </c>
      <c r="F26" s="12" t="n">
        <f aca="false">E26-C26</f>
        <v>-19.9473684210526</v>
      </c>
      <c r="G26" s="21" t="n">
        <f aca="false">IF(AND(C26=0,E26=0),0,IF(C26=0,"New",(E26-C26)/C26))</f>
        <v>-0.797894736842105</v>
      </c>
      <c r="H26" s="12" t="n">
        <f aca="false">SUMIFS('BE Raw'!$D$6:$D$615,'BE Raw'!$E$6:$E$615,$A26,'BE Raw'!$B$6:$B$615,2025)</f>
        <v>600.5</v>
      </c>
      <c r="I26" s="12" t="n">
        <f aca="false">SUMIFS('BE Raw'!$D$6:$D$615,'BE Raw'!$E$6:$E$615,$A26,'BE Raw'!$B$6:$B$615,2026)</f>
        <v>96</v>
      </c>
      <c r="J26" s="12" t="n">
        <f aca="false">I26*$J$5</f>
        <v>121.263157894737</v>
      </c>
    </row>
    <row r="27" customFormat="false" ht="15" hidden="false" customHeight="true" outlineLevel="0" collapsed="false">
      <c r="A27" s="12" t="n">
        <v>4403021</v>
      </c>
      <c r="B27" s="12" t="str">
        <f aca="false">IFERROR(INDEX('Catalog'!$B:$B,MATCH($A27,'Catalog'!$A:$A,0)),"")</f>
        <v>394G גרב.כסף לסכרתים אפור39-42</v>
      </c>
      <c r="C27" s="12" t="n">
        <f aca="false">SUMIFS('BE Raw'!$C$6:$C$615,'BE Raw'!$E$6:$E$615,$A27,'BE Raw'!$B$6:$B$615,2025)</f>
        <v>0</v>
      </c>
      <c r="D27" s="12" t="n">
        <f aca="false">SUMIFS('BE Raw'!$C$6:$C$615,'BE Raw'!$E$6:$E$615,$A27,'BE Raw'!$B$6:$B$615,2026)</f>
        <v>-3</v>
      </c>
      <c r="E27" s="12" t="n">
        <f aca="false">D27*$J$5</f>
        <v>-3.78947368421053</v>
      </c>
      <c r="F27" s="12" t="n">
        <f aca="false">E27-C27</f>
        <v>-3.78947368421053</v>
      </c>
      <c r="G27" s="21" t="str">
        <f aca="false">IF(AND(C27=0,E27=0),0,IF(C27=0,"New",(E27-C27)/C27))</f>
        <v>New</v>
      </c>
      <c r="H27" s="12" t="n">
        <f aca="false">SUMIFS('BE Raw'!$D$6:$D$615,'BE Raw'!$E$6:$E$615,$A27,'BE Raw'!$B$6:$B$615,2025)</f>
        <v>0</v>
      </c>
      <c r="I27" s="12" t="n">
        <f aca="false">SUMIFS('BE Raw'!$D$6:$D$615,'BE Raw'!$E$6:$E$615,$A27,'BE Raw'!$B$6:$B$615,2026)</f>
        <v>-112.3</v>
      </c>
      <c r="J27" s="12" t="n">
        <f aca="false">I27*$J$5</f>
        <v>-141.852631578947</v>
      </c>
    </row>
    <row r="28" customFormat="false" ht="15" hidden="false" customHeight="true" outlineLevel="0" collapsed="false">
      <c r="A28" s="12" t="n">
        <v>4403022</v>
      </c>
      <c r="B28" s="12" t="str">
        <f aca="false">IFERROR(INDEX('Catalog'!$B:$B,MATCH($A28,'Catalog'!$A:$A,0)),"")</f>
        <v>394G גרב.כסף לסכרתים אפור43-46</v>
      </c>
      <c r="C28" s="12" t="n">
        <f aca="false">SUMIFS('BE Raw'!$C$6:$C$615,'BE Raw'!$E$6:$E$615,$A28,'BE Raw'!$B$6:$B$615,2025)</f>
        <v>4</v>
      </c>
      <c r="D28" s="12" t="n">
        <f aca="false">SUMIFS('BE Raw'!$C$6:$C$615,'BE Raw'!$E$6:$E$615,$A28,'BE Raw'!$B$6:$B$615,2026)</f>
        <v>-1</v>
      </c>
      <c r="E28" s="12" t="n">
        <f aca="false">D28*$J$5</f>
        <v>-1.26315789473684</v>
      </c>
      <c r="F28" s="12" t="n">
        <f aca="false">E28-C28</f>
        <v>-5.26315789473684</v>
      </c>
      <c r="G28" s="21" t="n">
        <f aca="false">IF(AND(C28=0,E28=0),0,IF(C28=0,"New",(E28-C28)/C28))</f>
        <v>-1.31578947368421</v>
      </c>
      <c r="H28" s="12" t="n">
        <f aca="false">SUMIFS('BE Raw'!$D$6:$D$615,'BE Raw'!$E$6:$E$615,$A28,'BE Raw'!$B$6:$B$615,2025)</f>
        <v>96.1</v>
      </c>
      <c r="I28" s="12" t="n">
        <f aca="false">SUMIFS('BE Raw'!$D$6:$D$615,'BE Raw'!$E$6:$E$615,$A28,'BE Raw'!$B$6:$B$615,2026)</f>
        <v>-24</v>
      </c>
      <c r="J28" s="12" t="n">
        <f aca="false">I28*$J$5</f>
        <v>-30.3157894736842</v>
      </c>
    </row>
    <row r="29" customFormat="false" ht="15" hidden="false" customHeight="true" outlineLevel="0" collapsed="false">
      <c r="A29" s="12" t="n">
        <v>4403023</v>
      </c>
      <c r="B29" s="12" t="str">
        <f aca="false">IFERROR(INDEX('Catalog'!$B:$B,MATCH($A29,'Catalog'!$A:$A,0)),"")</f>
        <v>394W 35-38 גרב.כסף לסכרתים לבן</v>
      </c>
      <c r="C29" s="12" t="n">
        <f aca="false">SUMIFS('BE Raw'!$C$6:$C$615,'BE Raw'!$E$6:$E$615,$A29,'BE Raw'!$B$6:$B$615,2025)</f>
        <v>4</v>
      </c>
      <c r="D29" s="12" t="n">
        <f aca="false">SUMIFS('BE Raw'!$C$6:$C$615,'BE Raw'!$E$6:$E$615,$A29,'BE Raw'!$B$6:$B$615,2026)</f>
        <v>7</v>
      </c>
      <c r="E29" s="12" t="n">
        <f aca="false">D29*$J$5</f>
        <v>8.84210526315789</v>
      </c>
      <c r="F29" s="12" t="n">
        <f aca="false">E29-C29</f>
        <v>4.84210526315789</v>
      </c>
      <c r="G29" s="21" t="n">
        <f aca="false">IF(AND(C29=0,E29=0),0,IF(C29=0,"New",(E29-C29)/C29))</f>
        <v>1.21052631578947</v>
      </c>
      <c r="H29" s="12" t="n">
        <f aca="false">SUMIFS('BE Raw'!$D$6:$D$615,'BE Raw'!$E$6:$E$615,$A29,'BE Raw'!$B$6:$B$615,2025)</f>
        <v>96</v>
      </c>
      <c r="I29" s="12" t="n">
        <f aca="false">SUMIFS('BE Raw'!$D$6:$D$615,'BE Raw'!$E$6:$E$615,$A29,'BE Raw'!$B$6:$B$615,2026)</f>
        <v>168.1</v>
      </c>
      <c r="J29" s="12" t="n">
        <f aca="false">I29*$J$5</f>
        <v>212.336842105263</v>
      </c>
    </row>
    <row r="30" customFormat="false" ht="15" hidden="false" customHeight="true" outlineLevel="0" collapsed="false">
      <c r="A30" s="12" t="n">
        <v>4403024</v>
      </c>
      <c r="B30" s="12" t="str">
        <f aca="false">IFERROR(INDEX('Catalog'!$B:$B,MATCH($A30,'Catalog'!$A:$A,0)),"")</f>
        <v>394W 39-42 גרב.כסף לסכרתים לבן</v>
      </c>
      <c r="C30" s="12" t="n">
        <f aca="false">SUMIFS('BE Raw'!$C$6:$C$615,'BE Raw'!$E$6:$E$615,$A30,'BE Raw'!$B$6:$B$615,2025)</f>
        <v>10</v>
      </c>
      <c r="D30" s="12" t="n">
        <f aca="false">SUMIFS('BE Raw'!$C$6:$C$615,'BE Raw'!$E$6:$E$615,$A30,'BE Raw'!$B$6:$B$615,2026)</f>
        <v>7</v>
      </c>
      <c r="E30" s="12" t="n">
        <f aca="false">D30*$J$5</f>
        <v>8.84210526315789</v>
      </c>
      <c r="F30" s="12" t="n">
        <f aca="false">E30-C30</f>
        <v>-1.15789473684211</v>
      </c>
      <c r="G30" s="21" t="n">
        <f aca="false">IF(AND(C30=0,E30=0),0,IF(C30=0,"New",(E30-C30)/C30))</f>
        <v>-0.115789473684211</v>
      </c>
      <c r="H30" s="12" t="n">
        <f aca="false">SUMIFS('BE Raw'!$D$6:$D$615,'BE Raw'!$E$6:$E$615,$A30,'BE Raw'!$B$6:$B$615,2025)</f>
        <v>226.8</v>
      </c>
      <c r="I30" s="12" t="n">
        <f aca="false">SUMIFS('BE Raw'!$D$6:$D$615,'BE Raw'!$E$6:$E$615,$A30,'BE Raw'!$B$6:$B$615,2026)</f>
        <v>154.7</v>
      </c>
      <c r="J30" s="12" t="n">
        <f aca="false">I30*$J$5</f>
        <v>195.410526315789</v>
      </c>
    </row>
    <row r="31" customFormat="false" ht="15" hidden="false" customHeight="true" outlineLevel="0" collapsed="false">
      <c r="A31" s="12" t="n">
        <v>4403025</v>
      </c>
      <c r="B31" s="12" t="str">
        <f aca="false">IFERROR(INDEX('Catalog'!$B:$B,MATCH($A31,'Catalog'!$A:$A,0)),"")</f>
        <v>394W 43-46 גרב.כסף לסכרתים לבן</v>
      </c>
      <c r="C31" s="12" t="n">
        <f aca="false">SUMIFS('BE Raw'!$C$6:$C$615,'BE Raw'!$E$6:$E$615,$A31,'BE Raw'!$B$6:$B$615,2025)</f>
        <v>7</v>
      </c>
      <c r="D31" s="12" t="n">
        <f aca="false">SUMIFS('BE Raw'!$C$6:$C$615,'BE Raw'!$E$6:$E$615,$A31,'BE Raw'!$B$6:$B$615,2026)</f>
        <v>7</v>
      </c>
      <c r="E31" s="12" t="n">
        <f aca="false">D31*$J$5</f>
        <v>8.84210526315789</v>
      </c>
      <c r="F31" s="12" t="n">
        <f aca="false">E31-C31</f>
        <v>1.84210526315789</v>
      </c>
      <c r="G31" s="21" t="n">
        <f aca="false">IF(AND(C31=0,E31=0),0,IF(C31=0,"New",(E31-C31)/C31))</f>
        <v>0.263157894736842</v>
      </c>
      <c r="H31" s="12" t="n">
        <f aca="false">SUMIFS('BE Raw'!$D$6:$D$615,'BE Raw'!$E$6:$E$615,$A31,'BE Raw'!$B$6:$B$615,2025)</f>
        <v>154.7</v>
      </c>
      <c r="I31" s="12" t="n">
        <f aca="false">SUMIFS('BE Raw'!$D$6:$D$615,'BE Raw'!$E$6:$E$615,$A31,'BE Raw'!$B$6:$B$615,2026)</f>
        <v>168.1</v>
      </c>
      <c r="J31" s="12" t="n">
        <f aca="false">I31*$J$5</f>
        <v>212.336842105263</v>
      </c>
    </row>
    <row r="32" customFormat="false" ht="15" hidden="false" customHeight="true" outlineLevel="0" collapsed="false">
      <c r="A32" s="12" t="n">
        <v>4403028</v>
      </c>
      <c r="B32" s="12" t="str">
        <f aca="false">IFERROR(INDEX('Catalog'!$B:$B,MATCH($A32,'Catalog'!$A:$A,0)),"")</f>
        <v>397 35-38 גרבי טיסה מידה</v>
      </c>
      <c r="C32" s="12" t="n">
        <f aca="false">SUMIFS('BE Raw'!$C$6:$C$615,'BE Raw'!$E$6:$E$615,$A32,'BE Raw'!$B$6:$B$615,2025)</f>
        <v>141</v>
      </c>
      <c r="D32" s="12" t="n">
        <f aca="false">SUMIFS('BE Raw'!$C$6:$C$615,'BE Raw'!$E$6:$E$615,$A32,'BE Raw'!$B$6:$B$615,2026)</f>
        <v>-2</v>
      </c>
      <c r="E32" s="12" t="n">
        <f aca="false">D32*$J$5</f>
        <v>-2.52631578947368</v>
      </c>
      <c r="F32" s="12" t="n">
        <f aca="false">E32-C32</f>
        <v>-143.526315789474</v>
      </c>
      <c r="G32" s="21" t="n">
        <f aca="false">IF(AND(C32=0,E32=0),0,IF(C32=0,"New",(E32-C32)/C32))</f>
        <v>-1.01791713325868</v>
      </c>
      <c r="H32" s="12" t="n">
        <f aca="false">SUMIFS('BE Raw'!$D$6:$D$615,'BE Raw'!$E$6:$E$615,$A32,'BE Raw'!$B$6:$B$615,2025)</f>
        <v>8026.5</v>
      </c>
      <c r="I32" s="12" t="n">
        <f aca="false">SUMIFS('BE Raw'!$D$6:$D$615,'BE Raw'!$E$6:$E$615,$A32,'BE Raw'!$B$6:$B$615,2026)</f>
        <v>-113.7</v>
      </c>
      <c r="J32" s="12" t="n">
        <f aca="false">I32*$J$5</f>
        <v>-143.621052631579</v>
      </c>
    </row>
    <row r="33" customFormat="false" ht="15" hidden="false" customHeight="true" outlineLevel="0" collapsed="false">
      <c r="A33" s="12" t="n">
        <v>4403029</v>
      </c>
      <c r="B33" s="12" t="str">
        <f aca="false">IFERROR(INDEX('Catalog'!$B:$B,MATCH($A33,'Catalog'!$A:$A,0)),"")</f>
        <v>397 39-42 גרבי טיסה מידה</v>
      </c>
      <c r="C33" s="12" t="n">
        <f aca="false">SUMIFS('BE Raw'!$C$6:$C$615,'BE Raw'!$E$6:$E$615,$A33,'BE Raw'!$B$6:$B$615,2025)</f>
        <v>247</v>
      </c>
      <c r="D33" s="12" t="n">
        <f aca="false">SUMIFS('BE Raw'!$C$6:$C$615,'BE Raw'!$E$6:$E$615,$A33,'BE Raw'!$B$6:$B$615,2026)</f>
        <v>5</v>
      </c>
      <c r="E33" s="12" t="n">
        <f aca="false">D33*$J$5</f>
        <v>6.31578947368421</v>
      </c>
      <c r="F33" s="12" t="n">
        <f aca="false">E33-C33</f>
        <v>-240.684210526316</v>
      </c>
      <c r="G33" s="21" t="n">
        <f aca="false">IF(AND(C33=0,E33=0),0,IF(C33=0,"New",(E33-C33)/C33))</f>
        <v>-0.974430002130833</v>
      </c>
      <c r="H33" s="12" t="n">
        <f aca="false">SUMIFS('BE Raw'!$D$6:$D$615,'BE Raw'!$E$6:$E$615,$A33,'BE Raw'!$B$6:$B$615,2025)</f>
        <v>14036.9</v>
      </c>
      <c r="I33" s="12" t="n">
        <f aca="false">SUMIFS('BE Raw'!$D$6:$D$615,'BE Raw'!$E$6:$E$615,$A33,'BE Raw'!$B$6:$B$615,2026)</f>
        <v>284.1</v>
      </c>
      <c r="J33" s="12" t="n">
        <f aca="false">I33*$J$5</f>
        <v>358.863157894737</v>
      </c>
    </row>
    <row r="34" customFormat="false" ht="15" hidden="false" customHeight="true" outlineLevel="0" collapsed="false">
      <c r="A34" s="12" t="n">
        <v>4403030</v>
      </c>
      <c r="B34" s="12" t="str">
        <f aca="false">IFERROR(INDEX('Catalog'!$B:$B,MATCH($A34,'Catalog'!$A:$A,0)),"")</f>
        <v>397 43-46 גרבי טיסה מידה</v>
      </c>
      <c r="C34" s="12" t="n">
        <f aca="false">SUMIFS('BE Raw'!$C$6:$C$615,'BE Raw'!$E$6:$E$615,$A34,'BE Raw'!$B$6:$B$615,2025)</f>
        <v>149</v>
      </c>
      <c r="D34" s="12" t="n">
        <f aca="false">SUMIFS('BE Raw'!$C$6:$C$615,'BE Raw'!$E$6:$E$615,$A34,'BE Raw'!$B$6:$B$615,2026)</f>
        <v>-2</v>
      </c>
      <c r="E34" s="12" t="n">
        <f aca="false">D34*$J$5</f>
        <v>-2.52631578947368</v>
      </c>
      <c r="F34" s="12" t="n">
        <f aca="false">E34-C34</f>
        <v>-151.526315789474</v>
      </c>
      <c r="G34" s="21" t="n">
        <f aca="false">IF(AND(C34=0,E34=0),0,IF(C34=0,"New",(E34-C34)/C34))</f>
        <v>-1.01695513952667</v>
      </c>
      <c r="H34" s="12" t="n">
        <f aca="false">SUMIFS('BE Raw'!$D$6:$D$615,'BE Raw'!$E$6:$E$615,$A34,'BE Raw'!$B$6:$B$615,2025)</f>
        <v>8467.7</v>
      </c>
      <c r="I34" s="12" t="n">
        <f aca="false">SUMIFS('BE Raw'!$D$6:$D$615,'BE Raw'!$E$6:$E$615,$A34,'BE Raw'!$B$6:$B$615,2026)</f>
        <v>-113.7</v>
      </c>
      <c r="J34" s="12" t="n">
        <f aca="false">I34*$J$5</f>
        <v>-143.621052631579</v>
      </c>
    </row>
    <row r="35" customFormat="false" ht="15" hidden="false" customHeight="true" outlineLevel="0" collapsed="false">
      <c r="A35" s="12" t="n">
        <v>4404000</v>
      </c>
      <c r="B35" s="12" t="str">
        <f aca="false">IFERROR(INDEX('Catalog'!$B:$B,MATCH($A35,'Catalog'!$A:$A,0)),"")</f>
        <v>FC330Z-תתדאו'אנטי בקט.לנעל120</v>
      </c>
      <c r="C35" s="12" t="n">
        <f aca="false">SUMIFS('BE Raw'!$C$6:$C$615,'BE Raw'!$E$6:$E$615,$A35,'BE Raw'!$B$6:$B$615,2025)</f>
        <v>3</v>
      </c>
      <c r="D35" s="12" t="n">
        <f aca="false">SUMIFS('BE Raw'!$C$6:$C$615,'BE Raw'!$E$6:$E$615,$A35,'BE Raw'!$B$6:$B$615,2026)</f>
        <v>0</v>
      </c>
      <c r="E35" s="12" t="n">
        <f aca="false">D35*$J$5</f>
        <v>0</v>
      </c>
      <c r="F35" s="12" t="n">
        <f aca="false">E35-C35</f>
        <v>-3</v>
      </c>
      <c r="G35" s="21" t="n">
        <f aca="false">IF(AND(C35=0,E35=0),0,IF(C35=0,"New",(E35-C35)/C35))</f>
        <v>-1</v>
      </c>
      <c r="H35" s="12" t="n">
        <f aca="false">SUMIFS('BE Raw'!$D$6:$D$615,'BE Raw'!$E$6:$E$615,$A35,'BE Raw'!$B$6:$B$615,2025)</f>
        <v>76.1</v>
      </c>
      <c r="I35" s="12" t="n">
        <f aca="false">SUMIFS('BE Raw'!$D$6:$D$615,'BE Raw'!$E$6:$E$615,$A35,'BE Raw'!$B$6:$B$615,2026)</f>
        <v>0</v>
      </c>
      <c r="J35" s="12" t="n">
        <f aca="false">I35*$J$5</f>
        <v>0</v>
      </c>
    </row>
    <row r="36" customFormat="false" ht="15" hidden="false" customHeight="true" outlineLevel="0" collapsed="false">
      <c r="A36" s="12" t="n">
        <v>4408002</v>
      </c>
      <c r="B36" s="12" t="str">
        <f aca="false">IFERROR(INDEX('Catalog'!$B:$B,MATCH($A36,'Catalog'!$A:$A,0)),"")</f>
        <v>06 L  ""ח.גב קלה ""מיקדו</v>
      </c>
      <c r="C36" s="12" t="n">
        <f aca="false">SUMIFS('BE Raw'!$C$6:$C$615,'BE Raw'!$E$6:$E$615,$A36,'BE Raw'!$B$6:$B$615,2025)</f>
        <v>-1</v>
      </c>
      <c r="D36" s="12" t="n">
        <f aca="false">SUMIFS('BE Raw'!$C$6:$C$615,'BE Raw'!$E$6:$E$615,$A36,'BE Raw'!$B$6:$B$615,2026)</f>
        <v>0</v>
      </c>
      <c r="E36" s="12" t="n">
        <f aca="false">D36*$J$5</f>
        <v>0</v>
      </c>
      <c r="F36" s="12" t="n">
        <f aca="false">E36-C36</f>
        <v>1</v>
      </c>
      <c r="G36" s="21" t="n">
        <f aca="false">IF(AND(C36=0,E36=0),0,IF(C36=0,"New",(E36-C36)/C36))</f>
        <v>-1</v>
      </c>
      <c r="H36" s="12" t="n">
        <f aca="false">SUMIFS('BE Raw'!$D$6:$D$615,'BE Raw'!$E$6:$E$615,$A36,'BE Raw'!$B$6:$B$615,2025)</f>
        <v>-158.8</v>
      </c>
      <c r="I36" s="12" t="n">
        <f aca="false">SUMIFS('BE Raw'!$D$6:$D$615,'BE Raw'!$E$6:$E$615,$A36,'BE Raw'!$B$6:$B$615,2026)</f>
        <v>0</v>
      </c>
      <c r="J36" s="12" t="n">
        <f aca="false">I36*$J$5</f>
        <v>0</v>
      </c>
    </row>
    <row r="37" customFormat="false" ht="15" hidden="false" customHeight="true" outlineLevel="0" collapsed="false">
      <c r="A37" s="12" t="n">
        <v>4408009</v>
      </c>
      <c r="B37" s="12" t="str">
        <f aca="false">IFERROR(INDEX('Catalog'!$B:$B,MATCH($A37,'Catalog'!$A:$A,0)),"")</f>
        <v>079 S ח.גב סג. כפולה שחור+אדום</v>
      </c>
      <c r="C37" s="12" t="n">
        <f aca="false">SUMIFS('BE Raw'!$C$6:$C$615,'BE Raw'!$E$6:$E$615,$A37,'BE Raw'!$B$6:$B$615,2025)</f>
        <v>6</v>
      </c>
      <c r="D37" s="12" t="n">
        <f aca="false">SUMIFS('BE Raw'!$C$6:$C$615,'BE Raw'!$E$6:$E$615,$A37,'BE Raw'!$B$6:$B$615,2026)</f>
        <v>-2</v>
      </c>
      <c r="E37" s="12" t="n">
        <f aca="false">D37*$J$5</f>
        <v>-2.52631578947368</v>
      </c>
      <c r="F37" s="12" t="n">
        <f aca="false">E37-C37</f>
        <v>-8.52631578947369</v>
      </c>
      <c r="G37" s="21" t="n">
        <f aca="false">IF(AND(C37=0,E37=0),0,IF(C37=0,"New",(E37-C37)/C37))</f>
        <v>-1.42105263157895</v>
      </c>
      <c r="H37" s="12" t="n">
        <f aca="false">SUMIFS('BE Raw'!$D$6:$D$615,'BE Raw'!$E$6:$E$615,$A37,'BE Raw'!$B$6:$B$615,2025)</f>
        <v>595.4</v>
      </c>
      <c r="I37" s="12" t="n">
        <f aca="false">SUMIFS('BE Raw'!$D$6:$D$615,'BE Raw'!$E$6:$E$615,$A37,'BE Raw'!$B$6:$B$615,2026)</f>
        <v>-198.5</v>
      </c>
      <c r="J37" s="12" t="n">
        <f aca="false">I37*$J$5</f>
        <v>-250.736842105263</v>
      </c>
    </row>
    <row r="38" customFormat="false" ht="15" hidden="false" customHeight="true" outlineLevel="0" collapsed="false">
      <c r="A38" s="12" t="n">
        <v>4408010</v>
      </c>
      <c r="B38" s="12" t="str">
        <f aca="false">IFERROR(INDEX('Catalog'!$B:$B,MATCH($A38,'Catalog'!$A:$A,0)),"")</f>
        <v>079 L ח.גב סג.כפולה שחור+אדום</v>
      </c>
      <c r="C38" s="12" t="n">
        <f aca="false">SUMIFS('BE Raw'!$C$6:$C$615,'BE Raw'!$E$6:$E$615,$A38,'BE Raw'!$B$6:$B$615,2025)</f>
        <v>-3</v>
      </c>
      <c r="D38" s="12" t="n">
        <f aca="false">SUMIFS('BE Raw'!$C$6:$C$615,'BE Raw'!$E$6:$E$615,$A38,'BE Raw'!$B$6:$B$615,2026)</f>
        <v>-1</v>
      </c>
      <c r="E38" s="12" t="n">
        <f aca="false">D38*$J$5</f>
        <v>-1.26315789473684</v>
      </c>
      <c r="F38" s="12" t="n">
        <f aca="false">E38-C38</f>
        <v>1.73684210526316</v>
      </c>
      <c r="G38" s="21" t="n">
        <f aca="false">IF(AND(C38=0,E38=0),0,IF(C38=0,"New",(E38-C38)/C38))</f>
        <v>-0.578947368421053</v>
      </c>
      <c r="H38" s="12" t="n">
        <f aca="false">SUMIFS('BE Raw'!$D$6:$D$615,'BE Raw'!$E$6:$E$615,$A38,'BE Raw'!$B$6:$B$615,2025)</f>
        <v>-297.7</v>
      </c>
      <c r="I38" s="12" t="n">
        <f aca="false">SUMIFS('BE Raw'!$D$6:$D$615,'BE Raw'!$E$6:$E$615,$A38,'BE Raw'!$B$6:$B$615,2026)</f>
        <v>-99.2</v>
      </c>
      <c r="J38" s="12" t="n">
        <f aca="false">I38*$J$5</f>
        <v>-125.305263157895</v>
      </c>
    </row>
    <row r="39" customFormat="false" ht="15" hidden="false" customHeight="true" outlineLevel="0" collapsed="false">
      <c r="A39" s="12" t="n">
        <v>4408011</v>
      </c>
      <c r="B39" s="12" t="str">
        <f aca="false">IFERROR(INDEX('Catalog'!$B:$B,MATCH($A39,'Catalog'!$A:$A,0)),"")</f>
        <v>079  M ח.גב סג.כפולה שחור+אדום</v>
      </c>
      <c r="C39" s="12" t="n">
        <f aca="false">SUMIFS('BE Raw'!$C$6:$C$615,'BE Raw'!$E$6:$E$615,$A39,'BE Raw'!$B$6:$B$615,2025)</f>
        <v>2</v>
      </c>
      <c r="D39" s="12" t="n">
        <f aca="false">SUMIFS('BE Raw'!$C$6:$C$615,'BE Raw'!$E$6:$E$615,$A39,'BE Raw'!$B$6:$B$615,2026)</f>
        <v>-1</v>
      </c>
      <c r="E39" s="12" t="n">
        <f aca="false">D39*$J$5</f>
        <v>-1.26315789473684</v>
      </c>
      <c r="F39" s="12" t="n">
        <f aca="false">E39-C39</f>
        <v>-3.26315789473684</v>
      </c>
      <c r="G39" s="21" t="n">
        <f aca="false">IF(AND(C39=0,E39=0),0,IF(C39=0,"New",(E39-C39)/C39))</f>
        <v>-1.63157894736842</v>
      </c>
      <c r="H39" s="12" t="n">
        <f aca="false">SUMIFS('BE Raw'!$D$6:$D$615,'BE Raw'!$E$6:$E$615,$A39,'BE Raw'!$B$6:$B$615,2025)</f>
        <v>198.4</v>
      </c>
      <c r="I39" s="12" t="n">
        <f aca="false">SUMIFS('BE Raw'!$D$6:$D$615,'BE Raw'!$E$6:$E$615,$A39,'BE Raw'!$B$6:$B$615,2026)</f>
        <v>-99.2</v>
      </c>
      <c r="J39" s="12" t="n">
        <f aca="false">I39*$J$5</f>
        <v>-125.305263157895</v>
      </c>
    </row>
    <row r="40" customFormat="false" ht="15" hidden="false" customHeight="true" outlineLevel="0" collapsed="false">
      <c r="A40" s="12" t="n">
        <v>4408012</v>
      </c>
      <c r="B40" s="12" t="str">
        <f aca="false">IFERROR(INDEX('Catalog'!$B:$B,MATCH($A40,'Catalog'!$A:$A,0)),"")</f>
        <v>079 XL ח.גב סג.כפולה שחור+אדום</v>
      </c>
      <c r="C40" s="12" t="n">
        <f aca="false">SUMIFS('BE Raw'!$C$6:$C$615,'BE Raw'!$E$6:$E$615,$A40,'BE Raw'!$B$6:$B$615,2025)</f>
        <v>-2</v>
      </c>
      <c r="D40" s="12" t="n">
        <f aca="false">SUMIFS('BE Raw'!$C$6:$C$615,'BE Raw'!$E$6:$E$615,$A40,'BE Raw'!$B$6:$B$615,2026)</f>
        <v>0</v>
      </c>
      <c r="E40" s="12" t="n">
        <f aca="false">D40*$J$5</f>
        <v>0</v>
      </c>
      <c r="F40" s="12" t="n">
        <f aca="false">E40-C40</f>
        <v>2</v>
      </c>
      <c r="G40" s="21" t="n">
        <f aca="false">IF(AND(C40=0,E40=0),0,IF(C40=0,"New",(E40-C40)/C40))</f>
        <v>-1</v>
      </c>
      <c r="H40" s="12" t="n">
        <f aca="false">SUMIFS('BE Raw'!$D$6:$D$615,'BE Raw'!$E$6:$E$615,$A40,'BE Raw'!$B$6:$B$615,2025)</f>
        <v>-198.4</v>
      </c>
      <c r="I40" s="12" t="n">
        <f aca="false">SUMIFS('BE Raw'!$D$6:$D$615,'BE Raw'!$E$6:$E$615,$A40,'BE Raw'!$B$6:$B$615,2026)</f>
        <v>0</v>
      </c>
      <c r="J40" s="12" t="n">
        <f aca="false">I40*$J$5</f>
        <v>0</v>
      </c>
    </row>
    <row r="41" customFormat="false" ht="15" hidden="false" customHeight="true" outlineLevel="0" collapsed="false">
      <c r="A41" s="12" t="n">
        <v>4408015</v>
      </c>
      <c r="B41" s="12" t="str">
        <f aca="false">IFERROR(INDEX('Catalog'!$B:$B,MATCH($A41,'Catalog'!$A:$A,0)),"")</f>
        <v>07AU L ח.גב ""איטלקית"" אורירית</v>
      </c>
      <c r="C41" s="12" t="n">
        <f aca="false">SUMIFS('BE Raw'!$C$6:$C$615,'BE Raw'!$E$6:$E$615,$A41,'BE Raw'!$B$6:$B$615,2025)</f>
        <v>1</v>
      </c>
      <c r="D41" s="12" t="n">
        <f aca="false">SUMIFS('BE Raw'!$C$6:$C$615,'BE Raw'!$E$6:$E$615,$A41,'BE Raw'!$B$6:$B$615,2026)</f>
        <v>0</v>
      </c>
      <c r="E41" s="12" t="n">
        <f aca="false">D41*$J$5</f>
        <v>0</v>
      </c>
      <c r="F41" s="12" t="n">
        <f aca="false">E41-C41</f>
        <v>-1</v>
      </c>
      <c r="G41" s="21" t="n">
        <f aca="false">IF(AND(C41=0,E41=0),0,IF(C41=0,"New",(E41-C41)/C41))</f>
        <v>-1</v>
      </c>
      <c r="H41" s="12" t="n">
        <f aca="false">SUMIFS('BE Raw'!$D$6:$D$615,'BE Raw'!$E$6:$E$615,$A41,'BE Raw'!$B$6:$B$615,2025)</f>
        <v>244.2</v>
      </c>
      <c r="I41" s="12" t="n">
        <f aca="false">SUMIFS('BE Raw'!$D$6:$D$615,'BE Raw'!$E$6:$E$615,$A41,'BE Raw'!$B$6:$B$615,2026)</f>
        <v>0</v>
      </c>
      <c r="J41" s="12" t="n">
        <f aca="false">I41*$J$5</f>
        <v>0</v>
      </c>
    </row>
    <row r="42" customFormat="false" ht="15" hidden="false" customHeight="true" outlineLevel="0" collapsed="false">
      <c r="A42" s="12" t="n">
        <v>4408016</v>
      </c>
      <c r="B42" s="12" t="str">
        <f aca="false">IFERROR(INDEX('Catalog'!$B:$B,MATCH($A42,'Catalog'!$A:$A,0)),"")</f>
        <v>07AU M ח.גב ""איטלקית"" אורירית</v>
      </c>
      <c r="C42" s="12" t="n">
        <f aca="false">SUMIFS('BE Raw'!$C$6:$C$615,'BE Raw'!$E$6:$E$615,$A42,'BE Raw'!$B$6:$B$615,2025)</f>
        <v>2</v>
      </c>
      <c r="D42" s="12" t="n">
        <f aca="false">SUMIFS('BE Raw'!$C$6:$C$615,'BE Raw'!$E$6:$E$615,$A42,'BE Raw'!$B$6:$B$615,2026)</f>
        <v>0</v>
      </c>
      <c r="E42" s="12" t="n">
        <f aca="false">D42*$J$5</f>
        <v>0</v>
      </c>
      <c r="F42" s="12" t="n">
        <f aca="false">E42-C42</f>
        <v>-2</v>
      </c>
      <c r="G42" s="21" t="n">
        <f aca="false">IF(AND(C42=0,E42=0),0,IF(C42=0,"New",(E42-C42)/C42))</f>
        <v>-1</v>
      </c>
      <c r="H42" s="12" t="n">
        <f aca="false">SUMIFS('BE Raw'!$D$6:$D$615,'BE Raw'!$E$6:$E$615,$A42,'BE Raw'!$B$6:$B$615,2025)</f>
        <v>488.4</v>
      </c>
      <c r="I42" s="12" t="n">
        <f aca="false">SUMIFS('BE Raw'!$D$6:$D$615,'BE Raw'!$E$6:$E$615,$A42,'BE Raw'!$B$6:$B$615,2026)</f>
        <v>0</v>
      </c>
      <c r="J42" s="12" t="n">
        <f aca="false">I42*$J$5</f>
        <v>0</v>
      </c>
    </row>
    <row r="43" customFormat="false" ht="15" hidden="false" customHeight="true" outlineLevel="0" collapsed="false">
      <c r="A43" s="12" t="n">
        <v>4408027</v>
      </c>
      <c r="B43" s="12" t="str">
        <f aca="false">IFERROR(INDEX('Catalog'!$B:$B,MATCH($A43,'Catalog'!$A:$A,0)),"")</f>
        <v>10 L ""חגורת גב ""לומבו</v>
      </c>
      <c r="C43" s="12" t="n">
        <f aca="false">SUMIFS('BE Raw'!$C$6:$C$615,'BE Raw'!$E$6:$E$615,$A43,'BE Raw'!$B$6:$B$615,2025)</f>
        <v>2</v>
      </c>
      <c r="D43" s="12" t="n">
        <f aca="false">SUMIFS('BE Raw'!$C$6:$C$615,'BE Raw'!$E$6:$E$615,$A43,'BE Raw'!$B$6:$B$615,2026)</f>
        <v>3</v>
      </c>
      <c r="E43" s="12" t="n">
        <f aca="false">D43*$J$5</f>
        <v>3.78947368421053</v>
      </c>
      <c r="F43" s="12" t="n">
        <f aca="false">E43-C43</f>
        <v>1.78947368421053</v>
      </c>
      <c r="G43" s="21" t="n">
        <f aca="false">IF(AND(C43=0,E43=0),0,IF(C43=0,"New",(E43-C43)/C43))</f>
        <v>0.894736842105263</v>
      </c>
      <c r="H43" s="12" t="n">
        <f aca="false">SUMIFS('BE Raw'!$D$6:$D$615,'BE Raw'!$E$6:$E$615,$A43,'BE Raw'!$B$6:$B$615,2025)</f>
        <v>282.3</v>
      </c>
      <c r="I43" s="12" t="n">
        <f aca="false">SUMIFS('BE Raw'!$D$6:$D$615,'BE Raw'!$E$6:$E$615,$A43,'BE Raw'!$B$6:$B$615,2026)</f>
        <v>423.5</v>
      </c>
      <c r="J43" s="12" t="n">
        <f aca="false">I43*$J$5</f>
        <v>534.947368421053</v>
      </c>
    </row>
    <row r="44" customFormat="false" ht="15" hidden="false" customHeight="true" outlineLevel="0" collapsed="false">
      <c r="A44" s="12" t="n">
        <v>4408028</v>
      </c>
      <c r="B44" s="12" t="str">
        <f aca="false">IFERROR(INDEX('Catalog'!$B:$B,MATCH($A44,'Catalog'!$A:$A,0)),"")</f>
        <v>10 M ""חגורת גב ""לומבו</v>
      </c>
      <c r="C44" s="12" t="n">
        <f aca="false">SUMIFS('BE Raw'!$C$6:$C$615,'BE Raw'!$E$6:$E$615,$A44,'BE Raw'!$B$6:$B$615,2025)</f>
        <v>3</v>
      </c>
      <c r="D44" s="12" t="n">
        <f aca="false">SUMIFS('BE Raw'!$C$6:$C$615,'BE Raw'!$E$6:$E$615,$A44,'BE Raw'!$B$6:$B$615,2026)</f>
        <v>3</v>
      </c>
      <c r="E44" s="12" t="n">
        <f aca="false">D44*$J$5</f>
        <v>3.78947368421053</v>
      </c>
      <c r="F44" s="12" t="n">
        <f aca="false">E44-C44</f>
        <v>0.789473684210526</v>
      </c>
      <c r="G44" s="21" t="n">
        <f aca="false">IF(AND(C44=0,E44=0),0,IF(C44=0,"New",(E44-C44)/C44))</f>
        <v>0.263157894736842</v>
      </c>
      <c r="H44" s="12" t="n">
        <f aca="false">SUMIFS('BE Raw'!$D$6:$D$615,'BE Raw'!$E$6:$E$615,$A44,'BE Raw'!$B$6:$B$615,2025)</f>
        <v>423.5</v>
      </c>
      <c r="I44" s="12" t="n">
        <f aca="false">SUMIFS('BE Raw'!$D$6:$D$615,'BE Raw'!$E$6:$E$615,$A44,'BE Raw'!$B$6:$B$615,2026)</f>
        <v>423.4</v>
      </c>
      <c r="J44" s="12" t="n">
        <f aca="false">I44*$J$5</f>
        <v>534.821052631579</v>
      </c>
    </row>
    <row r="45" customFormat="false" ht="15" hidden="false" customHeight="true" outlineLevel="0" collapsed="false">
      <c r="A45" s="12" t="n">
        <v>4408029</v>
      </c>
      <c r="B45" s="12" t="str">
        <f aca="false">IFERROR(INDEX('Catalog'!$B:$B,MATCH($A45,'Catalog'!$A:$A,0)),"")</f>
        <v>10 XL ""חגורת גב ""לומבו</v>
      </c>
      <c r="C45" s="12" t="n">
        <f aca="false">SUMIFS('BE Raw'!$C$6:$C$615,'BE Raw'!$E$6:$E$615,$A45,'BE Raw'!$B$6:$B$615,2025)</f>
        <v>2</v>
      </c>
      <c r="D45" s="12" t="n">
        <f aca="false">SUMIFS('BE Raw'!$C$6:$C$615,'BE Raw'!$E$6:$E$615,$A45,'BE Raw'!$B$6:$B$615,2026)</f>
        <v>6</v>
      </c>
      <c r="E45" s="12" t="n">
        <f aca="false">D45*$J$5</f>
        <v>7.57894736842105</v>
      </c>
      <c r="F45" s="12" t="n">
        <f aca="false">E45-C45</f>
        <v>5.57894736842105</v>
      </c>
      <c r="G45" s="21" t="n">
        <f aca="false">IF(AND(C45=0,E45=0),0,IF(C45=0,"New",(E45-C45)/C45))</f>
        <v>2.78947368421053</v>
      </c>
      <c r="H45" s="12" t="n">
        <f aca="false">SUMIFS('BE Raw'!$D$6:$D$615,'BE Raw'!$E$6:$E$615,$A45,'BE Raw'!$B$6:$B$615,2025)</f>
        <v>282.3</v>
      </c>
      <c r="I45" s="12" t="n">
        <f aca="false">SUMIFS('BE Raw'!$D$6:$D$615,'BE Raw'!$E$6:$E$615,$A45,'BE Raw'!$B$6:$B$615,2026)</f>
        <v>846.9</v>
      </c>
      <c r="J45" s="12" t="n">
        <f aca="false">I45*$J$5</f>
        <v>1069.76842105263</v>
      </c>
    </row>
    <row r="46" customFormat="false" ht="15" hidden="false" customHeight="true" outlineLevel="0" collapsed="false">
      <c r="A46" s="12" t="n">
        <v>4408031</v>
      </c>
      <c r="B46" s="12" t="str">
        <f aca="false">IFERROR(INDEX('Catalog'!$B:$B,MATCH($A46,'Catalog'!$A:$A,0)),"")</f>
        <v>11 S""חגורת בטן""אורירית</v>
      </c>
      <c r="C46" s="12" t="n">
        <f aca="false">SUMIFS('BE Raw'!$C$6:$C$615,'BE Raw'!$E$6:$E$615,$A46,'BE Raw'!$B$6:$B$615,2025)</f>
        <v>19</v>
      </c>
      <c r="D46" s="12" t="n">
        <f aca="false">SUMIFS('BE Raw'!$C$6:$C$615,'BE Raw'!$E$6:$E$615,$A46,'BE Raw'!$B$6:$B$615,2026)</f>
        <v>19</v>
      </c>
      <c r="E46" s="12" t="n">
        <f aca="false">D46*$J$5</f>
        <v>24</v>
      </c>
      <c r="F46" s="12" t="n">
        <f aca="false">E46-C46</f>
        <v>5</v>
      </c>
      <c r="G46" s="21" t="n">
        <f aca="false">IF(AND(C46=0,E46=0),0,IF(C46=0,"New",(E46-C46)/C46))</f>
        <v>0.263157894736842</v>
      </c>
      <c r="H46" s="12" t="n">
        <f aca="false">SUMIFS('BE Raw'!$D$6:$D$615,'BE Raw'!$E$6:$E$615,$A46,'BE Raw'!$B$6:$B$615,2025)</f>
        <v>1843.5</v>
      </c>
      <c r="I46" s="12" t="n">
        <f aca="false">SUMIFS('BE Raw'!$D$6:$D$615,'BE Raw'!$E$6:$E$615,$A46,'BE Raw'!$B$6:$B$615,2026)</f>
        <v>1843.6</v>
      </c>
      <c r="J46" s="12" t="n">
        <f aca="false">I46*$J$5</f>
        <v>2328.75789473684</v>
      </c>
    </row>
    <row r="47" customFormat="false" ht="15" hidden="false" customHeight="true" outlineLevel="0" collapsed="false">
      <c r="A47" s="12" t="n">
        <v>4408032</v>
      </c>
      <c r="B47" s="12" t="str">
        <f aca="false">IFERROR(INDEX('Catalog'!$B:$B,MATCH($A47,'Catalog'!$A:$A,0)),"")</f>
        <v>11 L""חגורת בטן""אורירית</v>
      </c>
      <c r="C47" s="12" t="n">
        <f aca="false">SUMIFS('BE Raw'!$C$6:$C$615,'BE Raw'!$E$6:$E$615,$A47,'BE Raw'!$B$6:$B$615,2025)</f>
        <v>67</v>
      </c>
      <c r="D47" s="12" t="n">
        <f aca="false">SUMIFS('BE Raw'!$C$6:$C$615,'BE Raw'!$E$6:$E$615,$A47,'BE Raw'!$B$6:$B$615,2026)</f>
        <v>49</v>
      </c>
      <c r="E47" s="12" t="n">
        <f aca="false">D47*$J$5</f>
        <v>61.8947368421053</v>
      </c>
      <c r="F47" s="12" t="n">
        <f aca="false">E47-C47</f>
        <v>-5.10526315789474</v>
      </c>
      <c r="G47" s="21" t="n">
        <f aca="false">IF(AND(C47=0,E47=0),0,IF(C47=0,"New",(E47-C47)/C47))</f>
        <v>-0.0761979575805185</v>
      </c>
      <c r="H47" s="12" t="n">
        <f aca="false">SUMIFS('BE Raw'!$D$6:$D$615,'BE Raw'!$E$6:$E$615,$A47,'BE Raw'!$B$6:$B$615,2025)</f>
        <v>6501</v>
      </c>
      <c r="I47" s="12" t="n">
        <f aca="false">SUMIFS('BE Raw'!$D$6:$D$615,'BE Raw'!$E$6:$E$615,$A47,'BE Raw'!$B$6:$B$615,2026)</f>
        <v>4754.5</v>
      </c>
      <c r="J47" s="12" t="n">
        <f aca="false">I47*$J$5</f>
        <v>6005.68421052632</v>
      </c>
    </row>
    <row r="48" customFormat="false" ht="15" hidden="false" customHeight="true" outlineLevel="0" collapsed="false">
      <c r="A48" s="12" t="n">
        <v>4408033</v>
      </c>
      <c r="B48" s="12" t="str">
        <f aca="false">IFERROR(INDEX('Catalog'!$B:$B,MATCH($A48,'Catalog'!$A:$A,0)),"")</f>
        <v>11 M""חגורת בטן""אורירית</v>
      </c>
      <c r="C48" s="12" t="n">
        <f aca="false">SUMIFS('BE Raw'!$C$6:$C$615,'BE Raw'!$E$6:$E$615,$A48,'BE Raw'!$B$6:$B$615,2025)</f>
        <v>47</v>
      </c>
      <c r="D48" s="12" t="n">
        <f aca="false">SUMIFS('BE Raw'!$C$6:$C$615,'BE Raw'!$E$6:$E$615,$A48,'BE Raw'!$B$6:$B$615,2026)</f>
        <v>33</v>
      </c>
      <c r="E48" s="12" t="n">
        <f aca="false">D48*$J$5</f>
        <v>41.6842105263158</v>
      </c>
      <c r="F48" s="12" t="n">
        <f aca="false">E48-C48</f>
        <v>-5.31578947368421</v>
      </c>
      <c r="G48" s="21" t="n">
        <f aca="false">IF(AND(C48=0,E48=0),0,IF(C48=0,"New",(E48-C48)/C48))</f>
        <v>-0.113101903695409</v>
      </c>
      <c r="H48" s="12" t="n">
        <f aca="false">SUMIFS('BE Raw'!$D$6:$D$615,'BE Raw'!$E$6:$E$615,$A48,'BE Raw'!$B$6:$B$615,2025)</f>
        <v>4394.1</v>
      </c>
      <c r="I48" s="12" t="n">
        <f aca="false">SUMIFS('BE Raw'!$D$6:$D$615,'BE Raw'!$E$6:$E$615,$A48,'BE Raw'!$B$6:$B$615,2026)</f>
        <v>3202.1</v>
      </c>
      <c r="J48" s="12" t="n">
        <f aca="false">I48*$J$5</f>
        <v>4044.75789473684</v>
      </c>
    </row>
    <row r="49" customFormat="false" ht="15" hidden="false" customHeight="true" outlineLevel="0" collapsed="false">
      <c r="A49" s="12" t="n">
        <v>4408034</v>
      </c>
      <c r="B49" s="12" t="str">
        <f aca="false">IFERROR(INDEX('Catalog'!$B:$B,MATCH($A49,'Catalog'!$A:$A,0)),"")</f>
        <v>11 XL""חגורת בטן""אורירית</v>
      </c>
      <c r="C49" s="12" t="n">
        <f aca="false">SUMIFS('BE Raw'!$C$6:$C$615,'BE Raw'!$E$6:$E$615,$A49,'BE Raw'!$B$6:$B$615,2025)</f>
        <v>66</v>
      </c>
      <c r="D49" s="12" t="n">
        <f aca="false">SUMIFS('BE Raw'!$C$6:$C$615,'BE Raw'!$E$6:$E$615,$A49,'BE Raw'!$B$6:$B$615,2026)</f>
        <v>57</v>
      </c>
      <c r="E49" s="12" t="n">
        <f aca="false">D49*$J$5</f>
        <v>72</v>
      </c>
      <c r="F49" s="12" t="n">
        <f aca="false">E49-C49</f>
        <v>6</v>
      </c>
      <c r="G49" s="21" t="n">
        <f aca="false">IF(AND(C49=0,E49=0),0,IF(C49=0,"New",(E49-C49)/C49))</f>
        <v>0.0909090909090909</v>
      </c>
      <c r="H49" s="12" t="n">
        <f aca="false">SUMIFS('BE Raw'!$D$6:$D$615,'BE Raw'!$E$6:$E$615,$A49,'BE Raw'!$B$6:$B$615,2025)</f>
        <v>6410.9</v>
      </c>
      <c r="I49" s="12" t="n">
        <f aca="false">SUMIFS('BE Raw'!$D$6:$D$615,'BE Raw'!$E$6:$E$615,$A49,'BE Raw'!$B$6:$B$615,2026)</f>
        <v>5530.6</v>
      </c>
      <c r="J49" s="12" t="n">
        <f aca="false">I49*$J$5</f>
        <v>6986.02105263158</v>
      </c>
    </row>
    <row r="50" customFormat="false" ht="15" hidden="false" customHeight="true" outlineLevel="0" collapsed="false">
      <c r="A50" s="12" t="n">
        <v>4408035</v>
      </c>
      <c r="B50" s="12" t="str">
        <f aca="false">IFERROR(INDEX('Catalog'!$B:$B,MATCH($A50,'Catalog'!$A:$A,0)),"")</f>
        <v>11 XXL""חגורת בטן""אורירית</v>
      </c>
      <c r="C50" s="12" t="n">
        <f aca="false">SUMIFS('BE Raw'!$C$6:$C$615,'BE Raw'!$E$6:$E$615,$A50,'BE Raw'!$B$6:$B$615,2025)</f>
        <v>28</v>
      </c>
      <c r="D50" s="12" t="n">
        <f aca="false">SUMIFS('BE Raw'!$C$6:$C$615,'BE Raw'!$E$6:$E$615,$A50,'BE Raw'!$B$6:$B$615,2026)</f>
        <v>37</v>
      </c>
      <c r="E50" s="12" t="n">
        <f aca="false">D50*$J$5</f>
        <v>46.7368421052632</v>
      </c>
      <c r="F50" s="12" t="n">
        <f aca="false">E50-C50</f>
        <v>18.7368421052632</v>
      </c>
      <c r="G50" s="21" t="n">
        <f aca="false">IF(AND(C50=0,E50=0),0,IF(C50=0,"New",(E50-C50)/C50))</f>
        <v>0.669172932330827</v>
      </c>
      <c r="H50" s="12" t="n">
        <f aca="false">SUMIFS('BE Raw'!$D$6:$D$615,'BE Raw'!$E$6:$E$615,$A50,'BE Raw'!$B$6:$B$615,2025)</f>
        <v>2557.5</v>
      </c>
      <c r="I50" s="12" t="n">
        <f aca="false">SUMIFS('BE Raw'!$D$6:$D$615,'BE Raw'!$E$6:$E$615,$A50,'BE Raw'!$B$6:$B$615,2026)</f>
        <v>3590.1</v>
      </c>
      <c r="J50" s="12" t="n">
        <f aca="false">I50*$J$5</f>
        <v>4534.86315789474</v>
      </c>
    </row>
    <row r="51" customFormat="false" ht="15" hidden="false" customHeight="true" outlineLevel="0" collapsed="false">
      <c r="A51" s="12" t="n">
        <v>4408044</v>
      </c>
      <c r="B51" s="12" t="str">
        <f aca="false">IFERROR(INDEX('Catalog'!$B:$B,MATCH($A51,'Catalog'!$A:$A,0)),"")</f>
        <v>18  XL.ח.הריון מכנס למניעת כאב</v>
      </c>
      <c r="C51" s="12" t="n">
        <f aca="false">SUMIFS('BE Raw'!$C$6:$C$615,'BE Raw'!$E$6:$E$615,$A51,'BE Raw'!$B$6:$B$615,2025)</f>
        <v>2</v>
      </c>
      <c r="D51" s="12" t="n">
        <f aca="false">SUMIFS('BE Raw'!$C$6:$C$615,'BE Raw'!$E$6:$E$615,$A51,'BE Raw'!$B$6:$B$615,2026)</f>
        <v>-1</v>
      </c>
      <c r="E51" s="12" t="n">
        <f aca="false">D51*$J$5</f>
        <v>-1.26315789473684</v>
      </c>
      <c r="F51" s="12" t="n">
        <f aca="false">E51-C51</f>
        <v>-3.26315789473684</v>
      </c>
      <c r="G51" s="21" t="n">
        <f aca="false">IF(AND(C51=0,E51=0),0,IF(C51=0,"New",(E51-C51)/C51))</f>
        <v>-1.63157894736842</v>
      </c>
      <c r="H51" s="12" t="n">
        <f aca="false">SUMIFS('BE Raw'!$D$6:$D$615,'BE Raw'!$E$6:$E$615,$A51,'BE Raw'!$B$6:$B$615,2025)</f>
        <v>573.6</v>
      </c>
      <c r="I51" s="12" t="n">
        <f aca="false">SUMIFS('BE Raw'!$D$6:$D$615,'BE Raw'!$E$6:$E$615,$A51,'BE Raw'!$B$6:$B$615,2026)</f>
        <v>-286.8</v>
      </c>
      <c r="J51" s="12" t="n">
        <f aca="false">I51*$J$5</f>
        <v>-362.273684210526</v>
      </c>
    </row>
    <row r="52" customFormat="false" ht="15" hidden="false" customHeight="true" outlineLevel="0" collapsed="false">
      <c r="A52" s="12" t="n">
        <v>4408046</v>
      </c>
      <c r="B52" s="12" t="str">
        <f aca="false">IFERROR(INDEX('Catalog'!$B:$B,MATCH($A52,'Catalog'!$A:$A,0)),"")</f>
        <v>20 L חבק יד מתכוון עם צמדן</v>
      </c>
      <c r="C52" s="12" t="n">
        <f aca="false">SUMIFS('BE Raw'!$C$6:$C$615,'BE Raw'!$E$6:$E$615,$A52,'BE Raw'!$B$6:$B$615,2025)</f>
        <v>98</v>
      </c>
      <c r="D52" s="12" t="n">
        <f aca="false">SUMIFS('BE Raw'!$C$6:$C$615,'BE Raw'!$E$6:$E$615,$A52,'BE Raw'!$B$6:$B$615,2026)</f>
        <v>82</v>
      </c>
      <c r="E52" s="12" t="n">
        <f aca="false">D52*$J$5</f>
        <v>103.578947368421</v>
      </c>
      <c r="F52" s="12" t="n">
        <f aca="false">E52-C52</f>
        <v>5.57894736842104</v>
      </c>
      <c r="G52" s="21" t="n">
        <f aca="false">IF(AND(C52=0,E52=0),0,IF(C52=0,"New",(E52-C52)/C52))</f>
        <v>0.0569280343716433</v>
      </c>
      <c r="H52" s="12" t="n">
        <f aca="false">SUMIFS('BE Raw'!$D$6:$D$615,'BE Raw'!$E$6:$E$615,$A52,'BE Raw'!$B$6:$B$615,2025)</f>
        <v>2662.6</v>
      </c>
      <c r="I52" s="12" t="n">
        <f aca="false">SUMIFS('BE Raw'!$D$6:$D$615,'BE Raw'!$E$6:$E$615,$A52,'BE Raw'!$B$6:$B$615,2026)</f>
        <v>2230.4</v>
      </c>
      <c r="J52" s="12" t="n">
        <f aca="false">I52*$J$5</f>
        <v>2817.34736842105</v>
      </c>
    </row>
    <row r="53" customFormat="false" ht="15" hidden="false" customHeight="true" outlineLevel="0" collapsed="false">
      <c r="A53" s="12" t="n">
        <v>4408047</v>
      </c>
      <c r="B53" s="12" t="str">
        <f aca="false">IFERROR(INDEX('Catalog'!$B:$B,MATCH($A53,'Catalog'!$A:$A,0)),"")</f>
        <v>20 M חבק יד מתכוון עם צמדן</v>
      </c>
      <c r="C53" s="12" t="n">
        <f aca="false">SUMIFS('BE Raw'!$C$6:$C$615,'BE Raw'!$E$6:$E$615,$A53,'BE Raw'!$B$6:$B$615,2025)</f>
        <v>107</v>
      </c>
      <c r="D53" s="12" t="n">
        <f aca="false">SUMIFS('BE Raw'!$C$6:$C$615,'BE Raw'!$E$6:$E$615,$A53,'BE Raw'!$B$6:$B$615,2026)</f>
        <v>100</v>
      </c>
      <c r="E53" s="12" t="n">
        <f aca="false">D53*$J$5</f>
        <v>126.315789473684</v>
      </c>
      <c r="F53" s="12" t="n">
        <f aca="false">E53-C53</f>
        <v>19.3157894736842</v>
      </c>
      <c r="G53" s="21" t="n">
        <f aca="false">IF(AND(C53=0,E53=0),0,IF(C53=0,"New",(E53-C53)/C53))</f>
        <v>0.18052139695032</v>
      </c>
      <c r="H53" s="12" t="n">
        <f aca="false">SUMIFS('BE Raw'!$D$6:$D$615,'BE Raw'!$E$6:$E$615,$A53,'BE Raw'!$B$6:$B$615,2025)</f>
        <v>2906.8</v>
      </c>
      <c r="I53" s="12" t="n">
        <f aca="false">SUMIFS('BE Raw'!$D$6:$D$615,'BE Raw'!$E$6:$E$615,$A53,'BE Raw'!$B$6:$B$615,2026)</f>
        <v>2716.9</v>
      </c>
      <c r="J53" s="12" t="n">
        <f aca="false">I53*$J$5</f>
        <v>3431.87368421053</v>
      </c>
    </row>
    <row r="54" customFormat="false" ht="15" hidden="false" customHeight="true" outlineLevel="0" collapsed="false">
      <c r="A54" s="12" t="n">
        <v>4408048</v>
      </c>
      <c r="B54" s="12" t="str">
        <f aca="false">IFERROR(INDEX('Catalog'!$B:$B,MATCH($A54,'Catalog'!$A:$A,0)),"")</f>
        <v>20 S חבק יד מתכוון עם צמדן</v>
      </c>
      <c r="C54" s="12" t="n">
        <f aca="false">SUMIFS('BE Raw'!$C$6:$C$615,'BE Raw'!$E$6:$E$615,$A54,'BE Raw'!$B$6:$B$615,2025)</f>
        <v>98</v>
      </c>
      <c r="D54" s="12" t="n">
        <f aca="false">SUMIFS('BE Raw'!$C$6:$C$615,'BE Raw'!$E$6:$E$615,$A54,'BE Raw'!$B$6:$B$615,2026)</f>
        <v>62</v>
      </c>
      <c r="E54" s="12" t="n">
        <f aca="false">D54*$J$5</f>
        <v>78.3157894736842</v>
      </c>
      <c r="F54" s="12" t="n">
        <f aca="false">E54-C54</f>
        <v>-19.6842105263158</v>
      </c>
      <c r="G54" s="21" t="n">
        <f aca="false">IF(AND(C54=0,E54=0),0,IF(C54=0,"New",(E54-C54)/C54))</f>
        <v>-0.200859291084855</v>
      </c>
      <c r="H54" s="12" t="n">
        <f aca="false">SUMIFS('BE Raw'!$D$6:$D$615,'BE Raw'!$E$6:$E$615,$A54,'BE Raw'!$B$6:$B$615,2025)</f>
        <v>2659.5</v>
      </c>
      <c r="I54" s="12" t="n">
        <f aca="false">SUMIFS('BE Raw'!$D$6:$D$615,'BE Raw'!$E$6:$E$615,$A54,'BE Raw'!$B$6:$B$615,2026)</f>
        <v>1684.1</v>
      </c>
      <c r="J54" s="12" t="n">
        <f aca="false">I54*$J$5</f>
        <v>2127.28421052632</v>
      </c>
    </row>
    <row r="55" customFormat="false" ht="15" hidden="false" customHeight="true" outlineLevel="0" collapsed="false">
      <c r="A55" s="12" t="n">
        <v>4408049</v>
      </c>
      <c r="B55" s="12" t="str">
        <f aca="false">IFERROR(INDEX('Catalog'!$B:$B,MATCH($A55,'Catalog'!$A:$A,0)),"")</f>
        <v>20 XL חבק יד מתכוון עם צמדן</v>
      </c>
      <c r="C55" s="12" t="n">
        <f aca="false">SUMIFS('BE Raw'!$C$6:$C$615,'BE Raw'!$E$6:$E$615,$A55,'BE Raw'!$B$6:$B$615,2025)</f>
        <v>41</v>
      </c>
      <c r="D55" s="12" t="n">
        <f aca="false">SUMIFS('BE Raw'!$C$6:$C$615,'BE Raw'!$E$6:$E$615,$A55,'BE Raw'!$B$6:$B$615,2026)</f>
        <v>33</v>
      </c>
      <c r="E55" s="12" t="n">
        <f aca="false">D55*$J$5</f>
        <v>41.6842105263158</v>
      </c>
      <c r="F55" s="12" t="n">
        <f aca="false">E55-C55</f>
        <v>0.684210526315788</v>
      </c>
      <c r="G55" s="21" t="n">
        <f aca="false">IF(AND(C55=0,E55=0),0,IF(C55=0,"New",(E55-C55)/C55))</f>
        <v>0.0166880616174582</v>
      </c>
      <c r="H55" s="12" t="n">
        <f aca="false">SUMIFS('BE Raw'!$D$6:$D$615,'BE Raw'!$E$6:$E$615,$A55,'BE Raw'!$B$6:$B$615,2025)</f>
        <v>1114.2</v>
      </c>
      <c r="I55" s="12" t="n">
        <f aca="false">SUMIFS('BE Raw'!$D$6:$D$615,'BE Raw'!$E$6:$E$615,$A55,'BE Raw'!$B$6:$B$615,2026)</f>
        <v>897.3</v>
      </c>
      <c r="J55" s="12" t="n">
        <f aca="false">I55*$J$5</f>
        <v>1133.43157894737</v>
      </c>
    </row>
    <row r="56" customFormat="false" ht="15" hidden="false" customHeight="true" outlineLevel="0" collapsed="false">
      <c r="A56" s="12" t="n">
        <v>4408051</v>
      </c>
      <c r="B56" s="12" t="str">
        <f aca="false">IFERROR(INDEX('Catalog'!$B:$B,MATCH($A56,'Catalog'!$A:$A,0)),"")</f>
        <v>21 S  חבק יד ארוך</v>
      </c>
      <c r="C56" s="12" t="n">
        <f aca="false">SUMIFS('BE Raw'!$C$6:$C$615,'BE Raw'!$E$6:$E$615,$A56,'BE Raw'!$B$6:$B$615,2025)</f>
        <v>184</v>
      </c>
      <c r="D56" s="12" t="n">
        <f aca="false">SUMIFS('BE Raw'!$C$6:$C$615,'BE Raw'!$E$6:$E$615,$A56,'BE Raw'!$B$6:$B$615,2026)</f>
        <v>118</v>
      </c>
      <c r="E56" s="12" t="n">
        <f aca="false">D56*$J$5</f>
        <v>149.052631578947</v>
      </c>
      <c r="F56" s="12" t="n">
        <f aca="false">E56-C56</f>
        <v>-34.9473684210526</v>
      </c>
      <c r="G56" s="21" t="n">
        <f aca="false">IF(AND(C56=0,E56=0),0,IF(C56=0,"New",(E56-C56)/C56))</f>
        <v>-0.189931350114416</v>
      </c>
      <c r="H56" s="12" t="n">
        <f aca="false">SUMIFS('BE Raw'!$D$6:$D$615,'BE Raw'!$E$6:$E$615,$A56,'BE Raw'!$B$6:$B$615,2025)</f>
        <v>6493.6</v>
      </c>
      <c r="I56" s="12" t="n">
        <f aca="false">SUMIFS('BE Raw'!$D$6:$D$615,'BE Raw'!$E$6:$E$615,$A56,'BE Raw'!$B$6:$B$615,2026)</f>
        <v>4164.5</v>
      </c>
      <c r="J56" s="12" t="n">
        <f aca="false">I56*$J$5</f>
        <v>5260.42105263158</v>
      </c>
    </row>
    <row r="57" customFormat="false" ht="15" hidden="false" customHeight="true" outlineLevel="0" collapsed="false">
      <c r="A57" s="12" t="n">
        <v>4408052</v>
      </c>
      <c r="B57" s="12" t="str">
        <f aca="false">IFERROR(INDEX('Catalog'!$B:$B,MATCH($A57,'Catalog'!$A:$A,0)),"")</f>
        <v>21 L  חבק יד ארוך</v>
      </c>
      <c r="C57" s="12" t="n">
        <f aca="false">SUMIFS('BE Raw'!$C$6:$C$615,'BE Raw'!$E$6:$E$615,$A57,'BE Raw'!$B$6:$B$615,2025)</f>
        <v>211</v>
      </c>
      <c r="D57" s="12" t="n">
        <f aca="false">SUMIFS('BE Raw'!$C$6:$C$615,'BE Raw'!$E$6:$E$615,$A57,'BE Raw'!$B$6:$B$615,2026)</f>
        <v>112</v>
      </c>
      <c r="E57" s="12" t="n">
        <f aca="false">D57*$J$5</f>
        <v>141.473684210526</v>
      </c>
      <c r="F57" s="12" t="n">
        <f aca="false">E57-C57</f>
        <v>-69.5263157894737</v>
      </c>
      <c r="G57" s="21" t="n">
        <f aca="false">IF(AND(C57=0,E57=0),0,IF(C57=0,"New",(E57-C57)/C57))</f>
        <v>-0.329508605637316</v>
      </c>
      <c r="H57" s="12" t="n">
        <f aca="false">SUMIFS('BE Raw'!$D$6:$D$615,'BE Raw'!$E$6:$E$615,$A57,'BE Raw'!$B$6:$B$615,2025)</f>
        <v>7450.3</v>
      </c>
      <c r="I57" s="12" t="n">
        <f aca="false">SUMIFS('BE Raw'!$D$6:$D$615,'BE Raw'!$E$6:$E$615,$A57,'BE Raw'!$B$6:$B$615,2026)</f>
        <v>3950.6</v>
      </c>
      <c r="J57" s="12" t="n">
        <f aca="false">I57*$J$5</f>
        <v>4990.23157894737</v>
      </c>
    </row>
    <row r="58" customFormat="false" ht="15" hidden="false" customHeight="true" outlineLevel="0" collapsed="false">
      <c r="A58" s="12" t="n">
        <v>4408053</v>
      </c>
      <c r="B58" s="12" t="str">
        <f aca="false">IFERROR(INDEX('Catalog'!$B:$B,MATCH($A58,'Catalog'!$A:$A,0)),"")</f>
        <v>21 M  חבק יד ארוך</v>
      </c>
      <c r="C58" s="12" t="n">
        <f aca="false">SUMIFS('BE Raw'!$C$6:$C$615,'BE Raw'!$E$6:$E$615,$A58,'BE Raw'!$B$6:$B$615,2025)</f>
        <v>300</v>
      </c>
      <c r="D58" s="12" t="n">
        <f aca="false">SUMIFS('BE Raw'!$C$6:$C$615,'BE Raw'!$E$6:$E$615,$A58,'BE Raw'!$B$6:$B$615,2026)</f>
        <v>221</v>
      </c>
      <c r="E58" s="12" t="n">
        <f aca="false">D58*$J$5</f>
        <v>279.157894736842</v>
      </c>
      <c r="F58" s="12" t="n">
        <f aca="false">E58-C58</f>
        <v>-20.8421052631579</v>
      </c>
      <c r="G58" s="21" t="n">
        <f aca="false">IF(AND(C58=0,E58=0),0,IF(C58=0,"New",(E58-C58)/C58))</f>
        <v>-0.0694736842105264</v>
      </c>
      <c r="H58" s="12" t="n">
        <f aca="false">SUMIFS('BE Raw'!$D$6:$D$615,'BE Raw'!$E$6:$E$615,$A58,'BE Raw'!$B$6:$B$615,2025)</f>
        <v>10585.1</v>
      </c>
      <c r="I58" s="12" t="n">
        <f aca="false">SUMIFS('BE Raw'!$D$6:$D$615,'BE Raw'!$E$6:$E$615,$A58,'BE Raw'!$B$6:$B$615,2026)</f>
        <v>7792.9</v>
      </c>
      <c r="J58" s="12" t="n">
        <f aca="false">I58*$J$5</f>
        <v>9843.66315789474</v>
      </c>
    </row>
    <row r="59" customFormat="false" ht="15" hidden="false" customHeight="true" outlineLevel="0" collapsed="false">
      <c r="A59" s="12" t="n">
        <v>4408054</v>
      </c>
      <c r="B59" s="12" t="str">
        <f aca="false">IFERROR(INDEX('Catalog'!$B:$B,MATCH($A59,'Catalog'!$A:$A,0)),"")</f>
        <v>21 XL חבק יד ארוך</v>
      </c>
      <c r="C59" s="12" t="n">
        <f aca="false">SUMIFS('BE Raw'!$C$6:$C$615,'BE Raw'!$E$6:$E$615,$A59,'BE Raw'!$B$6:$B$615,2025)</f>
        <v>62</v>
      </c>
      <c r="D59" s="12" t="n">
        <f aca="false">SUMIFS('BE Raw'!$C$6:$C$615,'BE Raw'!$E$6:$E$615,$A59,'BE Raw'!$B$6:$B$615,2026)</f>
        <v>84</v>
      </c>
      <c r="E59" s="12" t="n">
        <f aca="false">D59*$J$5</f>
        <v>106.105263157895</v>
      </c>
      <c r="F59" s="12" t="n">
        <f aca="false">E59-C59</f>
        <v>44.1052631578947</v>
      </c>
      <c r="G59" s="21" t="n">
        <f aca="false">IF(AND(C59=0,E59=0),0,IF(C59=0,"New",(E59-C59)/C59))</f>
        <v>0.711375212224109</v>
      </c>
      <c r="H59" s="12" t="n">
        <f aca="false">SUMIFS('BE Raw'!$D$6:$D$615,'BE Raw'!$E$6:$E$615,$A59,'BE Raw'!$B$6:$B$615,2025)</f>
        <v>2183.1</v>
      </c>
      <c r="I59" s="12" t="n">
        <f aca="false">SUMIFS('BE Raw'!$D$6:$D$615,'BE Raw'!$E$6:$E$615,$A59,'BE Raw'!$B$6:$B$615,2026)</f>
        <v>2966.1</v>
      </c>
      <c r="J59" s="12" t="n">
        <f aca="false">I59*$J$5</f>
        <v>3746.65263157895</v>
      </c>
    </row>
    <row r="60" customFormat="false" ht="15" hidden="false" customHeight="true" outlineLevel="0" collapsed="false">
      <c r="A60" s="12" t="n">
        <v>4408059</v>
      </c>
      <c r="B60" s="12" t="str">
        <f aca="false">IFERROR(INDEX('Catalog'!$B:$B,MATCH($A60,'Catalog'!$A:$A,0)),"")</f>
        <v>25 L חבק יד אגודלי</v>
      </c>
      <c r="C60" s="12" t="n">
        <f aca="false">SUMIFS('BE Raw'!$C$6:$C$615,'BE Raw'!$E$6:$E$615,$A60,'BE Raw'!$B$6:$B$615,2025)</f>
        <v>-4</v>
      </c>
      <c r="D60" s="12" t="n">
        <f aca="false">SUMIFS('BE Raw'!$C$6:$C$615,'BE Raw'!$E$6:$E$615,$A60,'BE Raw'!$B$6:$B$615,2026)</f>
        <v>0</v>
      </c>
      <c r="E60" s="12" t="n">
        <f aca="false">D60*$J$5</f>
        <v>0</v>
      </c>
      <c r="F60" s="12" t="n">
        <f aca="false">E60-C60</f>
        <v>4</v>
      </c>
      <c r="G60" s="21" t="n">
        <f aca="false">IF(AND(C60=0,E60=0),0,IF(C60=0,"New",(E60-C60)/C60))</f>
        <v>-1</v>
      </c>
      <c r="H60" s="12" t="n">
        <f aca="false">SUMIFS('BE Raw'!$D$6:$D$615,'BE Raw'!$E$6:$E$615,$A60,'BE Raw'!$B$6:$B$615,2025)</f>
        <v>-314.4</v>
      </c>
      <c r="I60" s="12" t="n">
        <f aca="false">SUMIFS('BE Raw'!$D$6:$D$615,'BE Raw'!$E$6:$E$615,$A60,'BE Raw'!$B$6:$B$615,2026)</f>
        <v>0</v>
      </c>
      <c r="J60" s="12" t="n">
        <f aca="false">I60*$J$5</f>
        <v>0</v>
      </c>
    </row>
    <row r="61" customFormat="false" ht="15" hidden="false" customHeight="true" outlineLevel="0" collapsed="false">
      <c r="A61" s="12" t="n">
        <v>4408060</v>
      </c>
      <c r="B61" s="12" t="str">
        <f aca="false">IFERROR(INDEX('Catalog'!$B:$B,MATCH($A61,'Catalog'!$A:$A,0)),"")</f>
        <v>25 M חבק יד אגודלי</v>
      </c>
      <c r="C61" s="12" t="n">
        <f aca="false">SUMIFS('BE Raw'!$C$6:$C$615,'BE Raw'!$E$6:$E$615,$A61,'BE Raw'!$B$6:$B$615,2025)</f>
        <v>2</v>
      </c>
      <c r="D61" s="12" t="n">
        <f aca="false">SUMIFS('BE Raw'!$C$6:$C$615,'BE Raw'!$E$6:$E$615,$A61,'BE Raw'!$B$6:$B$615,2026)</f>
        <v>0</v>
      </c>
      <c r="E61" s="12" t="n">
        <f aca="false">D61*$J$5</f>
        <v>0</v>
      </c>
      <c r="F61" s="12" t="n">
        <f aca="false">E61-C61</f>
        <v>-2</v>
      </c>
      <c r="G61" s="21" t="n">
        <f aca="false">IF(AND(C61=0,E61=0),0,IF(C61=0,"New",(E61-C61)/C61))</f>
        <v>-1</v>
      </c>
      <c r="H61" s="12" t="n">
        <f aca="false">SUMIFS('BE Raw'!$D$6:$D$615,'BE Raw'!$E$6:$E$615,$A61,'BE Raw'!$B$6:$B$615,2025)</f>
        <v>137</v>
      </c>
      <c r="I61" s="12" t="n">
        <f aca="false">SUMIFS('BE Raw'!$D$6:$D$615,'BE Raw'!$E$6:$E$615,$A61,'BE Raw'!$B$6:$B$615,2026)</f>
        <v>0</v>
      </c>
      <c r="J61" s="12" t="n">
        <f aca="false">I61*$J$5</f>
        <v>0</v>
      </c>
    </row>
    <row r="62" customFormat="false" ht="15" hidden="false" customHeight="true" outlineLevel="0" collapsed="false">
      <c r="A62" s="12" t="n">
        <v>4408061</v>
      </c>
      <c r="B62" s="12" t="str">
        <f aca="false">IFERROR(INDEX('Catalog'!$B:$B,MATCH($A62,'Catalog'!$A:$A,0)),"")</f>
        <v>25 S חבק יד אגודלי</v>
      </c>
      <c r="C62" s="12" t="n">
        <f aca="false">SUMIFS('BE Raw'!$C$6:$C$615,'BE Raw'!$E$6:$E$615,$A62,'BE Raw'!$B$6:$B$615,2025)</f>
        <v>-2</v>
      </c>
      <c r="D62" s="12" t="n">
        <f aca="false">SUMIFS('BE Raw'!$C$6:$C$615,'BE Raw'!$E$6:$E$615,$A62,'BE Raw'!$B$6:$B$615,2026)</f>
        <v>0</v>
      </c>
      <c r="E62" s="12" t="n">
        <f aca="false">D62*$J$5</f>
        <v>0</v>
      </c>
      <c r="F62" s="12" t="n">
        <f aca="false">E62-C62</f>
        <v>2</v>
      </c>
      <c r="G62" s="21" t="n">
        <f aca="false">IF(AND(C62=0,E62=0),0,IF(C62=0,"New",(E62-C62)/C62))</f>
        <v>-1</v>
      </c>
      <c r="H62" s="12" t="n">
        <f aca="false">SUMIFS('BE Raw'!$D$6:$D$615,'BE Raw'!$E$6:$E$615,$A62,'BE Raw'!$B$6:$B$615,2025)</f>
        <v>-133.6</v>
      </c>
      <c r="I62" s="12" t="n">
        <f aca="false">SUMIFS('BE Raw'!$D$6:$D$615,'BE Raw'!$E$6:$E$615,$A62,'BE Raw'!$B$6:$B$615,2026)</f>
        <v>0</v>
      </c>
      <c r="J62" s="12" t="n">
        <f aca="false">I62*$J$5</f>
        <v>0</v>
      </c>
    </row>
    <row r="63" customFormat="false" ht="15" hidden="false" customHeight="true" outlineLevel="0" collapsed="false">
      <c r="A63" s="12" t="n">
        <v>4408062</v>
      </c>
      <c r="B63" s="12" t="str">
        <f aca="false">IFERROR(INDEX('Catalog'!$B:$B,MATCH($A63,'Catalog'!$A:$A,0)),"")</f>
        <v>25 XL חבק יד אגודלי</v>
      </c>
      <c r="C63" s="12" t="n">
        <f aca="false">SUMIFS('BE Raw'!$C$6:$C$615,'BE Raw'!$E$6:$E$615,$A63,'BE Raw'!$B$6:$B$615,2025)</f>
        <v>1</v>
      </c>
      <c r="D63" s="12" t="n">
        <f aca="false">SUMIFS('BE Raw'!$C$6:$C$615,'BE Raw'!$E$6:$E$615,$A63,'BE Raw'!$B$6:$B$615,2026)</f>
        <v>-1</v>
      </c>
      <c r="E63" s="12" t="n">
        <f aca="false">D63*$J$5</f>
        <v>-1.26315789473684</v>
      </c>
      <c r="F63" s="12" t="n">
        <f aca="false">E63-C63</f>
        <v>-2.26315789473684</v>
      </c>
      <c r="G63" s="21" t="n">
        <f aca="false">IF(AND(C63=0,E63=0),0,IF(C63=0,"New",(E63-C63)/C63))</f>
        <v>-2.26315789473684</v>
      </c>
      <c r="H63" s="12" t="n">
        <f aca="false">SUMIFS('BE Raw'!$D$6:$D$615,'BE Raw'!$E$6:$E$615,$A63,'BE Raw'!$B$6:$B$615,2025)</f>
        <v>68.5</v>
      </c>
      <c r="I63" s="12" t="n">
        <f aca="false">SUMIFS('BE Raw'!$D$6:$D$615,'BE Raw'!$E$6:$E$615,$A63,'BE Raw'!$B$6:$B$615,2026)</f>
        <v>-68.5</v>
      </c>
      <c r="J63" s="12" t="n">
        <f aca="false">I63*$J$5</f>
        <v>-86.5263157894737</v>
      </c>
    </row>
    <row r="64" customFormat="false" ht="15" hidden="false" customHeight="true" outlineLevel="0" collapsed="false">
      <c r="A64" s="12" t="n">
        <v>4408070</v>
      </c>
      <c r="B64" s="12" t="str">
        <f aca="false">IFERROR(INDEX('Catalog'!$B:$B,MATCH($A64,'Catalog'!$A:$A,0)),"")</f>
        <v>59D S חגורת שבר דו צדדי</v>
      </c>
      <c r="C64" s="12" t="n">
        <f aca="false">SUMIFS('BE Raw'!$C$6:$C$615,'BE Raw'!$E$6:$E$615,$A64,'BE Raw'!$B$6:$B$615,2025)</f>
        <v>4</v>
      </c>
      <c r="D64" s="12" t="n">
        <f aca="false">SUMIFS('BE Raw'!$C$6:$C$615,'BE Raw'!$E$6:$E$615,$A64,'BE Raw'!$B$6:$B$615,2026)</f>
        <v>6</v>
      </c>
      <c r="E64" s="12" t="n">
        <f aca="false">D64*$J$5</f>
        <v>7.57894736842105</v>
      </c>
      <c r="F64" s="12" t="n">
        <f aca="false">E64-C64</f>
        <v>3.57894736842105</v>
      </c>
      <c r="G64" s="21" t="n">
        <f aca="false">IF(AND(C64=0,E64=0),0,IF(C64=0,"New",(E64-C64)/C64))</f>
        <v>0.894736842105263</v>
      </c>
      <c r="H64" s="12" t="n">
        <f aca="false">SUMIFS('BE Raw'!$D$6:$D$615,'BE Raw'!$E$6:$E$615,$A64,'BE Raw'!$B$6:$B$615,2025)</f>
        <v>1206.8</v>
      </c>
      <c r="I64" s="12" t="n">
        <f aca="false">SUMIFS('BE Raw'!$D$6:$D$615,'BE Raw'!$E$6:$E$615,$A64,'BE Raw'!$B$6:$B$615,2026)</f>
        <v>1810.3</v>
      </c>
      <c r="J64" s="12" t="n">
        <f aca="false">I64*$J$5</f>
        <v>2286.69473684211</v>
      </c>
    </row>
    <row r="65" customFormat="false" ht="15" hidden="false" customHeight="true" outlineLevel="0" collapsed="false">
      <c r="A65" s="12" t="n">
        <v>4408072</v>
      </c>
      <c r="B65" s="12" t="str">
        <f aca="false">IFERROR(INDEX('Catalog'!$B:$B,MATCH($A65,'Catalog'!$A:$A,0)),"")</f>
        <v>59D M חגורת שבר דו צדדי</v>
      </c>
      <c r="C65" s="12" t="n">
        <f aca="false">SUMIFS('BE Raw'!$C$6:$C$615,'BE Raw'!$E$6:$E$615,$A65,'BE Raw'!$B$6:$B$615,2025)</f>
        <v>0</v>
      </c>
      <c r="D65" s="12" t="n">
        <f aca="false">SUMIFS('BE Raw'!$C$6:$C$615,'BE Raw'!$E$6:$E$615,$A65,'BE Raw'!$B$6:$B$615,2026)</f>
        <v>2</v>
      </c>
      <c r="E65" s="12" t="n">
        <f aca="false">D65*$J$5</f>
        <v>2.52631578947368</v>
      </c>
      <c r="F65" s="12" t="n">
        <f aca="false">E65-C65</f>
        <v>2.52631578947368</v>
      </c>
      <c r="G65" s="21" t="str">
        <f aca="false">IF(AND(C65=0,E65=0),0,IF(C65=0,"New",(E65-C65)/C65))</f>
        <v>New</v>
      </c>
      <c r="H65" s="12" t="n">
        <f aca="false">SUMIFS('BE Raw'!$D$6:$D$615,'BE Raw'!$E$6:$E$615,$A65,'BE Raw'!$B$6:$B$615,2025)</f>
        <v>0</v>
      </c>
      <c r="I65" s="12" t="n">
        <f aca="false">SUMIFS('BE Raw'!$D$6:$D$615,'BE Raw'!$E$6:$E$615,$A65,'BE Raw'!$B$6:$B$615,2026)</f>
        <v>603.4</v>
      </c>
      <c r="J65" s="12" t="n">
        <f aca="false">I65*$J$5</f>
        <v>762.189473684211</v>
      </c>
    </row>
    <row r="66" customFormat="false" ht="15" hidden="false" customHeight="true" outlineLevel="0" collapsed="false">
      <c r="A66" s="12" t="n">
        <v>4408073</v>
      </c>
      <c r="B66" s="12" t="str">
        <f aca="false">IFERROR(INDEX('Catalog'!$B:$B,MATCH($A66,'Catalog'!$A:$A,0)),"")</f>
        <v>59D XL חגורת שבר דו צדדי</v>
      </c>
      <c r="C66" s="12" t="n">
        <f aca="false">SUMIFS('BE Raw'!$C$6:$C$615,'BE Raw'!$E$6:$E$615,$A66,'BE Raw'!$B$6:$B$615,2025)</f>
        <v>2</v>
      </c>
      <c r="D66" s="12" t="n">
        <f aca="false">SUMIFS('BE Raw'!$C$6:$C$615,'BE Raw'!$E$6:$E$615,$A66,'BE Raw'!$B$6:$B$615,2026)</f>
        <v>1</v>
      </c>
      <c r="E66" s="12" t="n">
        <f aca="false">D66*$J$5</f>
        <v>1.26315789473684</v>
      </c>
      <c r="F66" s="12" t="n">
        <f aca="false">E66-C66</f>
        <v>-0.736842105263158</v>
      </c>
      <c r="G66" s="21" t="n">
        <f aca="false">IF(AND(C66=0,E66=0),0,IF(C66=0,"New",(E66-C66)/C66))</f>
        <v>-0.368421052631579</v>
      </c>
      <c r="H66" s="12" t="n">
        <f aca="false">SUMIFS('BE Raw'!$D$6:$D$615,'BE Raw'!$E$6:$E$615,$A66,'BE Raw'!$B$6:$B$615,2025)</f>
        <v>603.4</v>
      </c>
      <c r="I66" s="12" t="n">
        <f aca="false">SUMIFS('BE Raw'!$D$6:$D$615,'BE Raw'!$E$6:$E$615,$A66,'BE Raw'!$B$6:$B$615,2026)</f>
        <v>301.7</v>
      </c>
      <c r="J66" s="12" t="n">
        <f aca="false">I66*$J$5</f>
        <v>381.094736842105</v>
      </c>
    </row>
    <row r="67" customFormat="false" ht="15" hidden="false" customHeight="true" outlineLevel="0" collapsed="false">
      <c r="A67" s="12" t="n">
        <v>4408076</v>
      </c>
      <c r="B67" s="12" t="str">
        <f aca="false">IFERROR(INDEX('Catalog'!$B:$B,MATCH($A67,'Catalog'!$A:$A,0)),"")</f>
        <v>59L L חגורת שבר לצד שמאל</v>
      </c>
      <c r="C67" s="12" t="n">
        <f aca="false">SUMIFS('BE Raw'!$C$6:$C$615,'BE Raw'!$E$6:$E$615,$A67,'BE Raw'!$B$6:$B$615,2025)</f>
        <v>-1</v>
      </c>
      <c r="D67" s="12" t="n">
        <f aca="false">SUMIFS('BE Raw'!$C$6:$C$615,'BE Raw'!$E$6:$E$615,$A67,'BE Raw'!$B$6:$B$615,2026)</f>
        <v>0</v>
      </c>
      <c r="E67" s="12" t="n">
        <f aca="false">D67*$J$5</f>
        <v>0</v>
      </c>
      <c r="F67" s="12" t="n">
        <f aca="false">E67-C67</f>
        <v>1</v>
      </c>
      <c r="G67" s="21" t="n">
        <f aca="false">IF(AND(C67=0,E67=0),0,IF(C67=0,"New",(E67-C67)/C67))</f>
        <v>-1</v>
      </c>
      <c r="H67" s="12" t="n">
        <f aca="false">SUMIFS('BE Raw'!$D$6:$D$615,'BE Raw'!$E$6:$E$615,$A67,'BE Raw'!$B$6:$B$615,2025)</f>
        <v>-178.9</v>
      </c>
      <c r="I67" s="12" t="n">
        <f aca="false">SUMIFS('BE Raw'!$D$6:$D$615,'BE Raw'!$E$6:$E$615,$A67,'BE Raw'!$B$6:$B$615,2026)</f>
        <v>0</v>
      </c>
      <c r="J67" s="12" t="n">
        <f aca="false">I67*$J$5</f>
        <v>0</v>
      </c>
    </row>
    <row r="68" customFormat="false" ht="15" hidden="false" customHeight="true" outlineLevel="0" collapsed="false">
      <c r="A68" s="12" t="n">
        <v>4408078</v>
      </c>
      <c r="B68" s="12" t="str">
        <f aca="false">IFERROR(INDEX('Catalog'!$B:$B,MATCH($A68,'Catalog'!$A:$A,0)),"")</f>
        <v>59L XLחגורת שבר לצד שמאל</v>
      </c>
      <c r="C68" s="12" t="n">
        <f aca="false">SUMIFS('BE Raw'!$C$6:$C$615,'BE Raw'!$E$6:$E$615,$A68,'BE Raw'!$B$6:$B$615,2025)</f>
        <v>0</v>
      </c>
      <c r="D68" s="12" t="n">
        <f aca="false">SUMIFS('BE Raw'!$C$6:$C$615,'BE Raw'!$E$6:$E$615,$A68,'BE Raw'!$B$6:$B$615,2026)</f>
        <v>1</v>
      </c>
      <c r="E68" s="12" t="n">
        <f aca="false">D68*$J$5</f>
        <v>1.26315789473684</v>
      </c>
      <c r="F68" s="12" t="n">
        <f aca="false">E68-C68</f>
        <v>1.26315789473684</v>
      </c>
      <c r="G68" s="21" t="str">
        <f aca="false">IF(AND(C68=0,E68=0),0,IF(C68=0,"New",(E68-C68)/C68))</f>
        <v>New</v>
      </c>
      <c r="H68" s="12" t="n">
        <f aca="false">SUMIFS('BE Raw'!$D$6:$D$615,'BE Raw'!$E$6:$E$615,$A68,'BE Raw'!$B$6:$B$615,2025)</f>
        <v>0</v>
      </c>
      <c r="I68" s="12" t="n">
        <f aca="false">SUMIFS('BE Raw'!$D$6:$D$615,'BE Raw'!$E$6:$E$615,$A68,'BE Raw'!$B$6:$B$615,2026)</f>
        <v>172</v>
      </c>
      <c r="J68" s="12" t="n">
        <f aca="false">I68*$J$5</f>
        <v>217.263157894737</v>
      </c>
    </row>
    <row r="69" customFormat="false" ht="15" hidden="false" customHeight="true" outlineLevel="0" collapsed="false">
      <c r="A69" s="12" t="n">
        <v>4408080</v>
      </c>
      <c r="B69" s="12" t="str">
        <f aca="false">IFERROR(INDEX('Catalog'!$B:$B,MATCH($A69,'Catalog'!$A:$A,0)),"")</f>
        <v>59R L חגורת שבר לצד ימין</v>
      </c>
      <c r="C69" s="12" t="n">
        <f aca="false">SUMIFS('BE Raw'!$C$6:$C$615,'BE Raw'!$E$6:$E$615,$A69,'BE Raw'!$B$6:$B$615,2025)</f>
        <v>4</v>
      </c>
      <c r="D69" s="12" t="n">
        <f aca="false">SUMIFS('BE Raw'!$C$6:$C$615,'BE Raw'!$E$6:$E$615,$A69,'BE Raw'!$B$6:$B$615,2026)</f>
        <v>0</v>
      </c>
      <c r="E69" s="12" t="n">
        <f aca="false">D69*$J$5</f>
        <v>0</v>
      </c>
      <c r="F69" s="12" t="n">
        <f aca="false">E69-C69</f>
        <v>-4</v>
      </c>
      <c r="G69" s="21" t="n">
        <f aca="false">IF(AND(C69=0,E69=0),0,IF(C69=0,"New",(E69-C69)/C69))</f>
        <v>-1</v>
      </c>
      <c r="H69" s="12" t="n">
        <f aca="false">SUMIFS('BE Raw'!$D$6:$D$615,'BE Raw'!$E$6:$E$615,$A69,'BE Raw'!$B$6:$B$615,2025)</f>
        <v>715.5</v>
      </c>
      <c r="I69" s="12" t="n">
        <f aca="false">SUMIFS('BE Raw'!$D$6:$D$615,'BE Raw'!$E$6:$E$615,$A69,'BE Raw'!$B$6:$B$615,2026)</f>
        <v>0</v>
      </c>
      <c r="J69" s="12" t="n">
        <f aca="false">I69*$J$5</f>
        <v>0</v>
      </c>
    </row>
    <row r="70" customFormat="false" ht="15" hidden="false" customHeight="true" outlineLevel="0" collapsed="false">
      <c r="A70" s="12" t="n">
        <v>4408081</v>
      </c>
      <c r="B70" s="12" t="str">
        <f aca="false">IFERROR(INDEX('Catalog'!$B:$B,MATCH($A70,'Catalog'!$A:$A,0)),"")</f>
        <v>59R M חגורת שבר לצד ימין</v>
      </c>
      <c r="C70" s="12" t="n">
        <f aca="false">SUMIFS('BE Raw'!$C$6:$C$615,'BE Raw'!$E$6:$E$615,$A70,'BE Raw'!$B$6:$B$615,2025)</f>
        <v>1</v>
      </c>
      <c r="D70" s="12" t="n">
        <f aca="false">SUMIFS('BE Raw'!$C$6:$C$615,'BE Raw'!$E$6:$E$615,$A70,'BE Raw'!$B$6:$B$615,2026)</f>
        <v>1</v>
      </c>
      <c r="E70" s="12" t="n">
        <f aca="false">D70*$J$5</f>
        <v>1.26315789473684</v>
      </c>
      <c r="F70" s="12" t="n">
        <f aca="false">E70-C70</f>
        <v>0.263157894736842</v>
      </c>
      <c r="G70" s="21" t="n">
        <f aca="false">IF(AND(C70=0,E70=0),0,IF(C70=0,"New",(E70-C70)/C70))</f>
        <v>0.263157894736842</v>
      </c>
      <c r="H70" s="12" t="n">
        <f aca="false">SUMIFS('BE Raw'!$D$6:$D$615,'BE Raw'!$E$6:$E$615,$A70,'BE Raw'!$B$6:$B$615,2025)</f>
        <v>178.9</v>
      </c>
      <c r="I70" s="12" t="n">
        <f aca="false">SUMIFS('BE Raw'!$D$6:$D$615,'BE Raw'!$E$6:$E$615,$A70,'BE Raw'!$B$6:$B$615,2026)</f>
        <v>178.9</v>
      </c>
      <c r="J70" s="12" t="n">
        <f aca="false">I70*$J$5</f>
        <v>225.978947368421</v>
      </c>
    </row>
    <row r="71" customFormat="false" ht="15" hidden="false" customHeight="true" outlineLevel="0" collapsed="false">
      <c r="A71" s="12" t="n">
        <v>4408088</v>
      </c>
      <c r="B71" s="12" t="str">
        <f aca="false">IFERROR(INDEX('Catalog'!$B:$B,MATCH($A71,'Catalog'!$A:$A,0)),"")</f>
        <v>91  חבק ""טניס אלבו רצועה</v>
      </c>
      <c r="C71" s="12" t="n">
        <f aca="false">SUMIFS('BE Raw'!$C$6:$C$615,'BE Raw'!$E$6:$E$615,$A71,'BE Raw'!$B$6:$B$615,2025)</f>
        <v>31</v>
      </c>
      <c r="D71" s="12" t="n">
        <f aca="false">SUMIFS('BE Raw'!$C$6:$C$615,'BE Raw'!$E$6:$E$615,$A71,'BE Raw'!$B$6:$B$615,2026)</f>
        <v>-6</v>
      </c>
      <c r="E71" s="12" t="n">
        <f aca="false">D71*$J$5</f>
        <v>-7.57894736842105</v>
      </c>
      <c r="F71" s="12" t="n">
        <f aca="false">E71-C71</f>
        <v>-38.5789473684211</v>
      </c>
      <c r="G71" s="21" t="n">
        <f aca="false">IF(AND(C71=0,E71=0),0,IF(C71=0,"New",(E71-C71)/C71))</f>
        <v>-1.24448217317487</v>
      </c>
      <c r="H71" s="12" t="n">
        <f aca="false">SUMIFS('BE Raw'!$D$6:$D$615,'BE Raw'!$E$6:$E$615,$A71,'BE Raw'!$B$6:$B$615,2025)</f>
        <v>2307.7</v>
      </c>
      <c r="I71" s="12" t="n">
        <f aca="false">SUMIFS('BE Raw'!$D$6:$D$615,'BE Raw'!$E$6:$E$615,$A71,'BE Raw'!$B$6:$B$615,2026)</f>
        <v>-449.8</v>
      </c>
      <c r="J71" s="12" t="n">
        <f aca="false">I71*$J$5</f>
        <v>-568.168421052632</v>
      </c>
    </row>
    <row r="72" customFormat="false" ht="15" hidden="false" customHeight="true" outlineLevel="0" collapsed="false">
      <c r="A72" s="12" t="n">
        <v>4408089</v>
      </c>
      <c r="B72" s="12" t="str">
        <f aca="false">IFERROR(INDEX('Catalog'!$B:$B,MATCH($A72,'Catalog'!$A:$A,0)),"")</f>
        <v>T11C S  חגורת גב פוג'יאמה</v>
      </c>
      <c r="C72" s="12" t="n">
        <f aca="false">SUMIFS('BE Raw'!$C$6:$C$615,'BE Raw'!$E$6:$E$615,$A72,'BE Raw'!$B$6:$B$615,2025)</f>
        <v>-2</v>
      </c>
      <c r="D72" s="12" t="n">
        <f aca="false">SUMIFS('BE Raw'!$C$6:$C$615,'BE Raw'!$E$6:$E$615,$A72,'BE Raw'!$B$6:$B$615,2026)</f>
        <v>1</v>
      </c>
      <c r="E72" s="12" t="n">
        <f aca="false">D72*$J$5</f>
        <v>1.26315789473684</v>
      </c>
      <c r="F72" s="12" t="n">
        <f aca="false">E72-C72</f>
        <v>3.26315789473684</v>
      </c>
      <c r="G72" s="21" t="n">
        <f aca="false">IF(AND(C72=0,E72=0),0,IF(C72=0,"New",(E72-C72)/C72))</f>
        <v>-1.63157894736842</v>
      </c>
      <c r="H72" s="12" t="n">
        <f aca="false">SUMIFS('BE Raw'!$D$6:$D$615,'BE Raw'!$E$6:$E$615,$A72,'BE Raw'!$B$6:$B$615,2025)</f>
        <v>-176.4</v>
      </c>
      <c r="I72" s="12" t="n">
        <f aca="false">SUMIFS('BE Raw'!$D$6:$D$615,'BE Raw'!$E$6:$E$615,$A72,'BE Raw'!$B$6:$B$615,2026)</f>
        <v>88.2</v>
      </c>
      <c r="J72" s="12" t="n">
        <f aca="false">I72*$J$5</f>
        <v>111.410526315789</v>
      </c>
    </row>
    <row r="73" customFormat="false" ht="15" hidden="false" customHeight="true" outlineLevel="0" collapsed="false">
      <c r="A73" s="12" t="n">
        <v>4408090</v>
      </c>
      <c r="B73" s="12" t="str">
        <f aca="false">IFERROR(INDEX('Catalog'!$B:$B,MATCH($A73,'Catalog'!$A:$A,0)),"")</f>
        <v>T11C L  חגורת גב פוג'יאמה</v>
      </c>
      <c r="C73" s="12" t="n">
        <f aca="false">SUMIFS('BE Raw'!$C$6:$C$615,'BE Raw'!$E$6:$E$615,$A73,'BE Raw'!$B$6:$B$615,2025)</f>
        <v>8</v>
      </c>
      <c r="D73" s="12" t="n">
        <f aca="false">SUMIFS('BE Raw'!$C$6:$C$615,'BE Raw'!$E$6:$E$615,$A73,'BE Raw'!$B$6:$B$615,2026)</f>
        <v>2</v>
      </c>
      <c r="E73" s="12" t="n">
        <f aca="false">D73*$J$5</f>
        <v>2.52631578947368</v>
      </c>
      <c r="F73" s="12" t="n">
        <f aca="false">E73-C73</f>
        <v>-5.47368421052632</v>
      </c>
      <c r="G73" s="21" t="n">
        <f aca="false">IF(AND(C73=0,E73=0),0,IF(C73=0,"New",(E73-C73)/C73))</f>
        <v>-0.68421052631579</v>
      </c>
      <c r="H73" s="12" t="n">
        <f aca="false">SUMIFS('BE Raw'!$D$6:$D$615,'BE Raw'!$E$6:$E$615,$A73,'BE Raw'!$B$6:$B$615,2025)</f>
        <v>705.6</v>
      </c>
      <c r="I73" s="12" t="n">
        <f aca="false">SUMIFS('BE Raw'!$D$6:$D$615,'BE Raw'!$E$6:$E$615,$A73,'BE Raw'!$B$6:$B$615,2026)</f>
        <v>176.4</v>
      </c>
      <c r="J73" s="12" t="n">
        <f aca="false">I73*$J$5</f>
        <v>222.821052631579</v>
      </c>
    </row>
    <row r="74" customFormat="false" ht="15" hidden="false" customHeight="true" outlineLevel="0" collapsed="false">
      <c r="A74" s="12" t="n">
        <v>4408091</v>
      </c>
      <c r="B74" s="12" t="str">
        <f aca="false">IFERROR(INDEX('Catalog'!$B:$B,MATCH($A74,'Catalog'!$A:$A,0)),"")</f>
        <v>T11C M  חגורת גב פוג'יאמה</v>
      </c>
      <c r="C74" s="12" t="n">
        <f aca="false">SUMIFS('BE Raw'!$C$6:$C$615,'BE Raw'!$E$6:$E$615,$A74,'BE Raw'!$B$6:$B$615,2025)</f>
        <v>0</v>
      </c>
      <c r="D74" s="12" t="n">
        <f aca="false">SUMIFS('BE Raw'!$C$6:$C$615,'BE Raw'!$E$6:$E$615,$A74,'BE Raw'!$B$6:$B$615,2026)</f>
        <v>2</v>
      </c>
      <c r="E74" s="12" t="n">
        <f aca="false">D74*$J$5</f>
        <v>2.52631578947368</v>
      </c>
      <c r="F74" s="12" t="n">
        <f aca="false">E74-C74</f>
        <v>2.52631578947368</v>
      </c>
      <c r="G74" s="21" t="str">
        <f aca="false">IF(AND(C74=0,E74=0),0,IF(C74=0,"New",(E74-C74)/C74))</f>
        <v>New</v>
      </c>
      <c r="H74" s="12" t="n">
        <f aca="false">SUMIFS('BE Raw'!$D$6:$D$615,'BE Raw'!$E$6:$E$615,$A74,'BE Raw'!$B$6:$B$615,2025)</f>
        <v>0</v>
      </c>
      <c r="I74" s="12" t="n">
        <f aca="false">SUMIFS('BE Raw'!$D$6:$D$615,'BE Raw'!$E$6:$E$615,$A74,'BE Raw'!$B$6:$B$615,2026)</f>
        <v>176.4</v>
      </c>
      <c r="J74" s="12" t="n">
        <f aca="false">I74*$J$5</f>
        <v>222.821052631579</v>
      </c>
    </row>
    <row r="75" customFormat="false" ht="15" hidden="false" customHeight="true" outlineLevel="0" collapsed="false">
      <c r="A75" s="12" t="n">
        <v>4408092</v>
      </c>
      <c r="B75" s="12" t="str">
        <f aca="false">IFERROR(INDEX('Catalog'!$B:$B,MATCH($A75,'Catalog'!$A:$A,0)),"")</f>
        <v>T11C XL חגורת גב פוג'יאמה</v>
      </c>
      <c r="C75" s="12" t="n">
        <f aca="false">SUMIFS('BE Raw'!$C$6:$C$615,'BE Raw'!$E$6:$E$615,$A75,'BE Raw'!$B$6:$B$615,2025)</f>
        <v>6</v>
      </c>
      <c r="D75" s="12" t="n">
        <f aca="false">SUMIFS('BE Raw'!$C$6:$C$615,'BE Raw'!$E$6:$E$615,$A75,'BE Raw'!$B$6:$B$615,2026)</f>
        <v>2</v>
      </c>
      <c r="E75" s="12" t="n">
        <f aca="false">D75*$J$5</f>
        <v>2.52631578947368</v>
      </c>
      <c r="F75" s="12" t="n">
        <f aca="false">E75-C75</f>
        <v>-3.47368421052632</v>
      </c>
      <c r="G75" s="21" t="n">
        <f aca="false">IF(AND(C75=0,E75=0),0,IF(C75=0,"New",(E75-C75)/C75))</f>
        <v>-0.578947368421053</v>
      </c>
      <c r="H75" s="12" t="n">
        <f aca="false">SUMIFS('BE Raw'!$D$6:$D$615,'BE Raw'!$E$6:$E$615,$A75,'BE Raw'!$B$6:$B$615,2025)</f>
        <v>529.2</v>
      </c>
      <c r="I75" s="12" t="n">
        <f aca="false">SUMIFS('BE Raw'!$D$6:$D$615,'BE Raw'!$E$6:$E$615,$A75,'BE Raw'!$B$6:$B$615,2026)</f>
        <v>176.4</v>
      </c>
      <c r="J75" s="12" t="n">
        <f aca="false">I75*$J$5</f>
        <v>222.821052631579</v>
      </c>
    </row>
    <row r="76" customFormat="false" ht="15" hidden="false" customHeight="true" outlineLevel="0" collapsed="false">
      <c r="A76" s="12" t="n">
        <v>4408093</v>
      </c>
      <c r="B76" s="12" t="str">
        <f aca="false">IFERROR(INDEX('Catalog'!$B:$B,MATCH($A76,'Catalog'!$A:$A,0)),"")</f>
        <v>T11C XXL חגורת גב פוג'יאמה</v>
      </c>
      <c r="C76" s="12" t="n">
        <f aca="false">SUMIFS('BE Raw'!$C$6:$C$615,'BE Raw'!$E$6:$E$615,$A76,'BE Raw'!$B$6:$B$615,2025)</f>
        <v>0</v>
      </c>
      <c r="D76" s="12" t="n">
        <f aca="false">SUMIFS('BE Raw'!$C$6:$C$615,'BE Raw'!$E$6:$E$615,$A76,'BE Raw'!$B$6:$B$615,2026)</f>
        <v>1</v>
      </c>
      <c r="E76" s="12" t="n">
        <f aca="false">D76*$J$5</f>
        <v>1.26315789473684</v>
      </c>
      <c r="F76" s="12" t="n">
        <f aca="false">E76-C76</f>
        <v>1.26315789473684</v>
      </c>
      <c r="G76" s="21" t="str">
        <f aca="false">IF(AND(C76=0,E76=0),0,IF(C76=0,"New",(E76-C76)/C76))</f>
        <v>New</v>
      </c>
      <c r="H76" s="12" t="n">
        <f aca="false">SUMIFS('BE Raw'!$D$6:$D$615,'BE Raw'!$E$6:$E$615,$A76,'BE Raw'!$B$6:$B$615,2025)</f>
        <v>0</v>
      </c>
      <c r="I76" s="12" t="n">
        <f aca="false">SUMIFS('BE Raw'!$D$6:$D$615,'BE Raw'!$E$6:$E$615,$A76,'BE Raw'!$B$6:$B$615,2026)</f>
        <v>88.2</v>
      </c>
      <c r="J76" s="12" t="n">
        <f aca="false">I76*$J$5</f>
        <v>111.410526315789</v>
      </c>
    </row>
    <row r="77" customFormat="false" ht="15" hidden="false" customHeight="true" outlineLevel="0" collapsed="false">
      <c r="A77" s="12" t="n">
        <v>4408094</v>
      </c>
      <c r="B77" s="12" t="str">
        <f aca="false">IFERROR(INDEX('Catalog'!$B:$B,MATCH($A77,'Catalog'!$A:$A,0)),"")</f>
        <v>T20 S-M חבק יד עם צמדן</v>
      </c>
      <c r="C77" s="12" t="n">
        <f aca="false">SUMIFS('BE Raw'!$C$6:$C$615,'BE Raw'!$E$6:$E$615,$A77,'BE Raw'!$B$6:$B$615,2025)</f>
        <v>42</v>
      </c>
      <c r="D77" s="12" t="n">
        <f aca="false">SUMIFS('BE Raw'!$C$6:$C$615,'BE Raw'!$E$6:$E$615,$A77,'BE Raw'!$B$6:$B$615,2026)</f>
        <v>27</v>
      </c>
      <c r="E77" s="12" t="n">
        <f aca="false">D77*$J$5</f>
        <v>34.1052631578947</v>
      </c>
      <c r="F77" s="12" t="n">
        <f aca="false">E77-C77</f>
        <v>-7.89473684210527</v>
      </c>
      <c r="G77" s="21" t="n">
        <f aca="false">IF(AND(C77=0,E77=0),0,IF(C77=0,"New",(E77-C77)/C77))</f>
        <v>-0.18796992481203</v>
      </c>
      <c r="H77" s="12" t="n">
        <f aca="false">SUMIFS('BE Raw'!$D$6:$D$615,'BE Raw'!$E$6:$E$615,$A77,'BE Raw'!$B$6:$B$615,2025)</f>
        <v>1443.5</v>
      </c>
      <c r="I77" s="12" t="n">
        <f aca="false">SUMIFS('BE Raw'!$D$6:$D$615,'BE Raw'!$E$6:$E$615,$A77,'BE Raw'!$B$6:$B$615,2026)</f>
        <v>928</v>
      </c>
      <c r="J77" s="12" t="n">
        <f aca="false">I77*$J$5</f>
        <v>1172.21052631579</v>
      </c>
    </row>
    <row r="78" customFormat="false" ht="15" hidden="false" customHeight="true" outlineLevel="0" collapsed="false">
      <c r="A78" s="12" t="n">
        <v>4408095</v>
      </c>
      <c r="B78" s="12" t="str">
        <f aca="false">IFERROR(INDEX('Catalog'!$B:$B,MATCH($A78,'Catalog'!$A:$A,0)),"")</f>
        <v>T20 L-XL  חבק יד עם צמדן</v>
      </c>
      <c r="C78" s="12" t="n">
        <f aca="false">SUMIFS('BE Raw'!$C$6:$C$615,'BE Raw'!$E$6:$E$615,$A78,'BE Raw'!$B$6:$B$615,2025)</f>
        <v>31</v>
      </c>
      <c r="D78" s="12" t="n">
        <f aca="false">SUMIFS('BE Raw'!$C$6:$C$615,'BE Raw'!$E$6:$E$615,$A78,'BE Raw'!$B$6:$B$615,2026)</f>
        <v>21</v>
      </c>
      <c r="E78" s="12" t="n">
        <f aca="false">D78*$J$5</f>
        <v>26.5263157894737</v>
      </c>
      <c r="F78" s="12" t="n">
        <f aca="false">E78-C78</f>
        <v>-4.47368421052632</v>
      </c>
      <c r="G78" s="21" t="n">
        <f aca="false">IF(AND(C78=0,E78=0),0,IF(C78=0,"New",(E78-C78)/C78))</f>
        <v>-0.144312393887946</v>
      </c>
      <c r="H78" s="12" t="n">
        <f aca="false">SUMIFS('BE Raw'!$D$6:$D$615,'BE Raw'!$E$6:$E$615,$A78,'BE Raw'!$B$6:$B$615,2025)</f>
        <v>1065.5</v>
      </c>
      <c r="I78" s="12" t="n">
        <f aca="false">SUMIFS('BE Raw'!$D$6:$D$615,'BE Raw'!$E$6:$E$615,$A78,'BE Raw'!$B$6:$B$615,2026)</f>
        <v>724.1</v>
      </c>
      <c r="J78" s="12" t="n">
        <f aca="false">I78*$J$5</f>
        <v>914.652631578947</v>
      </c>
    </row>
    <row r="79" customFormat="false" ht="15" hidden="false" customHeight="true" outlineLevel="0" collapsed="false">
      <c r="A79" s="12" t="n">
        <v>4408098</v>
      </c>
      <c r="B79" s="12" t="str">
        <f aca="false">IFERROR(INDEX('Catalog'!$B:$B,MATCH($A79,'Catalog'!$A:$A,0)),"")</f>
        <v>T25-חבק יד אגודלי</v>
      </c>
      <c r="C79" s="12" t="n">
        <f aca="false">SUMIFS('BE Raw'!$C$6:$C$615,'BE Raw'!$E$6:$E$615,$A79,'BE Raw'!$B$6:$B$615,2025)</f>
        <v>386</v>
      </c>
      <c r="D79" s="12" t="n">
        <f aca="false">SUMIFS('BE Raw'!$C$6:$C$615,'BE Raw'!$E$6:$E$615,$A79,'BE Raw'!$B$6:$B$615,2026)</f>
        <v>257</v>
      </c>
      <c r="E79" s="12" t="n">
        <f aca="false">D79*$J$5</f>
        <v>324.631578947368</v>
      </c>
      <c r="F79" s="12" t="n">
        <f aca="false">E79-C79</f>
        <v>-61.3684210526316</v>
      </c>
      <c r="G79" s="21" t="n">
        <f aca="false">IF(AND(C79=0,E79=0),0,IF(C79=0,"New",(E79-C79)/C79))</f>
        <v>-0.158985546768476</v>
      </c>
      <c r="H79" s="12" t="n">
        <f aca="false">SUMIFS('BE Raw'!$D$6:$D$615,'BE Raw'!$E$6:$E$615,$A79,'BE Raw'!$B$6:$B$615,2025)</f>
        <v>15339.9</v>
      </c>
      <c r="I79" s="12" t="n">
        <f aca="false">SUMIFS('BE Raw'!$D$6:$D$615,'BE Raw'!$E$6:$E$615,$A79,'BE Raw'!$B$6:$B$615,2026)</f>
        <v>10215.4</v>
      </c>
      <c r="J79" s="12" t="n">
        <f aca="false">I79*$J$5</f>
        <v>12903.6631578947</v>
      </c>
    </row>
    <row r="80" customFormat="false" ht="15" hidden="false" customHeight="true" outlineLevel="0" collapsed="false">
      <c r="A80" s="12" t="n">
        <v>4408099</v>
      </c>
      <c r="B80" s="12" t="str">
        <f aca="false">IFERROR(INDEX('Catalog'!$B:$B,MATCH($A80,'Catalog'!$A:$A,0)),"")</f>
        <v>T25C-חבק יד אגודלי</v>
      </c>
      <c r="C80" s="12" t="n">
        <f aca="false">SUMIFS('BE Raw'!$C$6:$C$615,'BE Raw'!$E$6:$E$615,$A80,'BE Raw'!$B$6:$B$615,2025)</f>
        <v>322</v>
      </c>
      <c r="D80" s="12" t="n">
        <f aca="false">SUMIFS('BE Raw'!$C$6:$C$615,'BE Raw'!$E$6:$E$615,$A80,'BE Raw'!$B$6:$B$615,2026)</f>
        <v>283</v>
      </c>
      <c r="E80" s="12" t="n">
        <f aca="false">D80*$J$5</f>
        <v>357.473684210526</v>
      </c>
      <c r="F80" s="12" t="n">
        <f aca="false">E80-C80</f>
        <v>35.4736842105263</v>
      </c>
      <c r="G80" s="21" t="n">
        <f aca="false">IF(AND(C80=0,E80=0),0,IF(C80=0,"New",(E80-C80)/C80))</f>
        <v>0.110166721150703</v>
      </c>
      <c r="H80" s="12" t="n">
        <f aca="false">SUMIFS('BE Raw'!$D$6:$D$615,'BE Raw'!$E$6:$E$615,$A80,'BE Raw'!$B$6:$B$615,2025)</f>
        <v>12779.1</v>
      </c>
      <c r="I80" s="12" t="n">
        <f aca="false">SUMIFS('BE Raw'!$D$6:$D$615,'BE Raw'!$E$6:$E$615,$A80,'BE Raw'!$B$6:$B$615,2026)</f>
        <v>11246.5</v>
      </c>
      <c r="J80" s="12" t="n">
        <f aca="false">I80*$J$5</f>
        <v>14206.1052631579</v>
      </c>
    </row>
    <row r="81" customFormat="false" ht="15" hidden="false" customHeight="true" outlineLevel="0" collapsed="false">
      <c r="A81" s="12" t="n">
        <v>4408104</v>
      </c>
      <c r="B81" s="12" t="str">
        <f aca="false">IFERROR(INDEX('Catalog'!$B:$B,MATCH($A81,'Catalog'!$A:$A,0)),"")</f>
        <v>19 L-XLחגורת הריון בכאב.חזק</v>
      </c>
      <c r="C81" s="12" t="n">
        <f aca="false">SUMIFS('BE Raw'!$C$6:$C$615,'BE Raw'!$E$6:$E$615,$A81,'BE Raw'!$B$6:$B$615,2025)</f>
        <v>0</v>
      </c>
      <c r="D81" s="12" t="n">
        <f aca="false">SUMIFS('BE Raw'!$C$6:$C$615,'BE Raw'!$E$6:$E$615,$A81,'BE Raw'!$B$6:$B$615,2026)</f>
        <v>-1</v>
      </c>
      <c r="E81" s="12" t="n">
        <f aca="false">D81*$J$5</f>
        <v>-1.26315789473684</v>
      </c>
      <c r="F81" s="12" t="n">
        <f aca="false">E81-C81</f>
        <v>-1.26315789473684</v>
      </c>
      <c r="G81" s="21" t="str">
        <f aca="false">IF(AND(C81=0,E81=0),0,IF(C81=0,"New",(E81-C81)/C81))</f>
        <v>New</v>
      </c>
      <c r="H81" s="12" t="n">
        <f aca="false">SUMIFS('BE Raw'!$D$6:$D$615,'BE Raw'!$E$6:$E$615,$A81,'BE Raw'!$B$6:$B$615,2025)</f>
        <v>0</v>
      </c>
      <c r="I81" s="12" t="n">
        <f aca="false">SUMIFS('BE Raw'!$D$6:$D$615,'BE Raw'!$E$6:$E$615,$A81,'BE Raw'!$B$6:$B$615,2026)</f>
        <v>-223.2</v>
      </c>
      <c r="J81" s="12" t="n">
        <f aca="false">I81*$J$5</f>
        <v>-281.936842105263</v>
      </c>
    </row>
    <row r="82" customFormat="false" ht="15" hidden="false" customHeight="true" outlineLevel="0" collapsed="false">
      <c r="A82" s="12" t="n">
        <v>4408115</v>
      </c>
      <c r="B82" s="12" t="str">
        <f aca="false">IFERROR(INDEX('Catalog'!$B:$B,MATCH($A82,'Catalog'!$A:$A,0)),"")</f>
        <v>11EU L ח.בטן לאחר ניתוח</v>
      </c>
      <c r="C82" s="12" t="n">
        <f aca="false">SUMIFS('BE Raw'!$C$6:$C$615,'BE Raw'!$E$6:$E$615,$A82,'BE Raw'!$B$6:$B$615,2025)</f>
        <v>11</v>
      </c>
      <c r="D82" s="12" t="n">
        <f aca="false">SUMIFS('BE Raw'!$C$6:$C$615,'BE Raw'!$E$6:$E$615,$A82,'BE Raw'!$B$6:$B$615,2026)</f>
        <v>24</v>
      </c>
      <c r="E82" s="12" t="n">
        <f aca="false">D82*$J$5</f>
        <v>30.3157894736842</v>
      </c>
      <c r="F82" s="12" t="n">
        <f aca="false">E82-C82</f>
        <v>19.3157894736842</v>
      </c>
      <c r="G82" s="21" t="n">
        <f aca="false">IF(AND(C82=0,E82=0),0,IF(C82=0,"New",(E82-C82)/C82))</f>
        <v>1.75598086124402</v>
      </c>
      <c r="H82" s="12" t="n">
        <f aca="false">SUMIFS('BE Raw'!$D$6:$D$615,'BE Raw'!$E$6:$E$615,$A82,'BE Raw'!$B$6:$B$615,2025)</f>
        <v>1067.3</v>
      </c>
      <c r="I82" s="12" t="n">
        <f aca="false">SUMIFS('BE Raw'!$D$6:$D$615,'BE Raw'!$E$6:$E$615,$A82,'BE Raw'!$B$6:$B$615,2026)</f>
        <v>2328.8</v>
      </c>
      <c r="J82" s="12" t="n">
        <f aca="false">I82*$J$5</f>
        <v>2941.64210526316</v>
      </c>
    </row>
    <row r="83" customFormat="false" ht="15" hidden="false" customHeight="true" outlineLevel="0" collapsed="false">
      <c r="A83" s="12" t="n">
        <v>4408132</v>
      </c>
      <c r="B83" s="12" t="str">
        <f aca="false">IFERROR(INDEX('Catalog'!$B:$B,MATCH($A83,'Catalog'!$A:$A,0)),"")</f>
        <v>11EU XXL חגורת בטןלאחר ניתוח</v>
      </c>
      <c r="C83" s="12" t="n">
        <f aca="false">SUMIFS('BE Raw'!$C$6:$C$615,'BE Raw'!$E$6:$E$615,$A83,'BE Raw'!$B$6:$B$615,2025)</f>
        <v>63</v>
      </c>
      <c r="D83" s="12" t="n">
        <f aca="false">SUMIFS('BE Raw'!$C$6:$C$615,'BE Raw'!$E$6:$E$615,$A83,'BE Raw'!$B$6:$B$615,2026)</f>
        <v>65</v>
      </c>
      <c r="E83" s="12" t="n">
        <f aca="false">D83*$J$5</f>
        <v>82.1052631578947</v>
      </c>
      <c r="F83" s="12" t="n">
        <f aca="false">E83-C83</f>
        <v>19.1052631578947</v>
      </c>
      <c r="G83" s="21" t="n">
        <f aca="false">IF(AND(C83=0,E83=0),0,IF(C83=0,"New",(E83-C83)/C83))</f>
        <v>0.303258145363408</v>
      </c>
      <c r="H83" s="12" t="n">
        <f aca="false">SUMIFS('BE Raw'!$D$6:$D$615,'BE Raw'!$E$6:$E$615,$A83,'BE Raw'!$B$6:$B$615,2025)</f>
        <v>6048</v>
      </c>
      <c r="I83" s="12" t="n">
        <f aca="false">SUMIFS('BE Raw'!$D$6:$D$615,'BE Raw'!$E$6:$E$615,$A83,'BE Raw'!$B$6:$B$615,2026)</f>
        <v>6240</v>
      </c>
      <c r="J83" s="12" t="n">
        <f aca="false">I83*$J$5</f>
        <v>7882.10526315789</v>
      </c>
    </row>
    <row r="84" customFormat="false" ht="15" hidden="false" customHeight="true" outlineLevel="0" collapsed="false">
      <c r="A84" s="12" t="n">
        <v>4408145</v>
      </c>
      <c r="B84" s="12" t="str">
        <f aca="false">IFERROR(INDEX('Catalog'!$B:$B,MATCH($A84,'Catalog'!$A:$A,0)),"")</f>
        <v>11PS Sחגורה למנותחי בטן</v>
      </c>
      <c r="C84" s="12" t="n">
        <f aca="false">SUMIFS('BE Raw'!$C$6:$C$615,'BE Raw'!$E$6:$E$615,$A84,'BE Raw'!$B$6:$B$615,2025)</f>
        <v>-1</v>
      </c>
      <c r="D84" s="12" t="n">
        <f aca="false">SUMIFS('BE Raw'!$C$6:$C$615,'BE Raw'!$E$6:$E$615,$A84,'BE Raw'!$B$6:$B$615,2026)</f>
        <v>0</v>
      </c>
      <c r="E84" s="12" t="n">
        <f aca="false">D84*$J$5</f>
        <v>0</v>
      </c>
      <c r="F84" s="12" t="n">
        <f aca="false">E84-C84</f>
        <v>1</v>
      </c>
      <c r="G84" s="21" t="n">
        <f aca="false">IF(AND(C84=0,E84=0),0,IF(C84=0,"New",(E84-C84)/C84))</f>
        <v>-1</v>
      </c>
      <c r="H84" s="12" t="n">
        <f aca="false">SUMIFS('BE Raw'!$D$6:$D$615,'BE Raw'!$E$6:$E$615,$A84,'BE Raw'!$B$6:$B$615,2025)</f>
        <v>-118.6</v>
      </c>
      <c r="I84" s="12" t="n">
        <f aca="false">SUMIFS('BE Raw'!$D$6:$D$615,'BE Raw'!$E$6:$E$615,$A84,'BE Raw'!$B$6:$B$615,2026)</f>
        <v>0</v>
      </c>
      <c r="J84" s="12" t="n">
        <f aca="false">I84*$J$5</f>
        <v>0</v>
      </c>
    </row>
    <row r="85" customFormat="false" ht="15" hidden="false" customHeight="true" outlineLevel="0" collapsed="false">
      <c r="A85" s="12" t="n">
        <v>4408146</v>
      </c>
      <c r="B85" s="12" t="str">
        <f aca="false">IFERROR(INDEX('Catalog'!$B:$B,MATCH($A85,'Catalog'!$A:$A,0)),"")</f>
        <v>11PS Mחגורה למנותחי בטן</v>
      </c>
      <c r="C85" s="12" t="n">
        <f aca="false">SUMIFS('BE Raw'!$C$6:$C$615,'BE Raw'!$E$6:$E$615,$A85,'BE Raw'!$B$6:$B$615,2025)</f>
        <v>1</v>
      </c>
      <c r="D85" s="12" t="n">
        <f aca="false">SUMIFS('BE Raw'!$C$6:$C$615,'BE Raw'!$E$6:$E$615,$A85,'BE Raw'!$B$6:$B$615,2026)</f>
        <v>0</v>
      </c>
      <c r="E85" s="12" t="n">
        <f aca="false">D85*$J$5</f>
        <v>0</v>
      </c>
      <c r="F85" s="12" t="n">
        <f aca="false">E85-C85</f>
        <v>-1</v>
      </c>
      <c r="G85" s="21" t="n">
        <f aca="false">IF(AND(C85=0,E85=0),0,IF(C85=0,"New",(E85-C85)/C85))</f>
        <v>-1</v>
      </c>
      <c r="H85" s="12" t="n">
        <f aca="false">SUMIFS('BE Raw'!$D$6:$D$615,'BE Raw'!$E$6:$E$615,$A85,'BE Raw'!$B$6:$B$615,2025)</f>
        <v>118.6</v>
      </c>
      <c r="I85" s="12" t="n">
        <f aca="false">SUMIFS('BE Raw'!$D$6:$D$615,'BE Raw'!$E$6:$E$615,$A85,'BE Raw'!$B$6:$B$615,2026)</f>
        <v>0</v>
      </c>
      <c r="J85" s="12" t="n">
        <f aca="false">I85*$J$5</f>
        <v>0</v>
      </c>
    </row>
    <row r="86" customFormat="false" ht="15" hidden="false" customHeight="true" outlineLevel="0" collapsed="false">
      <c r="A86" s="12" t="n">
        <v>4408148</v>
      </c>
      <c r="B86" s="12" t="str">
        <f aca="false">IFERROR(INDEX('Catalog'!$B:$B,MATCH($A86,'Catalog'!$A:$A,0)),"")</f>
        <v>11PS XLחגורה למנותחי בטן</v>
      </c>
      <c r="C86" s="12" t="n">
        <f aca="false">SUMIFS('BE Raw'!$C$6:$C$615,'BE Raw'!$E$6:$E$615,$A86,'BE Raw'!$B$6:$B$615,2025)</f>
        <v>11</v>
      </c>
      <c r="D86" s="12" t="n">
        <f aca="false">SUMIFS('BE Raw'!$C$6:$C$615,'BE Raw'!$E$6:$E$615,$A86,'BE Raw'!$B$6:$B$615,2026)</f>
        <v>0</v>
      </c>
      <c r="E86" s="12" t="n">
        <f aca="false">D86*$J$5</f>
        <v>0</v>
      </c>
      <c r="F86" s="12" t="n">
        <f aca="false">E86-C86</f>
        <v>-11</v>
      </c>
      <c r="G86" s="21" t="n">
        <f aca="false">IF(AND(C86=0,E86=0),0,IF(C86=0,"New",(E86-C86)/C86))</f>
        <v>-1</v>
      </c>
      <c r="H86" s="12" t="n">
        <f aca="false">SUMIFS('BE Raw'!$D$6:$D$615,'BE Raw'!$E$6:$E$615,$A86,'BE Raw'!$B$6:$B$615,2025)</f>
        <v>1305</v>
      </c>
      <c r="I86" s="12" t="n">
        <f aca="false">SUMIFS('BE Raw'!$D$6:$D$615,'BE Raw'!$E$6:$E$615,$A86,'BE Raw'!$B$6:$B$615,2026)</f>
        <v>0</v>
      </c>
      <c r="J86" s="12" t="n">
        <f aca="false">I86*$J$5</f>
        <v>0</v>
      </c>
    </row>
    <row r="87" customFormat="false" ht="15" hidden="false" customHeight="true" outlineLevel="0" collapsed="false">
      <c r="A87" s="12" t="n">
        <v>4408149</v>
      </c>
      <c r="B87" s="12" t="str">
        <f aca="false">IFERROR(INDEX('Catalog'!$B:$B,MATCH($A87,'Catalog'!$A:$A,0)),"")</f>
        <v>11PS XXLחגורה למנותחי בטן</v>
      </c>
      <c r="C87" s="12" t="n">
        <f aca="false">SUMIFS('BE Raw'!$C$6:$C$615,'BE Raw'!$E$6:$E$615,$A87,'BE Raw'!$B$6:$B$615,2025)</f>
        <v>12</v>
      </c>
      <c r="D87" s="12" t="n">
        <f aca="false">SUMIFS('BE Raw'!$C$6:$C$615,'BE Raw'!$E$6:$E$615,$A87,'BE Raw'!$B$6:$B$615,2026)</f>
        <v>3</v>
      </c>
      <c r="E87" s="12" t="n">
        <f aca="false">D87*$J$5</f>
        <v>3.78947368421053</v>
      </c>
      <c r="F87" s="12" t="n">
        <f aca="false">E87-C87</f>
        <v>-8.21052631578947</v>
      </c>
      <c r="G87" s="21" t="n">
        <f aca="false">IF(AND(C87=0,E87=0),0,IF(C87=0,"New",(E87-C87)/C87))</f>
        <v>-0.68421052631579</v>
      </c>
      <c r="H87" s="12" t="n">
        <f aca="false">SUMIFS('BE Raw'!$D$6:$D$615,'BE Raw'!$E$6:$E$615,$A87,'BE Raw'!$B$6:$B$615,2025)</f>
        <v>1423.7</v>
      </c>
      <c r="I87" s="12" t="n">
        <f aca="false">SUMIFS('BE Raw'!$D$6:$D$615,'BE Raw'!$E$6:$E$615,$A87,'BE Raw'!$B$6:$B$615,2026)</f>
        <v>355.9</v>
      </c>
      <c r="J87" s="12" t="n">
        <f aca="false">I87*$J$5</f>
        <v>449.557894736842</v>
      </c>
    </row>
    <row r="88" customFormat="false" ht="15" hidden="false" customHeight="true" outlineLevel="0" collapsed="false">
      <c r="A88" s="12" t="n">
        <v>4408150</v>
      </c>
      <c r="B88" s="12" t="str">
        <f aca="false">IFERROR(INDEX('Catalog'!$B:$B,MATCH($A88,'Catalog'!$A:$A,0)),"")</f>
        <v>11TO S חגורה למנותחי בית החזה</v>
      </c>
      <c r="C88" s="12" t="n">
        <f aca="false">SUMIFS('BE Raw'!$C$6:$C$615,'BE Raw'!$E$6:$E$615,$A88,'BE Raw'!$B$6:$B$615,2025)</f>
        <v>8</v>
      </c>
      <c r="D88" s="12" t="n">
        <f aca="false">SUMIFS('BE Raw'!$C$6:$C$615,'BE Raw'!$E$6:$E$615,$A88,'BE Raw'!$B$6:$B$615,2026)</f>
        <v>12</v>
      </c>
      <c r="E88" s="12" t="n">
        <f aca="false">D88*$J$5</f>
        <v>15.1578947368421</v>
      </c>
      <c r="F88" s="12" t="n">
        <f aca="false">E88-C88</f>
        <v>7.1578947368421</v>
      </c>
      <c r="G88" s="21" t="n">
        <f aca="false">IF(AND(C88=0,E88=0),0,IF(C88=0,"New",(E88-C88)/C88))</f>
        <v>0.894736842105263</v>
      </c>
      <c r="H88" s="12" t="n">
        <f aca="false">SUMIFS('BE Raw'!$D$6:$D$615,'BE Raw'!$E$6:$E$615,$A88,'BE Raw'!$B$6:$B$615,2025)</f>
        <v>1164.4</v>
      </c>
      <c r="I88" s="12" t="n">
        <f aca="false">SUMIFS('BE Raw'!$D$6:$D$615,'BE Raw'!$E$6:$E$615,$A88,'BE Raw'!$B$6:$B$615,2026)</f>
        <v>1746.8</v>
      </c>
      <c r="J88" s="12" t="n">
        <f aca="false">I88*$J$5</f>
        <v>2206.48421052632</v>
      </c>
    </row>
    <row r="89" customFormat="false" ht="15" hidden="false" customHeight="true" outlineLevel="0" collapsed="false">
      <c r="A89" s="12" t="n">
        <v>4408151</v>
      </c>
      <c r="B89" s="12" t="str">
        <f aca="false">IFERROR(INDEX('Catalog'!$B:$B,MATCH($A89,'Catalog'!$A:$A,0)),"")</f>
        <v>11TO M חגורה למנותחי בית החזה</v>
      </c>
      <c r="C89" s="12" t="n">
        <f aca="false">SUMIFS('BE Raw'!$C$6:$C$615,'BE Raw'!$E$6:$E$615,$A89,'BE Raw'!$B$6:$B$615,2025)</f>
        <v>17</v>
      </c>
      <c r="D89" s="12" t="n">
        <f aca="false">SUMIFS('BE Raw'!$C$6:$C$615,'BE Raw'!$E$6:$E$615,$A89,'BE Raw'!$B$6:$B$615,2026)</f>
        <v>27</v>
      </c>
      <c r="E89" s="12" t="n">
        <f aca="false">D89*$J$5</f>
        <v>34.1052631578947</v>
      </c>
      <c r="F89" s="12" t="n">
        <f aca="false">E89-C89</f>
        <v>17.1052631578947</v>
      </c>
      <c r="G89" s="21" t="n">
        <f aca="false">IF(AND(C89=0,E89=0),0,IF(C89=0,"New",(E89-C89)/C89))</f>
        <v>1.0061919504644</v>
      </c>
      <c r="H89" s="12" t="n">
        <f aca="false">SUMIFS('BE Raw'!$D$6:$D$615,'BE Raw'!$E$6:$E$615,$A89,'BE Raw'!$B$6:$B$615,2025)</f>
        <v>2225</v>
      </c>
      <c r="I89" s="12" t="n">
        <f aca="false">SUMIFS('BE Raw'!$D$6:$D$615,'BE Raw'!$E$6:$E$615,$A89,'BE Raw'!$B$6:$B$615,2026)</f>
        <v>3930.2</v>
      </c>
      <c r="J89" s="12" t="n">
        <f aca="false">I89*$J$5</f>
        <v>4964.46315789474</v>
      </c>
    </row>
    <row r="90" customFormat="false" ht="15" hidden="false" customHeight="true" outlineLevel="0" collapsed="false">
      <c r="A90" s="12" t="n">
        <v>4408152</v>
      </c>
      <c r="B90" s="12" t="str">
        <f aca="false">IFERROR(INDEX('Catalog'!$B:$B,MATCH($A90,'Catalog'!$A:$A,0)),"")</f>
        <v>11TO L חגורה למנותחי בית החזה</v>
      </c>
      <c r="C90" s="12" t="n">
        <f aca="false">SUMIFS('BE Raw'!$C$6:$C$615,'BE Raw'!$E$6:$E$615,$A90,'BE Raw'!$B$6:$B$615,2025)</f>
        <v>41</v>
      </c>
      <c r="D90" s="12" t="n">
        <f aca="false">SUMIFS('BE Raw'!$C$6:$C$615,'BE Raw'!$E$6:$E$615,$A90,'BE Raw'!$B$6:$B$615,2026)</f>
        <v>49</v>
      </c>
      <c r="E90" s="12" t="n">
        <f aca="false">D90*$J$5</f>
        <v>61.8947368421053</v>
      </c>
      <c r="F90" s="12" t="n">
        <f aca="false">E90-C90</f>
        <v>20.8947368421053</v>
      </c>
      <c r="G90" s="21" t="n">
        <f aca="false">IF(AND(C90=0,E90=0),0,IF(C90=0,"New",(E90-C90)/C90))</f>
        <v>0.509627727856226</v>
      </c>
      <c r="H90" s="12" t="n">
        <f aca="false">SUMIFS('BE Raw'!$D$6:$D$615,'BE Raw'!$E$6:$E$615,$A90,'BE Raw'!$B$6:$B$615,2025)</f>
        <v>5718.4</v>
      </c>
      <c r="I90" s="12" t="n">
        <f aca="false">SUMIFS('BE Raw'!$D$6:$D$615,'BE Raw'!$E$6:$E$615,$A90,'BE Raw'!$B$6:$B$615,2026)</f>
        <v>7132.5</v>
      </c>
      <c r="J90" s="12" t="n">
        <f aca="false">I90*$J$5</f>
        <v>9009.47368421053</v>
      </c>
    </row>
    <row r="91" customFormat="false" ht="15" hidden="false" customHeight="true" outlineLevel="0" collapsed="false">
      <c r="A91" s="12" t="n">
        <v>4408153</v>
      </c>
      <c r="B91" s="12" t="str">
        <f aca="false">IFERROR(INDEX('Catalog'!$B:$B,MATCH($A91,'Catalog'!$A:$A,0)),"")</f>
        <v>11TO XLחגורה למנותחי בית החזה</v>
      </c>
      <c r="C91" s="12" t="n">
        <f aca="false">SUMIFS('BE Raw'!$C$6:$C$615,'BE Raw'!$E$6:$E$615,$A91,'BE Raw'!$B$6:$B$615,2025)</f>
        <v>57</v>
      </c>
      <c r="D91" s="12" t="n">
        <f aca="false">SUMIFS('BE Raw'!$C$6:$C$615,'BE Raw'!$E$6:$E$615,$A91,'BE Raw'!$B$6:$B$615,2026)</f>
        <v>59</v>
      </c>
      <c r="E91" s="12" t="n">
        <f aca="false">D91*$J$5</f>
        <v>74.5263157894737</v>
      </c>
      <c r="F91" s="12" t="n">
        <f aca="false">E91-C91</f>
        <v>17.5263157894737</v>
      </c>
      <c r="G91" s="21" t="n">
        <f aca="false">IF(AND(C91=0,E91=0),0,IF(C91=0,"New",(E91-C91)/C91))</f>
        <v>0.307479224376731</v>
      </c>
      <c r="H91" s="12" t="n">
        <f aca="false">SUMIFS('BE Raw'!$D$6:$D$615,'BE Raw'!$E$6:$E$615,$A91,'BE Raw'!$B$6:$B$615,2025)</f>
        <v>8296.9</v>
      </c>
      <c r="I91" s="12" t="n">
        <f aca="false">SUMIFS('BE Raw'!$D$6:$D$615,'BE Raw'!$E$6:$E$615,$A91,'BE Raw'!$B$6:$B$615,2026)</f>
        <v>8588</v>
      </c>
      <c r="J91" s="12" t="n">
        <f aca="false">I91*$J$5</f>
        <v>10848</v>
      </c>
    </row>
    <row r="92" customFormat="false" ht="15" hidden="false" customHeight="true" outlineLevel="0" collapsed="false">
      <c r="A92" s="12" t="n">
        <v>4408154</v>
      </c>
      <c r="B92" s="12" t="str">
        <f aca="false">IFERROR(INDEX('Catalog'!$B:$B,MATCH($A92,'Catalog'!$A:$A,0)),"")</f>
        <v>11TO XXLחגורה למנותחי בית החזה</v>
      </c>
      <c r="C92" s="12" t="n">
        <f aca="false">SUMIFS('BE Raw'!$C$6:$C$615,'BE Raw'!$E$6:$E$615,$A92,'BE Raw'!$B$6:$B$615,2025)</f>
        <v>61</v>
      </c>
      <c r="D92" s="12" t="n">
        <f aca="false">SUMIFS('BE Raw'!$C$6:$C$615,'BE Raw'!$E$6:$E$615,$A92,'BE Raw'!$B$6:$B$615,2026)</f>
        <v>83</v>
      </c>
      <c r="E92" s="12" t="n">
        <f aca="false">D92*$J$5</f>
        <v>104.842105263158</v>
      </c>
      <c r="F92" s="12" t="n">
        <f aca="false">E92-C92</f>
        <v>43.8421052631579</v>
      </c>
      <c r="G92" s="21" t="n">
        <f aca="false">IF(AND(C92=0,E92=0),0,IF(C92=0,"New",(E92-C92)/C92))</f>
        <v>0.718723037100949</v>
      </c>
      <c r="H92" s="12" t="n">
        <f aca="false">SUMIFS('BE Raw'!$D$6:$D$615,'BE Raw'!$E$6:$E$615,$A92,'BE Raw'!$B$6:$B$615,2025)</f>
        <v>8879.2</v>
      </c>
      <c r="I92" s="12" t="n">
        <f aca="false">SUMIFS('BE Raw'!$D$6:$D$615,'BE Raw'!$E$6:$E$615,$A92,'BE Raw'!$B$6:$B$615,2026)</f>
        <v>12081.5</v>
      </c>
      <c r="J92" s="12" t="n">
        <f aca="false">I92*$J$5</f>
        <v>15260.8421052632</v>
      </c>
    </row>
    <row r="93" customFormat="false" ht="15" hidden="false" customHeight="true" outlineLevel="0" collapsed="false">
      <c r="A93" s="12" t="n">
        <v>4408203</v>
      </c>
      <c r="B93" s="12" t="str">
        <f aca="false">IFERROR(INDEX('Catalog'!$B:$B,MATCH($A93,'Catalog'!$A:$A,0)),"")</f>
        <v>14 0 חגורה למנותחי בית חזה</v>
      </c>
      <c r="C93" s="12" t="n">
        <f aca="false">SUMIFS('BE Raw'!$C$6:$C$615,'BE Raw'!$E$6:$E$615,$A93,'BE Raw'!$B$6:$B$615,2025)</f>
        <v>0</v>
      </c>
      <c r="D93" s="12" t="n">
        <f aca="false">SUMIFS('BE Raw'!$C$6:$C$615,'BE Raw'!$E$6:$E$615,$A93,'BE Raw'!$B$6:$B$615,2026)</f>
        <v>2</v>
      </c>
      <c r="E93" s="12" t="n">
        <f aca="false">D93*$J$5</f>
        <v>2.52631578947368</v>
      </c>
      <c r="F93" s="12" t="n">
        <f aca="false">E93-C93</f>
        <v>2.52631578947368</v>
      </c>
      <c r="G93" s="21" t="str">
        <f aca="false">IF(AND(C93=0,E93=0),0,IF(C93=0,"New",(E93-C93)/C93))</f>
        <v>New</v>
      </c>
      <c r="H93" s="12" t="n">
        <f aca="false">SUMIFS('BE Raw'!$D$6:$D$615,'BE Raw'!$E$6:$E$615,$A93,'BE Raw'!$B$6:$B$615,2025)</f>
        <v>0</v>
      </c>
      <c r="I93" s="12" t="n">
        <f aca="false">SUMIFS('BE Raw'!$D$6:$D$615,'BE Raw'!$E$6:$E$615,$A93,'BE Raw'!$B$6:$B$615,2026)</f>
        <v>502.9</v>
      </c>
      <c r="J93" s="12" t="n">
        <f aca="false">I93*$J$5</f>
        <v>635.242105263158</v>
      </c>
    </row>
    <row r="94" customFormat="false" ht="15" hidden="false" customHeight="true" outlineLevel="0" collapsed="false">
      <c r="A94" s="12" t="n">
        <v>4408205</v>
      </c>
      <c r="B94" s="12" t="str">
        <f aca="false">IFERROR(INDEX('Catalog'!$B:$B,MATCH($A94,'Catalog'!$A:$A,0)),"")</f>
        <v>AC-07 חגורת גב עם תמיכות</v>
      </c>
      <c r="C94" s="12" t="n">
        <f aca="false">SUMIFS('BE Raw'!$C$6:$C$615,'BE Raw'!$E$6:$E$615,$A94,'BE Raw'!$B$6:$B$615,2025)</f>
        <v>22</v>
      </c>
      <c r="D94" s="12" t="n">
        <f aca="false">SUMIFS('BE Raw'!$C$6:$C$615,'BE Raw'!$E$6:$E$615,$A94,'BE Raw'!$B$6:$B$615,2026)</f>
        <v>22</v>
      </c>
      <c r="E94" s="12" t="n">
        <f aca="false">D94*$J$5</f>
        <v>27.7894736842105</v>
      </c>
      <c r="F94" s="12" t="n">
        <f aca="false">E94-C94</f>
        <v>5.78947368421052</v>
      </c>
      <c r="G94" s="21" t="n">
        <f aca="false">IF(AND(C94=0,E94=0),0,IF(C94=0,"New",(E94-C94)/C94))</f>
        <v>0.263157894736842</v>
      </c>
      <c r="H94" s="12" t="n">
        <f aca="false">SUMIFS('BE Raw'!$D$6:$D$615,'BE Raw'!$E$6:$E$615,$A94,'BE Raw'!$B$6:$B$615,2025)</f>
        <v>1983.7</v>
      </c>
      <c r="I94" s="12" t="n">
        <f aca="false">SUMIFS('BE Raw'!$D$6:$D$615,'BE Raw'!$E$6:$E$615,$A94,'BE Raw'!$B$6:$B$615,2026)</f>
        <v>1940.1</v>
      </c>
      <c r="J94" s="12" t="n">
        <f aca="false">I94*$J$5</f>
        <v>2450.65263157895</v>
      </c>
    </row>
    <row r="95" customFormat="false" ht="15" hidden="false" customHeight="true" outlineLevel="0" collapsed="false">
      <c r="A95" s="12" t="n">
        <v>4408206</v>
      </c>
      <c r="B95" s="12" t="str">
        <f aca="false">IFERROR(INDEX('Catalog'!$B:$B,MATCH($A95,'Catalog'!$A:$A,0)),"")</f>
        <v>AC-11 חגורת בטן קלה</v>
      </c>
      <c r="C95" s="12" t="n">
        <f aca="false">SUMIFS('BE Raw'!$C$6:$C$615,'BE Raw'!$E$6:$E$615,$A95,'BE Raw'!$B$6:$B$615,2025)</f>
        <v>-1</v>
      </c>
      <c r="D95" s="12" t="n">
        <f aca="false">SUMIFS('BE Raw'!$C$6:$C$615,'BE Raw'!$E$6:$E$615,$A95,'BE Raw'!$B$6:$B$615,2026)</f>
        <v>2</v>
      </c>
      <c r="E95" s="12" t="n">
        <f aca="false">D95*$J$5</f>
        <v>2.52631578947368</v>
      </c>
      <c r="F95" s="12" t="n">
        <f aca="false">E95-C95</f>
        <v>3.52631578947368</v>
      </c>
      <c r="G95" s="21" t="n">
        <f aca="false">IF(AND(C95=0,E95=0),0,IF(C95=0,"New",(E95-C95)/C95))</f>
        <v>-3.52631578947368</v>
      </c>
      <c r="H95" s="12" t="n">
        <f aca="false">SUMIFS('BE Raw'!$D$6:$D$615,'BE Raw'!$E$6:$E$615,$A95,'BE Raw'!$B$6:$B$615,2025)</f>
        <v>-75.3</v>
      </c>
      <c r="I95" s="12" t="n">
        <f aca="false">SUMIFS('BE Raw'!$D$6:$D$615,'BE Raw'!$E$6:$E$615,$A95,'BE Raw'!$B$6:$B$615,2026)</f>
        <v>150.5</v>
      </c>
      <c r="J95" s="12" t="n">
        <f aca="false">I95*$J$5</f>
        <v>190.105263157895</v>
      </c>
    </row>
    <row r="96" customFormat="false" ht="15" hidden="false" customHeight="true" outlineLevel="0" collapsed="false">
      <c r="A96" s="12" t="n">
        <v>4408207</v>
      </c>
      <c r="B96" s="12" t="str">
        <f aca="false">IFERROR(INDEX('Catalog'!$B:$B,MATCH($A96,'Catalog'!$A:$A,0)),"")</f>
        <v>AC-25 חבק לשורש כף היד</v>
      </c>
      <c r="C96" s="12" t="n">
        <f aca="false">SUMIFS('BE Raw'!$C$6:$C$615,'BE Raw'!$E$6:$E$615,$A96,'BE Raw'!$B$6:$B$615,2025)</f>
        <v>60</v>
      </c>
      <c r="D96" s="12" t="n">
        <f aca="false">SUMIFS('BE Raw'!$C$6:$C$615,'BE Raw'!$E$6:$E$615,$A96,'BE Raw'!$B$6:$B$615,2026)</f>
        <v>45</v>
      </c>
      <c r="E96" s="12" t="n">
        <f aca="false">D96*$J$5</f>
        <v>56.8421052631579</v>
      </c>
      <c r="F96" s="12" t="n">
        <f aca="false">E96-C96</f>
        <v>-3.15789473684211</v>
      </c>
      <c r="G96" s="21" t="n">
        <f aca="false">IF(AND(C96=0,E96=0),0,IF(C96=0,"New",(E96-C96)/C96))</f>
        <v>-0.0526315789473685</v>
      </c>
      <c r="H96" s="12" t="n">
        <f aca="false">SUMIFS('BE Raw'!$D$6:$D$615,'BE Raw'!$E$6:$E$615,$A96,'BE Raw'!$B$6:$B$615,2025)</f>
        <v>1495.8</v>
      </c>
      <c r="I96" s="12" t="n">
        <f aca="false">SUMIFS('BE Raw'!$D$6:$D$615,'BE Raw'!$E$6:$E$615,$A96,'BE Raw'!$B$6:$B$615,2026)</f>
        <v>1121.9</v>
      </c>
      <c r="J96" s="12" t="n">
        <f aca="false">I96*$J$5</f>
        <v>1417.13684210526</v>
      </c>
    </row>
    <row r="97" customFormat="false" ht="15" hidden="false" customHeight="true" outlineLevel="0" collapsed="false">
      <c r="A97" s="12" t="n">
        <v>4408208</v>
      </c>
      <c r="B97" s="12" t="str">
        <f aca="false">IFERROR(INDEX('Catalog'!$B:$B,MATCH($A97,'Catalog'!$A:$A,0)),"")</f>
        <v>AC91 חבק טניס</v>
      </c>
      <c r="C97" s="12" t="n">
        <f aca="false">SUMIFS('BE Raw'!$C$6:$C$615,'BE Raw'!$E$6:$E$615,$A97,'BE Raw'!$B$6:$B$615,2025)</f>
        <v>123</v>
      </c>
      <c r="D97" s="12" t="n">
        <f aca="false">SUMIFS('BE Raw'!$C$6:$C$615,'BE Raw'!$E$6:$E$615,$A97,'BE Raw'!$B$6:$B$615,2026)</f>
        <v>116</v>
      </c>
      <c r="E97" s="12" t="n">
        <f aca="false">D97*$J$5</f>
        <v>146.526315789474</v>
      </c>
      <c r="F97" s="12" t="n">
        <f aca="false">E97-C97</f>
        <v>23.5263157894737</v>
      </c>
      <c r="G97" s="21" t="n">
        <f aca="false">IF(AND(C97=0,E97=0),0,IF(C97=0,"New",(E97-C97)/C97))</f>
        <v>0.191270860077022</v>
      </c>
      <c r="H97" s="12" t="n">
        <f aca="false">SUMIFS('BE Raw'!$D$6:$D$615,'BE Raw'!$E$6:$E$615,$A97,'BE Raw'!$B$6:$B$615,2025)</f>
        <v>3539</v>
      </c>
      <c r="I97" s="12" t="n">
        <f aca="false">SUMIFS('BE Raw'!$D$6:$D$615,'BE Raw'!$E$6:$E$615,$A97,'BE Raw'!$B$6:$B$615,2026)</f>
        <v>3323</v>
      </c>
      <c r="J97" s="12" t="n">
        <f aca="false">I97*$J$5</f>
        <v>4197.47368421053</v>
      </c>
    </row>
    <row r="98" customFormat="false" ht="15" hidden="false" customHeight="true" outlineLevel="0" collapsed="false">
      <c r="A98" s="12" t="n">
        <v>4408219</v>
      </c>
      <c r="B98" s="12" t="str">
        <f aca="false">IFERROR(INDEX('Catalog'!$B:$B,MATCH($A98,'Catalog'!$A:$A,0)),"")</f>
        <v>078G-S חגורת גב אפורה</v>
      </c>
      <c r="C98" s="12" t="n">
        <f aca="false">SUMIFS('BE Raw'!$C$6:$C$615,'BE Raw'!$E$6:$E$615,$A98,'BE Raw'!$B$6:$B$615,2025)</f>
        <v>18</v>
      </c>
      <c r="D98" s="12" t="n">
        <f aca="false">SUMIFS('BE Raw'!$C$6:$C$615,'BE Raw'!$E$6:$E$615,$A98,'BE Raw'!$B$6:$B$615,2026)</f>
        <v>27</v>
      </c>
      <c r="E98" s="12" t="n">
        <f aca="false">D98*$J$5</f>
        <v>34.1052631578947</v>
      </c>
      <c r="F98" s="12" t="n">
        <f aca="false">E98-C98</f>
        <v>16.1052631578947</v>
      </c>
      <c r="G98" s="21" t="n">
        <f aca="false">IF(AND(C98=0,E98=0),0,IF(C98=0,"New",(E98-C98)/C98))</f>
        <v>0.894736842105263</v>
      </c>
      <c r="H98" s="12" t="n">
        <f aca="false">SUMIFS('BE Raw'!$D$6:$D$615,'BE Raw'!$E$6:$E$615,$A98,'BE Raw'!$B$6:$B$615,2025)</f>
        <v>1603.4</v>
      </c>
      <c r="I98" s="12" t="n">
        <f aca="false">SUMIFS('BE Raw'!$D$6:$D$615,'BE Raw'!$E$6:$E$615,$A98,'BE Raw'!$B$6:$B$615,2026)</f>
        <v>2679.2</v>
      </c>
      <c r="J98" s="12" t="n">
        <f aca="false">I98*$J$5</f>
        <v>3384.25263157895</v>
      </c>
    </row>
    <row r="99" customFormat="false" ht="15" hidden="false" customHeight="true" outlineLevel="0" collapsed="false">
      <c r="A99" s="12" t="n">
        <v>4408220</v>
      </c>
      <c r="B99" s="12" t="str">
        <f aca="false">IFERROR(INDEX('Catalog'!$B:$B,MATCH($A99,'Catalog'!$A:$A,0)),"")</f>
        <v>078G-M חגורת גב אפורה</v>
      </c>
      <c r="C99" s="12" t="n">
        <f aca="false">SUMIFS('BE Raw'!$C$6:$C$615,'BE Raw'!$E$6:$E$615,$A99,'BE Raw'!$B$6:$B$615,2025)</f>
        <v>78</v>
      </c>
      <c r="D99" s="12" t="n">
        <f aca="false">SUMIFS('BE Raw'!$C$6:$C$615,'BE Raw'!$E$6:$E$615,$A99,'BE Raw'!$B$6:$B$615,2026)</f>
        <v>59</v>
      </c>
      <c r="E99" s="12" t="n">
        <f aca="false">D99*$J$5</f>
        <v>74.5263157894737</v>
      </c>
      <c r="F99" s="12" t="n">
        <f aca="false">E99-C99</f>
        <v>-3.47368421052632</v>
      </c>
      <c r="G99" s="21" t="n">
        <f aca="false">IF(AND(C99=0,E99=0),0,IF(C99=0,"New",(E99-C99)/C99))</f>
        <v>-0.0445344129554656</v>
      </c>
      <c r="H99" s="12" t="n">
        <f aca="false">SUMIFS('BE Raw'!$D$6:$D$615,'BE Raw'!$E$6:$E$615,$A99,'BE Raw'!$B$6:$B$615,2025)</f>
        <v>7740</v>
      </c>
      <c r="I99" s="12" t="n">
        <f aca="false">SUMIFS('BE Raw'!$D$6:$D$615,'BE Raw'!$E$6:$E$615,$A99,'BE Raw'!$B$6:$B$615,2026)</f>
        <v>5854.6</v>
      </c>
      <c r="J99" s="12" t="n">
        <f aca="false">I99*$J$5</f>
        <v>7395.28421052632</v>
      </c>
    </row>
    <row r="100" customFormat="false" ht="15" hidden="false" customHeight="true" outlineLevel="0" collapsed="false">
      <c r="A100" s="12" t="n">
        <v>4408221</v>
      </c>
      <c r="B100" s="12" t="str">
        <f aca="false">IFERROR(INDEX('Catalog'!$B:$B,MATCH($A100,'Catalog'!$A:$A,0)),"")</f>
        <v>078G-L חגורת גב אפורה</v>
      </c>
      <c r="C100" s="12" t="n">
        <f aca="false">SUMIFS('BE Raw'!$C$6:$C$615,'BE Raw'!$E$6:$E$615,$A100,'BE Raw'!$B$6:$B$615,2025)</f>
        <v>146</v>
      </c>
      <c r="D100" s="12" t="n">
        <f aca="false">SUMIFS('BE Raw'!$C$6:$C$615,'BE Raw'!$E$6:$E$615,$A100,'BE Raw'!$B$6:$B$615,2026)</f>
        <v>146</v>
      </c>
      <c r="E100" s="12" t="n">
        <f aca="false">D100*$J$5</f>
        <v>184.421052631579</v>
      </c>
      <c r="F100" s="12" t="n">
        <f aca="false">E100-C100</f>
        <v>38.4210526315789</v>
      </c>
      <c r="G100" s="21" t="n">
        <f aca="false">IF(AND(C100=0,E100=0),0,IF(C100=0,"New",(E100-C100)/C100))</f>
        <v>0.263157894736842</v>
      </c>
      <c r="H100" s="12" t="n">
        <f aca="false">SUMIFS('BE Raw'!$D$6:$D$615,'BE Raw'!$E$6:$E$615,$A100,'BE Raw'!$B$6:$B$615,2025)</f>
        <v>14487.6</v>
      </c>
      <c r="I100" s="12" t="n">
        <f aca="false">SUMIFS('BE Raw'!$D$6:$D$615,'BE Raw'!$E$6:$E$615,$A100,'BE Raw'!$B$6:$B$615,2026)</f>
        <v>14487.6</v>
      </c>
      <c r="J100" s="12" t="n">
        <f aca="false">I100*$J$5</f>
        <v>18300.1263157895</v>
      </c>
    </row>
    <row r="101" customFormat="false" ht="15" hidden="false" customHeight="true" outlineLevel="0" collapsed="false">
      <c r="A101" s="12" t="n">
        <v>4408222</v>
      </c>
      <c r="B101" s="12" t="str">
        <f aca="false">IFERROR(INDEX('Catalog'!$B:$B,MATCH($A101,'Catalog'!$A:$A,0)),"")</f>
        <v>078G-XLחגורת גב אפורה</v>
      </c>
      <c r="C101" s="12" t="n">
        <f aca="false">SUMIFS('BE Raw'!$C$6:$C$615,'BE Raw'!$E$6:$E$615,$A101,'BE Raw'!$B$6:$B$615,2025)</f>
        <v>97</v>
      </c>
      <c r="D101" s="12" t="n">
        <f aca="false">SUMIFS('BE Raw'!$C$6:$C$615,'BE Raw'!$E$6:$E$615,$A101,'BE Raw'!$B$6:$B$615,2026)</f>
        <v>110</v>
      </c>
      <c r="E101" s="12" t="n">
        <f aca="false">D101*$J$5</f>
        <v>138.947368421053</v>
      </c>
      <c r="F101" s="12" t="n">
        <f aca="false">E101-C101</f>
        <v>41.9473684210526</v>
      </c>
      <c r="G101" s="21" t="n">
        <f aca="false">IF(AND(C101=0,E101=0),0,IF(C101=0,"New",(E101-C101)/C101))</f>
        <v>0.432447097124254</v>
      </c>
      <c r="H101" s="12" t="n">
        <f aca="false">SUMIFS('BE Raw'!$D$6:$D$615,'BE Raw'!$E$6:$E$615,$A101,'BE Raw'!$B$6:$B$615,2025)</f>
        <v>9625.3</v>
      </c>
      <c r="I101" s="12" t="n">
        <f aca="false">SUMIFS('BE Raw'!$D$6:$D$615,'BE Raw'!$E$6:$E$615,$A101,'BE Raw'!$B$6:$B$615,2026)</f>
        <v>10915.3</v>
      </c>
      <c r="J101" s="12" t="n">
        <f aca="false">I101*$J$5</f>
        <v>13787.7473684211</v>
      </c>
    </row>
    <row r="102" customFormat="false" ht="15" hidden="false" customHeight="true" outlineLevel="0" collapsed="false">
      <c r="A102" s="12" t="n">
        <v>4408223</v>
      </c>
      <c r="B102" s="12" t="str">
        <f aca="false">IFERROR(INDEX('Catalog'!$B:$B,MATCH($A102,'Catalog'!$A:$A,0)),"")</f>
        <v>078G-XXLחגורת גב אפורה</v>
      </c>
      <c r="C102" s="12" t="n">
        <f aca="false">SUMIFS('BE Raw'!$C$6:$C$615,'BE Raw'!$E$6:$E$615,$A102,'BE Raw'!$B$6:$B$615,2025)</f>
        <v>60</v>
      </c>
      <c r="D102" s="12" t="n">
        <f aca="false">SUMIFS('BE Raw'!$C$6:$C$615,'BE Raw'!$E$6:$E$615,$A102,'BE Raw'!$B$6:$B$615,2026)</f>
        <v>46</v>
      </c>
      <c r="E102" s="12" t="n">
        <f aca="false">D102*$J$5</f>
        <v>58.1052631578947</v>
      </c>
      <c r="F102" s="12" t="n">
        <f aca="false">E102-C102</f>
        <v>-1.89473684210527</v>
      </c>
      <c r="G102" s="21" t="n">
        <f aca="false">IF(AND(C102=0,E102=0),0,IF(C102=0,"New",(E102-C102)/C102))</f>
        <v>-0.0315789473684211</v>
      </c>
      <c r="H102" s="12" t="n">
        <f aca="false">SUMIFS('BE Raw'!$D$6:$D$615,'BE Raw'!$E$6:$E$615,$A102,'BE Raw'!$B$6:$B$615,2025)</f>
        <v>5953.8</v>
      </c>
      <c r="I102" s="12" t="n">
        <f aca="false">SUMIFS('BE Raw'!$D$6:$D$615,'BE Raw'!$E$6:$E$615,$A102,'BE Raw'!$B$6:$B$615,2026)</f>
        <v>4564.6</v>
      </c>
      <c r="J102" s="12" t="n">
        <f aca="false">I102*$J$5</f>
        <v>5765.81052631579</v>
      </c>
    </row>
    <row r="103" customFormat="false" ht="15" hidden="false" customHeight="true" outlineLevel="0" collapsed="false">
      <c r="A103" s="12" t="n">
        <v>4408230</v>
      </c>
      <c r="B103" s="12" t="str">
        <f aca="false">IFERROR(INDEX('Catalog'!$B:$B,MATCH($A103,'Catalog'!$A:$A,0)),"")</f>
        <v>16 L-XL חגורת הריון</v>
      </c>
      <c r="C103" s="12" t="n">
        <f aca="false">SUMIFS('BE Raw'!$C$6:$C$615,'BE Raw'!$E$6:$E$615,$A103,'BE Raw'!$B$6:$B$615,2025)</f>
        <v>4</v>
      </c>
      <c r="D103" s="12" t="n">
        <f aca="false">SUMIFS('BE Raw'!$C$6:$C$615,'BE Raw'!$E$6:$E$615,$A103,'BE Raw'!$B$6:$B$615,2026)</f>
        <v>10</v>
      </c>
      <c r="E103" s="12" t="n">
        <f aca="false">D103*$J$5</f>
        <v>12.6315789473684</v>
      </c>
      <c r="F103" s="12" t="n">
        <f aca="false">E103-C103</f>
        <v>8.63157894736842</v>
      </c>
      <c r="G103" s="21" t="n">
        <f aca="false">IF(AND(C103=0,E103=0),0,IF(C103=0,"New",(E103-C103)/C103))</f>
        <v>2.15789473684211</v>
      </c>
      <c r="H103" s="12" t="n">
        <f aca="false">SUMIFS('BE Raw'!$D$6:$D$615,'BE Raw'!$E$6:$E$615,$A103,'BE Raw'!$B$6:$B$615,2025)</f>
        <v>435.7</v>
      </c>
      <c r="I103" s="12" t="n">
        <f aca="false">SUMIFS('BE Raw'!$D$6:$D$615,'BE Raw'!$E$6:$E$615,$A103,'BE Raw'!$B$6:$B$615,2026)</f>
        <v>1089.3</v>
      </c>
      <c r="J103" s="12" t="n">
        <f aca="false">I103*$J$5</f>
        <v>1375.95789473684</v>
      </c>
    </row>
    <row r="104" customFormat="false" ht="15" hidden="false" customHeight="true" outlineLevel="0" collapsed="false">
      <c r="A104" s="12" t="n">
        <v>4408231</v>
      </c>
      <c r="B104" s="12" t="str">
        <f aca="false">IFERROR(INDEX('Catalog'!$B:$B,MATCH($A104,'Catalog'!$A:$A,0)),"")</f>
        <v>16 S-M חגורת הריון</v>
      </c>
      <c r="C104" s="12" t="n">
        <f aca="false">SUMIFS('BE Raw'!$C$6:$C$615,'BE Raw'!$E$6:$E$615,$A104,'BE Raw'!$B$6:$B$615,2025)</f>
        <v>3</v>
      </c>
      <c r="D104" s="12" t="n">
        <f aca="false">SUMIFS('BE Raw'!$C$6:$C$615,'BE Raw'!$E$6:$E$615,$A104,'BE Raw'!$B$6:$B$615,2026)</f>
        <v>10</v>
      </c>
      <c r="E104" s="12" t="n">
        <f aca="false">D104*$J$5</f>
        <v>12.6315789473684</v>
      </c>
      <c r="F104" s="12" t="n">
        <f aca="false">E104-C104</f>
        <v>9.63157894736842</v>
      </c>
      <c r="G104" s="21" t="n">
        <f aca="false">IF(AND(C104=0,E104=0),0,IF(C104=0,"New",(E104-C104)/C104))</f>
        <v>3.21052631578947</v>
      </c>
      <c r="H104" s="12" t="n">
        <f aca="false">SUMIFS('BE Raw'!$D$6:$D$615,'BE Raw'!$E$6:$E$615,$A104,'BE Raw'!$B$6:$B$615,2025)</f>
        <v>326.8</v>
      </c>
      <c r="I104" s="12" t="n">
        <f aca="false">SUMIFS('BE Raw'!$D$6:$D$615,'BE Raw'!$E$6:$E$615,$A104,'BE Raw'!$B$6:$B$615,2026)</f>
        <v>1089.3</v>
      </c>
      <c r="J104" s="12" t="n">
        <f aca="false">I104*$J$5</f>
        <v>1375.95789473684</v>
      </c>
    </row>
    <row r="105" customFormat="false" ht="15" hidden="false" customHeight="true" outlineLevel="0" collapsed="false">
      <c r="A105" s="12" t="n">
        <v>4408234</v>
      </c>
      <c r="B105" s="12" t="str">
        <f aca="false">IFERROR(INDEX('Catalog'!$B:$B,MATCH($A105,'Catalog'!$A:$A,0)),"")</f>
        <v>078C M'חגורת גב+סגירה כפו בז</v>
      </c>
      <c r="C105" s="12" t="n">
        <f aca="false">SUMIFS('BE Raw'!$C$6:$C$615,'BE Raw'!$E$6:$E$615,$A105,'BE Raw'!$B$6:$B$615,2025)</f>
        <v>-3</v>
      </c>
      <c r="D105" s="12" t="n">
        <f aca="false">SUMIFS('BE Raw'!$C$6:$C$615,'BE Raw'!$E$6:$E$615,$A105,'BE Raw'!$B$6:$B$615,2026)</f>
        <v>-1</v>
      </c>
      <c r="E105" s="12" t="n">
        <f aca="false">D105*$J$5</f>
        <v>-1.26315789473684</v>
      </c>
      <c r="F105" s="12" t="n">
        <f aca="false">E105-C105</f>
        <v>1.73684210526316</v>
      </c>
      <c r="G105" s="21" t="n">
        <f aca="false">IF(AND(C105=0,E105=0),0,IF(C105=0,"New",(E105-C105)/C105))</f>
        <v>-0.578947368421053</v>
      </c>
      <c r="H105" s="12" t="n">
        <f aca="false">SUMIFS('BE Raw'!$D$6:$D$615,'BE Raw'!$E$6:$E$615,$A105,'BE Raw'!$B$6:$B$615,2025)</f>
        <v>-297.7</v>
      </c>
      <c r="I105" s="12" t="n">
        <f aca="false">SUMIFS('BE Raw'!$D$6:$D$615,'BE Raw'!$E$6:$E$615,$A105,'BE Raw'!$B$6:$B$615,2026)</f>
        <v>-99.2</v>
      </c>
      <c r="J105" s="12" t="n">
        <f aca="false">I105*$J$5</f>
        <v>-125.305263157895</v>
      </c>
    </row>
    <row r="106" customFormat="false" ht="15" hidden="false" customHeight="true" outlineLevel="0" collapsed="false">
      <c r="A106" s="12" t="n">
        <v>4408235</v>
      </c>
      <c r="B106" s="12" t="str">
        <f aca="false">IFERROR(INDEX('Catalog'!$B:$B,MATCH($A106,'Catalog'!$A:$A,0)),"")</f>
        <v>078C S'חגורת גב+סגירה כפו בז</v>
      </c>
      <c r="C106" s="12" t="n">
        <f aca="false">SUMIFS('BE Raw'!$C$6:$C$615,'BE Raw'!$E$6:$E$615,$A106,'BE Raw'!$B$6:$B$615,2025)</f>
        <v>-1</v>
      </c>
      <c r="D106" s="12" t="n">
        <f aca="false">SUMIFS('BE Raw'!$C$6:$C$615,'BE Raw'!$E$6:$E$615,$A106,'BE Raw'!$B$6:$B$615,2026)</f>
        <v>-3</v>
      </c>
      <c r="E106" s="12" t="n">
        <f aca="false">D106*$J$5</f>
        <v>-3.78947368421053</v>
      </c>
      <c r="F106" s="12" t="n">
        <f aca="false">E106-C106</f>
        <v>-2.78947368421053</v>
      </c>
      <c r="G106" s="21" t="n">
        <f aca="false">IF(AND(C106=0,E106=0),0,IF(C106=0,"New",(E106-C106)/C106))</f>
        <v>2.78947368421053</v>
      </c>
      <c r="H106" s="12" t="n">
        <f aca="false">SUMIFS('BE Raw'!$D$6:$D$615,'BE Raw'!$E$6:$E$615,$A106,'BE Raw'!$B$6:$B$615,2025)</f>
        <v>-99.2</v>
      </c>
      <c r="I106" s="12" t="n">
        <f aca="false">SUMIFS('BE Raw'!$D$6:$D$615,'BE Raw'!$E$6:$E$615,$A106,'BE Raw'!$B$6:$B$615,2026)</f>
        <v>-297.7</v>
      </c>
      <c r="J106" s="12" t="n">
        <f aca="false">I106*$J$5</f>
        <v>-376.042105263158</v>
      </c>
    </row>
    <row r="107" customFormat="false" ht="15" hidden="false" customHeight="true" outlineLevel="0" collapsed="false">
      <c r="A107" s="12" t="n">
        <v>4408236</v>
      </c>
      <c r="B107" s="12" t="str">
        <f aca="false">IFERROR(INDEX('Catalog'!$B:$B,MATCH($A107,'Catalog'!$A:$A,0)),"")</f>
        <v>078C XLתתחגורת גב+סגירה כפו בז</v>
      </c>
      <c r="C107" s="12" t="n">
        <f aca="false">SUMIFS('BE Raw'!$C$6:$C$615,'BE Raw'!$E$6:$E$615,$A107,'BE Raw'!$B$6:$B$615,2025)</f>
        <v>-1</v>
      </c>
      <c r="D107" s="12" t="n">
        <f aca="false">SUMIFS('BE Raw'!$C$6:$C$615,'BE Raw'!$E$6:$E$615,$A107,'BE Raw'!$B$6:$B$615,2026)</f>
        <v>-1</v>
      </c>
      <c r="E107" s="12" t="n">
        <f aca="false">D107*$J$5</f>
        <v>-1.26315789473684</v>
      </c>
      <c r="F107" s="12" t="n">
        <f aca="false">E107-C107</f>
        <v>-0.263157894736842</v>
      </c>
      <c r="G107" s="21" t="n">
        <f aca="false">IF(AND(C107=0,E107=0),0,IF(C107=0,"New",(E107-C107)/C107))</f>
        <v>0.263157894736842</v>
      </c>
      <c r="H107" s="12" t="n">
        <f aca="false">SUMIFS('BE Raw'!$D$6:$D$615,'BE Raw'!$E$6:$E$615,$A107,'BE Raw'!$B$6:$B$615,2025)</f>
        <v>-99.2</v>
      </c>
      <c r="I107" s="12" t="n">
        <f aca="false">SUMIFS('BE Raw'!$D$6:$D$615,'BE Raw'!$E$6:$E$615,$A107,'BE Raw'!$B$6:$B$615,2026)</f>
        <v>-99.2</v>
      </c>
      <c r="J107" s="12" t="n">
        <f aca="false">I107*$J$5</f>
        <v>-125.305263157895</v>
      </c>
    </row>
    <row r="108" customFormat="false" ht="15" hidden="false" customHeight="true" outlineLevel="0" collapsed="false">
      <c r="A108" s="12" t="n">
        <v>4408247</v>
      </c>
      <c r="B108" s="12" t="str">
        <f aca="false">IFERROR(INDEX('Catalog'!$B:$B,MATCH($A108,'Catalog'!$A:$A,0)),"")</f>
        <v>SC25  S חבק יד</v>
      </c>
      <c r="C108" s="12" t="n">
        <f aca="false">SUMIFS('BE Raw'!$C$6:$C$615,'BE Raw'!$E$6:$E$615,$A108,'BE Raw'!$B$6:$B$615,2025)</f>
        <v>1</v>
      </c>
      <c r="D108" s="12" t="n">
        <f aca="false">SUMIFS('BE Raw'!$C$6:$C$615,'BE Raw'!$E$6:$E$615,$A108,'BE Raw'!$B$6:$B$615,2026)</f>
        <v>2</v>
      </c>
      <c r="E108" s="12" t="n">
        <f aca="false">D108*$J$5</f>
        <v>2.52631578947368</v>
      </c>
      <c r="F108" s="12" t="n">
        <f aca="false">E108-C108</f>
        <v>1.52631578947368</v>
      </c>
      <c r="G108" s="21" t="n">
        <f aca="false">IF(AND(C108=0,E108=0),0,IF(C108=0,"New",(E108-C108)/C108))</f>
        <v>1.52631578947368</v>
      </c>
      <c r="H108" s="12" t="n">
        <f aca="false">SUMIFS('BE Raw'!$D$6:$D$615,'BE Raw'!$E$6:$E$615,$A108,'BE Raw'!$B$6:$B$615,2025)</f>
        <v>70.5</v>
      </c>
      <c r="I108" s="12" t="n">
        <f aca="false">SUMIFS('BE Raw'!$D$6:$D$615,'BE Raw'!$E$6:$E$615,$A108,'BE Raw'!$B$6:$B$615,2026)</f>
        <v>141.1</v>
      </c>
      <c r="J108" s="12" t="n">
        <f aca="false">I108*$J$5</f>
        <v>178.231578947368</v>
      </c>
    </row>
    <row r="109" customFormat="false" ht="15" hidden="false" customHeight="true" outlineLevel="0" collapsed="false">
      <c r="A109" s="12" t="n">
        <v>4408248</v>
      </c>
      <c r="B109" s="12" t="str">
        <f aca="false">IFERROR(INDEX('Catalog'!$B:$B,MATCH($A109,'Catalog'!$A:$A,0)),"")</f>
        <v>SC25  M חבק יד</v>
      </c>
      <c r="C109" s="12" t="n">
        <f aca="false">SUMIFS('BE Raw'!$C$6:$C$615,'BE Raw'!$E$6:$E$615,$A109,'BE Raw'!$B$6:$B$615,2025)</f>
        <v>3</v>
      </c>
      <c r="D109" s="12" t="n">
        <f aca="false">SUMIFS('BE Raw'!$C$6:$C$615,'BE Raw'!$E$6:$E$615,$A109,'BE Raw'!$B$6:$B$615,2026)</f>
        <v>10</v>
      </c>
      <c r="E109" s="12" t="n">
        <f aca="false">D109*$J$5</f>
        <v>12.6315789473684</v>
      </c>
      <c r="F109" s="12" t="n">
        <f aca="false">E109-C109</f>
        <v>9.63157894736842</v>
      </c>
      <c r="G109" s="21" t="n">
        <f aca="false">IF(AND(C109=0,E109=0),0,IF(C109=0,"New",(E109-C109)/C109))</f>
        <v>3.21052631578947</v>
      </c>
      <c r="H109" s="12" t="n">
        <f aca="false">SUMIFS('BE Raw'!$D$6:$D$615,'BE Raw'!$E$6:$E$615,$A109,'BE Raw'!$B$6:$B$615,2025)</f>
        <v>197.1</v>
      </c>
      <c r="I109" s="12" t="n">
        <f aca="false">SUMIFS('BE Raw'!$D$6:$D$615,'BE Raw'!$E$6:$E$615,$A109,'BE Raw'!$B$6:$B$615,2026)</f>
        <v>744.9</v>
      </c>
      <c r="J109" s="12" t="n">
        <f aca="false">I109*$J$5</f>
        <v>940.926315789474</v>
      </c>
    </row>
    <row r="110" customFormat="false" ht="15" hidden="false" customHeight="true" outlineLevel="0" collapsed="false">
      <c r="A110" s="12" t="n">
        <v>4408249</v>
      </c>
      <c r="B110" s="12" t="str">
        <f aca="false">IFERROR(INDEX('Catalog'!$B:$B,MATCH($A110,'Catalog'!$A:$A,0)),"")</f>
        <v>SC25  L חבק יד</v>
      </c>
      <c r="C110" s="12" t="n">
        <f aca="false">SUMIFS('BE Raw'!$C$6:$C$615,'BE Raw'!$E$6:$E$615,$A110,'BE Raw'!$B$6:$B$615,2025)</f>
        <v>1</v>
      </c>
      <c r="D110" s="12" t="n">
        <f aca="false">SUMIFS('BE Raw'!$C$6:$C$615,'BE Raw'!$E$6:$E$615,$A110,'BE Raw'!$B$6:$B$615,2026)</f>
        <v>8</v>
      </c>
      <c r="E110" s="12" t="n">
        <f aca="false">D110*$J$5</f>
        <v>10.1052631578947</v>
      </c>
      <c r="F110" s="12" t="n">
        <f aca="false">E110-C110</f>
        <v>9.10526315789474</v>
      </c>
      <c r="G110" s="21" t="n">
        <f aca="false">IF(AND(C110=0,E110=0),0,IF(C110=0,"New",(E110-C110)/C110))</f>
        <v>9.10526315789474</v>
      </c>
      <c r="H110" s="12" t="n">
        <f aca="false">SUMIFS('BE Raw'!$D$6:$D$615,'BE Raw'!$E$6:$E$615,$A110,'BE Raw'!$B$6:$B$615,2025)</f>
        <v>-30.8</v>
      </c>
      <c r="I110" s="12" t="n">
        <f aca="false">SUMIFS('BE Raw'!$D$6:$D$615,'BE Raw'!$E$6:$E$615,$A110,'BE Raw'!$B$6:$B$615,2026)</f>
        <v>595.9</v>
      </c>
      <c r="J110" s="12" t="n">
        <f aca="false">I110*$J$5</f>
        <v>752.715789473684</v>
      </c>
    </row>
    <row r="111" customFormat="false" ht="15" hidden="false" customHeight="true" outlineLevel="0" collapsed="false">
      <c r="A111" s="12" t="n">
        <v>4408250</v>
      </c>
      <c r="B111" s="12" t="str">
        <f aca="false">IFERROR(INDEX('Catalog'!$B:$B,MATCH($A111,'Catalog'!$A:$A,0)),"")</f>
        <v>SC25 XL חבק יד</v>
      </c>
      <c r="C111" s="12" t="n">
        <f aca="false">SUMIFS('BE Raw'!$C$6:$C$615,'BE Raw'!$E$6:$E$615,$A111,'BE Raw'!$B$6:$B$615,2025)</f>
        <v>0</v>
      </c>
      <c r="D111" s="12" t="n">
        <f aca="false">SUMIFS('BE Raw'!$C$6:$C$615,'BE Raw'!$E$6:$E$615,$A111,'BE Raw'!$B$6:$B$615,2026)</f>
        <v>4</v>
      </c>
      <c r="E111" s="12" t="n">
        <f aca="false">D111*$J$5</f>
        <v>5.05263157894737</v>
      </c>
      <c r="F111" s="12" t="n">
        <f aca="false">E111-C111</f>
        <v>5.05263157894737</v>
      </c>
      <c r="G111" s="21" t="str">
        <f aca="false">IF(AND(C111=0,E111=0),0,IF(C111=0,"New",(E111-C111)/C111))</f>
        <v>New</v>
      </c>
      <c r="H111" s="12" t="n">
        <f aca="false">SUMIFS('BE Raw'!$D$6:$D$615,'BE Raw'!$E$6:$E$615,$A111,'BE Raw'!$B$6:$B$615,2025)</f>
        <v>-52.6</v>
      </c>
      <c r="I111" s="12" t="n">
        <f aca="false">SUMIFS('BE Raw'!$D$6:$D$615,'BE Raw'!$E$6:$E$615,$A111,'BE Raw'!$B$6:$B$615,2026)</f>
        <v>298</v>
      </c>
      <c r="J111" s="12" t="n">
        <f aca="false">I111*$J$5</f>
        <v>376.421052631579</v>
      </c>
    </row>
    <row r="112" customFormat="false" ht="15" hidden="false" customHeight="true" outlineLevel="0" collapsed="false">
      <c r="A112" s="12" t="n">
        <v>4408252</v>
      </c>
      <c r="B112" s="12" t="str">
        <f aca="false">IFERROR(INDEX('Catalog'!$B:$B,MATCH($A112,'Catalog'!$A:$A,0)),"")</f>
        <v>L-XL 099 חגורת גב שרוכים</v>
      </c>
      <c r="C112" s="12" t="n">
        <f aca="false">SUMIFS('BE Raw'!$C$6:$C$615,'BE Raw'!$E$6:$E$615,$A112,'BE Raw'!$B$6:$B$615,2025)</f>
        <v>0</v>
      </c>
      <c r="D112" s="12" t="n">
        <f aca="false">SUMIFS('BE Raw'!$C$6:$C$615,'BE Raw'!$E$6:$E$615,$A112,'BE Raw'!$B$6:$B$615,2026)</f>
        <v>-1</v>
      </c>
      <c r="E112" s="12" t="n">
        <f aca="false">D112*$J$5</f>
        <v>-1.26315789473684</v>
      </c>
      <c r="F112" s="12" t="n">
        <f aca="false">E112-C112</f>
        <v>-1.26315789473684</v>
      </c>
      <c r="G112" s="21" t="str">
        <f aca="false">IF(AND(C112=0,E112=0),0,IF(C112=0,"New",(E112-C112)/C112))</f>
        <v>New</v>
      </c>
      <c r="H112" s="12" t="n">
        <f aca="false">SUMIFS('BE Raw'!$D$6:$D$615,'BE Raw'!$E$6:$E$615,$A112,'BE Raw'!$B$6:$B$615,2025)</f>
        <v>0</v>
      </c>
      <c r="I112" s="12" t="n">
        <f aca="false">SUMIFS('BE Raw'!$D$6:$D$615,'BE Raw'!$E$6:$E$615,$A112,'BE Raw'!$B$6:$B$615,2026)</f>
        <v>-121.5</v>
      </c>
      <c r="J112" s="12" t="n">
        <f aca="false">I112*$J$5</f>
        <v>-153.473684210526</v>
      </c>
    </row>
    <row r="113" customFormat="false" ht="15" hidden="false" customHeight="true" outlineLevel="0" collapsed="false">
      <c r="A113" s="12" t="n">
        <v>4409000</v>
      </c>
      <c r="B113" s="12" t="str">
        <f aca="false">IFERROR(INDEX('Catalog'!$B:$B,MATCH($A113,'Catalog'!$A:$A,0)),"")</f>
        <v>365 S-Lטבעת אלסטית מסיליקון</v>
      </c>
      <c r="C113" s="12" t="n">
        <f aca="false">SUMIFS('BE Raw'!$C$6:$C$615,'BE Raw'!$E$6:$E$615,$A113,'BE Raw'!$B$6:$B$615,2025)</f>
        <v>247</v>
      </c>
      <c r="D113" s="12" t="n">
        <f aca="false">SUMIFS('BE Raw'!$C$6:$C$615,'BE Raw'!$E$6:$E$615,$A113,'BE Raw'!$B$6:$B$615,2026)</f>
        <v>101</v>
      </c>
      <c r="E113" s="12" t="n">
        <f aca="false">D113*$J$5</f>
        <v>127.578947368421</v>
      </c>
      <c r="F113" s="12" t="n">
        <f aca="false">E113-C113</f>
        <v>-119.421052631579</v>
      </c>
      <c r="G113" s="21" t="n">
        <f aca="false">IF(AND(C113=0,E113=0),0,IF(C113=0,"New",(E113-C113)/C113))</f>
        <v>-0.48348604304283</v>
      </c>
      <c r="H113" s="12" t="n">
        <f aca="false">SUMIFS('BE Raw'!$D$6:$D$615,'BE Raw'!$E$6:$E$615,$A113,'BE Raw'!$B$6:$B$615,2025)</f>
        <v>3250</v>
      </c>
      <c r="I113" s="12" t="n">
        <f aca="false">SUMIFS('BE Raw'!$D$6:$D$615,'BE Raw'!$E$6:$E$615,$A113,'BE Raw'!$B$6:$B$615,2026)</f>
        <v>1328.2</v>
      </c>
      <c r="J113" s="12" t="n">
        <f aca="false">I113*$J$5</f>
        <v>1677.72631578947</v>
      </c>
    </row>
    <row r="114" customFormat="false" ht="15" hidden="false" customHeight="true" outlineLevel="0" collapsed="false">
      <c r="A114" s="12" t="n">
        <v>4409001</v>
      </c>
      <c r="B114" s="12" t="str">
        <f aca="false">IFERROR(INDEX('Catalog'!$B:$B,MATCH($A114,'Catalog'!$A:$A,0)),"")</f>
        <v>365  X-Lטבעת אלסטית מסיליקון</v>
      </c>
      <c r="C114" s="12" t="n">
        <f aca="false">SUMIFS('BE Raw'!$C$6:$C$615,'BE Raw'!$E$6:$E$615,$A114,'BE Raw'!$B$6:$B$615,2025)</f>
        <v>112</v>
      </c>
      <c r="D114" s="12" t="n">
        <f aca="false">SUMIFS('BE Raw'!$C$6:$C$615,'BE Raw'!$E$6:$E$615,$A114,'BE Raw'!$B$6:$B$615,2026)</f>
        <v>75</v>
      </c>
      <c r="E114" s="12" t="n">
        <f aca="false">D114*$J$5</f>
        <v>94.7368421052632</v>
      </c>
      <c r="F114" s="12" t="n">
        <f aca="false">E114-C114</f>
        <v>-17.2631578947369</v>
      </c>
      <c r="G114" s="21" t="n">
        <f aca="false">IF(AND(C114=0,E114=0),0,IF(C114=0,"New",(E114-C114)/C114))</f>
        <v>-0.154135338345865</v>
      </c>
      <c r="H114" s="12" t="n">
        <f aca="false">SUMIFS('BE Raw'!$D$6:$D$615,'BE Raw'!$E$6:$E$615,$A114,'BE Raw'!$B$6:$B$615,2025)</f>
        <v>1254.4</v>
      </c>
      <c r="I114" s="12" t="n">
        <f aca="false">SUMIFS('BE Raw'!$D$6:$D$615,'BE Raw'!$E$6:$E$615,$A114,'BE Raw'!$B$6:$B$615,2026)</f>
        <v>840</v>
      </c>
      <c r="J114" s="12" t="n">
        <f aca="false">I114*$J$5</f>
        <v>1061.05263157895</v>
      </c>
    </row>
    <row r="115" customFormat="false" ht="15" hidden="false" customHeight="true" outlineLevel="0" collapsed="false">
      <c r="A115" s="12" t="n">
        <v>4409002</v>
      </c>
      <c r="B115" s="12" t="str">
        <f aca="false">IFERROR(INDEX('Catalog'!$B:$B,MATCH($A115,'Catalog'!$A:$A,0)),"")</f>
        <v>FC341-טיפות נגד פטרת הציפורן</v>
      </c>
      <c r="C115" s="12" t="n">
        <f aca="false">SUMIFS('BE Raw'!$C$6:$C$615,'BE Raw'!$E$6:$E$615,$A115,'BE Raw'!$B$6:$B$615,2025)</f>
        <v>-15</v>
      </c>
      <c r="D115" s="12" t="n">
        <f aca="false">SUMIFS('BE Raw'!$C$6:$C$615,'BE Raw'!$E$6:$E$615,$A115,'BE Raw'!$B$6:$B$615,2026)</f>
        <v>-6</v>
      </c>
      <c r="E115" s="12" t="n">
        <f aca="false">D115*$J$5</f>
        <v>-7.57894736842105</v>
      </c>
      <c r="F115" s="12" t="n">
        <f aca="false">E115-C115</f>
        <v>7.42105263157895</v>
      </c>
      <c r="G115" s="21" t="n">
        <f aca="false">IF(AND(C115=0,E115=0),0,IF(C115=0,"New",(E115-C115)/C115))</f>
        <v>-0.494736842105263</v>
      </c>
      <c r="H115" s="12" t="n">
        <f aca="false">SUMIFS('BE Raw'!$D$6:$D$615,'BE Raw'!$E$6:$E$615,$A115,'BE Raw'!$B$6:$B$615,2025)</f>
        <v>-507.9</v>
      </c>
      <c r="I115" s="12" t="n">
        <f aca="false">SUMIFS('BE Raw'!$D$6:$D$615,'BE Raw'!$E$6:$E$615,$A115,'BE Raw'!$B$6:$B$615,2026)</f>
        <v>-191.6</v>
      </c>
      <c r="J115" s="12" t="n">
        <f aca="false">I115*$J$5</f>
        <v>-242.021052631579</v>
      </c>
    </row>
    <row r="116" customFormat="false" ht="15" hidden="false" customHeight="true" outlineLevel="0" collapsed="false">
      <c r="A116" s="12" t="n">
        <v>4409003</v>
      </c>
      <c r="B116" s="12" t="str">
        <f aca="false">IFERROR(INDEX('Catalog'!$B:$B,MATCH($A116,'Catalog'!$A:$A,0)),"")</f>
        <v>FC314-תתטלק נוזלי</v>
      </c>
      <c r="C116" s="12" t="n">
        <f aca="false">SUMIFS('BE Raw'!$C$6:$C$615,'BE Raw'!$E$6:$E$615,$A116,'BE Raw'!$B$6:$B$615,2025)</f>
        <v>-1</v>
      </c>
      <c r="D116" s="12" t="n">
        <f aca="false">SUMIFS('BE Raw'!$C$6:$C$615,'BE Raw'!$E$6:$E$615,$A116,'BE Raw'!$B$6:$B$615,2026)</f>
        <v>0</v>
      </c>
      <c r="E116" s="12" t="n">
        <f aca="false">D116*$J$5</f>
        <v>0</v>
      </c>
      <c r="F116" s="12" t="n">
        <f aca="false">E116-C116</f>
        <v>1</v>
      </c>
      <c r="G116" s="21" t="n">
        <f aca="false">IF(AND(C116=0,E116=0),0,IF(C116=0,"New",(E116-C116)/C116))</f>
        <v>-1</v>
      </c>
      <c r="H116" s="12" t="n">
        <f aca="false">SUMIFS('BE Raw'!$D$6:$D$615,'BE Raw'!$E$6:$E$615,$A116,'BE Raw'!$B$6:$B$615,2025)</f>
        <v>-20.8</v>
      </c>
      <c r="I116" s="12" t="n">
        <f aca="false">SUMIFS('BE Raw'!$D$6:$D$615,'BE Raw'!$E$6:$E$615,$A116,'BE Raw'!$B$6:$B$615,2026)</f>
        <v>0</v>
      </c>
      <c r="J116" s="12" t="n">
        <f aca="false">I116*$J$5</f>
        <v>0</v>
      </c>
    </row>
    <row r="117" customFormat="false" ht="15" hidden="false" customHeight="true" outlineLevel="0" collapsed="false">
      <c r="A117" s="12" t="n">
        <v>4409004</v>
      </c>
      <c r="B117" s="12" t="str">
        <f aca="false">IFERROR(INDEX('Catalog'!$B:$B,MATCH($A117,'Catalog'!$A:$A,0)),"")</f>
        <v>FC335 טלק מעושר באלוורה</v>
      </c>
      <c r="C117" s="12" t="n">
        <f aca="false">SUMIFS('BE Raw'!$C$6:$C$615,'BE Raw'!$E$6:$E$615,$A117,'BE Raw'!$B$6:$B$615,2025)</f>
        <v>1341</v>
      </c>
      <c r="D117" s="12" t="n">
        <f aca="false">SUMIFS('BE Raw'!$C$6:$C$615,'BE Raw'!$E$6:$E$615,$A117,'BE Raw'!$B$6:$B$615,2026)</f>
        <v>735</v>
      </c>
      <c r="E117" s="12" t="n">
        <f aca="false">D117*$J$5</f>
        <v>928.421052631579</v>
      </c>
      <c r="F117" s="12" t="n">
        <f aca="false">E117-C117</f>
        <v>-412.578947368421</v>
      </c>
      <c r="G117" s="21" t="n">
        <f aca="false">IF(AND(C117=0,E117=0),0,IF(C117=0,"New",(E117-C117)/C117))</f>
        <v>-0.307665135994348</v>
      </c>
      <c r="H117" s="12" t="n">
        <f aca="false">SUMIFS('BE Raw'!$D$6:$D$615,'BE Raw'!$E$6:$E$615,$A117,'BE Raw'!$B$6:$B$615,2025)</f>
        <v>23461.9</v>
      </c>
      <c r="I117" s="12" t="n">
        <f aca="false">SUMIFS('BE Raw'!$D$6:$D$615,'BE Raw'!$E$6:$E$615,$A117,'BE Raw'!$B$6:$B$615,2026)</f>
        <v>12652.2</v>
      </c>
      <c r="J117" s="12" t="n">
        <f aca="false">I117*$J$5</f>
        <v>15981.7263157895</v>
      </c>
    </row>
    <row r="118" customFormat="false" ht="15" hidden="false" customHeight="true" outlineLevel="0" collapsed="false">
      <c r="A118" s="12" t="n">
        <v>4409011</v>
      </c>
      <c r="B118" s="12" t="str">
        <f aca="false">IFERROR(INDEX('Catalog'!$B:$B,MATCH($A118,'Catalog'!$A:$A,0)),"")</f>
        <v>804AT-B      טייפ חבישה לספורט</v>
      </c>
      <c r="C118" s="12" t="n">
        <f aca="false">SUMIFS('BE Raw'!$C$6:$C$615,'BE Raw'!$E$6:$E$615,$A118,'BE Raw'!$B$6:$B$615,2025)</f>
        <v>218</v>
      </c>
      <c r="D118" s="12" t="n">
        <f aca="false">SUMIFS('BE Raw'!$C$6:$C$615,'BE Raw'!$E$6:$E$615,$A118,'BE Raw'!$B$6:$B$615,2026)</f>
        <v>189</v>
      </c>
      <c r="E118" s="12" t="n">
        <f aca="false">D118*$J$5</f>
        <v>238.736842105263</v>
      </c>
      <c r="F118" s="12" t="n">
        <f aca="false">E118-C118</f>
        <v>20.7368421052632</v>
      </c>
      <c r="G118" s="21" t="n">
        <f aca="false">IF(AND(C118=0,E118=0),0,IF(C118=0,"New",(E118-C118)/C118))</f>
        <v>0.0951231289232255</v>
      </c>
      <c r="H118" s="12" t="n">
        <f aca="false">SUMIFS('BE Raw'!$D$6:$D$615,'BE Raw'!$E$6:$E$615,$A118,'BE Raw'!$B$6:$B$615,2025)</f>
        <v>3357.2</v>
      </c>
      <c r="I118" s="12" t="n">
        <f aca="false">SUMIFS('BE Raw'!$D$6:$D$615,'BE Raw'!$E$6:$E$615,$A118,'BE Raw'!$B$6:$B$615,2026)</f>
        <v>2910.6</v>
      </c>
      <c r="J118" s="12" t="n">
        <f aca="false">I118*$J$5</f>
        <v>3676.54736842105</v>
      </c>
    </row>
    <row r="119" customFormat="false" ht="15" hidden="false" customHeight="true" outlineLevel="0" collapsed="false">
      <c r="A119" s="12" t="n">
        <v>4409013</v>
      </c>
      <c r="B119" s="12" t="str">
        <f aca="false">IFERROR(INDEX('Catalog'!$B:$B,MATCH($A119,'Catalog'!$A:$A,0)),"")</f>
        <v>804AT-BL     טייפ חבישה לספורט</v>
      </c>
      <c r="C119" s="12" t="n">
        <f aca="false">SUMIFS('BE Raw'!$C$6:$C$615,'BE Raw'!$E$6:$E$615,$A119,'BE Raw'!$B$6:$B$615,2025)</f>
        <v>282</v>
      </c>
      <c r="D119" s="12" t="n">
        <f aca="false">SUMIFS('BE Raw'!$C$6:$C$615,'BE Raw'!$E$6:$E$615,$A119,'BE Raw'!$B$6:$B$615,2026)</f>
        <v>168</v>
      </c>
      <c r="E119" s="12" t="n">
        <f aca="false">D119*$J$5</f>
        <v>212.210526315789</v>
      </c>
      <c r="F119" s="12" t="n">
        <f aca="false">E119-C119</f>
        <v>-69.7894736842106</v>
      </c>
      <c r="G119" s="21" t="n">
        <f aca="false">IF(AND(C119=0,E119=0),0,IF(C119=0,"New",(E119-C119)/C119))</f>
        <v>-0.247480403135498</v>
      </c>
      <c r="H119" s="12" t="n">
        <f aca="false">SUMIFS('BE Raw'!$D$6:$D$615,'BE Raw'!$E$6:$E$615,$A119,'BE Raw'!$B$6:$B$615,2025)</f>
        <v>4342.8</v>
      </c>
      <c r="I119" s="12" t="n">
        <f aca="false">SUMIFS('BE Raw'!$D$6:$D$615,'BE Raw'!$E$6:$E$615,$A119,'BE Raw'!$B$6:$B$615,2026)</f>
        <v>2587.2</v>
      </c>
      <c r="J119" s="12" t="n">
        <f aca="false">I119*$J$5</f>
        <v>3268.04210526316</v>
      </c>
    </row>
    <row r="120" customFormat="false" ht="15" hidden="false" customHeight="true" outlineLevel="0" collapsed="false">
      <c r="A120" s="12" t="n">
        <v>4409014</v>
      </c>
      <c r="B120" s="12" t="str">
        <f aca="false">IFERROR(INDEX('Catalog'!$B:$B,MATCH($A120,'Catalog'!$A:$A,0)),"")</f>
        <v>808KT-P        טייפ קינזיולוגי</v>
      </c>
      <c r="C120" s="12" t="n">
        <f aca="false">SUMIFS('BE Raw'!$C$6:$C$615,'BE Raw'!$E$6:$E$615,$A120,'BE Raw'!$B$6:$B$615,2025)</f>
        <v>256</v>
      </c>
      <c r="D120" s="12" t="n">
        <f aca="false">SUMIFS('BE Raw'!$C$6:$C$615,'BE Raw'!$E$6:$E$615,$A120,'BE Raw'!$B$6:$B$615,2026)</f>
        <v>173</v>
      </c>
      <c r="E120" s="12" t="n">
        <f aca="false">D120*$J$5</f>
        <v>218.526315789474</v>
      </c>
      <c r="F120" s="12" t="n">
        <f aca="false">E120-C120</f>
        <v>-37.4736842105263</v>
      </c>
      <c r="G120" s="21" t="n">
        <f aca="false">IF(AND(C120=0,E120=0),0,IF(C120=0,"New",(E120-C120)/C120))</f>
        <v>-0.146381578947368</v>
      </c>
      <c r="H120" s="12" t="n">
        <f aca="false">SUMIFS('BE Raw'!$D$6:$D$615,'BE Raw'!$E$6:$E$615,$A120,'BE Raw'!$B$6:$B$615,2025)</f>
        <v>11284.4</v>
      </c>
      <c r="I120" s="12" t="n">
        <f aca="false">SUMIFS('BE Raw'!$D$6:$D$615,'BE Raw'!$E$6:$E$615,$A120,'BE Raw'!$B$6:$B$615,2026)</f>
        <v>7625.8</v>
      </c>
      <c r="J120" s="12" t="n">
        <f aca="false">I120*$J$5</f>
        <v>9632.58947368421</v>
      </c>
    </row>
    <row r="121" customFormat="false" ht="15" hidden="false" customHeight="true" outlineLevel="0" collapsed="false">
      <c r="A121" s="12" t="n">
        <v>4409016</v>
      </c>
      <c r="B121" s="12" t="str">
        <f aca="false">IFERROR(INDEX('Catalog'!$B:$B,MATCH($A121,'Catalog'!$A:$A,0)),"")</f>
        <v>808KT-C        טייפ קינזיולוגי</v>
      </c>
      <c r="C121" s="12" t="n">
        <f aca="false">SUMIFS('BE Raw'!$C$6:$C$615,'BE Raw'!$E$6:$E$615,$A121,'BE Raw'!$B$6:$B$615,2025)</f>
        <v>-1</v>
      </c>
      <c r="D121" s="12" t="n">
        <f aca="false">SUMIFS('BE Raw'!$C$6:$C$615,'BE Raw'!$E$6:$E$615,$A121,'BE Raw'!$B$6:$B$615,2026)</f>
        <v>0</v>
      </c>
      <c r="E121" s="12" t="n">
        <f aca="false">D121*$J$5</f>
        <v>0</v>
      </c>
      <c r="F121" s="12" t="n">
        <f aca="false">E121-C121</f>
        <v>1</v>
      </c>
      <c r="G121" s="21" t="n">
        <f aca="false">IF(AND(C121=0,E121=0),0,IF(C121=0,"New",(E121-C121)/C121))</f>
        <v>-1</v>
      </c>
      <c r="H121" s="12" t="n">
        <f aca="false">SUMIFS('BE Raw'!$D$6:$D$615,'BE Raw'!$E$6:$E$615,$A121,'BE Raw'!$B$6:$B$615,2025)</f>
        <v>-63.1</v>
      </c>
      <c r="I121" s="12" t="n">
        <f aca="false">SUMIFS('BE Raw'!$D$6:$D$615,'BE Raw'!$E$6:$E$615,$A121,'BE Raw'!$B$6:$B$615,2026)</f>
        <v>0</v>
      </c>
      <c r="J121" s="12" t="n">
        <f aca="false">I121*$J$5</f>
        <v>0</v>
      </c>
    </row>
    <row r="122" customFormat="false" ht="15" hidden="false" customHeight="true" outlineLevel="0" collapsed="false">
      <c r="A122" s="12" t="n">
        <v>4409017</v>
      </c>
      <c r="B122" s="12" t="str">
        <f aca="false">IFERROR(INDEX('Catalog'!$B:$B,MATCH($A122,'Catalog'!$A:$A,0)),"")</f>
        <v>808KT-B        טייפ קינזיולוגי</v>
      </c>
      <c r="C122" s="12" t="n">
        <f aca="false">SUMIFS('BE Raw'!$C$6:$C$615,'BE Raw'!$E$6:$E$615,$A122,'BE Raw'!$B$6:$B$615,2025)</f>
        <v>0</v>
      </c>
      <c r="D122" s="12" t="n">
        <f aca="false">SUMIFS('BE Raw'!$C$6:$C$615,'BE Raw'!$E$6:$E$615,$A122,'BE Raw'!$B$6:$B$615,2026)</f>
        <v>-1</v>
      </c>
      <c r="E122" s="12" t="n">
        <f aca="false">D122*$J$5</f>
        <v>-1.26315789473684</v>
      </c>
      <c r="F122" s="12" t="n">
        <f aca="false">E122-C122</f>
        <v>-1.26315789473684</v>
      </c>
      <c r="G122" s="21" t="str">
        <f aca="false">IF(AND(C122=0,E122=0),0,IF(C122=0,"New",(E122-C122)/C122))</f>
        <v>New</v>
      </c>
      <c r="H122" s="12" t="n">
        <f aca="false">SUMIFS('BE Raw'!$D$6:$D$615,'BE Raw'!$E$6:$E$615,$A122,'BE Raw'!$B$6:$B$615,2025)</f>
        <v>0</v>
      </c>
      <c r="I122" s="12" t="n">
        <f aca="false">SUMIFS('BE Raw'!$D$6:$D$615,'BE Raw'!$E$6:$E$615,$A122,'BE Raw'!$B$6:$B$615,2026)</f>
        <v>-44.1</v>
      </c>
      <c r="J122" s="12" t="n">
        <f aca="false">I122*$J$5</f>
        <v>-55.7052631578947</v>
      </c>
    </row>
    <row r="123" customFormat="false" ht="15" hidden="false" customHeight="true" outlineLevel="0" collapsed="false">
      <c r="A123" s="12" t="n">
        <v>4411000</v>
      </c>
      <c r="B123" s="12" t="str">
        <f aca="false">IFERROR(INDEX('Catalog'!$B:$B,MATCH($A123,'Catalog'!$A:$A,0)),"")</f>
        <v>כרית מטטרזלי סיליקון362</v>
      </c>
      <c r="C123" s="12" t="n">
        <f aca="false">SUMIFS('BE Raw'!$C$6:$C$615,'BE Raw'!$E$6:$E$615,$A123,'BE Raw'!$B$6:$B$615,2025)</f>
        <v>155</v>
      </c>
      <c r="D123" s="12" t="n">
        <f aca="false">SUMIFS('BE Raw'!$C$6:$C$615,'BE Raw'!$E$6:$E$615,$A123,'BE Raw'!$B$6:$B$615,2026)</f>
        <v>105</v>
      </c>
      <c r="E123" s="12" t="n">
        <f aca="false">D123*$J$5</f>
        <v>132.631578947368</v>
      </c>
      <c r="F123" s="12" t="n">
        <f aca="false">E123-C123</f>
        <v>-22.3684210526316</v>
      </c>
      <c r="G123" s="21" t="n">
        <f aca="false">IF(AND(C123=0,E123=0),0,IF(C123=0,"New",(E123-C123)/C123))</f>
        <v>-0.144312393887946</v>
      </c>
      <c r="H123" s="12" t="n">
        <f aca="false">SUMIFS('BE Raw'!$D$6:$D$615,'BE Raw'!$E$6:$E$615,$A123,'BE Raw'!$B$6:$B$615,2025)</f>
        <v>3879.7</v>
      </c>
      <c r="I123" s="12" t="n">
        <f aca="false">SUMIFS('BE Raw'!$D$6:$D$615,'BE Raw'!$E$6:$E$615,$A123,'BE Raw'!$B$6:$B$615,2026)</f>
        <v>2628.3</v>
      </c>
      <c r="J123" s="12" t="n">
        <f aca="false">I123*$J$5</f>
        <v>3319.95789473684</v>
      </c>
    </row>
    <row r="124" customFormat="false" ht="15" hidden="false" customHeight="true" outlineLevel="0" collapsed="false">
      <c r="A124" s="12" t="n">
        <v>4411001</v>
      </c>
      <c r="B124" s="12" t="str">
        <f aca="false">IFERROR(INDEX('Catalog'!$B:$B,MATCH($A124,'Catalog'!$A:$A,0)),"")</f>
        <v>3623 כרית ליישור אצבע פטיש</v>
      </c>
      <c r="C124" s="12" t="n">
        <f aca="false">SUMIFS('BE Raw'!$C$6:$C$615,'BE Raw'!$E$6:$E$615,$A124,'BE Raw'!$B$6:$B$615,2025)</f>
        <v>66</v>
      </c>
      <c r="D124" s="12" t="n">
        <f aca="false">SUMIFS('BE Raw'!$C$6:$C$615,'BE Raw'!$E$6:$E$615,$A124,'BE Raw'!$B$6:$B$615,2026)</f>
        <v>81</v>
      </c>
      <c r="E124" s="12" t="n">
        <f aca="false">D124*$J$5</f>
        <v>102.315789473684</v>
      </c>
      <c r="F124" s="12" t="n">
        <f aca="false">E124-C124</f>
        <v>36.3157894736842</v>
      </c>
      <c r="G124" s="21" t="n">
        <f aca="false">IF(AND(C124=0,E124=0),0,IF(C124=0,"New",(E124-C124)/C124))</f>
        <v>0.550239234449761</v>
      </c>
      <c r="H124" s="12" t="n">
        <f aca="false">SUMIFS('BE Raw'!$D$6:$D$615,'BE Raw'!$E$6:$E$615,$A124,'BE Raw'!$B$6:$B$615,2025)</f>
        <v>1727.3</v>
      </c>
      <c r="I124" s="12" t="n">
        <f aca="false">SUMIFS('BE Raw'!$D$6:$D$615,'BE Raw'!$E$6:$E$615,$A124,'BE Raw'!$B$6:$B$615,2026)</f>
        <v>2128.2</v>
      </c>
      <c r="J124" s="12" t="n">
        <f aca="false">I124*$J$5</f>
        <v>2688.25263157895</v>
      </c>
    </row>
    <row r="125" customFormat="false" ht="15" hidden="false" customHeight="true" outlineLevel="0" collapsed="false">
      <c r="A125" s="12" t="n">
        <v>4411016</v>
      </c>
      <c r="B125" s="12" t="str">
        <f aca="false">IFERROR(INDEX('Catalog'!$B:$B,MATCH($A125,'Catalog'!$A:$A,0)),"")</f>
        <v>307 XL כרית סיליקון לעקב</v>
      </c>
      <c r="C125" s="12" t="n">
        <f aca="false">SUMIFS('BE Raw'!$C$6:$C$615,'BE Raw'!$E$6:$E$615,$A125,'BE Raw'!$B$6:$B$615,2025)</f>
        <v>84</v>
      </c>
      <c r="D125" s="12" t="n">
        <f aca="false">SUMIFS('BE Raw'!$C$6:$C$615,'BE Raw'!$E$6:$E$615,$A125,'BE Raw'!$B$6:$B$615,2026)</f>
        <v>61</v>
      </c>
      <c r="E125" s="12" t="n">
        <f aca="false">D125*$J$5</f>
        <v>77.0526315789474</v>
      </c>
      <c r="F125" s="12" t="n">
        <f aca="false">E125-C125</f>
        <v>-6.94736842105263</v>
      </c>
      <c r="G125" s="21" t="n">
        <f aca="false">IF(AND(C125=0,E125=0),0,IF(C125=0,"New",(E125-C125)/C125))</f>
        <v>-0.0827067669172932</v>
      </c>
      <c r="H125" s="12" t="n">
        <f aca="false">SUMIFS('BE Raw'!$D$6:$D$615,'BE Raw'!$E$6:$E$615,$A125,'BE Raw'!$B$6:$B$615,2025)</f>
        <v>7310.5</v>
      </c>
      <c r="I125" s="12" t="n">
        <f aca="false">SUMIFS('BE Raw'!$D$6:$D$615,'BE Raw'!$E$6:$E$615,$A125,'BE Raw'!$B$6:$B$615,2026)</f>
        <v>5334.5</v>
      </c>
      <c r="J125" s="12" t="n">
        <f aca="false">I125*$J$5</f>
        <v>6738.31578947368</v>
      </c>
    </row>
    <row r="126" customFormat="false" ht="15" hidden="false" customHeight="true" outlineLevel="0" collapsed="false">
      <c r="A126" s="12" t="n">
        <v>4413000</v>
      </c>
      <c r="B126" s="12" t="str">
        <f aca="false">IFERROR(INDEX('Catalog'!$B:$B,MATCH($A126,'Catalog'!$A:$A,0)),"")</f>
        <v>30 S מגן קרסול מתכוון עם סקוטש</v>
      </c>
      <c r="C126" s="12" t="n">
        <f aca="false">SUMIFS('BE Raw'!$C$6:$C$615,'BE Raw'!$E$6:$E$615,$A126,'BE Raw'!$B$6:$B$615,2025)</f>
        <v>9</v>
      </c>
      <c r="D126" s="12" t="n">
        <f aca="false">SUMIFS('BE Raw'!$C$6:$C$615,'BE Raw'!$E$6:$E$615,$A126,'BE Raw'!$B$6:$B$615,2026)</f>
        <v>-3</v>
      </c>
      <c r="E126" s="12" t="n">
        <f aca="false">D126*$J$5</f>
        <v>-3.78947368421053</v>
      </c>
      <c r="F126" s="12" t="n">
        <f aca="false">E126-C126</f>
        <v>-12.7894736842105</v>
      </c>
      <c r="G126" s="21" t="n">
        <f aca="false">IF(AND(C126=0,E126=0),0,IF(C126=0,"New",(E126-C126)/C126))</f>
        <v>-1.42105263157895</v>
      </c>
      <c r="H126" s="12" t="n">
        <f aca="false">SUMIFS('BE Raw'!$D$6:$D$615,'BE Raw'!$E$6:$E$615,$A126,'BE Raw'!$B$6:$B$615,2025)</f>
        <v>555.6</v>
      </c>
      <c r="I126" s="12" t="n">
        <f aca="false">SUMIFS('BE Raw'!$D$6:$D$615,'BE Raw'!$E$6:$E$615,$A126,'BE Raw'!$B$6:$B$615,2026)</f>
        <v>-185.2</v>
      </c>
      <c r="J126" s="12" t="n">
        <f aca="false">I126*$J$5</f>
        <v>-233.936842105263</v>
      </c>
    </row>
    <row r="127" customFormat="false" ht="15" hidden="false" customHeight="true" outlineLevel="0" collapsed="false">
      <c r="A127" s="12" t="n">
        <v>4413002</v>
      </c>
      <c r="B127" s="12" t="str">
        <f aca="false">IFERROR(INDEX('Catalog'!$B:$B,MATCH($A127,'Catalog'!$A:$A,0)),"")</f>
        <v>30 L מגן קרסול מתכוון עם סקוטש</v>
      </c>
      <c r="C127" s="12" t="n">
        <f aca="false">SUMIFS('BE Raw'!$C$6:$C$615,'BE Raw'!$E$6:$E$615,$A127,'BE Raw'!$B$6:$B$615,2025)</f>
        <v>3</v>
      </c>
      <c r="D127" s="12" t="n">
        <f aca="false">SUMIFS('BE Raw'!$C$6:$C$615,'BE Raw'!$E$6:$E$615,$A127,'BE Raw'!$B$6:$B$615,2026)</f>
        <v>-2</v>
      </c>
      <c r="E127" s="12" t="n">
        <f aca="false">D127*$J$5</f>
        <v>-2.52631578947368</v>
      </c>
      <c r="F127" s="12" t="n">
        <f aca="false">E127-C127</f>
        <v>-5.52631578947368</v>
      </c>
      <c r="G127" s="21" t="n">
        <f aca="false">IF(AND(C127=0,E127=0),0,IF(C127=0,"New",(E127-C127)/C127))</f>
        <v>-1.84210526315789</v>
      </c>
      <c r="H127" s="12" t="n">
        <f aca="false">SUMIFS('BE Raw'!$D$6:$D$615,'BE Raw'!$E$6:$E$615,$A127,'BE Raw'!$B$6:$B$615,2025)</f>
        <v>185.1</v>
      </c>
      <c r="I127" s="12" t="n">
        <f aca="false">SUMIFS('BE Raw'!$D$6:$D$615,'BE Raw'!$E$6:$E$615,$A127,'BE Raw'!$B$6:$B$615,2026)</f>
        <v>-123.5</v>
      </c>
      <c r="J127" s="12" t="n">
        <f aca="false">I127*$J$5</f>
        <v>-156</v>
      </c>
    </row>
    <row r="128" customFormat="false" ht="15" hidden="false" customHeight="true" outlineLevel="0" collapsed="false">
      <c r="A128" s="12" t="n">
        <v>4413003</v>
      </c>
      <c r="B128" s="12" t="str">
        <f aca="false">IFERROR(INDEX('Catalog'!$B:$B,MATCH($A128,'Catalog'!$A:$A,0)),"")</f>
        <v>30 M מגן קרסול מתכוון עם סקוטש</v>
      </c>
      <c r="C128" s="12" t="n">
        <f aca="false">SUMIFS('BE Raw'!$C$6:$C$615,'BE Raw'!$E$6:$E$615,$A128,'BE Raw'!$B$6:$B$615,2025)</f>
        <v>15</v>
      </c>
      <c r="D128" s="12" t="n">
        <f aca="false">SUMIFS('BE Raw'!$C$6:$C$615,'BE Raw'!$E$6:$E$615,$A128,'BE Raw'!$B$6:$B$615,2026)</f>
        <v>-2</v>
      </c>
      <c r="E128" s="12" t="n">
        <f aca="false">D128*$J$5</f>
        <v>-2.52631578947368</v>
      </c>
      <c r="F128" s="12" t="n">
        <f aca="false">E128-C128</f>
        <v>-17.5263157894737</v>
      </c>
      <c r="G128" s="21" t="n">
        <f aca="false">IF(AND(C128=0,E128=0),0,IF(C128=0,"New",(E128-C128)/C128))</f>
        <v>-1.16842105263158</v>
      </c>
      <c r="H128" s="12" t="n">
        <f aca="false">SUMIFS('BE Raw'!$D$6:$D$615,'BE Raw'!$E$6:$E$615,$A128,'BE Raw'!$B$6:$B$615,2025)</f>
        <v>820.2</v>
      </c>
      <c r="I128" s="12" t="n">
        <f aca="false">SUMIFS('BE Raw'!$D$6:$D$615,'BE Raw'!$E$6:$E$615,$A128,'BE Raw'!$B$6:$B$615,2026)</f>
        <v>-123.5</v>
      </c>
      <c r="J128" s="12" t="n">
        <f aca="false">I128*$J$5</f>
        <v>-156</v>
      </c>
    </row>
    <row r="129" customFormat="false" ht="15" hidden="false" customHeight="true" outlineLevel="0" collapsed="false">
      <c r="A129" s="12" t="n">
        <v>4413004</v>
      </c>
      <c r="B129" s="12" t="str">
        <f aca="false">IFERROR(INDEX('Catalog'!$B:$B,MATCH($A129,'Catalog'!$A:$A,0)),"")</f>
        <v>30 XL מגן קרסול מתכוון סקוטש</v>
      </c>
      <c r="C129" s="12" t="n">
        <f aca="false">SUMIFS('BE Raw'!$C$6:$C$615,'BE Raw'!$E$6:$E$615,$A129,'BE Raw'!$B$6:$B$615,2025)</f>
        <v>11</v>
      </c>
      <c r="D129" s="12" t="n">
        <f aca="false">SUMIFS('BE Raw'!$C$6:$C$615,'BE Raw'!$E$6:$E$615,$A129,'BE Raw'!$B$6:$B$615,2026)</f>
        <v>-1</v>
      </c>
      <c r="E129" s="12" t="n">
        <f aca="false">D129*$J$5</f>
        <v>-1.26315789473684</v>
      </c>
      <c r="F129" s="12" t="n">
        <f aca="false">E129-C129</f>
        <v>-12.2631578947368</v>
      </c>
      <c r="G129" s="21" t="n">
        <f aca="false">IF(AND(C129=0,E129=0),0,IF(C129=0,"New",(E129-C129)/C129))</f>
        <v>-1.11483253588517</v>
      </c>
      <c r="H129" s="12" t="n">
        <f aca="false">SUMIFS('BE Raw'!$D$6:$D$615,'BE Raw'!$E$6:$E$615,$A129,'BE Raw'!$B$6:$B$615,2025)</f>
        <v>683.4</v>
      </c>
      <c r="I129" s="12" t="n">
        <f aca="false">SUMIFS('BE Raw'!$D$6:$D$615,'BE Raw'!$E$6:$E$615,$A129,'BE Raw'!$B$6:$B$615,2026)</f>
        <v>-61.7</v>
      </c>
      <c r="J129" s="12" t="n">
        <f aca="false">I129*$J$5</f>
        <v>-77.9368421052632</v>
      </c>
    </row>
    <row r="130" customFormat="false" ht="15" hidden="false" customHeight="true" outlineLevel="0" collapsed="false">
      <c r="A130" s="12" t="n">
        <v>4413005</v>
      </c>
      <c r="B130" s="12" t="str">
        <f aca="false">IFERROR(INDEX('Catalog'!$B:$B,MATCH($A130,'Catalog'!$A:$A,0)),"")</f>
        <v>30 XXL מגן קרסול מתכוון+סקוטש</v>
      </c>
      <c r="C130" s="12" t="n">
        <f aca="false">SUMIFS('BE Raw'!$C$6:$C$615,'BE Raw'!$E$6:$E$615,$A130,'BE Raw'!$B$6:$B$615,2025)</f>
        <v>1</v>
      </c>
      <c r="D130" s="12" t="n">
        <f aca="false">SUMIFS('BE Raw'!$C$6:$C$615,'BE Raw'!$E$6:$E$615,$A130,'BE Raw'!$B$6:$B$615,2026)</f>
        <v>-1</v>
      </c>
      <c r="E130" s="12" t="n">
        <f aca="false">D130*$J$5</f>
        <v>-1.26315789473684</v>
      </c>
      <c r="F130" s="12" t="n">
        <f aca="false">E130-C130</f>
        <v>-2.26315789473684</v>
      </c>
      <c r="G130" s="21" t="n">
        <f aca="false">IF(AND(C130=0,E130=0),0,IF(C130=0,"New",(E130-C130)/C130))</f>
        <v>-2.26315789473684</v>
      </c>
      <c r="H130" s="12" t="n">
        <f aca="false">SUMIFS('BE Raw'!$D$6:$D$615,'BE Raw'!$E$6:$E$615,$A130,'BE Raw'!$B$6:$B$615,2025)</f>
        <v>61.8</v>
      </c>
      <c r="I130" s="12" t="n">
        <f aca="false">SUMIFS('BE Raw'!$D$6:$D$615,'BE Raw'!$E$6:$E$615,$A130,'BE Raw'!$B$6:$B$615,2026)</f>
        <v>-61.7</v>
      </c>
      <c r="J130" s="12" t="n">
        <f aca="false">I130*$J$5</f>
        <v>-77.9368421052632</v>
      </c>
    </row>
    <row r="131" customFormat="false" ht="15" hidden="false" customHeight="true" outlineLevel="0" collapsed="false">
      <c r="A131" s="12" t="n">
        <v>4413008</v>
      </c>
      <c r="B131" s="12" t="str">
        <f aca="false">IFERROR(INDEX('Catalog'!$B:$B,MATCH($A131,'Catalog'!$A:$A,0)),"")</f>
        <v>300M תתמדרס.ציפוי עור גבר זו43</v>
      </c>
      <c r="C131" s="12" t="n">
        <f aca="false">SUMIFS('BE Raw'!$C$6:$C$615,'BE Raw'!$E$6:$E$615,$A131,'BE Raw'!$B$6:$B$615,2025)</f>
        <v>-2</v>
      </c>
      <c r="D131" s="12" t="n">
        <f aca="false">SUMIFS('BE Raw'!$C$6:$C$615,'BE Raw'!$E$6:$E$615,$A131,'BE Raw'!$B$6:$B$615,2026)</f>
        <v>-1</v>
      </c>
      <c r="E131" s="12" t="n">
        <f aca="false">D131*$J$5</f>
        <v>-1.26315789473684</v>
      </c>
      <c r="F131" s="12" t="n">
        <f aca="false">E131-C131</f>
        <v>0.736842105263158</v>
      </c>
      <c r="G131" s="21" t="n">
        <f aca="false">IF(AND(C131=0,E131=0),0,IF(C131=0,"New",(E131-C131)/C131))</f>
        <v>-0.368421052631579</v>
      </c>
      <c r="H131" s="12" t="n">
        <f aca="false">SUMIFS('BE Raw'!$D$6:$D$615,'BE Raw'!$E$6:$E$615,$A131,'BE Raw'!$B$6:$B$615,2025)</f>
        <v>-193.5</v>
      </c>
      <c r="I131" s="12" t="n">
        <f aca="false">SUMIFS('BE Raw'!$D$6:$D$615,'BE Raw'!$E$6:$E$615,$A131,'BE Raw'!$B$6:$B$615,2026)</f>
        <v>-96.7</v>
      </c>
      <c r="J131" s="12" t="n">
        <f aca="false">I131*$J$5</f>
        <v>-122.147368421053</v>
      </c>
    </row>
    <row r="132" customFormat="false" ht="15" hidden="false" customHeight="true" outlineLevel="0" collapsed="false">
      <c r="A132" s="12" t="n">
        <v>4413009</v>
      </c>
      <c r="B132" s="12" t="str">
        <f aca="false">IFERROR(INDEX('Catalog'!$B:$B,MATCH($A132,'Catalog'!$A:$A,0)),"")</f>
        <v>300M תתמדרס/ציפוי עור גבר זו44</v>
      </c>
      <c r="C132" s="12" t="n">
        <f aca="false">SUMIFS('BE Raw'!$C$6:$C$615,'BE Raw'!$E$6:$E$615,$A132,'BE Raw'!$B$6:$B$615,2025)</f>
        <v>-2</v>
      </c>
      <c r="D132" s="12" t="n">
        <f aca="false">SUMIFS('BE Raw'!$C$6:$C$615,'BE Raw'!$E$6:$E$615,$A132,'BE Raw'!$B$6:$B$615,2026)</f>
        <v>0</v>
      </c>
      <c r="E132" s="12" t="n">
        <f aca="false">D132*$J$5</f>
        <v>0</v>
      </c>
      <c r="F132" s="12" t="n">
        <f aca="false">E132-C132</f>
        <v>2</v>
      </c>
      <c r="G132" s="21" t="n">
        <f aca="false">IF(AND(C132=0,E132=0),0,IF(C132=0,"New",(E132-C132)/C132))</f>
        <v>-1</v>
      </c>
      <c r="H132" s="12" t="n">
        <f aca="false">SUMIFS('BE Raw'!$D$6:$D$615,'BE Raw'!$E$6:$E$615,$A132,'BE Raw'!$B$6:$B$615,2025)</f>
        <v>-193.5</v>
      </c>
      <c r="I132" s="12" t="n">
        <f aca="false">SUMIFS('BE Raw'!$D$6:$D$615,'BE Raw'!$E$6:$E$615,$A132,'BE Raw'!$B$6:$B$615,2026)</f>
        <v>0</v>
      </c>
      <c r="J132" s="12" t="n">
        <f aca="false">I132*$J$5</f>
        <v>0</v>
      </c>
    </row>
    <row r="133" customFormat="false" ht="15" hidden="false" customHeight="true" outlineLevel="0" collapsed="false">
      <c r="A133" s="12" t="n">
        <v>4413018</v>
      </c>
      <c r="B133" s="12" t="str">
        <f aca="false">IFERROR(INDEX('Catalog'!$B:$B,MATCH($A133,'Catalog'!$A:$A,0)),"")</f>
        <v>303 37-38 מדרסי סיליק.לח.סכרת</v>
      </c>
      <c r="C133" s="12" t="n">
        <f aca="false">SUMIFS('BE Raw'!$C$6:$C$615,'BE Raw'!$E$6:$E$615,$A133,'BE Raw'!$B$6:$B$615,2025)</f>
        <v>7</v>
      </c>
      <c r="D133" s="12" t="n">
        <f aca="false">SUMIFS('BE Raw'!$C$6:$C$615,'BE Raw'!$E$6:$E$615,$A133,'BE Raw'!$B$6:$B$615,2026)</f>
        <v>0</v>
      </c>
      <c r="E133" s="12" t="n">
        <f aca="false">D133*$J$5</f>
        <v>0</v>
      </c>
      <c r="F133" s="12" t="n">
        <f aca="false">E133-C133</f>
        <v>-7</v>
      </c>
      <c r="G133" s="21" t="n">
        <f aca="false">IF(AND(C133=0,E133=0),0,IF(C133=0,"New",(E133-C133)/C133))</f>
        <v>-1</v>
      </c>
      <c r="H133" s="12" t="n">
        <f aca="false">SUMIFS('BE Raw'!$D$6:$D$615,'BE Raw'!$E$6:$E$615,$A133,'BE Raw'!$B$6:$B$615,2025)</f>
        <v>773.4</v>
      </c>
      <c r="I133" s="12" t="n">
        <f aca="false">SUMIFS('BE Raw'!$D$6:$D$615,'BE Raw'!$E$6:$E$615,$A133,'BE Raw'!$B$6:$B$615,2026)</f>
        <v>0</v>
      </c>
      <c r="J133" s="12" t="n">
        <f aca="false">I133*$J$5</f>
        <v>0</v>
      </c>
    </row>
    <row r="134" customFormat="false" ht="15" hidden="false" customHeight="true" outlineLevel="0" collapsed="false">
      <c r="A134" s="12" t="n">
        <v>4413019</v>
      </c>
      <c r="B134" s="12" t="str">
        <f aca="false">IFERROR(INDEX('Catalog'!$B:$B,MATCH($A134,'Catalog'!$A:$A,0)),"")</f>
        <v>303 39-40 מדרסי סיליק.לח.סכרת</v>
      </c>
      <c r="C134" s="12" t="n">
        <f aca="false">SUMIFS('BE Raw'!$C$6:$C$615,'BE Raw'!$E$6:$E$615,$A134,'BE Raw'!$B$6:$B$615,2025)</f>
        <v>6</v>
      </c>
      <c r="D134" s="12" t="n">
        <f aca="false">SUMIFS('BE Raw'!$C$6:$C$615,'BE Raw'!$E$6:$E$615,$A134,'BE Raw'!$B$6:$B$615,2026)</f>
        <v>0</v>
      </c>
      <c r="E134" s="12" t="n">
        <f aca="false">D134*$J$5</f>
        <v>0</v>
      </c>
      <c r="F134" s="12" t="n">
        <f aca="false">E134-C134</f>
        <v>-6</v>
      </c>
      <c r="G134" s="21" t="n">
        <f aca="false">IF(AND(C134=0,E134=0),0,IF(C134=0,"New",(E134-C134)/C134))</f>
        <v>-1</v>
      </c>
      <c r="H134" s="12" t="n">
        <f aca="false">SUMIFS('BE Raw'!$D$6:$D$615,'BE Raw'!$E$6:$E$615,$A134,'BE Raw'!$B$6:$B$615,2025)</f>
        <v>662.9</v>
      </c>
      <c r="I134" s="12" t="n">
        <f aca="false">SUMIFS('BE Raw'!$D$6:$D$615,'BE Raw'!$E$6:$E$615,$A134,'BE Raw'!$B$6:$B$615,2026)</f>
        <v>0</v>
      </c>
      <c r="J134" s="12" t="n">
        <f aca="false">I134*$J$5</f>
        <v>0</v>
      </c>
    </row>
    <row r="135" customFormat="false" ht="15" hidden="false" customHeight="true" outlineLevel="0" collapsed="false">
      <c r="A135" s="12" t="n">
        <v>4413020</v>
      </c>
      <c r="B135" s="12" t="str">
        <f aca="false">IFERROR(INDEX('Catalog'!$B:$B,MATCH($A135,'Catalog'!$A:$A,0)),"")</f>
        <v>303 41-42 מדרסי סיליק.לח.סכרת</v>
      </c>
      <c r="C135" s="12" t="n">
        <f aca="false">SUMIFS('BE Raw'!$C$6:$C$615,'BE Raw'!$E$6:$E$615,$A135,'BE Raw'!$B$6:$B$615,2025)</f>
        <v>3</v>
      </c>
      <c r="D135" s="12" t="n">
        <f aca="false">SUMIFS('BE Raw'!$C$6:$C$615,'BE Raw'!$E$6:$E$615,$A135,'BE Raw'!$B$6:$B$615,2026)</f>
        <v>1</v>
      </c>
      <c r="E135" s="12" t="n">
        <f aca="false">D135*$J$5</f>
        <v>1.26315789473684</v>
      </c>
      <c r="F135" s="12" t="n">
        <f aca="false">E135-C135</f>
        <v>-1.73684210526316</v>
      </c>
      <c r="G135" s="21" t="n">
        <f aca="false">IF(AND(C135=0,E135=0),0,IF(C135=0,"New",(E135-C135)/C135))</f>
        <v>-0.578947368421053</v>
      </c>
      <c r="H135" s="12" t="n">
        <f aca="false">SUMIFS('BE Raw'!$D$6:$D$615,'BE Raw'!$E$6:$E$615,$A135,'BE Raw'!$B$6:$B$615,2025)</f>
        <v>331.5</v>
      </c>
      <c r="I135" s="12" t="n">
        <f aca="false">SUMIFS('BE Raw'!$D$6:$D$615,'BE Raw'!$E$6:$E$615,$A135,'BE Raw'!$B$6:$B$615,2026)</f>
        <v>110.5</v>
      </c>
      <c r="J135" s="12" t="n">
        <f aca="false">I135*$J$5</f>
        <v>139.578947368421</v>
      </c>
    </row>
    <row r="136" customFormat="false" ht="15" hidden="false" customHeight="true" outlineLevel="0" collapsed="false">
      <c r="A136" s="12" t="n">
        <v>4413021</v>
      </c>
      <c r="B136" s="12" t="str">
        <f aca="false">IFERROR(INDEX('Catalog'!$B:$B,MATCH($A136,'Catalog'!$A:$A,0)),"")</f>
        <v>303 43-44 מדרסי סיליק.לח.סכרת</v>
      </c>
      <c r="C136" s="12" t="n">
        <f aca="false">SUMIFS('BE Raw'!$C$6:$C$615,'BE Raw'!$E$6:$E$615,$A136,'BE Raw'!$B$6:$B$615,2025)</f>
        <v>1</v>
      </c>
      <c r="D136" s="12" t="n">
        <f aca="false">SUMIFS('BE Raw'!$C$6:$C$615,'BE Raw'!$E$6:$E$615,$A136,'BE Raw'!$B$6:$B$615,2026)</f>
        <v>0</v>
      </c>
      <c r="E136" s="12" t="n">
        <f aca="false">D136*$J$5</f>
        <v>0</v>
      </c>
      <c r="F136" s="12" t="n">
        <f aca="false">E136-C136</f>
        <v>-1</v>
      </c>
      <c r="G136" s="21" t="n">
        <f aca="false">IF(AND(C136=0,E136=0),0,IF(C136=0,"New",(E136-C136)/C136))</f>
        <v>-1</v>
      </c>
      <c r="H136" s="12" t="n">
        <f aca="false">SUMIFS('BE Raw'!$D$6:$D$615,'BE Raw'!$E$6:$E$615,$A136,'BE Raw'!$B$6:$B$615,2025)</f>
        <v>110.5</v>
      </c>
      <c r="I136" s="12" t="n">
        <f aca="false">SUMIFS('BE Raw'!$D$6:$D$615,'BE Raw'!$E$6:$E$615,$A136,'BE Raw'!$B$6:$B$615,2026)</f>
        <v>0</v>
      </c>
      <c r="J136" s="12" t="n">
        <f aca="false">I136*$J$5</f>
        <v>0</v>
      </c>
    </row>
    <row r="137" customFormat="false" ht="15" hidden="false" customHeight="true" outlineLevel="0" collapsed="false">
      <c r="A137" s="12" t="n">
        <v>4413033</v>
      </c>
      <c r="B137" s="12" t="str">
        <f aca="false">IFERROR(INDEX('Catalog'!$B:$B,MATCH($A137,'Catalog'!$A:$A,0)),"")</f>
        <v>311'מדב.ג'ל למניעת שפשוף 5 יח</v>
      </c>
      <c r="C137" s="12" t="n">
        <f aca="false">SUMIFS('BE Raw'!$C$6:$C$615,'BE Raw'!$E$6:$E$615,$A137,'BE Raw'!$B$6:$B$615,2025)</f>
        <v>562</v>
      </c>
      <c r="D137" s="12" t="n">
        <f aca="false">SUMIFS('BE Raw'!$C$6:$C$615,'BE Raw'!$E$6:$E$615,$A137,'BE Raw'!$B$6:$B$615,2026)</f>
        <v>368</v>
      </c>
      <c r="E137" s="12" t="n">
        <f aca="false">D137*$J$5</f>
        <v>464.842105263158</v>
      </c>
      <c r="F137" s="12" t="n">
        <f aca="false">E137-C137</f>
        <v>-97.1578947368421</v>
      </c>
      <c r="G137" s="21" t="n">
        <f aca="false">IF(AND(C137=0,E137=0),0,IF(C137=0,"New",(E137-C137)/C137))</f>
        <v>-0.172878816257726</v>
      </c>
      <c r="H137" s="12" t="n">
        <f aca="false">SUMIFS('BE Raw'!$D$6:$D$615,'BE Raw'!$E$6:$E$615,$A137,'BE Raw'!$B$6:$B$615,2025)</f>
        <v>7497.4</v>
      </c>
      <c r="I137" s="12" t="n">
        <f aca="false">SUMIFS('BE Raw'!$D$6:$D$615,'BE Raw'!$E$6:$E$615,$A137,'BE Raw'!$B$6:$B$615,2026)</f>
        <v>4909.2</v>
      </c>
      <c r="J137" s="12" t="n">
        <f aca="false">I137*$J$5</f>
        <v>6201.09473684211</v>
      </c>
    </row>
    <row r="138" customFormat="false" ht="15" hidden="false" customHeight="true" outlineLevel="0" collapsed="false">
      <c r="A138" s="12" t="n">
        <v>4413034</v>
      </c>
      <c r="B138" s="12" t="str">
        <f aca="false">IFERROR(INDEX('Catalog'!$B:$B,MATCH($A138,'Catalog'!$A:$A,0)),"")</f>
        <v>312 9 מ""ס להתאמהX5 מדבקה גדולה</v>
      </c>
      <c r="C138" s="12" t="n">
        <f aca="false">SUMIFS('BE Raw'!$C$6:$C$615,'BE Raw'!$E$6:$E$615,$A138,'BE Raw'!$B$6:$B$615,2025)</f>
        <v>45</v>
      </c>
      <c r="D138" s="12" t="n">
        <f aca="false">SUMIFS('BE Raw'!$C$6:$C$615,'BE Raw'!$E$6:$E$615,$A138,'BE Raw'!$B$6:$B$615,2026)</f>
        <v>38</v>
      </c>
      <c r="E138" s="12" t="n">
        <f aca="false">D138*$J$5</f>
        <v>48</v>
      </c>
      <c r="F138" s="12" t="n">
        <f aca="false">E138-C138</f>
        <v>3</v>
      </c>
      <c r="G138" s="21" t="n">
        <f aca="false">IF(AND(C138=0,E138=0),0,IF(C138=0,"New",(E138-C138)/C138))</f>
        <v>0.0666666666666667</v>
      </c>
      <c r="H138" s="12" t="n">
        <f aca="false">SUMIFS('BE Raw'!$D$6:$D$615,'BE Raw'!$E$6:$E$615,$A138,'BE Raw'!$B$6:$B$615,2025)</f>
        <v>960.4</v>
      </c>
      <c r="I138" s="12" t="n">
        <f aca="false">SUMIFS('BE Raw'!$D$6:$D$615,'BE Raw'!$E$6:$E$615,$A138,'BE Raw'!$B$6:$B$615,2026)</f>
        <v>795</v>
      </c>
      <c r="J138" s="12" t="n">
        <f aca="false">I138*$J$5</f>
        <v>1004.21052631579</v>
      </c>
    </row>
    <row r="139" customFormat="false" ht="15" hidden="false" customHeight="true" outlineLevel="0" collapsed="false">
      <c r="A139" s="12" t="n">
        <v>4413041</v>
      </c>
      <c r="B139" s="12" t="str">
        <f aca="false">IFERROR(INDEX('Catalog'!$B:$B,MATCH($A139,'Catalog'!$A:$A,0)),"")</f>
        <v>34  M מגן קרסול עקב סגור</v>
      </c>
      <c r="C139" s="12" t="n">
        <f aca="false">SUMIFS('BE Raw'!$C$6:$C$615,'BE Raw'!$E$6:$E$615,$A139,'BE Raw'!$B$6:$B$615,2025)</f>
        <v>201</v>
      </c>
      <c r="D139" s="12" t="n">
        <f aca="false">SUMIFS('BE Raw'!$C$6:$C$615,'BE Raw'!$E$6:$E$615,$A139,'BE Raw'!$B$6:$B$615,2026)</f>
        <v>106</v>
      </c>
      <c r="E139" s="12" t="n">
        <f aca="false">D139*$J$5</f>
        <v>133.894736842105</v>
      </c>
      <c r="F139" s="12" t="n">
        <f aca="false">E139-C139</f>
        <v>-67.1052631578947</v>
      </c>
      <c r="G139" s="21" t="n">
        <f aca="false">IF(AND(C139=0,E139=0),0,IF(C139=0,"New",(E139-C139)/C139))</f>
        <v>-0.333857030636292</v>
      </c>
      <c r="H139" s="12" t="n">
        <f aca="false">SUMIFS('BE Raw'!$D$6:$D$615,'BE Raw'!$E$6:$E$615,$A139,'BE Raw'!$B$6:$B$615,2025)</f>
        <v>8140.5</v>
      </c>
      <c r="I139" s="12" t="n">
        <f aca="false">SUMIFS('BE Raw'!$D$6:$D$615,'BE Raw'!$E$6:$E$615,$A139,'BE Raw'!$B$6:$B$615,2026)</f>
        <v>4293</v>
      </c>
      <c r="J139" s="12" t="n">
        <f aca="false">I139*$J$5</f>
        <v>5422.73684210526</v>
      </c>
    </row>
    <row r="140" customFormat="false" ht="15" hidden="false" customHeight="true" outlineLevel="0" collapsed="false">
      <c r="A140" s="12" t="n">
        <v>4413042</v>
      </c>
      <c r="B140" s="12" t="str">
        <f aca="false">IFERROR(INDEX('Catalog'!$B:$B,MATCH($A140,'Catalog'!$A:$A,0)),"")</f>
        <v>34  S מגן קרסול עקב סגור</v>
      </c>
      <c r="C140" s="12" t="n">
        <f aca="false">SUMIFS('BE Raw'!$C$6:$C$615,'BE Raw'!$E$6:$E$615,$A140,'BE Raw'!$B$6:$B$615,2025)</f>
        <v>119</v>
      </c>
      <c r="D140" s="12" t="n">
        <f aca="false">SUMIFS('BE Raw'!$C$6:$C$615,'BE Raw'!$E$6:$E$615,$A140,'BE Raw'!$B$6:$B$615,2026)</f>
        <v>71</v>
      </c>
      <c r="E140" s="12" t="n">
        <f aca="false">D140*$J$5</f>
        <v>89.6842105263158</v>
      </c>
      <c r="F140" s="12" t="n">
        <f aca="false">E140-C140</f>
        <v>-29.3157894736842</v>
      </c>
      <c r="G140" s="21" t="n">
        <f aca="false">IF(AND(C140=0,E140=0),0,IF(C140=0,"New",(E140-C140)/C140))</f>
        <v>-0.246351172047767</v>
      </c>
      <c r="H140" s="12" t="n">
        <f aca="false">SUMIFS('BE Raw'!$D$6:$D$615,'BE Raw'!$E$6:$E$615,$A140,'BE Raw'!$B$6:$B$615,2025)</f>
        <v>4819.5</v>
      </c>
      <c r="I140" s="12" t="n">
        <f aca="false">SUMIFS('BE Raw'!$D$6:$D$615,'BE Raw'!$E$6:$E$615,$A140,'BE Raw'!$B$6:$B$615,2026)</f>
        <v>2878.4</v>
      </c>
      <c r="J140" s="12" t="n">
        <f aca="false">I140*$J$5</f>
        <v>3635.87368421053</v>
      </c>
    </row>
    <row r="141" customFormat="false" ht="15" hidden="false" customHeight="true" outlineLevel="0" collapsed="false">
      <c r="A141" s="12" t="n">
        <v>4413043</v>
      </c>
      <c r="B141" s="12" t="str">
        <f aca="false">IFERROR(INDEX('Catalog'!$B:$B,MATCH($A141,'Catalog'!$A:$A,0)),"")</f>
        <v>34  L מגן קרסול עקב סגור</v>
      </c>
      <c r="C141" s="12" t="n">
        <f aca="false">SUMIFS('BE Raw'!$C$6:$C$615,'BE Raw'!$E$6:$E$615,$A141,'BE Raw'!$B$6:$B$615,2025)</f>
        <v>188</v>
      </c>
      <c r="D141" s="12" t="n">
        <f aca="false">SUMIFS('BE Raw'!$C$6:$C$615,'BE Raw'!$E$6:$E$615,$A141,'BE Raw'!$B$6:$B$615,2026)</f>
        <v>117</v>
      </c>
      <c r="E141" s="12" t="n">
        <f aca="false">D141*$J$5</f>
        <v>147.789473684211</v>
      </c>
      <c r="F141" s="12" t="n">
        <f aca="false">E141-C141</f>
        <v>-40.2105263157895</v>
      </c>
      <c r="G141" s="21" t="n">
        <f aca="false">IF(AND(C141=0,E141=0),0,IF(C141=0,"New",(E141-C141)/C141))</f>
        <v>-0.213885778275476</v>
      </c>
      <c r="H141" s="12" t="n">
        <f aca="false">SUMIFS('BE Raw'!$D$6:$D$615,'BE Raw'!$E$6:$E$615,$A141,'BE Raw'!$B$6:$B$615,2025)</f>
        <v>7622.7</v>
      </c>
      <c r="I141" s="12" t="n">
        <f aca="false">SUMIFS('BE Raw'!$D$6:$D$615,'BE Raw'!$E$6:$E$615,$A141,'BE Raw'!$B$6:$B$615,2026)</f>
        <v>4755.8</v>
      </c>
      <c r="J141" s="12" t="n">
        <f aca="false">I141*$J$5</f>
        <v>6007.32631578947</v>
      </c>
    </row>
    <row r="142" customFormat="false" ht="15" hidden="false" customHeight="true" outlineLevel="0" collapsed="false">
      <c r="A142" s="12" t="n">
        <v>4413044</v>
      </c>
      <c r="B142" s="12" t="str">
        <f aca="false">IFERROR(INDEX('Catalog'!$B:$B,MATCH($A142,'Catalog'!$A:$A,0)),"")</f>
        <v>34 XL מגן קרסול עקב סגור</v>
      </c>
      <c r="C142" s="12" t="n">
        <f aca="false">SUMIFS('BE Raw'!$C$6:$C$615,'BE Raw'!$E$6:$E$615,$A142,'BE Raw'!$B$6:$B$615,2025)</f>
        <v>122</v>
      </c>
      <c r="D142" s="12" t="n">
        <f aca="false">SUMIFS('BE Raw'!$C$6:$C$615,'BE Raw'!$E$6:$E$615,$A142,'BE Raw'!$B$6:$B$615,2026)</f>
        <v>63</v>
      </c>
      <c r="E142" s="12" t="n">
        <f aca="false">D142*$J$5</f>
        <v>79.5789473684211</v>
      </c>
      <c r="F142" s="12" t="n">
        <f aca="false">E142-C142</f>
        <v>-42.4210526315789</v>
      </c>
      <c r="G142" s="21" t="n">
        <f aca="false">IF(AND(C142=0,E142=0),0,IF(C142=0,"New",(E142-C142)/C142))</f>
        <v>-0.347713546160483</v>
      </c>
      <c r="H142" s="12" t="n">
        <f aca="false">SUMIFS('BE Raw'!$D$6:$D$615,'BE Raw'!$E$6:$E$615,$A142,'BE Raw'!$B$6:$B$615,2025)</f>
        <v>4943.9</v>
      </c>
      <c r="I142" s="12" t="n">
        <f aca="false">SUMIFS('BE Raw'!$D$6:$D$615,'BE Raw'!$E$6:$E$615,$A142,'BE Raw'!$B$6:$B$615,2026)</f>
        <v>2563</v>
      </c>
      <c r="J142" s="12" t="n">
        <f aca="false">I142*$J$5</f>
        <v>3237.47368421053</v>
      </c>
    </row>
    <row r="143" customFormat="false" ht="15" hidden="false" customHeight="true" outlineLevel="0" collapsed="false">
      <c r="A143" s="12" t="n">
        <v>4413046</v>
      </c>
      <c r="B143" s="12" t="str">
        <f aca="false">IFERROR(INDEX('Catalog'!$B:$B,MATCH($A143,'Catalog'!$A:$A,0)),"")</f>
        <v>34 XXL מגן קרסול עקב סגור</v>
      </c>
      <c r="C143" s="12" t="n">
        <f aca="false">SUMIFS('BE Raw'!$C$6:$C$615,'BE Raw'!$E$6:$E$615,$A143,'BE Raw'!$B$6:$B$615,2025)</f>
        <v>59</v>
      </c>
      <c r="D143" s="12" t="n">
        <f aca="false">SUMIFS('BE Raw'!$C$6:$C$615,'BE Raw'!$E$6:$E$615,$A143,'BE Raw'!$B$6:$B$615,2026)</f>
        <v>46</v>
      </c>
      <c r="E143" s="12" t="n">
        <f aca="false">D143*$J$5</f>
        <v>58.1052631578947</v>
      </c>
      <c r="F143" s="12" t="n">
        <f aca="false">E143-C143</f>
        <v>-0.894736842105267</v>
      </c>
      <c r="G143" s="21" t="n">
        <f aca="false">IF(AND(C143=0,E143=0),0,IF(C143=0,"New",(E143-C143)/C143))</f>
        <v>-0.0151650312221232</v>
      </c>
      <c r="H143" s="12" t="n">
        <f aca="false">SUMIFS('BE Raw'!$D$6:$D$615,'BE Raw'!$E$6:$E$615,$A143,'BE Raw'!$B$6:$B$615,2025)</f>
        <v>2389.5</v>
      </c>
      <c r="I143" s="12" t="n">
        <f aca="false">SUMIFS('BE Raw'!$D$6:$D$615,'BE Raw'!$E$6:$E$615,$A143,'BE Raw'!$B$6:$B$615,2026)</f>
        <v>1863</v>
      </c>
      <c r="J143" s="12" t="n">
        <f aca="false">I143*$J$5</f>
        <v>2353.26315789474</v>
      </c>
    </row>
    <row r="144" customFormat="false" ht="15" hidden="false" customHeight="true" outlineLevel="0" collapsed="false">
      <c r="A144" s="12" t="n">
        <v>4413047</v>
      </c>
      <c r="B144" s="12" t="str">
        <f aca="false">IFERROR(INDEX('Catalog'!$B:$B,MATCH($A144,'Catalog'!$A:$A,0)),"")</f>
        <v>35 S מגן קרסול לבן</v>
      </c>
      <c r="C144" s="12" t="n">
        <f aca="false">SUMIFS('BE Raw'!$C$6:$C$615,'BE Raw'!$E$6:$E$615,$A144,'BE Raw'!$B$6:$B$615,2025)</f>
        <v>164</v>
      </c>
      <c r="D144" s="12" t="n">
        <f aca="false">SUMIFS('BE Raw'!$C$6:$C$615,'BE Raw'!$E$6:$E$615,$A144,'BE Raw'!$B$6:$B$615,2026)</f>
        <v>91</v>
      </c>
      <c r="E144" s="12" t="n">
        <f aca="false">D144*$J$5</f>
        <v>114.947368421053</v>
      </c>
      <c r="F144" s="12" t="n">
        <f aca="false">E144-C144</f>
        <v>-49.0526315789474</v>
      </c>
      <c r="G144" s="21" t="n">
        <f aca="false">IF(AND(C144=0,E144=0),0,IF(C144=0,"New",(E144-C144)/C144))</f>
        <v>-0.299101412066752</v>
      </c>
      <c r="H144" s="12" t="n">
        <f aca="false">SUMIFS('BE Raw'!$D$6:$D$615,'BE Raw'!$E$6:$E$615,$A144,'BE Raw'!$B$6:$B$615,2025)</f>
        <v>4554.6</v>
      </c>
      <c r="I144" s="12" t="n">
        <f aca="false">SUMIFS('BE Raw'!$D$6:$D$615,'BE Raw'!$E$6:$E$615,$A144,'BE Raw'!$B$6:$B$615,2026)</f>
        <v>2530.2</v>
      </c>
      <c r="J144" s="12" t="n">
        <f aca="false">I144*$J$5</f>
        <v>3196.04210526316</v>
      </c>
    </row>
    <row r="145" customFormat="false" ht="15" hidden="false" customHeight="true" outlineLevel="0" collapsed="false">
      <c r="A145" s="12" t="n">
        <v>4413048</v>
      </c>
      <c r="B145" s="12" t="str">
        <f aca="false">IFERROR(INDEX('Catalog'!$B:$B,MATCH($A145,'Catalog'!$A:$A,0)),"")</f>
        <v>35 L מגן קרסול לבן</v>
      </c>
      <c r="C145" s="12" t="n">
        <f aca="false">SUMIFS('BE Raw'!$C$6:$C$615,'BE Raw'!$E$6:$E$615,$A145,'BE Raw'!$B$6:$B$615,2025)</f>
        <v>261</v>
      </c>
      <c r="D145" s="12" t="n">
        <f aca="false">SUMIFS('BE Raw'!$C$6:$C$615,'BE Raw'!$E$6:$E$615,$A145,'BE Raw'!$B$6:$B$615,2026)</f>
        <v>163</v>
      </c>
      <c r="E145" s="12" t="n">
        <f aca="false">D145*$J$5</f>
        <v>205.894736842105</v>
      </c>
      <c r="F145" s="12" t="n">
        <f aca="false">E145-C145</f>
        <v>-55.1052631578947</v>
      </c>
      <c r="G145" s="21" t="n">
        <f aca="false">IF(AND(C145=0,E145=0),0,IF(C145=0,"New",(E145-C145)/C145))</f>
        <v>-0.21113127646703</v>
      </c>
      <c r="H145" s="12" t="n">
        <f aca="false">SUMIFS('BE Raw'!$D$6:$D$615,'BE Raw'!$E$6:$E$615,$A145,'BE Raw'!$B$6:$B$615,2025)</f>
        <v>7257.2</v>
      </c>
      <c r="I145" s="12" t="n">
        <f aca="false">SUMIFS('BE Raw'!$D$6:$D$615,'BE Raw'!$E$6:$E$615,$A145,'BE Raw'!$B$6:$B$615,2026)</f>
        <v>4526.7</v>
      </c>
      <c r="J145" s="12" t="n">
        <f aca="false">I145*$J$5</f>
        <v>5717.93684210526</v>
      </c>
    </row>
    <row r="146" customFormat="false" ht="15" hidden="false" customHeight="true" outlineLevel="0" collapsed="false">
      <c r="A146" s="12" t="n">
        <v>4413049</v>
      </c>
      <c r="B146" s="12" t="str">
        <f aca="false">IFERROR(INDEX('Catalog'!$B:$B,MATCH($A146,'Catalog'!$A:$A,0)),"")</f>
        <v>35 M מגן קרסול לבן</v>
      </c>
      <c r="C146" s="12" t="n">
        <f aca="false">SUMIFS('BE Raw'!$C$6:$C$615,'BE Raw'!$E$6:$E$615,$A146,'BE Raw'!$B$6:$B$615,2025)</f>
        <v>251</v>
      </c>
      <c r="D146" s="12" t="n">
        <f aca="false">SUMIFS('BE Raw'!$C$6:$C$615,'BE Raw'!$E$6:$E$615,$A146,'BE Raw'!$B$6:$B$615,2026)</f>
        <v>145</v>
      </c>
      <c r="E146" s="12" t="n">
        <f aca="false">D146*$J$5</f>
        <v>183.157894736842</v>
      </c>
      <c r="F146" s="12" t="n">
        <f aca="false">E146-C146</f>
        <v>-67.8421052631579</v>
      </c>
      <c r="G146" s="21" t="n">
        <f aca="false">IF(AND(C146=0,E146=0),0,IF(C146=0,"New",(E146-C146)/C146))</f>
        <v>-0.270287271964773</v>
      </c>
      <c r="H146" s="12" t="n">
        <f aca="false">SUMIFS('BE Raw'!$D$6:$D$615,'BE Raw'!$E$6:$E$615,$A146,'BE Raw'!$B$6:$B$615,2025)</f>
        <v>6969.7</v>
      </c>
      <c r="I146" s="12" t="n">
        <f aca="false">SUMIFS('BE Raw'!$D$6:$D$615,'BE Raw'!$E$6:$E$615,$A146,'BE Raw'!$B$6:$B$615,2026)</f>
        <v>4031.1</v>
      </c>
      <c r="J146" s="12" t="n">
        <f aca="false">I146*$J$5</f>
        <v>5091.91578947368</v>
      </c>
    </row>
    <row r="147" customFormat="false" ht="15" hidden="false" customHeight="true" outlineLevel="0" collapsed="false">
      <c r="A147" s="12" t="n">
        <v>4413050</v>
      </c>
      <c r="B147" s="12" t="str">
        <f aca="false">IFERROR(INDEX('Catalog'!$B:$B,MATCH($A147,'Catalog'!$A:$A,0)),"")</f>
        <v>35 XL מגן קרסול לבן</v>
      </c>
      <c r="C147" s="12" t="n">
        <f aca="false">SUMIFS('BE Raw'!$C$6:$C$615,'BE Raw'!$E$6:$E$615,$A147,'BE Raw'!$B$6:$B$615,2025)</f>
        <v>147</v>
      </c>
      <c r="D147" s="12" t="n">
        <f aca="false">SUMIFS('BE Raw'!$C$6:$C$615,'BE Raw'!$E$6:$E$615,$A147,'BE Raw'!$B$6:$B$615,2026)</f>
        <v>118</v>
      </c>
      <c r="E147" s="12" t="n">
        <f aca="false">D147*$J$5</f>
        <v>149.052631578947</v>
      </c>
      <c r="F147" s="12" t="n">
        <f aca="false">E147-C147</f>
        <v>2.05263157894737</v>
      </c>
      <c r="G147" s="21" t="n">
        <f aca="false">IF(AND(C147=0,E147=0),0,IF(C147=0,"New",(E147-C147)/C147))</f>
        <v>0.0139634801288937</v>
      </c>
      <c r="H147" s="12" t="n">
        <f aca="false">SUMIFS('BE Raw'!$D$6:$D$615,'BE Raw'!$E$6:$E$615,$A147,'BE Raw'!$B$6:$B$615,2025)</f>
        <v>4086.6</v>
      </c>
      <c r="I147" s="12" t="n">
        <f aca="false">SUMIFS('BE Raw'!$D$6:$D$615,'BE Raw'!$E$6:$E$615,$A147,'BE Raw'!$B$6:$B$615,2026)</f>
        <v>3277.6</v>
      </c>
      <c r="J147" s="12" t="n">
        <f aca="false">I147*$J$5</f>
        <v>4140.12631578947</v>
      </c>
    </row>
    <row r="148" customFormat="false" ht="15" hidden="false" customHeight="true" outlineLevel="0" collapsed="false">
      <c r="A148" s="12" t="n">
        <v>4413051</v>
      </c>
      <c r="B148" s="12" t="str">
        <f aca="false">IFERROR(INDEX('Catalog'!$B:$B,MATCH($A148,'Catalog'!$A:$A,0)),"")</f>
        <v>35 XXL מגן קרסול לבן</v>
      </c>
      <c r="C148" s="12" t="n">
        <f aca="false">SUMIFS('BE Raw'!$C$6:$C$615,'BE Raw'!$E$6:$E$615,$A148,'BE Raw'!$B$6:$B$615,2025)</f>
        <v>77</v>
      </c>
      <c r="D148" s="12" t="n">
        <f aca="false">SUMIFS('BE Raw'!$C$6:$C$615,'BE Raw'!$E$6:$E$615,$A148,'BE Raw'!$B$6:$B$615,2026)</f>
        <v>78</v>
      </c>
      <c r="E148" s="12" t="n">
        <f aca="false">D148*$J$5</f>
        <v>98.5263157894737</v>
      </c>
      <c r="F148" s="12" t="n">
        <f aca="false">E148-C148</f>
        <v>21.5263157894737</v>
      </c>
      <c r="G148" s="21" t="n">
        <f aca="false">IF(AND(C148=0,E148=0),0,IF(C148=0,"New",(E148-C148)/C148))</f>
        <v>0.279562542720437</v>
      </c>
      <c r="H148" s="12" t="n">
        <f aca="false">SUMIFS('BE Raw'!$D$6:$D$615,'BE Raw'!$E$6:$E$615,$A148,'BE Raw'!$B$6:$B$615,2025)</f>
        <v>2137.5</v>
      </c>
      <c r="I148" s="12" t="n">
        <f aca="false">SUMIFS('BE Raw'!$D$6:$D$615,'BE Raw'!$E$6:$E$615,$A148,'BE Raw'!$B$6:$B$615,2026)</f>
        <v>2165.2</v>
      </c>
      <c r="J148" s="12" t="n">
        <f aca="false">I148*$J$5</f>
        <v>2734.98947368421</v>
      </c>
    </row>
    <row r="149" customFormat="false" ht="15" hidden="false" customHeight="true" outlineLevel="0" collapsed="false">
      <c r="A149" s="12" t="n">
        <v>4413052</v>
      </c>
      <c r="B149" s="12" t="str">
        <f aca="false">IFERROR(INDEX('Catalog'!$B:$B,MATCH($A149,'Catalog'!$A:$A,0)),"")</f>
        <v>35C S מגן קרסול חום</v>
      </c>
      <c r="C149" s="12" t="n">
        <f aca="false">SUMIFS('BE Raw'!$C$6:$C$615,'BE Raw'!$E$6:$E$615,$A149,'BE Raw'!$B$6:$B$615,2025)</f>
        <v>180</v>
      </c>
      <c r="D149" s="12" t="n">
        <f aca="false">SUMIFS('BE Raw'!$C$6:$C$615,'BE Raw'!$E$6:$E$615,$A149,'BE Raw'!$B$6:$B$615,2026)</f>
        <v>117</v>
      </c>
      <c r="E149" s="12" t="n">
        <f aca="false">D149*$J$5</f>
        <v>147.789473684211</v>
      </c>
      <c r="F149" s="12" t="n">
        <f aca="false">E149-C149</f>
        <v>-32.2105263157895</v>
      </c>
      <c r="G149" s="21" t="n">
        <f aca="false">IF(AND(C149=0,E149=0),0,IF(C149=0,"New",(E149-C149)/C149))</f>
        <v>-0.178947368421053</v>
      </c>
      <c r="H149" s="12" t="n">
        <f aca="false">SUMIFS('BE Raw'!$D$6:$D$615,'BE Raw'!$E$6:$E$615,$A149,'BE Raw'!$B$6:$B$615,2025)</f>
        <v>5004.7</v>
      </c>
      <c r="I149" s="12" t="n">
        <f aca="false">SUMIFS('BE Raw'!$D$6:$D$615,'BE Raw'!$E$6:$E$615,$A149,'BE Raw'!$B$6:$B$615,2026)</f>
        <v>3251.9</v>
      </c>
      <c r="J149" s="12" t="n">
        <f aca="false">I149*$J$5</f>
        <v>4107.66315789474</v>
      </c>
    </row>
    <row r="150" customFormat="false" ht="15" hidden="false" customHeight="true" outlineLevel="0" collapsed="false">
      <c r="A150" s="12" t="n">
        <v>4413053</v>
      </c>
      <c r="B150" s="12" t="str">
        <f aca="false">IFERROR(INDEX('Catalog'!$B:$B,MATCH($A150,'Catalog'!$A:$A,0)),"")</f>
        <v>35C L מגן קרסול חום</v>
      </c>
      <c r="C150" s="12" t="n">
        <f aca="false">SUMIFS('BE Raw'!$C$6:$C$615,'BE Raw'!$E$6:$E$615,$A150,'BE Raw'!$B$6:$B$615,2025)</f>
        <v>260</v>
      </c>
      <c r="D150" s="12" t="n">
        <f aca="false">SUMIFS('BE Raw'!$C$6:$C$615,'BE Raw'!$E$6:$E$615,$A150,'BE Raw'!$B$6:$B$615,2026)</f>
        <v>206</v>
      </c>
      <c r="E150" s="12" t="n">
        <f aca="false">D150*$J$5</f>
        <v>260.21052631579</v>
      </c>
      <c r="F150" s="12" t="n">
        <f aca="false">E150-C150</f>
        <v>0.21052631578948</v>
      </c>
      <c r="G150" s="21" t="n">
        <f aca="false">IF(AND(C150=0,E150=0),0,IF(C150=0,"New",(E150-C150)/C150))</f>
        <v>0.000809716599190307</v>
      </c>
      <c r="H150" s="12" t="n">
        <f aca="false">SUMIFS('BE Raw'!$D$6:$D$615,'BE Raw'!$E$6:$E$615,$A150,'BE Raw'!$B$6:$B$615,2025)</f>
        <v>7223.5</v>
      </c>
      <c r="I150" s="12" t="n">
        <f aca="false">SUMIFS('BE Raw'!$D$6:$D$615,'BE Raw'!$E$6:$E$615,$A150,'BE Raw'!$B$6:$B$615,2026)</f>
        <v>5732.4</v>
      </c>
      <c r="J150" s="12" t="n">
        <f aca="false">I150*$J$5</f>
        <v>7240.92631578947</v>
      </c>
    </row>
    <row r="151" customFormat="false" ht="15" hidden="false" customHeight="true" outlineLevel="0" collapsed="false">
      <c r="A151" s="12" t="n">
        <v>4413054</v>
      </c>
      <c r="B151" s="12" t="str">
        <f aca="false">IFERROR(INDEX('Catalog'!$B:$B,MATCH($A151,'Catalog'!$A:$A,0)),"")</f>
        <v>35C M מגן קרסול חום</v>
      </c>
      <c r="C151" s="12" t="n">
        <f aca="false">SUMIFS('BE Raw'!$C$6:$C$615,'BE Raw'!$E$6:$E$615,$A151,'BE Raw'!$B$6:$B$615,2025)</f>
        <v>327</v>
      </c>
      <c r="D151" s="12" t="n">
        <f aca="false">SUMIFS('BE Raw'!$C$6:$C$615,'BE Raw'!$E$6:$E$615,$A151,'BE Raw'!$B$6:$B$615,2026)</f>
        <v>251</v>
      </c>
      <c r="E151" s="12" t="n">
        <f aca="false">D151*$J$5</f>
        <v>317.052631578947</v>
      </c>
      <c r="F151" s="12" t="n">
        <f aca="false">E151-C151</f>
        <v>-9.94736842105266</v>
      </c>
      <c r="G151" s="21" t="n">
        <f aca="false">IF(AND(C151=0,E151=0),0,IF(C151=0,"New",(E151-C151)/C151))</f>
        <v>-0.0304200869145341</v>
      </c>
      <c r="H151" s="12" t="n">
        <f aca="false">SUMIFS('BE Raw'!$D$6:$D$615,'BE Raw'!$E$6:$E$615,$A151,'BE Raw'!$B$6:$B$615,2025)</f>
        <v>9089.4</v>
      </c>
      <c r="I151" s="12" t="n">
        <f aca="false">SUMIFS('BE Raw'!$D$6:$D$615,'BE Raw'!$E$6:$E$615,$A151,'BE Raw'!$B$6:$B$615,2026)</f>
        <v>6977.6</v>
      </c>
      <c r="J151" s="12" t="n">
        <f aca="false">I151*$J$5</f>
        <v>8813.81052631579</v>
      </c>
    </row>
    <row r="152" customFormat="false" ht="15" hidden="false" customHeight="true" outlineLevel="0" collapsed="false">
      <c r="A152" s="12" t="n">
        <v>4413055</v>
      </c>
      <c r="B152" s="12" t="str">
        <f aca="false">IFERROR(INDEX('Catalog'!$B:$B,MATCH($A152,'Catalog'!$A:$A,0)),"")</f>
        <v>35C XL מגן קרסול חום</v>
      </c>
      <c r="C152" s="12" t="n">
        <f aca="false">SUMIFS('BE Raw'!$C$6:$C$615,'BE Raw'!$E$6:$E$615,$A152,'BE Raw'!$B$6:$B$615,2025)</f>
        <v>157</v>
      </c>
      <c r="D152" s="12" t="n">
        <f aca="false">SUMIFS('BE Raw'!$C$6:$C$615,'BE Raw'!$E$6:$E$615,$A152,'BE Raw'!$B$6:$B$615,2026)</f>
        <v>157</v>
      </c>
      <c r="E152" s="12" t="n">
        <f aca="false">D152*$J$5</f>
        <v>198.315789473684</v>
      </c>
      <c r="F152" s="12" t="n">
        <f aca="false">E152-C152</f>
        <v>41.3157894736842</v>
      </c>
      <c r="G152" s="21" t="n">
        <f aca="false">IF(AND(C152=0,E152=0),0,IF(C152=0,"New",(E152-C152)/C152))</f>
        <v>0.263157894736842</v>
      </c>
      <c r="H152" s="12" t="n">
        <f aca="false">SUMIFS('BE Raw'!$D$6:$D$615,'BE Raw'!$E$6:$E$615,$A152,'BE Raw'!$B$6:$B$615,2025)</f>
        <v>4368.3</v>
      </c>
      <c r="I152" s="12" t="n">
        <f aca="false">SUMIFS('BE Raw'!$D$6:$D$615,'BE Raw'!$E$6:$E$615,$A152,'BE Raw'!$B$6:$B$615,2026)</f>
        <v>4364.3</v>
      </c>
      <c r="J152" s="12" t="n">
        <f aca="false">I152*$J$5</f>
        <v>5512.8</v>
      </c>
    </row>
    <row r="153" customFormat="false" ht="15" hidden="false" customHeight="true" outlineLevel="0" collapsed="false">
      <c r="A153" s="12" t="n">
        <v>4413056</v>
      </c>
      <c r="B153" s="12" t="str">
        <f aca="false">IFERROR(INDEX('Catalog'!$B:$B,MATCH($A153,'Catalog'!$A:$A,0)),"")</f>
        <v>LF360 מדרס מטטרזלי לנעלי עקב</v>
      </c>
      <c r="C153" s="12" t="n">
        <f aca="false">SUMIFS('BE Raw'!$C$6:$C$615,'BE Raw'!$E$6:$E$615,$A153,'BE Raw'!$B$6:$B$615,2025)</f>
        <v>22</v>
      </c>
      <c r="D153" s="12" t="n">
        <f aca="false">SUMIFS('BE Raw'!$C$6:$C$615,'BE Raw'!$E$6:$E$615,$A153,'BE Raw'!$B$6:$B$615,2026)</f>
        <v>24</v>
      </c>
      <c r="E153" s="12" t="n">
        <f aca="false">D153*$J$5</f>
        <v>30.3157894736842</v>
      </c>
      <c r="F153" s="12" t="n">
        <f aca="false">E153-C153</f>
        <v>8.31578947368421</v>
      </c>
      <c r="G153" s="21" t="n">
        <f aca="false">IF(AND(C153=0,E153=0),0,IF(C153=0,"New",(E153-C153)/C153))</f>
        <v>0.37799043062201</v>
      </c>
      <c r="H153" s="12" t="n">
        <f aca="false">SUMIFS('BE Raw'!$D$6:$D$615,'BE Raw'!$E$6:$E$615,$A153,'BE Raw'!$B$6:$B$615,2025)</f>
        <v>480.3</v>
      </c>
      <c r="I153" s="12" t="n">
        <f aca="false">SUMIFS('BE Raw'!$D$6:$D$615,'BE Raw'!$E$6:$E$615,$A153,'BE Raw'!$B$6:$B$615,2026)</f>
        <v>524</v>
      </c>
      <c r="J153" s="12" t="n">
        <f aca="false">I153*$J$5</f>
        <v>661.894736842105</v>
      </c>
    </row>
    <row r="154" customFormat="false" ht="15" hidden="false" customHeight="true" outlineLevel="0" collapsed="false">
      <c r="A154" s="12" t="n">
        <v>4413058</v>
      </c>
      <c r="B154" s="12" t="str">
        <f aca="false">IFERROR(INDEX('Catalog'!$B:$B,MATCH($A154,'Catalog'!$A:$A,0)),"")</f>
        <v>3622S מדבקה לשחרור לחץ 2 יח</v>
      </c>
      <c r="C154" s="12" t="n">
        <f aca="false">SUMIFS('BE Raw'!$C$6:$C$615,'BE Raw'!$E$6:$E$615,$A154,'BE Raw'!$B$6:$B$615,2025)</f>
        <v>84</v>
      </c>
      <c r="D154" s="12" t="n">
        <f aca="false">SUMIFS('BE Raw'!$C$6:$C$615,'BE Raw'!$E$6:$E$615,$A154,'BE Raw'!$B$6:$B$615,2026)</f>
        <v>47</v>
      </c>
      <c r="E154" s="12" t="n">
        <f aca="false">D154*$J$5</f>
        <v>59.3684210526316</v>
      </c>
      <c r="F154" s="12" t="n">
        <f aca="false">E154-C154</f>
        <v>-24.6315789473684</v>
      </c>
      <c r="G154" s="21" t="n">
        <f aca="false">IF(AND(C154=0,E154=0),0,IF(C154=0,"New",(E154-C154)/C154))</f>
        <v>-0.293233082706767</v>
      </c>
      <c r="H154" s="12" t="n">
        <f aca="false">SUMIFS('BE Raw'!$D$6:$D$615,'BE Raw'!$E$6:$E$615,$A154,'BE Raw'!$B$6:$B$615,2025)</f>
        <v>2425.3</v>
      </c>
      <c r="I154" s="12" t="n">
        <f aca="false">SUMIFS('BE Raw'!$D$6:$D$615,'BE Raw'!$E$6:$E$615,$A154,'BE Raw'!$B$6:$B$615,2026)</f>
        <v>1357.1</v>
      </c>
      <c r="J154" s="12" t="n">
        <f aca="false">I154*$J$5</f>
        <v>1714.23157894737</v>
      </c>
    </row>
    <row r="155" customFormat="false" ht="15" hidden="false" customHeight="true" outlineLevel="0" collapsed="false">
      <c r="A155" s="12" t="n">
        <v>4413059</v>
      </c>
      <c r="B155" s="12" t="str">
        <f aca="false">IFERROR(INDEX('Catalog'!$B:$B,MATCH($A155,'Catalog'!$A:$A,0)),"")</f>
        <v>364S Lמפר.אצבע סיליק. ליבל.זוג</v>
      </c>
      <c r="C155" s="12" t="n">
        <f aca="false">SUMIFS('BE Raw'!$C$6:$C$615,'BE Raw'!$E$6:$E$615,$A155,'BE Raw'!$B$6:$B$615,2025)</f>
        <v>662</v>
      </c>
      <c r="D155" s="12" t="n">
        <f aca="false">SUMIFS('BE Raw'!$C$6:$C$615,'BE Raw'!$E$6:$E$615,$A155,'BE Raw'!$B$6:$B$615,2026)</f>
        <v>523</v>
      </c>
      <c r="E155" s="12" t="n">
        <f aca="false">D155*$J$5</f>
        <v>660.631578947368</v>
      </c>
      <c r="F155" s="12" t="n">
        <f aca="false">E155-C155</f>
        <v>-1.36842105263156</v>
      </c>
      <c r="G155" s="21" t="n">
        <f aca="false">IF(AND(C155=0,E155=0),0,IF(C155=0,"New",(E155-C155)/C155))</f>
        <v>-0.00206710128796308</v>
      </c>
      <c r="H155" s="12" t="n">
        <f aca="false">SUMIFS('BE Raw'!$D$6:$D$615,'BE Raw'!$E$6:$E$615,$A155,'BE Raw'!$B$6:$B$615,2025)</f>
        <v>8957.3</v>
      </c>
      <c r="I155" s="12" t="n">
        <f aca="false">SUMIFS('BE Raw'!$D$6:$D$615,'BE Raw'!$E$6:$E$615,$A155,'BE Raw'!$B$6:$B$615,2026)</f>
        <v>7090.7</v>
      </c>
      <c r="J155" s="12" t="n">
        <f aca="false">I155*$J$5</f>
        <v>8956.67368421053</v>
      </c>
    </row>
    <row r="156" customFormat="false" ht="15" hidden="false" customHeight="true" outlineLevel="0" collapsed="false">
      <c r="A156" s="12" t="n">
        <v>4413060</v>
      </c>
      <c r="B156" s="12" t="str">
        <f aca="false">IFERROR(INDEX('Catalog'!$B:$B,MATCH($A156,'Catalog'!$A:$A,0)),"")</f>
        <v>364 XLמפריד אצבע סיליקון ליבלת</v>
      </c>
      <c r="C156" s="12" t="n">
        <f aca="false">SUMIFS('BE Raw'!$C$6:$C$615,'BE Raw'!$E$6:$E$615,$A156,'BE Raw'!$B$6:$B$615,2025)</f>
        <v>336</v>
      </c>
      <c r="D156" s="12" t="n">
        <f aca="false">SUMIFS('BE Raw'!$C$6:$C$615,'BE Raw'!$E$6:$E$615,$A156,'BE Raw'!$B$6:$B$615,2026)</f>
        <v>217</v>
      </c>
      <c r="E156" s="12" t="n">
        <f aca="false">D156*$J$5</f>
        <v>274.105263157895</v>
      </c>
      <c r="F156" s="12" t="n">
        <f aca="false">E156-C156</f>
        <v>-61.8947368421053</v>
      </c>
      <c r="G156" s="21" t="n">
        <f aca="false">IF(AND(C156=0,E156=0),0,IF(C156=0,"New",(E156-C156)/C156))</f>
        <v>-0.184210526315789</v>
      </c>
      <c r="H156" s="12" t="n">
        <f aca="false">SUMIFS('BE Raw'!$D$6:$D$615,'BE Raw'!$E$6:$E$615,$A156,'BE Raw'!$B$6:$B$615,2025)</f>
        <v>4548.4</v>
      </c>
      <c r="I156" s="12" t="n">
        <f aca="false">SUMIFS('BE Raw'!$D$6:$D$615,'BE Raw'!$E$6:$E$615,$A156,'BE Raw'!$B$6:$B$615,2026)</f>
        <v>2943.7</v>
      </c>
      <c r="J156" s="12" t="n">
        <f aca="false">I156*$J$5</f>
        <v>3718.35789473684</v>
      </c>
    </row>
    <row r="157" customFormat="false" ht="15" hidden="false" customHeight="true" outlineLevel="0" collapsed="false">
      <c r="A157" s="12" t="n">
        <v>4413061</v>
      </c>
      <c r="B157" s="12" t="str">
        <f aca="false">IFERROR(INDEX('Catalog'!$B:$B,MATCH($A157,'Catalog'!$A:$A,0)),"")</f>
        <v>3641-מיישר בוהן סיליקון קשיח</v>
      </c>
      <c r="C157" s="12" t="n">
        <f aca="false">SUMIFS('BE Raw'!$C$6:$C$615,'BE Raw'!$E$6:$E$615,$A157,'BE Raw'!$B$6:$B$615,2025)</f>
        <v>150</v>
      </c>
      <c r="D157" s="12" t="n">
        <f aca="false">SUMIFS('BE Raw'!$C$6:$C$615,'BE Raw'!$E$6:$E$615,$A157,'BE Raw'!$B$6:$B$615,2026)</f>
        <v>25</v>
      </c>
      <c r="E157" s="12" t="n">
        <f aca="false">D157*$J$5</f>
        <v>31.5789473684211</v>
      </c>
      <c r="F157" s="12" t="n">
        <f aca="false">E157-C157</f>
        <v>-118.421052631579</v>
      </c>
      <c r="G157" s="21" t="n">
        <f aca="false">IF(AND(C157=0,E157=0),0,IF(C157=0,"New",(E157-C157)/C157))</f>
        <v>-0.789473684210526</v>
      </c>
      <c r="H157" s="12" t="n">
        <f aca="false">SUMIFS('BE Raw'!$D$6:$D$615,'BE Raw'!$E$6:$E$615,$A157,'BE Raw'!$B$6:$B$615,2025)</f>
        <v>2970.1</v>
      </c>
      <c r="I157" s="12" t="n">
        <f aca="false">SUMIFS('BE Raw'!$D$6:$D$615,'BE Raw'!$E$6:$E$615,$A157,'BE Raw'!$B$6:$B$615,2026)</f>
        <v>493.6</v>
      </c>
      <c r="J157" s="12" t="n">
        <f aca="false">I157*$J$5</f>
        <v>623.494736842105</v>
      </c>
    </row>
    <row r="158" customFormat="false" ht="15" hidden="false" customHeight="true" outlineLevel="0" collapsed="false">
      <c r="A158" s="12" t="n">
        <v>4413063</v>
      </c>
      <c r="B158" s="12" t="str">
        <f aca="false">IFERROR(INDEX('Catalog'!$B:$B,MATCH($A158,'Catalog'!$A:$A,0)),"")</f>
        <v>366S-'מדבק.לשחרור לחץ מיבלת2יח</v>
      </c>
      <c r="C158" s="12" t="n">
        <f aca="false">SUMIFS('BE Raw'!$C$6:$C$615,'BE Raw'!$E$6:$E$615,$A158,'BE Raw'!$B$6:$B$615,2025)</f>
        <v>88</v>
      </c>
      <c r="D158" s="12" t="n">
        <f aca="false">SUMIFS('BE Raw'!$C$6:$C$615,'BE Raw'!$E$6:$E$615,$A158,'BE Raw'!$B$6:$B$615,2026)</f>
        <v>67</v>
      </c>
      <c r="E158" s="12" t="n">
        <f aca="false">D158*$J$5</f>
        <v>84.6315789473684</v>
      </c>
      <c r="F158" s="12" t="n">
        <f aca="false">E158-C158</f>
        <v>-3.36842105263159</v>
      </c>
      <c r="G158" s="21" t="n">
        <f aca="false">IF(AND(C158=0,E158=0),0,IF(C158=0,"New",(E158-C158)/C158))</f>
        <v>-0.0382775119617226</v>
      </c>
      <c r="H158" s="12" t="n">
        <f aca="false">SUMIFS('BE Raw'!$D$6:$D$615,'BE Raw'!$E$6:$E$615,$A158,'BE Raw'!$B$6:$B$615,2025)</f>
        <v>1149.1</v>
      </c>
      <c r="I158" s="12" t="n">
        <f aca="false">SUMIFS('BE Raw'!$D$6:$D$615,'BE Raw'!$E$6:$E$615,$A158,'BE Raw'!$B$6:$B$615,2026)</f>
        <v>891.3</v>
      </c>
      <c r="J158" s="12" t="n">
        <f aca="false">I158*$J$5</f>
        <v>1125.85263157895</v>
      </c>
    </row>
    <row r="159" customFormat="false" ht="15" hidden="false" customHeight="true" outlineLevel="0" collapsed="false">
      <c r="A159" s="12" t="n">
        <v>4413066</v>
      </c>
      <c r="B159" s="12" t="str">
        <f aca="false">IFERROR(INDEX('Catalog'!$B:$B,MATCH($A159,'Catalog'!$A:$A,0)),"")</f>
        <v>3677S-מד.לשחרור לחץ א.הבוניון</v>
      </c>
      <c r="C159" s="12" t="n">
        <f aca="false">SUMIFS('BE Raw'!$C$6:$C$615,'BE Raw'!$E$6:$E$615,$A159,'BE Raw'!$B$6:$B$615,2025)</f>
        <v>35</v>
      </c>
      <c r="D159" s="12" t="n">
        <f aca="false">SUMIFS('BE Raw'!$C$6:$C$615,'BE Raw'!$E$6:$E$615,$A159,'BE Raw'!$B$6:$B$615,2026)</f>
        <v>26</v>
      </c>
      <c r="E159" s="12" t="n">
        <f aca="false">D159*$J$5</f>
        <v>32.8421052631579</v>
      </c>
      <c r="F159" s="12" t="n">
        <f aca="false">E159-C159</f>
        <v>-2.15789473684211</v>
      </c>
      <c r="G159" s="21" t="n">
        <f aca="false">IF(AND(C159=0,E159=0),0,IF(C159=0,"New",(E159-C159)/C159))</f>
        <v>-0.061654135338346</v>
      </c>
      <c r="H159" s="12" t="n">
        <f aca="false">SUMIFS('BE Raw'!$D$6:$D$615,'BE Raw'!$E$6:$E$615,$A159,'BE Raw'!$B$6:$B$615,2025)</f>
        <v>658.2</v>
      </c>
      <c r="I159" s="12" t="n">
        <f aca="false">SUMIFS('BE Raw'!$D$6:$D$615,'BE Raw'!$E$6:$E$615,$A159,'BE Raw'!$B$6:$B$615,2026)</f>
        <v>463</v>
      </c>
      <c r="J159" s="12" t="n">
        <f aca="false">I159*$J$5</f>
        <v>584.842105263158</v>
      </c>
    </row>
    <row r="160" customFormat="false" ht="15" hidden="false" customHeight="true" outlineLevel="0" collapsed="false">
      <c r="A160" s="12" t="n">
        <v>4413071</v>
      </c>
      <c r="B160" s="12" t="str">
        <f aca="false">IFERROR(INDEX('Catalog'!$B:$B,MATCH($A160,'Catalog'!$A:$A,0)),"")</f>
        <v>41 Sמ.ברך מוצלב+ספירלות בצדדים</v>
      </c>
      <c r="C160" s="12" t="n">
        <f aca="false">SUMIFS('BE Raw'!$C$6:$C$615,'BE Raw'!$E$6:$E$615,$A160,'BE Raw'!$B$6:$B$615,2025)</f>
        <v>2</v>
      </c>
      <c r="D160" s="12" t="n">
        <f aca="false">SUMIFS('BE Raw'!$C$6:$C$615,'BE Raw'!$E$6:$E$615,$A160,'BE Raw'!$B$6:$B$615,2026)</f>
        <v>4</v>
      </c>
      <c r="E160" s="12" t="n">
        <f aca="false">D160*$J$5</f>
        <v>5.05263157894737</v>
      </c>
      <c r="F160" s="12" t="n">
        <f aca="false">E160-C160</f>
        <v>3.05263157894737</v>
      </c>
      <c r="G160" s="21" t="n">
        <f aca="false">IF(AND(C160=0,E160=0),0,IF(C160=0,"New",(E160-C160)/C160))</f>
        <v>1.52631578947368</v>
      </c>
      <c r="H160" s="12" t="n">
        <f aca="false">SUMIFS('BE Raw'!$D$6:$D$615,'BE Raw'!$E$6:$E$615,$A160,'BE Raw'!$B$6:$B$615,2025)</f>
        <v>229.3</v>
      </c>
      <c r="I160" s="12" t="n">
        <f aca="false">SUMIFS('BE Raw'!$D$6:$D$615,'BE Raw'!$E$6:$E$615,$A160,'BE Raw'!$B$6:$B$615,2026)</f>
        <v>458.7</v>
      </c>
      <c r="J160" s="12" t="n">
        <f aca="false">I160*$J$5</f>
        <v>579.410526315789</v>
      </c>
    </row>
    <row r="161" customFormat="false" ht="15" hidden="false" customHeight="true" outlineLevel="0" collapsed="false">
      <c r="A161" s="12" t="n">
        <v>4413072</v>
      </c>
      <c r="B161" s="12" t="str">
        <f aca="false">IFERROR(INDEX('Catalog'!$B:$B,MATCH($A161,'Catalog'!$A:$A,0)),"")</f>
        <v>41 Lמ.ברך מוצלב+ספירלות בצדדים</v>
      </c>
      <c r="C161" s="12" t="n">
        <f aca="false">SUMIFS('BE Raw'!$C$6:$C$615,'BE Raw'!$E$6:$E$615,$A161,'BE Raw'!$B$6:$B$615,2025)</f>
        <v>4</v>
      </c>
      <c r="D161" s="12" t="n">
        <f aca="false">SUMIFS('BE Raw'!$C$6:$C$615,'BE Raw'!$E$6:$E$615,$A161,'BE Raw'!$B$6:$B$615,2026)</f>
        <v>1</v>
      </c>
      <c r="E161" s="12" t="n">
        <f aca="false">D161*$J$5</f>
        <v>1.26315789473684</v>
      </c>
      <c r="F161" s="12" t="n">
        <f aca="false">E161-C161</f>
        <v>-2.73684210526316</v>
      </c>
      <c r="G161" s="21" t="n">
        <f aca="false">IF(AND(C161=0,E161=0),0,IF(C161=0,"New",(E161-C161)/C161))</f>
        <v>-0.68421052631579</v>
      </c>
      <c r="H161" s="12" t="n">
        <f aca="false">SUMIFS('BE Raw'!$D$6:$D$615,'BE Raw'!$E$6:$E$615,$A161,'BE Raw'!$B$6:$B$615,2025)</f>
        <v>458.7</v>
      </c>
      <c r="I161" s="12" t="n">
        <f aca="false">SUMIFS('BE Raw'!$D$6:$D$615,'BE Raw'!$E$6:$E$615,$A161,'BE Raw'!$B$6:$B$615,2026)</f>
        <v>114.7</v>
      </c>
      <c r="J161" s="12" t="n">
        <f aca="false">I161*$J$5</f>
        <v>144.884210526316</v>
      </c>
    </row>
    <row r="162" customFormat="false" ht="15" hidden="false" customHeight="true" outlineLevel="0" collapsed="false">
      <c r="A162" s="12" t="n">
        <v>4413073</v>
      </c>
      <c r="B162" s="12" t="str">
        <f aca="false">IFERROR(INDEX('Catalog'!$B:$B,MATCH($A162,'Catalog'!$A:$A,0)),"")</f>
        <v>41 Mמ.ברך מוצלב+ספירלות בצדדים</v>
      </c>
      <c r="C162" s="12" t="n">
        <f aca="false">SUMIFS('BE Raw'!$C$6:$C$615,'BE Raw'!$E$6:$E$615,$A162,'BE Raw'!$B$6:$B$615,2025)</f>
        <v>6</v>
      </c>
      <c r="D162" s="12" t="n">
        <f aca="false">SUMIFS('BE Raw'!$C$6:$C$615,'BE Raw'!$E$6:$E$615,$A162,'BE Raw'!$B$6:$B$615,2026)</f>
        <v>0</v>
      </c>
      <c r="E162" s="12" t="n">
        <f aca="false">D162*$J$5</f>
        <v>0</v>
      </c>
      <c r="F162" s="12" t="n">
        <f aca="false">E162-C162</f>
        <v>-6</v>
      </c>
      <c r="G162" s="21" t="n">
        <f aca="false">IF(AND(C162=0,E162=0),0,IF(C162=0,"New",(E162-C162)/C162))</f>
        <v>-1</v>
      </c>
      <c r="H162" s="12" t="n">
        <f aca="false">SUMIFS('BE Raw'!$D$6:$D$615,'BE Raw'!$E$6:$E$615,$A162,'BE Raw'!$B$6:$B$615,2025)</f>
        <v>688</v>
      </c>
      <c r="I162" s="12" t="n">
        <f aca="false">SUMIFS('BE Raw'!$D$6:$D$615,'BE Raw'!$E$6:$E$615,$A162,'BE Raw'!$B$6:$B$615,2026)</f>
        <v>-108.1</v>
      </c>
      <c r="J162" s="12" t="n">
        <f aca="false">I162*$J$5</f>
        <v>-136.547368421053</v>
      </c>
    </row>
    <row r="163" customFormat="false" ht="15" hidden="false" customHeight="true" outlineLevel="0" collapsed="false">
      <c r="A163" s="12" t="n">
        <v>4413074</v>
      </c>
      <c r="B163" s="12" t="str">
        <f aca="false">IFERROR(INDEX('Catalog'!$B:$B,MATCH($A163,'Catalog'!$A:$A,0)),"")</f>
        <v>41  XL.מ.ברך מוצלב+ספירלות בצד</v>
      </c>
      <c r="C163" s="12" t="n">
        <f aca="false">SUMIFS('BE Raw'!$C$6:$C$615,'BE Raw'!$E$6:$E$615,$A163,'BE Raw'!$B$6:$B$615,2025)</f>
        <v>6</v>
      </c>
      <c r="D163" s="12" t="n">
        <f aca="false">SUMIFS('BE Raw'!$C$6:$C$615,'BE Raw'!$E$6:$E$615,$A163,'BE Raw'!$B$6:$B$615,2026)</f>
        <v>2</v>
      </c>
      <c r="E163" s="12" t="n">
        <f aca="false">D163*$J$5</f>
        <v>2.52631578947368</v>
      </c>
      <c r="F163" s="12" t="n">
        <f aca="false">E163-C163</f>
        <v>-3.47368421052632</v>
      </c>
      <c r="G163" s="21" t="n">
        <f aca="false">IF(AND(C163=0,E163=0),0,IF(C163=0,"New",(E163-C163)/C163))</f>
        <v>-0.578947368421053</v>
      </c>
      <c r="H163" s="12" t="n">
        <f aca="false">SUMIFS('BE Raw'!$D$6:$D$615,'BE Raw'!$E$6:$E$615,$A163,'BE Raw'!$B$6:$B$615,2025)</f>
        <v>688</v>
      </c>
      <c r="I163" s="12" t="n">
        <f aca="false">SUMIFS('BE Raw'!$D$6:$D$615,'BE Raw'!$E$6:$E$615,$A163,'BE Raw'!$B$6:$B$615,2026)</f>
        <v>229.3</v>
      </c>
      <c r="J163" s="12" t="n">
        <f aca="false">I163*$J$5</f>
        <v>289.642105263158</v>
      </c>
    </row>
    <row r="164" customFormat="false" ht="15" hidden="false" customHeight="true" outlineLevel="0" collapsed="false">
      <c r="A164" s="12" t="n">
        <v>4413076</v>
      </c>
      <c r="B164" s="12" t="str">
        <f aca="false">IFERROR(INDEX('Catalog'!$B:$B,MATCH($A164,'Catalog'!$A:$A,0)),"")</f>
        <v>41X L מגן ברך מוצלב+מוט</v>
      </c>
      <c r="C164" s="12" t="n">
        <f aca="false">SUMIFS('BE Raw'!$C$6:$C$615,'BE Raw'!$E$6:$E$615,$A164,'BE Raw'!$B$6:$B$615,2025)</f>
        <v>5</v>
      </c>
      <c r="D164" s="12" t="n">
        <f aca="false">SUMIFS('BE Raw'!$C$6:$C$615,'BE Raw'!$E$6:$E$615,$A164,'BE Raw'!$B$6:$B$615,2026)</f>
        <v>-1</v>
      </c>
      <c r="E164" s="12" t="n">
        <f aca="false">D164*$J$5</f>
        <v>-1.26315789473684</v>
      </c>
      <c r="F164" s="12" t="n">
        <f aca="false">E164-C164</f>
        <v>-6.26315789473684</v>
      </c>
      <c r="G164" s="21" t="n">
        <f aca="false">IF(AND(C164=0,E164=0),0,IF(C164=0,"New",(E164-C164)/C164))</f>
        <v>-1.25263157894737</v>
      </c>
      <c r="H164" s="12" t="n">
        <f aca="false">SUMIFS('BE Raw'!$D$6:$D$615,'BE Raw'!$E$6:$E$615,$A164,'BE Raw'!$B$6:$B$615,2025)</f>
        <v>628.5</v>
      </c>
      <c r="I164" s="12" t="n">
        <f aca="false">SUMIFS('BE Raw'!$D$6:$D$615,'BE Raw'!$E$6:$E$615,$A164,'BE Raw'!$B$6:$B$615,2026)</f>
        <v>-181.2</v>
      </c>
      <c r="J164" s="12" t="n">
        <f aca="false">I164*$J$5</f>
        <v>-228.884210526316</v>
      </c>
    </row>
    <row r="165" customFormat="false" ht="15" hidden="false" customHeight="true" outlineLevel="0" collapsed="false">
      <c r="A165" s="12" t="n">
        <v>4413077</v>
      </c>
      <c r="B165" s="12" t="str">
        <f aca="false">IFERROR(INDEX('Catalog'!$B:$B,MATCH($A165,'Catalog'!$A:$A,0)),"")</f>
        <v>41X M מגן ברך מוצלב+מוט</v>
      </c>
      <c r="C165" s="12" t="n">
        <f aca="false">SUMIFS('BE Raw'!$C$6:$C$615,'BE Raw'!$E$6:$E$615,$A165,'BE Raw'!$B$6:$B$615,2025)</f>
        <v>0</v>
      </c>
      <c r="D165" s="12" t="n">
        <f aca="false">SUMIFS('BE Raw'!$C$6:$C$615,'BE Raw'!$E$6:$E$615,$A165,'BE Raw'!$B$6:$B$615,2026)</f>
        <v>-2</v>
      </c>
      <c r="E165" s="12" t="n">
        <f aca="false">D165*$J$5</f>
        <v>-2.52631578947368</v>
      </c>
      <c r="F165" s="12" t="n">
        <f aca="false">E165-C165</f>
        <v>-2.52631578947368</v>
      </c>
      <c r="G165" s="21" t="str">
        <f aca="false">IF(AND(C165=0,E165=0),0,IF(C165=0,"New",(E165-C165)/C165))</f>
        <v>New</v>
      </c>
      <c r="H165" s="12" t="n">
        <f aca="false">SUMIFS('BE Raw'!$D$6:$D$615,'BE Raw'!$E$6:$E$615,$A165,'BE Raw'!$B$6:$B$615,2025)</f>
        <v>0</v>
      </c>
      <c r="I165" s="12" t="n">
        <f aca="false">SUMIFS('BE Raw'!$D$6:$D$615,'BE Raw'!$E$6:$E$615,$A165,'BE Raw'!$B$6:$B$615,2026)</f>
        <v>-255.9</v>
      </c>
      <c r="J165" s="12" t="n">
        <f aca="false">I165*$J$5</f>
        <v>-323.242105263158</v>
      </c>
    </row>
    <row r="166" customFormat="false" ht="15" hidden="false" customHeight="true" outlineLevel="0" collapsed="false">
      <c r="A166" s="12" t="n">
        <v>4413078</v>
      </c>
      <c r="B166" s="12" t="str">
        <f aca="false">IFERROR(INDEX('Catalog'!$B:$B,MATCH($A166,'Catalog'!$A:$A,0)),"")</f>
        <v>41X S מגן ברך מוצלב+מוט</v>
      </c>
      <c r="C166" s="12" t="n">
        <f aca="false">SUMIFS('BE Raw'!$C$6:$C$615,'BE Raw'!$E$6:$E$615,$A166,'BE Raw'!$B$6:$B$615,2025)</f>
        <v>1</v>
      </c>
      <c r="D166" s="12" t="n">
        <f aca="false">SUMIFS('BE Raw'!$C$6:$C$615,'BE Raw'!$E$6:$E$615,$A166,'BE Raw'!$B$6:$B$615,2026)</f>
        <v>0</v>
      </c>
      <c r="E166" s="12" t="n">
        <f aca="false">D166*$J$5</f>
        <v>0</v>
      </c>
      <c r="F166" s="12" t="n">
        <f aca="false">E166-C166</f>
        <v>-1</v>
      </c>
      <c r="G166" s="21" t="n">
        <f aca="false">IF(AND(C166=0,E166=0),0,IF(C166=0,"New",(E166-C166)/C166))</f>
        <v>-1</v>
      </c>
      <c r="H166" s="12" t="n">
        <f aca="false">SUMIFS('BE Raw'!$D$6:$D$615,'BE Raw'!$E$6:$E$615,$A166,'BE Raw'!$B$6:$B$615,2025)</f>
        <v>125.7</v>
      </c>
      <c r="I166" s="12" t="n">
        <f aca="false">SUMIFS('BE Raw'!$D$6:$D$615,'BE Raw'!$E$6:$E$615,$A166,'BE Raw'!$B$6:$B$615,2026)</f>
        <v>0</v>
      </c>
      <c r="J166" s="12" t="n">
        <f aca="false">I166*$J$5</f>
        <v>0</v>
      </c>
    </row>
    <row r="167" customFormat="false" ht="15" hidden="false" customHeight="true" outlineLevel="0" collapsed="false">
      <c r="A167" s="12" t="n">
        <v>4413079</v>
      </c>
      <c r="B167" s="12" t="str">
        <f aca="false">IFERROR(INDEX('Catalog'!$B:$B,MATCH($A167,'Catalog'!$A:$A,0)),"")</f>
        <v>41X XL מגן ברך מוצלב+מוט</v>
      </c>
      <c r="C167" s="12" t="n">
        <f aca="false">SUMIFS('BE Raw'!$C$6:$C$615,'BE Raw'!$E$6:$E$615,$A167,'BE Raw'!$B$6:$B$615,2025)</f>
        <v>3</v>
      </c>
      <c r="D167" s="12" t="n">
        <f aca="false">SUMIFS('BE Raw'!$C$6:$C$615,'BE Raw'!$E$6:$E$615,$A167,'BE Raw'!$B$6:$B$615,2026)</f>
        <v>0</v>
      </c>
      <c r="E167" s="12" t="n">
        <f aca="false">D167*$J$5</f>
        <v>0</v>
      </c>
      <c r="F167" s="12" t="n">
        <f aca="false">E167-C167</f>
        <v>-3</v>
      </c>
      <c r="G167" s="21" t="n">
        <f aca="false">IF(AND(C167=0,E167=0),0,IF(C167=0,"New",(E167-C167)/C167))</f>
        <v>-1</v>
      </c>
      <c r="H167" s="12" t="n">
        <f aca="false">SUMIFS('BE Raw'!$D$6:$D$615,'BE Raw'!$E$6:$E$615,$A167,'BE Raw'!$B$6:$B$615,2025)</f>
        <v>377.1</v>
      </c>
      <c r="I167" s="12" t="n">
        <f aca="false">SUMIFS('BE Raw'!$D$6:$D$615,'BE Raw'!$E$6:$E$615,$A167,'BE Raw'!$B$6:$B$615,2026)</f>
        <v>0</v>
      </c>
      <c r="J167" s="12" t="n">
        <f aca="false">I167*$J$5</f>
        <v>0</v>
      </c>
    </row>
    <row r="168" customFormat="false" ht="15" hidden="false" customHeight="true" outlineLevel="0" collapsed="false">
      <c r="A168" s="12" t="n">
        <v>4413087</v>
      </c>
      <c r="B168" s="12" t="str">
        <f aca="false">IFERROR(INDEX('Catalog'!$B:$B,MATCH($A168,'Catalog'!$A:$A,0)),"")</f>
        <v>422 Lמ.ברך+כרית סיל.סביב לפיקה</v>
      </c>
      <c r="C168" s="12" t="n">
        <f aca="false">SUMIFS('BE Raw'!$C$6:$C$615,'BE Raw'!$E$6:$E$615,$A168,'BE Raw'!$B$6:$B$615,2025)</f>
        <v>1</v>
      </c>
      <c r="D168" s="12" t="n">
        <f aca="false">SUMIFS('BE Raw'!$C$6:$C$615,'BE Raw'!$E$6:$E$615,$A168,'BE Raw'!$B$6:$B$615,2026)</f>
        <v>0</v>
      </c>
      <c r="E168" s="12" t="n">
        <f aca="false">D168*$J$5</f>
        <v>0</v>
      </c>
      <c r="F168" s="12" t="n">
        <f aca="false">E168-C168</f>
        <v>-1</v>
      </c>
      <c r="G168" s="21" t="n">
        <f aca="false">IF(AND(C168=0,E168=0),0,IF(C168=0,"New",(E168-C168)/C168))</f>
        <v>-1</v>
      </c>
      <c r="H168" s="12" t="n">
        <f aca="false">SUMIFS('BE Raw'!$D$6:$D$615,'BE Raw'!$E$6:$E$615,$A168,'BE Raw'!$B$6:$B$615,2025)</f>
        <v>163.2</v>
      </c>
      <c r="I168" s="12" t="n">
        <f aca="false">SUMIFS('BE Raw'!$D$6:$D$615,'BE Raw'!$E$6:$E$615,$A168,'BE Raw'!$B$6:$B$615,2026)</f>
        <v>0</v>
      </c>
      <c r="J168" s="12" t="n">
        <f aca="false">I168*$J$5</f>
        <v>0</v>
      </c>
    </row>
    <row r="169" customFormat="false" ht="15" hidden="false" customHeight="true" outlineLevel="0" collapsed="false">
      <c r="A169" s="12" t="n">
        <v>4413088</v>
      </c>
      <c r="B169" s="12" t="str">
        <f aca="false">IFERROR(INDEX('Catalog'!$B:$B,MATCH($A169,'Catalog'!$A:$A,0)),"")</f>
        <v>422 Mמ.ברך+כרית סיל.סביב לפיקה</v>
      </c>
      <c r="C169" s="12" t="n">
        <f aca="false">SUMIFS('BE Raw'!$C$6:$C$615,'BE Raw'!$E$6:$E$615,$A169,'BE Raw'!$B$6:$B$615,2025)</f>
        <v>2</v>
      </c>
      <c r="D169" s="12" t="n">
        <f aca="false">SUMIFS('BE Raw'!$C$6:$C$615,'BE Raw'!$E$6:$E$615,$A169,'BE Raw'!$B$6:$B$615,2026)</f>
        <v>0</v>
      </c>
      <c r="E169" s="12" t="n">
        <f aca="false">D169*$J$5</f>
        <v>0</v>
      </c>
      <c r="F169" s="12" t="n">
        <f aca="false">E169-C169</f>
        <v>-2</v>
      </c>
      <c r="G169" s="21" t="n">
        <f aca="false">IF(AND(C169=0,E169=0),0,IF(C169=0,"New",(E169-C169)/C169))</f>
        <v>-1</v>
      </c>
      <c r="H169" s="12" t="n">
        <f aca="false">SUMIFS('BE Raw'!$D$6:$D$615,'BE Raw'!$E$6:$E$615,$A169,'BE Raw'!$B$6:$B$615,2025)</f>
        <v>326.4</v>
      </c>
      <c r="I169" s="12" t="n">
        <f aca="false">SUMIFS('BE Raw'!$D$6:$D$615,'BE Raw'!$E$6:$E$615,$A169,'BE Raw'!$B$6:$B$615,2026)</f>
        <v>0</v>
      </c>
      <c r="J169" s="12" t="n">
        <f aca="false">I169*$J$5</f>
        <v>0</v>
      </c>
    </row>
    <row r="170" customFormat="false" ht="15" hidden="false" customHeight="true" outlineLevel="0" collapsed="false">
      <c r="A170" s="12" t="n">
        <v>4413092</v>
      </c>
      <c r="B170" s="12" t="str">
        <f aca="false">IFERROR(INDEX('Catalog'!$B:$B,MATCH($A170,'Catalog'!$A:$A,0)),"")</f>
        <v>45 L מגן ברך לבן</v>
      </c>
      <c r="C170" s="12" t="n">
        <f aca="false">SUMIFS('BE Raw'!$C$6:$C$615,'BE Raw'!$E$6:$E$615,$A170,'BE Raw'!$B$6:$B$615,2025)</f>
        <v>229</v>
      </c>
      <c r="D170" s="12" t="n">
        <f aca="false">SUMIFS('BE Raw'!$C$6:$C$615,'BE Raw'!$E$6:$E$615,$A170,'BE Raw'!$B$6:$B$615,2026)</f>
        <v>142</v>
      </c>
      <c r="E170" s="12" t="n">
        <f aca="false">D170*$J$5</f>
        <v>179.368421052632</v>
      </c>
      <c r="F170" s="12" t="n">
        <f aca="false">E170-C170</f>
        <v>-49.6315789473684</v>
      </c>
      <c r="G170" s="21" t="n">
        <f aca="false">IF(AND(C170=0,E170=0),0,IF(C170=0,"New",(E170-C170)/C170))</f>
        <v>-0.216731785796369</v>
      </c>
      <c r="H170" s="12" t="n">
        <f aca="false">SUMIFS('BE Raw'!$D$6:$D$615,'BE Raw'!$E$6:$E$615,$A170,'BE Raw'!$B$6:$B$615,2025)</f>
        <v>6364.9</v>
      </c>
      <c r="I170" s="12" t="n">
        <f aca="false">SUMIFS('BE Raw'!$D$6:$D$615,'BE Raw'!$E$6:$E$615,$A170,'BE Raw'!$B$6:$B$615,2026)</f>
        <v>3953.7</v>
      </c>
      <c r="J170" s="12" t="n">
        <f aca="false">I170*$J$5</f>
        <v>4994.14736842105</v>
      </c>
    </row>
    <row r="171" customFormat="false" ht="15" hidden="false" customHeight="true" outlineLevel="0" collapsed="false">
      <c r="A171" s="12" t="n">
        <v>4413093</v>
      </c>
      <c r="B171" s="12" t="str">
        <f aca="false">IFERROR(INDEX('Catalog'!$B:$B,MATCH($A171,'Catalog'!$A:$A,0)),"")</f>
        <v>45 M מגן ברך לבן</v>
      </c>
      <c r="C171" s="12" t="n">
        <f aca="false">SUMIFS('BE Raw'!$C$6:$C$615,'BE Raw'!$E$6:$E$615,$A171,'BE Raw'!$B$6:$B$615,2025)</f>
        <v>223</v>
      </c>
      <c r="D171" s="12" t="n">
        <f aca="false">SUMIFS('BE Raw'!$C$6:$C$615,'BE Raw'!$E$6:$E$615,$A171,'BE Raw'!$B$6:$B$615,2026)</f>
        <v>151</v>
      </c>
      <c r="E171" s="12" t="n">
        <f aca="false">D171*$J$5</f>
        <v>190.736842105263</v>
      </c>
      <c r="F171" s="12" t="n">
        <f aca="false">E171-C171</f>
        <v>-32.2631578947369</v>
      </c>
      <c r="G171" s="21" t="n">
        <f aca="false">IF(AND(C171=0,E171=0),0,IF(C171=0,"New",(E171-C171)/C171))</f>
        <v>-0.14467783809299</v>
      </c>
      <c r="H171" s="12" t="n">
        <f aca="false">SUMIFS('BE Raw'!$D$6:$D$615,'BE Raw'!$E$6:$E$615,$A171,'BE Raw'!$B$6:$B$615,2025)</f>
        <v>6200.3</v>
      </c>
      <c r="I171" s="12" t="n">
        <f aca="false">SUMIFS('BE Raw'!$D$6:$D$615,'BE Raw'!$E$6:$E$615,$A171,'BE Raw'!$B$6:$B$615,2026)</f>
        <v>4193.7</v>
      </c>
      <c r="J171" s="12" t="n">
        <f aca="false">I171*$J$5</f>
        <v>5297.30526315789</v>
      </c>
    </row>
    <row r="172" customFormat="false" ht="15" hidden="false" customHeight="true" outlineLevel="0" collapsed="false">
      <c r="A172" s="12" t="n">
        <v>4413094</v>
      </c>
      <c r="B172" s="12" t="str">
        <f aca="false">IFERROR(INDEX('Catalog'!$B:$B,MATCH($A172,'Catalog'!$A:$A,0)),"")</f>
        <v>45 S מגן ברך לבן</v>
      </c>
      <c r="C172" s="12" t="n">
        <f aca="false">SUMIFS('BE Raw'!$C$6:$C$615,'BE Raw'!$E$6:$E$615,$A172,'BE Raw'!$B$6:$B$615,2025)</f>
        <v>114</v>
      </c>
      <c r="D172" s="12" t="n">
        <f aca="false">SUMIFS('BE Raw'!$C$6:$C$615,'BE Raw'!$E$6:$E$615,$A172,'BE Raw'!$B$6:$B$615,2026)</f>
        <v>60</v>
      </c>
      <c r="E172" s="12" t="n">
        <f aca="false">D172*$J$5</f>
        <v>75.7894736842105</v>
      </c>
      <c r="F172" s="12" t="n">
        <f aca="false">E172-C172</f>
        <v>-38.2105263157895</v>
      </c>
      <c r="G172" s="21" t="n">
        <f aca="false">IF(AND(C172=0,E172=0),0,IF(C172=0,"New",(E172-C172)/C172))</f>
        <v>-0.335180055401662</v>
      </c>
      <c r="H172" s="12" t="n">
        <f aca="false">SUMIFS('BE Raw'!$D$6:$D$615,'BE Raw'!$E$6:$E$615,$A172,'BE Raw'!$B$6:$B$615,2025)</f>
        <v>3164.6</v>
      </c>
      <c r="I172" s="12" t="n">
        <f aca="false">SUMIFS('BE Raw'!$D$6:$D$615,'BE Raw'!$E$6:$E$615,$A172,'BE Raw'!$B$6:$B$615,2026)</f>
        <v>1671.8</v>
      </c>
      <c r="J172" s="12" t="n">
        <f aca="false">I172*$J$5</f>
        <v>2111.74736842105</v>
      </c>
    </row>
    <row r="173" customFormat="false" ht="15" hidden="false" customHeight="true" outlineLevel="0" collapsed="false">
      <c r="A173" s="12" t="n">
        <v>4413095</v>
      </c>
      <c r="B173" s="12" t="str">
        <f aca="false">IFERROR(INDEX('Catalog'!$B:$B,MATCH($A173,'Catalog'!$A:$A,0)),"")</f>
        <v>45 XL מגן ברך לבן</v>
      </c>
      <c r="C173" s="12" t="n">
        <f aca="false">SUMIFS('BE Raw'!$C$6:$C$615,'BE Raw'!$E$6:$E$615,$A173,'BE Raw'!$B$6:$B$615,2025)</f>
        <v>147</v>
      </c>
      <c r="D173" s="12" t="n">
        <f aca="false">SUMIFS('BE Raw'!$C$6:$C$615,'BE Raw'!$E$6:$E$615,$A173,'BE Raw'!$B$6:$B$615,2026)</f>
        <v>86</v>
      </c>
      <c r="E173" s="12" t="n">
        <f aca="false">D173*$J$5</f>
        <v>108.631578947368</v>
      </c>
      <c r="F173" s="12" t="n">
        <f aca="false">E173-C173</f>
        <v>-38.3684210526316</v>
      </c>
      <c r="G173" s="21" t="n">
        <f aca="false">IF(AND(C173=0,E173=0),0,IF(C173=0,"New",(E173-C173)/C173))</f>
        <v>-0.261009667024705</v>
      </c>
      <c r="H173" s="12" t="n">
        <f aca="false">SUMIFS('BE Raw'!$D$6:$D$615,'BE Raw'!$E$6:$E$615,$A173,'BE Raw'!$B$6:$B$615,2025)</f>
        <v>4100.5</v>
      </c>
      <c r="I173" s="12" t="n">
        <f aca="false">SUMIFS('BE Raw'!$D$6:$D$615,'BE Raw'!$E$6:$E$615,$A173,'BE Raw'!$B$6:$B$615,2026)</f>
        <v>2393.3</v>
      </c>
      <c r="J173" s="12" t="n">
        <f aca="false">I173*$J$5</f>
        <v>3023.11578947368</v>
      </c>
    </row>
    <row r="174" customFormat="false" ht="15" hidden="false" customHeight="true" outlineLevel="0" collapsed="false">
      <c r="A174" s="12" t="n">
        <v>4413096</v>
      </c>
      <c r="B174" s="12" t="str">
        <f aca="false">IFERROR(INDEX('Catalog'!$B:$B,MATCH($A174,'Catalog'!$A:$A,0)),"")</f>
        <v>45 XXL מגן ברך לבן</v>
      </c>
      <c r="C174" s="12" t="n">
        <f aca="false">SUMIFS('BE Raw'!$C$6:$C$615,'BE Raw'!$E$6:$E$615,$A174,'BE Raw'!$B$6:$B$615,2025)</f>
        <v>94</v>
      </c>
      <c r="D174" s="12" t="n">
        <f aca="false">SUMIFS('BE Raw'!$C$6:$C$615,'BE Raw'!$E$6:$E$615,$A174,'BE Raw'!$B$6:$B$615,2026)</f>
        <v>80</v>
      </c>
      <c r="E174" s="12" t="n">
        <f aca="false">D174*$J$5</f>
        <v>101.052631578947</v>
      </c>
      <c r="F174" s="12" t="n">
        <f aca="false">E174-C174</f>
        <v>7.05263157894737</v>
      </c>
      <c r="G174" s="21" t="n">
        <f aca="false">IF(AND(C174=0,E174=0),0,IF(C174=0,"New",(E174-C174)/C174))</f>
        <v>0.0750279955207167</v>
      </c>
      <c r="H174" s="12" t="n">
        <f aca="false">SUMIFS('BE Raw'!$D$6:$D$615,'BE Raw'!$E$6:$E$615,$A174,'BE Raw'!$B$6:$B$615,2025)</f>
        <v>2609.5</v>
      </c>
      <c r="I174" s="12" t="n">
        <f aca="false">SUMIFS('BE Raw'!$D$6:$D$615,'BE Raw'!$E$6:$E$615,$A174,'BE Raw'!$B$6:$B$615,2026)</f>
        <v>2224.7</v>
      </c>
      <c r="J174" s="12" t="n">
        <f aca="false">I174*$J$5</f>
        <v>2810.14736842105</v>
      </c>
    </row>
    <row r="175" customFormat="false" ht="15" hidden="false" customHeight="true" outlineLevel="0" collapsed="false">
      <c r="A175" s="12" t="n">
        <v>4413097</v>
      </c>
      <c r="B175" s="12" t="str">
        <f aca="false">IFERROR(INDEX('Catalog'!$B:$B,MATCH($A175,'Catalog'!$A:$A,0)),"")</f>
        <v>45C S מגן ברך חום</v>
      </c>
      <c r="C175" s="12" t="n">
        <f aca="false">SUMIFS('BE Raw'!$C$6:$C$615,'BE Raw'!$E$6:$E$615,$A175,'BE Raw'!$B$6:$B$615,2025)</f>
        <v>154</v>
      </c>
      <c r="D175" s="12" t="n">
        <f aca="false">SUMIFS('BE Raw'!$C$6:$C$615,'BE Raw'!$E$6:$E$615,$A175,'BE Raw'!$B$6:$B$615,2026)</f>
        <v>95</v>
      </c>
      <c r="E175" s="12" t="n">
        <f aca="false">D175*$J$5</f>
        <v>120</v>
      </c>
      <c r="F175" s="12" t="n">
        <f aca="false">E175-C175</f>
        <v>-34</v>
      </c>
      <c r="G175" s="21" t="n">
        <f aca="false">IF(AND(C175=0,E175=0),0,IF(C175=0,"New",(E175-C175)/C175))</f>
        <v>-0.220779220779221</v>
      </c>
      <c r="H175" s="12" t="n">
        <f aca="false">SUMIFS('BE Raw'!$D$6:$D$615,'BE Raw'!$E$6:$E$615,$A175,'BE Raw'!$B$6:$B$615,2025)</f>
        <v>4279.1</v>
      </c>
      <c r="I175" s="12" t="n">
        <f aca="false">SUMIFS('BE Raw'!$D$6:$D$615,'BE Raw'!$E$6:$E$615,$A175,'BE Raw'!$B$6:$B$615,2026)</f>
        <v>2641.2</v>
      </c>
      <c r="J175" s="12" t="n">
        <f aca="false">I175*$J$5</f>
        <v>3336.25263157895</v>
      </c>
    </row>
    <row r="176" customFormat="false" ht="15" hidden="false" customHeight="true" outlineLevel="0" collapsed="false">
      <c r="A176" s="12" t="n">
        <v>4413098</v>
      </c>
      <c r="B176" s="12" t="str">
        <f aca="false">IFERROR(INDEX('Catalog'!$B:$B,MATCH($A176,'Catalog'!$A:$A,0)),"")</f>
        <v>45C L מגן ברך חום</v>
      </c>
      <c r="C176" s="12" t="n">
        <f aca="false">SUMIFS('BE Raw'!$C$6:$C$615,'BE Raw'!$E$6:$E$615,$A176,'BE Raw'!$B$6:$B$615,2025)</f>
        <v>320</v>
      </c>
      <c r="D176" s="12" t="n">
        <f aca="false">SUMIFS('BE Raw'!$C$6:$C$615,'BE Raw'!$E$6:$E$615,$A176,'BE Raw'!$B$6:$B$615,2026)</f>
        <v>204</v>
      </c>
      <c r="E176" s="12" t="n">
        <f aca="false">D176*$J$5</f>
        <v>257.684210526316</v>
      </c>
      <c r="F176" s="12" t="n">
        <f aca="false">E176-C176</f>
        <v>-62.3157894736842</v>
      </c>
      <c r="G176" s="21" t="n">
        <f aca="false">IF(AND(C176=0,E176=0),0,IF(C176=0,"New",(E176-C176)/C176))</f>
        <v>-0.194736842105263</v>
      </c>
      <c r="H176" s="12" t="n">
        <f aca="false">SUMIFS('BE Raw'!$D$6:$D$615,'BE Raw'!$E$6:$E$615,$A176,'BE Raw'!$B$6:$B$615,2025)</f>
        <v>8908.8</v>
      </c>
      <c r="I176" s="12" t="n">
        <f aca="false">SUMIFS('BE Raw'!$D$6:$D$615,'BE Raw'!$E$6:$E$615,$A176,'BE Raw'!$B$6:$B$615,2026)</f>
        <v>5670.9</v>
      </c>
      <c r="J176" s="12" t="n">
        <f aca="false">I176*$J$5</f>
        <v>7163.24210526316</v>
      </c>
    </row>
    <row r="177" customFormat="false" ht="15" hidden="false" customHeight="true" outlineLevel="0" collapsed="false">
      <c r="A177" s="12" t="n">
        <v>4413099</v>
      </c>
      <c r="B177" s="12" t="str">
        <f aca="false">IFERROR(INDEX('Catalog'!$B:$B,MATCH($A177,'Catalog'!$A:$A,0)),"")</f>
        <v>45C M מגן ברך חום</v>
      </c>
      <c r="C177" s="12" t="n">
        <f aca="false">SUMIFS('BE Raw'!$C$6:$C$615,'BE Raw'!$E$6:$E$615,$A177,'BE Raw'!$B$6:$B$615,2025)</f>
        <v>287</v>
      </c>
      <c r="D177" s="12" t="n">
        <f aca="false">SUMIFS('BE Raw'!$C$6:$C$615,'BE Raw'!$E$6:$E$615,$A177,'BE Raw'!$B$6:$B$615,2026)</f>
        <v>216</v>
      </c>
      <c r="E177" s="12" t="n">
        <f aca="false">D177*$J$5</f>
        <v>272.842105263158</v>
      </c>
      <c r="F177" s="12" t="n">
        <f aca="false">E177-C177</f>
        <v>-14.1578947368421</v>
      </c>
      <c r="G177" s="21" t="n">
        <f aca="false">IF(AND(C177=0,E177=0),0,IF(C177=0,"New",(E177-C177)/C177))</f>
        <v>-0.0493306436823768</v>
      </c>
      <c r="H177" s="12" t="n">
        <f aca="false">SUMIFS('BE Raw'!$D$6:$D$615,'BE Raw'!$E$6:$E$615,$A177,'BE Raw'!$B$6:$B$615,2025)</f>
        <v>7983</v>
      </c>
      <c r="I177" s="12" t="n">
        <f aca="false">SUMIFS('BE Raw'!$D$6:$D$615,'BE Raw'!$E$6:$E$615,$A177,'BE Raw'!$B$6:$B$615,2026)</f>
        <v>6004.1</v>
      </c>
      <c r="J177" s="12" t="n">
        <f aca="false">I177*$J$5</f>
        <v>7584.12631578947</v>
      </c>
    </row>
    <row r="178" customFormat="false" ht="15" hidden="false" customHeight="true" outlineLevel="0" collapsed="false">
      <c r="A178" s="12" t="n">
        <v>4413100</v>
      </c>
      <c r="B178" s="12" t="str">
        <f aca="false">IFERROR(INDEX('Catalog'!$B:$B,MATCH($A178,'Catalog'!$A:$A,0)),"")</f>
        <v>45C XL מגן ברך חום</v>
      </c>
      <c r="C178" s="12" t="n">
        <f aca="false">SUMIFS('BE Raw'!$C$6:$C$615,'BE Raw'!$E$6:$E$615,$A178,'BE Raw'!$B$6:$B$615,2025)</f>
        <v>272</v>
      </c>
      <c r="D178" s="12" t="n">
        <f aca="false">SUMIFS('BE Raw'!$C$6:$C$615,'BE Raw'!$E$6:$E$615,$A178,'BE Raw'!$B$6:$B$615,2026)</f>
        <v>160</v>
      </c>
      <c r="E178" s="12" t="n">
        <f aca="false">D178*$J$5</f>
        <v>202.105263157895</v>
      </c>
      <c r="F178" s="12" t="n">
        <f aca="false">E178-C178</f>
        <v>-69.8947368421053</v>
      </c>
      <c r="G178" s="21" t="n">
        <f aca="false">IF(AND(C178=0,E178=0),0,IF(C178=0,"New",(E178-C178)/C178))</f>
        <v>-0.256965944272446</v>
      </c>
      <c r="H178" s="12" t="n">
        <f aca="false">SUMIFS('BE Raw'!$D$6:$D$615,'BE Raw'!$E$6:$E$615,$A178,'BE Raw'!$B$6:$B$615,2025)</f>
        <v>7568.5</v>
      </c>
      <c r="I178" s="12" t="n">
        <f aca="false">SUMIFS('BE Raw'!$D$6:$D$615,'BE Raw'!$E$6:$E$615,$A178,'BE Raw'!$B$6:$B$615,2026)</f>
        <v>4445.6</v>
      </c>
      <c r="J178" s="12" t="n">
        <f aca="false">I178*$J$5</f>
        <v>5615.49473684211</v>
      </c>
    </row>
    <row r="179" customFormat="false" ht="15" hidden="false" customHeight="true" outlineLevel="0" collapsed="false">
      <c r="A179" s="12" t="n">
        <v>4413101</v>
      </c>
      <c r="B179" s="12" t="str">
        <f aca="false">IFERROR(INDEX('Catalog'!$B:$B,MATCH($A179,'Catalog'!$A:$A,0)),"")</f>
        <v>45E Sמגן ברך ארוך לבן</v>
      </c>
      <c r="C179" s="12" t="n">
        <f aca="false">SUMIFS('BE Raw'!$C$6:$C$615,'BE Raw'!$E$6:$E$615,$A179,'BE Raw'!$B$6:$B$615,2025)</f>
        <v>86</v>
      </c>
      <c r="D179" s="12" t="n">
        <f aca="false">SUMIFS('BE Raw'!$C$6:$C$615,'BE Raw'!$E$6:$E$615,$A179,'BE Raw'!$B$6:$B$615,2026)</f>
        <v>59</v>
      </c>
      <c r="E179" s="12" t="n">
        <f aca="false">D179*$J$5</f>
        <v>74.5263157894737</v>
      </c>
      <c r="F179" s="12" t="n">
        <f aca="false">E179-C179</f>
        <v>-11.4736842105263</v>
      </c>
      <c r="G179" s="21" t="n">
        <f aca="false">IF(AND(C179=0,E179=0),0,IF(C179=0,"New",(E179-C179)/C179))</f>
        <v>-0.133414932680539</v>
      </c>
      <c r="H179" s="12" t="n">
        <f aca="false">SUMIFS('BE Raw'!$D$6:$D$615,'BE Raw'!$E$6:$E$615,$A179,'BE Raw'!$B$6:$B$615,2025)</f>
        <v>2882.6</v>
      </c>
      <c r="I179" s="12" t="n">
        <f aca="false">SUMIFS('BE Raw'!$D$6:$D$615,'BE Raw'!$E$6:$E$615,$A179,'BE Raw'!$B$6:$B$615,2026)</f>
        <v>1978.3</v>
      </c>
      <c r="J179" s="12" t="n">
        <f aca="false">I179*$J$5</f>
        <v>2498.90526315789</v>
      </c>
    </row>
    <row r="180" customFormat="false" ht="15" hidden="false" customHeight="true" outlineLevel="0" collapsed="false">
      <c r="A180" s="12" t="n">
        <v>4413102</v>
      </c>
      <c r="B180" s="12" t="str">
        <f aca="false">IFERROR(INDEX('Catalog'!$B:$B,MATCH($A180,'Catalog'!$A:$A,0)),"")</f>
        <v>45E  L        מגן ברך ארוך לבן</v>
      </c>
      <c r="C180" s="12" t="n">
        <f aca="false">SUMIFS('BE Raw'!$C$6:$C$615,'BE Raw'!$E$6:$E$615,$A180,'BE Raw'!$B$6:$B$615,2025)</f>
        <v>243</v>
      </c>
      <c r="D180" s="12" t="n">
        <f aca="false">SUMIFS('BE Raw'!$C$6:$C$615,'BE Raw'!$E$6:$E$615,$A180,'BE Raw'!$B$6:$B$615,2026)</f>
        <v>218</v>
      </c>
      <c r="E180" s="12" t="n">
        <f aca="false">D180*$J$5</f>
        <v>275.368421052632</v>
      </c>
      <c r="F180" s="12" t="n">
        <f aca="false">E180-C180</f>
        <v>32.3684210526316</v>
      </c>
      <c r="G180" s="21" t="n">
        <f aca="false">IF(AND(C180=0,E180=0),0,IF(C180=0,"New",(E180-C180)/C180))</f>
        <v>0.133203378817414</v>
      </c>
      <c r="H180" s="12" t="n">
        <f aca="false">SUMIFS('BE Raw'!$D$6:$D$615,'BE Raw'!$E$6:$E$615,$A180,'BE Raw'!$B$6:$B$615,2025)</f>
        <v>8152.5</v>
      </c>
      <c r="I180" s="12" t="n">
        <f aca="false">SUMIFS('BE Raw'!$D$6:$D$615,'BE Raw'!$E$6:$E$615,$A180,'BE Raw'!$B$6:$B$615,2026)</f>
        <v>7308</v>
      </c>
      <c r="J180" s="12" t="n">
        <f aca="false">I180*$J$5</f>
        <v>9231.15789473684</v>
      </c>
    </row>
    <row r="181" customFormat="false" ht="15" hidden="false" customHeight="true" outlineLevel="0" collapsed="false">
      <c r="A181" s="12" t="n">
        <v>4413103</v>
      </c>
      <c r="B181" s="12" t="str">
        <f aca="false">IFERROR(INDEX('Catalog'!$B:$B,MATCH($A181,'Catalog'!$A:$A,0)),"")</f>
        <v>45E Mמגן ברך ארוך לבן</v>
      </c>
      <c r="C181" s="12" t="n">
        <f aca="false">SUMIFS('BE Raw'!$C$6:$C$615,'BE Raw'!$E$6:$E$615,$A181,'BE Raw'!$B$6:$B$615,2025)</f>
        <v>205</v>
      </c>
      <c r="D181" s="12" t="n">
        <f aca="false">SUMIFS('BE Raw'!$C$6:$C$615,'BE Raw'!$E$6:$E$615,$A181,'BE Raw'!$B$6:$B$615,2026)</f>
        <v>155</v>
      </c>
      <c r="E181" s="12" t="n">
        <f aca="false">D181*$J$5</f>
        <v>195.789473684211</v>
      </c>
      <c r="F181" s="12" t="n">
        <f aca="false">E181-C181</f>
        <v>-9.21052631578948</v>
      </c>
      <c r="G181" s="21" t="n">
        <f aca="false">IF(AND(C181=0,E181=0),0,IF(C181=0,"New",(E181-C181)/C181))</f>
        <v>-0.0449293966623877</v>
      </c>
      <c r="H181" s="12" t="n">
        <f aca="false">SUMIFS('BE Raw'!$D$6:$D$615,'BE Raw'!$E$6:$E$615,$A181,'BE Raw'!$B$6:$B$615,2025)</f>
        <v>6872.7</v>
      </c>
      <c r="I181" s="12" t="n">
        <f aca="false">SUMIFS('BE Raw'!$D$6:$D$615,'BE Raw'!$E$6:$E$615,$A181,'BE Raw'!$B$6:$B$615,2026)</f>
        <v>5193.3</v>
      </c>
      <c r="J181" s="12" t="n">
        <f aca="false">I181*$J$5</f>
        <v>6559.95789473684</v>
      </c>
    </row>
    <row r="182" customFormat="false" ht="15" hidden="false" customHeight="true" outlineLevel="0" collapsed="false">
      <c r="A182" s="12" t="n">
        <v>4413104</v>
      </c>
      <c r="B182" s="12" t="str">
        <f aca="false">IFERROR(INDEX('Catalog'!$B:$B,MATCH($A182,'Catalog'!$A:$A,0)),"")</f>
        <v>45E XLמגן ברך ארוך לבן</v>
      </c>
      <c r="C182" s="12" t="n">
        <f aca="false">SUMIFS('BE Raw'!$C$6:$C$615,'BE Raw'!$E$6:$E$615,$A182,'BE Raw'!$B$6:$B$615,2025)</f>
        <v>188</v>
      </c>
      <c r="D182" s="12" t="n">
        <f aca="false">SUMIFS('BE Raw'!$C$6:$C$615,'BE Raw'!$E$6:$E$615,$A182,'BE Raw'!$B$6:$B$615,2026)</f>
        <v>143</v>
      </c>
      <c r="E182" s="12" t="n">
        <f aca="false">D182*$J$5</f>
        <v>180.631578947368</v>
      </c>
      <c r="F182" s="12" t="n">
        <f aca="false">E182-C182</f>
        <v>-7.36842105263159</v>
      </c>
      <c r="G182" s="21" t="n">
        <f aca="false">IF(AND(C182=0,E182=0),0,IF(C182=0,"New",(E182-C182)/C182))</f>
        <v>-0.0391937290033595</v>
      </c>
      <c r="H182" s="12" t="n">
        <f aca="false">SUMIFS('BE Raw'!$D$6:$D$615,'BE Raw'!$E$6:$E$615,$A182,'BE Raw'!$B$6:$B$615,2025)</f>
        <v>6315.4</v>
      </c>
      <c r="I182" s="12" t="n">
        <f aca="false">SUMIFS('BE Raw'!$D$6:$D$615,'BE Raw'!$E$6:$E$615,$A182,'BE Raw'!$B$6:$B$615,2026)</f>
        <v>4800.9</v>
      </c>
      <c r="J182" s="12" t="n">
        <f aca="false">I182*$J$5</f>
        <v>6064.29473684211</v>
      </c>
    </row>
    <row r="183" customFormat="false" ht="15" hidden="false" customHeight="true" outlineLevel="0" collapsed="false">
      <c r="A183" s="12" t="n">
        <v>4413105</v>
      </c>
      <c r="B183" s="12" t="str">
        <f aca="false">IFERROR(INDEX('Catalog'!$B:$B,MATCH($A183,'Catalog'!$A:$A,0)),"")</f>
        <v>45E XXLמגן ברך ארוך לבן</v>
      </c>
      <c r="C183" s="12" t="n">
        <f aca="false">SUMIFS('BE Raw'!$C$6:$C$615,'BE Raw'!$E$6:$E$615,$A183,'BE Raw'!$B$6:$B$615,2025)</f>
        <v>131</v>
      </c>
      <c r="D183" s="12" t="n">
        <f aca="false">SUMIFS('BE Raw'!$C$6:$C$615,'BE Raw'!$E$6:$E$615,$A183,'BE Raw'!$B$6:$B$615,2026)</f>
        <v>74</v>
      </c>
      <c r="E183" s="12" t="n">
        <f aca="false">D183*$J$5</f>
        <v>93.4736842105263</v>
      </c>
      <c r="F183" s="12" t="n">
        <f aca="false">E183-C183</f>
        <v>-37.5263157894737</v>
      </c>
      <c r="G183" s="21" t="n">
        <f aca="false">IF(AND(C183=0,E183=0),0,IF(C183=0,"New",(E183-C183)/C183))</f>
        <v>-0.286460425873845</v>
      </c>
      <c r="H183" s="12" t="n">
        <f aca="false">SUMIFS('BE Raw'!$D$6:$D$615,'BE Raw'!$E$6:$E$615,$A183,'BE Raw'!$B$6:$B$615,2025)</f>
        <v>4412.7</v>
      </c>
      <c r="I183" s="12" t="n">
        <f aca="false">SUMIFS('BE Raw'!$D$6:$D$615,'BE Raw'!$E$6:$E$615,$A183,'BE Raw'!$B$6:$B$615,2026)</f>
        <v>2478.3</v>
      </c>
      <c r="J183" s="12" t="n">
        <f aca="false">I183*$J$5</f>
        <v>3130.48421052632</v>
      </c>
    </row>
    <row r="184" customFormat="false" ht="15" hidden="false" customHeight="true" outlineLevel="0" collapsed="false">
      <c r="A184" s="12" t="n">
        <v>4413106</v>
      </c>
      <c r="B184" s="12" t="str">
        <f aca="false">IFERROR(INDEX('Catalog'!$B:$B,MATCH($A184,'Catalog'!$A:$A,0)),"")</f>
        <v>48 S מגן ברך מחמם</v>
      </c>
      <c r="C184" s="12" t="n">
        <f aca="false">SUMIFS('BE Raw'!$C$6:$C$615,'BE Raw'!$E$6:$E$615,$A184,'BE Raw'!$B$6:$B$615,2025)</f>
        <v>3</v>
      </c>
      <c r="D184" s="12" t="n">
        <f aca="false">SUMIFS('BE Raw'!$C$6:$C$615,'BE Raw'!$E$6:$E$615,$A184,'BE Raw'!$B$6:$B$615,2026)</f>
        <v>0</v>
      </c>
      <c r="E184" s="12" t="n">
        <f aca="false">D184*$J$5</f>
        <v>0</v>
      </c>
      <c r="F184" s="12" t="n">
        <f aca="false">E184-C184</f>
        <v>-3</v>
      </c>
      <c r="G184" s="21" t="n">
        <f aca="false">IF(AND(C184=0,E184=0),0,IF(C184=0,"New",(E184-C184)/C184))</f>
        <v>-1</v>
      </c>
      <c r="H184" s="12" t="n">
        <f aca="false">SUMIFS('BE Raw'!$D$6:$D$615,'BE Raw'!$E$6:$E$615,$A184,'BE Raw'!$B$6:$B$615,2025)</f>
        <v>157</v>
      </c>
      <c r="I184" s="12" t="n">
        <f aca="false">SUMIFS('BE Raw'!$D$6:$D$615,'BE Raw'!$E$6:$E$615,$A184,'BE Raw'!$B$6:$B$615,2026)</f>
        <v>0</v>
      </c>
      <c r="J184" s="12" t="n">
        <f aca="false">I184*$J$5</f>
        <v>0</v>
      </c>
    </row>
    <row r="185" customFormat="false" ht="15" hidden="false" customHeight="true" outlineLevel="0" collapsed="false">
      <c r="A185" s="12" t="n">
        <v>4413107</v>
      </c>
      <c r="B185" s="12" t="str">
        <f aca="false">IFERROR(INDEX('Catalog'!$B:$B,MATCH($A185,'Catalog'!$A:$A,0)),"")</f>
        <v>48 L מגן ברך מחמם</v>
      </c>
      <c r="C185" s="12" t="n">
        <f aca="false">SUMIFS('BE Raw'!$C$6:$C$615,'BE Raw'!$E$6:$E$615,$A185,'BE Raw'!$B$6:$B$615,2025)</f>
        <v>10</v>
      </c>
      <c r="D185" s="12" t="n">
        <f aca="false">SUMIFS('BE Raw'!$C$6:$C$615,'BE Raw'!$E$6:$E$615,$A185,'BE Raw'!$B$6:$B$615,2026)</f>
        <v>0</v>
      </c>
      <c r="E185" s="12" t="n">
        <f aca="false">D185*$J$5</f>
        <v>0</v>
      </c>
      <c r="F185" s="12" t="n">
        <f aca="false">E185-C185</f>
        <v>-10</v>
      </c>
      <c r="G185" s="21" t="n">
        <f aca="false">IF(AND(C185=0,E185=0),0,IF(C185=0,"New",(E185-C185)/C185))</f>
        <v>-1</v>
      </c>
      <c r="H185" s="12" t="n">
        <f aca="false">SUMIFS('BE Raw'!$D$6:$D$615,'BE Raw'!$E$6:$E$615,$A185,'BE Raw'!$B$6:$B$615,2025)</f>
        <v>523.6</v>
      </c>
      <c r="I185" s="12" t="n">
        <f aca="false">SUMIFS('BE Raw'!$D$6:$D$615,'BE Raw'!$E$6:$E$615,$A185,'BE Raw'!$B$6:$B$615,2026)</f>
        <v>0</v>
      </c>
      <c r="J185" s="12" t="n">
        <f aca="false">I185*$J$5</f>
        <v>0</v>
      </c>
    </row>
    <row r="186" customFormat="false" ht="15" hidden="false" customHeight="true" outlineLevel="0" collapsed="false">
      <c r="A186" s="12" t="n">
        <v>4413108</v>
      </c>
      <c r="B186" s="12" t="str">
        <f aca="false">IFERROR(INDEX('Catalog'!$B:$B,MATCH($A186,'Catalog'!$A:$A,0)),"")</f>
        <v>48 M מגן ברך מחמם</v>
      </c>
      <c r="C186" s="12" t="n">
        <f aca="false">SUMIFS('BE Raw'!$C$6:$C$615,'BE Raw'!$E$6:$E$615,$A186,'BE Raw'!$B$6:$B$615,2025)</f>
        <v>17</v>
      </c>
      <c r="D186" s="12" t="n">
        <f aca="false">SUMIFS('BE Raw'!$C$6:$C$615,'BE Raw'!$E$6:$E$615,$A186,'BE Raw'!$B$6:$B$615,2026)</f>
        <v>0</v>
      </c>
      <c r="E186" s="12" t="n">
        <f aca="false">D186*$J$5</f>
        <v>0</v>
      </c>
      <c r="F186" s="12" t="n">
        <f aca="false">E186-C186</f>
        <v>-17</v>
      </c>
      <c r="G186" s="21" t="n">
        <f aca="false">IF(AND(C186=0,E186=0),0,IF(C186=0,"New",(E186-C186)/C186))</f>
        <v>-1</v>
      </c>
      <c r="H186" s="12" t="n">
        <f aca="false">SUMIFS('BE Raw'!$D$6:$D$615,'BE Raw'!$E$6:$E$615,$A186,'BE Raw'!$B$6:$B$615,2025)</f>
        <v>890.1</v>
      </c>
      <c r="I186" s="12" t="n">
        <f aca="false">SUMIFS('BE Raw'!$D$6:$D$615,'BE Raw'!$E$6:$E$615,$A186,'BE Raw'!$B$6:$B$615,2026)</f>
        <v>0</v>
      </c>
      <c r="J186" s="12" t="n">
        <f aca="false">I186*$J$5</f>
        <v>0</v>
      </c>
    </row>
    <row r="187" customFormat="false" ht="15" hidden="false" customHeight="true" outlineLevel="0" collapsed="false">
      <c r="A187" s="12" t="n">
        <v>4413109</v>
      </c>
      <c r="B187" s="12" t="str">
        <f aca="false">IFERROR(INDEX('Catalog'!$B:$B,MATCH($A187,'Catalog'!$A:$A,0)),"")</f>
        <v>48 XL מגן ברך מחמם</v>
      </c>
      <c r="C187" s="12" t="n">
        <f aca="false">SUMIFS('BE Raw'!$C$6:$C$615,'BE Raw'!$E$6:$E$615,$A187,'BE Raw'!$B$6:$B$615,2025)</f>
        <v>4</v>
      </c>
      <c r="D187" s="12" t="n">
        <f aca="false">SUMIFS('BE Raw'!$C$6:$C$615,'BE Raw'!$E$6:$E$615,$A187,'BE Raw'!$B$6:$B$615,2026)</f>
        <v>0</v>
      </c>
      <c r="E187" s="12" t="n">
        <f aca="false">D187*$J$5</f>
        <v>0</v>
      </c>
      <c r="F187" s="12" t="n">
        <f aca="false">E187-C187</f>
        <v>-4</v>
      </c>
      <c r="G187" s="21" t="n">
        <f aca="false">IF(AND(C187=0,E187=0),0,IF(C187=0,"New",(E187-C187)/C187))</f>
        <v>-1</v>
      </c>
      <c r="H187" s="12" t="n">
        <f aca="false">SUMIFS('BE Raw'!$D$6:$D$615,'BE Raw'!$E$6:$E$615,$A187,'BE Raw'!$B$6:$B$615,2025)</f>
        <v>209.4</v>
      </c>
      <c r="I187" s="12" t="n">
        <f aca="false">SUMIFS('BE Raw'!$D$6:$D$615,'BE Raw'!$E$6:$E$615,$A187,'BE Raw'!$B$6:$B$615,2026)</f>
        <v>0</v>
      </c>
      <c r="J187" s="12" t="n">
        <f aca="false">I187*$J$5</f>
        <v>0</v>
      </c>
    </row>
    <row r="188" customFormat="false" ht="15" hidden="false" customHeight="true" outlineLevel="0" collapsed="false">
      <c r="A188" s="12" t="n">
        <v>4413110</v>
      </c>
      <c r="B188" s="12" t="str">
        <f aca="false">IFERROR(INDEX('Catalog'!$B:$B,MATCH($A188,'Catalog'!$A:$A,0)),"")</f>
        <v>48 XXL מגן ברך מחמם</v>
      </c>
      <c r="C188" s="12" t="n">
        <f aca="false">SUMIFS('BE Raw'!$C$6:$C$615,'BE Raw'!$E$6:$E$615,$A188,'BE Raw'!$B$6:$B$615,2025)</f>
        <v>9</v>
      </c>
      <c r="D188" s="12" t="n">
        <f aca="false">SUMIFS('BE Raw'!$C$6:$C$615,'BE Raw'!$E$6:$E$615,$A188,'BE Raw'!$B$6:$B$615,2026)</f>
        <v>0</v>
      </c>
      <c r="E188" s="12" t="n">
        <f aca="false">D188*$J$5</f>
        <v>0</v>
      </c>
      <c r="F188" s="12" t="n">
        <f aca="false">E188-C188</f>
        <v>-9</v>
      </c>
      <c r="G188" s="21" t="n">
        <f aca="false">IF(AND(C188=0,E188=0),0,IF(C188=0,"New",(E188-C188)/C188))</f>
        <v>-1</v>
      </c>
      <c r="H188" s="12" t="n">
        <f aca="false">SUMIFS('BE Raw'!$D$6:$D$615,'BE Raw'!$E$6:$E$615,$A188,'BE Raw'!$B$6:$B$615,2025)</f>
        <v>471.2</v>
      </c>
      <c r="I188" s="12" t="n">
        <f aca="false">SUMIFS('BE Raw'!$D$6:$D$615,'BE Raw'!$E$6:$E$615,$A188,'BE Raw'!$B$6:$B$615,2026)</f>
        <v>0</v>
      </c>
      <c r="J188" s="12" t="n">
        <f aca="false">I188*$J$5</f>
        <v>0</v>
      </c>
    </row>
    <row r="189" customFormat="false" ht="15" hidden="false" customHeight="true" outlineLevel="0" collapsed="false">
      <c r="A189" s="12" t="n">
        <v>4413112</v>
      </c>
      <c r="B189" s="12" t="str">
        <f aca="false">IFERROR(INDEX('Catalog'!$B:$B,MATCH($A189,'Catalog'!$A:$A,0)),"")</f>
        <v>49  L מגן ירך</v>
      </c>
      <c r="C189" s="12" t="n">
        <f aca="false">SUMIFS('BE Raw'!$C$6:$C$615,'BE Raw'!$E$6:$E$615,$A189,'BE Raw'!$B$6:$B$615,2025)</f>
        <v>25</v>
      </c>
      <c r="D189" s="12" t="n">
        <f aca="false">SUMIFS('BE Raw'!$C$6:$C$615,'BE Raw'!$E$6:$E$615,$A189,'BE Raw'!$B$6:$B$615,2026)</f>
        <v>16</v>
      </c>
      <c r="E189" s="12" t="n">
        <f aca="false">D189*$J$5</f>
        <v>20.2105263157895</v>
      </c>
      <c r="F189" s="12" t="n">
        <f aca="false">E189-C189</f>
        <v>-4.78947368421053</v>
      </c>
      <c r="G189" s="21" t="n">
        <f aca="false">IF(AND(C189=0,E189=0),0,IF(C189=0,"New",(E189-C189)/C189))</f>
        <v>-0.191578947368421</v>
      </c>
      <c r="H189" s="12" t="n">
        <f aca="false">SUMIFS('BE Raw'!$D$6:$D$615,'BE Raw'!$E$6:$E$615,$A189,'BE Raw'!$B$6:$B$615,2025)</f>
        <v>760</v>
      </c>
      <c r="I189" s="12" t="n">
        <f aca="false">SUMIFS('BE Raw'!$D$6:$D$615,'BE Raw'!$E$6:$E$615,$A189,'BE Raw'!$B$6:$B$615,2026)</f>
        <v>439.1</v>
      </c>
      <c r="J189" s="12" t="n">
        <f aca="false">I189*$J$5</f>
        <v>554.652631578947</v>
      </c>
    </row>
    <row r="190" customFormat="false" ht="15" hidden="false" customHeight="true" outlineLevel="0" collapsed="false">
      <c r="A190" s="12" t="n">
        <v>4413113</v>
      </c>
      <c r="B190" s="12" t="str">
        <f aca="false">IFERROR(INDEX('Catalog'!$B:$B,MATCH($A190,'Catalog'!$A:$A,0)),"")</f>
        <v>49  M מגן ירך</v>
      </c>
      <c r="C190" s="12" t="n">
        <f aca="false">SUMIFS('BE Raw'!$C$6:$C$615,'BE Raw'!$E$6:$E$615,$A190,'BE Raw'!$B$6:$B$615,2025)</f>
        <v>20</v>
      </c>
      <c r="D190" s="12" t="n">
        <f aca="false">SUMIFS('BE Raw'!$C$6:$C$615,'BE Raw'!$E$6:$E$615,$A190,'BE Raw'!$B$6:$B$615,2026)</f>
        <v>12</v>
      </c>
      <c r="E190" s="12" t="n">
        <f aca="false">D190*$J$5</f>
        <v>15.1578947368421</v>
      </c>
      <c r="F190" s="12" t="n">
        <f aca="false">E190-C190</f>
        <v>-4.8421052631579</v>
      </c>
      <c r="G190" s="21" t="n">
        <f aca="false">IF(AND(C190=0,E190=0),0,IF(C190=0,"New",(E190-C190)/C190))</f>
        <v>-0.242105263157895</v>
      </c>
      <c r="H190" s="12" t="n">
        <f aca="false">SUMIFS('BE Raw'!$D$6:$D$615,'BE Raw'!$E$6:$E$615,$A190,'BE Raw'!$B$6:$B$615,2025)</f>
        <v>610</v>
      </c>
      <c r="I190" s="12" t="n">
        <f aca="false">SUMIFS('BE Raw'!$D$6:$D$615,'BE Raw'!$E$6:$E$615,$A190,'BE Raw'!$B$6:$B$615,2026)</f>
        <v>366</v>
      </c>
      <c r="J190" s="12" t="n">
        <f aca="false">I190*$J$5</f>
        <v>462.315789473684</v>
      </c>
    </row>
    <row r="191" customFormat="false" ht="15" hidden="false" customHeight="true" outlineLevel="0" collapsed="false">
      <c r="A191" s="12" t="n">
        <v>4413114</v>
      </c>
      <c r="B191" s="12" t="str">
        <f aca="false">IFERROR(INDEX('Catalog'!$B:$B,MATCH($A191,'Catalog'!$A:$A,0)),"")</f>
        <v>49 XL מגן ירך</v>
      </c>
      <c r="C191" s="12" t="n">
        <f aca="false">SUMIFS('BE Raw'!$C$6:$C$615,'BE Raw'!$E$6:$E$615,$A191,'BE Raw'!$B$6:$B$615,2025)</f>
        <v>17</v>
      </c>
      <c r="D191" s="12" t="n">
        <f aca="false">SUMIFS('BE Raw'!$C$6:$C$615,'BE Raw'!$E$6:$E$615,$A191,'BE Raw'!$B$6:$B$615,2026)</f>
        <v>12</v>
      </c>
      <c r="E191" s="12" t="n">
        <f aca="false">D191*$J$5</f>
        <v>15.1578947368421</v>
      </c>
      <c r="F191" s="12" t="n">
        <f aca="false">E191-C191</f>
        <v>-1.8421052631579</v>
      </c>
      <c r="G191" s="21" t="n">
        <f aca="false">IF(AND(C191=0,E191=0),0,IF(C191=0,"New",(E191-C191)/C191))</f>
        <v>-0.108359133126935</v>
      </c>
      <c r="H191" s="12" t="n">
        <f aca="false">SUMIFS('BE Raw'!$D$6:$D$615,'BE Raw'!$E$6:$E$615,$A191,'BE Raw'!$B$6:$B$615,2025)</f>
        <v>518.5</v>
      </c>
      <c r="I191" s="12" t="n">
        <f aca="false">SUMIFS('BE Raw'!$D$6:$D$615,'BE Raw'!$E$6:$E$615,$A191,'BE Raw'!$B$6:$B$615,2026)</f>
        <v>366</v>
      </c>
      <c r="J191" s="12" t="n">
        <f aca="false">I191*$J$5</f>
        <v>462.315789473684</v>
      </c>
    </row>
    <row r="192" customFormat="false" ht="15" hidden="false" customHeight="true" outlineLevel="0" collapsed="false">
      <c r="A192" s="12" t="n">
        <v>4413117</v>
      </c>
      <c r="B192" s="12" t="str">
        <f aca="false">IFERROR(INDEX('Catalog'!$B:$B,MATCH($A192,'Catalog'!$A:$A,0)),"")</f>
        <v>50 L מתלה אשכים לאחר ניתוח</v>
      </c>
      <c r="C192" s="12" t="n">
        <f aca="false">SUMIFS('BE Raw'!$C$6:$C$615,'BE Raw'!$E$6:$E$615,$A192,'BE Raw'!$B$6:$B$615,2025)</f>
        <v>0</v>
      </c>
      <c r="D192" s="12" t="n">
        <f aca="false">SUMIFS('BE Raw'!$C$6:$C$615,'BE Raw'!$E$6:$E$615,$A192,'BE Raw'!$B$6:$B$615,2026)</f>
        <v>-1</v>
      </c>
      <c r="E192" s="12" t="n">
        <f aca="false">D192*$J$5</f>
        <v>-1.26315789473684</v>
      </c>
      <c r="F192" s="12" t="n">
        <f aca="false">E192-C192</f>
        <v>-1.26315789473684</v>
      </c>
      <c r="G192" s="21" t="str">
        <f aca="false">IF(AND(C192=0,E192=0),0,IF(C192=0,"New",(E192-C192)/C192))</f>
        <v>New</v>
      </c>
      <c r="H192" s="12" t="n">
        <f aca="false">SUMIFS('BE Raw'!$D$6:$D$615,'BE Raw'!$E$6:$E$615,$A192,'BE Raw'!$B$6:$B$615,2025)</f>
        <v>0</v>
      </c>
      <c r="I192" s="12" t="n">
        <f aca="false">SUMIFS('BE Raw'!$D$6:$D$615,'BE Raw'!$E$6:$E$615,$A192,'BE Raw'!$B$6:$B$615,2026)</f>
        <v>-104.2</v>
      </c>
      <c r="J192" s="12" t="n">
        <f aca="false">I192*$J$5</f>
        <v>-131.621052631579</v>
      </c>
    </row>
    <row r="193" customFormat="false" ht="15" hidden="false" customHeight="true" outlineLevel="0" collapsed="false">
      <c r="A193" s="12" t="n">
        <v>4413126</v>
      </c>
      <c r="B193" s="12" t="str">
        <f aca="false">IFERROR(INDEX('Catalog'!$B:$B,MATCH($A193,'Catalog'!$A:$A,0)),"")</f>
        <v>75 Sמיישר כתף יציב יישור גב צר</v>
      </c>
      <c r="C193" s="12" t="n">
        <f aca="false">SUMIFS('BE Raw'!$C$6:$C$615,'BE Raw'!$E$6:$E$615,$A193,'BE Raw'!$B$6:$B$615,2025)</f>
        <v>17</v>
      </c>
      <c r="D193" s="12" t="n">
        <f aca="false">SUMIFS('BE Raw'!$C$6:$C$615,'BE Raw'!$E$6:$E$615,$A193,'BE Raw'!$B$6:$B$615,2026)</f>
        <v>8</v>
      </c>
      <c r="E193" s="12" t="n">
        <f aca="false">D193*$J$5</f>
        <v>10.1052631578947</v>
      </c>
      <c r="F193" s="12" t="n">
        <f aca="false">E193-C193</f>
        <v>-6.89473684210526</v>
      </c>
      <c r="G193" s="21" t="n">
        <f aca="false">IF(AND(C193=0,E193=0),0,IF(C193=0,"New",(E193-C193)/C193))</f>
        <v>-0.405572755417957</v>
      </c>
      <c r="H193" s="12" t="n">
        <f aca="false">SUMIFS('BE Raw'!$D$6:$D$615,'BE Raw'!$E$6:$E$615,$A193,'BE Raw'!$B$6:$B$615,2025)</f>
        <v>2399.6</v>
      </c>
      <c r="I193" s="12" t="n">
        <f aca="false">SUMIFS('BE Raw'!$D$6:$D$615,'BE Raw'!$E$6:$E$615,$A193,'BE Raw'!$B$6:$B$615,2026)</f>
        <v>1051.7</v>
      </c>
      <c r="J193" s="12" t="n">
        <f aca="false">I193*$J$5</f>
        <v>1328.46315789474</v>
      </c>
    </row>
    <row r="194" customFormat="false" ht="15" hidden="false" customHeight="true" outlineLevel="0" collapsed="false">
      <c r="A194" s="12" t="n">
        <v>4413127</v>
      </c>
      <c r="B194" s="12" t="str">
        <f aca="false">IFERROR(INDEX('Catalog'!$B:$B,MATCH($A194,'Catalog'!$A:$A,0)),"")</f>
        <v>75 Lמיישר כתף יציב יישור גב צר</v>
      </c>
      <c r="C194" s="12" t="n">
        <f aca="false">SUMIFS('BE Raw'!$C$6:$C$615,'BE Raw'!$E$6:$E$615,$A194,'BE Raw'!$B$6:$B$615,2025)</f>
        <v>33</v>
      </c>
      <c r="D194" s="12" t="n">
        <f aca="false">SUMIFS('BE Raw'!$C$6:$C$615,'BE Raw'!$E$6:$E$615,$A194,'BE Raw'!$B$6:$B$615,2026)</f>
        <v>42</v>
      </c>
      <c r="E194" s="12" t="n">
        <f aca="false">D194*$J$5</f>
        <v>53.0526315789474</v>
      </c>
      <c r="F194" s="12" t="n">
        <f aca="false">E194-C194</f>
        <v>20.0526315789474</v>
      </c>
      <c r="G194" s="21" t="n">
        <f aca="false">IF(AND(C194=0,E194=0),0,IF(C194=0,"New",(E194-C194)/C194))</f>
        <v>0.607655502392344</v>
      </c>
      <c r="H194" s="12" t="n">
        <f aca="false">SUMIFS('BE Raw'!$D$6:$D$615,'BE Raw'!$E$6:$E$615,$A194,'BE Raw'!$B$6:$B$615,2025)</f>
        <v>4658</v>
      </c>
      <c r="I194" s="12" t="n">
        <f aca="false">SUMIFS('BE Raw'!$D$6:$D$615,'BE Raw'!$E$6:$E$615,$A194,'BE Raw'!$B$6:$B$615,2026)</f>
        <v>5928.3</v>
      </c>
      <c r="J194" s="12" t="n">
        <f aca="false">I194*$J$5</f>
        <v>7488.37894736842</v>
      </c>
    </row>
    <row r="195" customFormat="false" ht="15" hidden="false" customHeight="true" outlineLevel="0" collapsed="false">
      <c r="A195" s="12" t="n">
        <v>4413128</v>
      </c>
      <c r="B195" s="12" t="str">
        <f aca="false">IFERROR(INDEX('Catalog'!$B:$B,MATCH($A195,'Catalog'!$A:$A,0)),"")</f>
        <v>75 Mמיישר כתף יציב יישור גב צר</v>
      </c>
      <c r="C195" s="12" t="n">
        <f aca="false">SUMIFS('BE Raw'!$C$6:$C$615,'BE Raw'!$E$6:$E$615,$A195,'BE Raw'!$B$6:$B$615,2025)</f>
        <v>32</v>
      </c>
      <c r="D195" s="12" t="n">
        <f aca="false">SUMIFS('BE Raw'!$C$6:$C$615,'BE Raw'!$E$6:$E$615,$A195,'BE Raw'!$B$6:$B$615,2026)</f>
        <v>37</v>
      </c>
      <c r="E195" s="12" t="n">
        <f aca="false">D195*$J$5</f>
        <v>46.7368421052632</v>
      </c>
      <c r="F195" s="12" t="n">
        <f aca="false">E195-C195</f>
        <v>14.7368421052632</v>
      </c>
      <c r="G195" s="21" t="n">
        <f aca="false">IF(AND(C195=0,E195=0),0,IF(C195=0,"New",(E195-C195)/C195))</f>
        <v>0.460526315789474</v>
      </c>
      <c r="H195" s="12" t="n">
        <f aca="false">SUMIFS('BE Raw'!$D$6:$D$615,'BE Raw'!$E$6:$E$615,$A195,'BE Raw'!$B$6:$B$615,2025)</f>
        <v>4516.8</v>
      </c>
      <c r="I195" s="12" t="n">
        <f aca="false">SUMIFS('BE Raw'!$D$6:$D$615,'BE Raw'!$E$6:$E$615,$A195,'BE Raw'!$B$6:$B$615,2026)</f>
        <v>5222.6</v>
      </c>
      <c r="J195" s="12" t="n">
        <f aca="false">I195*$J$5</f>
        <v>6596.96842105263</v>
      </c>
    </row>
    <row r="196" customFormat="false" ht="15" hidden="false" customHeight="true" outlineLevel="0" collapsed="false">
      <c r="A196" s="12" t="n">
        <v>4413129</v>
      </c>
      <c r="B196" s="12" t="str">
        <f aca="false">IFERROR(INDEX('Catalog'!$B:$B,MATCH($A196,'Catalog'!$A:$A,0)),"")</f>
        <v>75 XLמיישר כתף יציב יישור ג.צר</v>
      </c>
      <c r="C196" s="12" t="n">
        <f aca="false">SUMIFS('BE Raw'!$C$6:$C$615,'BE Raw'!$E$6:$E$615,$A196,'BE Raw'!$B$6:$B$615,2025)</f>
        <v>22</v>
      </c>
      <c r="D196" s="12" t="n">
        <f aca="false">SUMIFS('BE Raw'!$C$6:$C$615,'BE Raw'!$E$6:$E$615,$A196,'BE Raw'!$B$6:$B$615,2026)</f>
        <v>15</v>
      </c>
      <c r="E196" s="12" t="n">
        <f aca="false">D196*$J$5</f>
        <v>18.9473684210526</v>
      </c>
      <c r="F196" s="12" t="n">
        <f aca="false">E196-C196</f>
        <v>-3.05263157894737</v>
      </c>
      <c r="G196" s="21" t="n">
        <f aca="false">IF(AND(C196=0,E196=0),0,IF(C196=0,"New",(E196-C196)/C196))</f>
        <v>-0.138755980861244</v>
      </c>
      <c r="H196" s="12" t="n">
        <f aca="false">SUMIFS('BE Raw'!$D$6:$D$615,'BE Raw'!$E$6:$E$615,$A196,'BE Raw'!$B$6:$B$615,2025)</f>
        <v>3105.3</v>
      </c>
      <c r="I196" s="12" t="n">
        <f aca="false">SUMIFS('BE Raw'!$D$6:$D$615,'BE Raw'!$E$6:$E$615,$A196,'BE Raw'!$B$6:$B$615,2026)</f>
        <v>2117.3</v>
      </c>
      <c r="J196" s="12" t="n">
        <f aca="false">I196*$J$5</f>
        <v>2674.48421052632</v>
      </c>
    </row>
    <row r="197" customFormat="false" ht="15" hidden="false" customHeight="true" outlineLevel="0" collapsed="false">
      <c r="A197" s="12" t="n">
        <v>4413130</v>
      </c>
      <c r="B197" s="12" t="str">
        <f aca="false">IFERROR(INDEX('Catalog'!$B:$B,MATCH($A197,'Catalog'!$A:$A,0)),"")</f>
        <v>75  XXL מיישר כתף יציב ישור צר</v>
      </c>
      <c r="C197" s="12" t="n">
        <f aca="false">SUMIFS('BE Raw'!$C$6:$C$615,'BE Raw'!$E$6:$E$615,$A197,'BE Raw'!$B$6:$B$615,2025)</f>
        <v>8</v>
      </c>
      <c r="D197" s="12" t="n">
        <f aca="false">SUMIFS('BE Raw'!$C$6:$C$615,'BE Raw'!$E$6:$E$615,$A197,'BE Raw'!$B$6:$B$615,2026)</f>
        <v>17</v>
      </c>
      <c r="E197" s="12" t="n">
        <f aca="false">D197*$J$5</f>
        <v>21.4736842105263</v>
      </c>
      <c r="F197" s="12" t="n">
        <f aca="false">E197-C197</f>
        <v>13.4736842105263</v>
      </c>
      <c r="G197" s="21" t="n">
        <f aca="false">IF(AND(C197=0,E197=0),0,IF(C197=0,"New",(E197-C197)/C197))</f>
        <v>1.68421052631579</v>
      </c>
      <c r="H197" s="12" t="n">
        <f aca="false">SUMIFS('BE Raw'!$D$6:$D$615,'BE Raw'!$E$6:$E$615,$A197,'BE Raw'!$B$6:$B$615,2025)</f>
        <v>887.3</v>
      </c>
      <c r="I197" s="12" t="n">
        <f aca="false">SUMIFS('BE Raw'!$D$6:$D$615,'BE Raw'!$E$6:$E$615,$A197,'BE Raw'!$B$6:$B$615,2026)</f>
        <v>2399.5</v>
      </c>
      <c r="J197" s="12" t="n">
        <f aca="false">I197*$J$5</f>
        <v>3030.94736842105</v>
      </c>
    </row>
    <row r="198" customFormat="false" ht="15" hidden="false" customHeight="true" outlineLevel="0" collapsed="false">
      <c r="A198" s="12" t="n">
        <v>4413132</v>
      </c>
      <c r="B198" s="12" t="str">
        <f aca="false">IFERROR(INDEX('Catalog'!$B:$B,MATCH($A198,'Catalog'!$A:$A,0)),"")</f>
        <v>76 Lמיישר כתף יציב יישור רחב</v>
      </c>
      <c r="C198" s="12" t="n">
        <f aca="false">SUMIFS('BE Raw'!$C$6:$C$615,'BE Raw'!$E$6:$E$615,$A198,'BE Raw'!$B$6:$B$615,2025)</f>
        <v>3</v>
      </c>
      <c r="D198" s="12" t="n">
        <f aca="false">SUMIFS('BE Raw'!$C$6:$C$615,'BE Raw'!$E$6:$E$615,$A198,'BE Raw'!$B$6:$B$615,2026)</f>
        <v>4</v>
      </c>
      <c r="E198" s="12" t="n">
        <f aca="false">D198*$J$5</f>
        <v>5.05263157894737</v>
      </c>
      <c r="F198" s="12" t="n">
        <f aca="false">E198-C198</f>
        <v>2.05263157894737</v>
      </c>
      <c r="G198" s="21" t="n">
        <f aca="false">IF(AND(C198=0,E198=0),0,IF(C198=0,"New",(E198-C198)/C198))</f>
        <v>0.684210526315789</v>
      </c>
      <c r="H198" s="12" t="n">
        <f aca="false">SUMIFS('BE Raw'!$D$6:$D$615,'BE Raw'!$E$6:$E$615,$A198,'BE Raw'!$B$6:$B$615,2025)</f>
        <v>461.8</v>
      </c>
      <c r="I198" s="12" t="n">
        <f aca="false">SUMIFS('BE Raw'!$D$6:$D$615,'BE Raw'!$E$6:$E$615,$A198,'BE Raw'!$B$6:$B$615,2026)</f>
        <v>615.7</v>
      </c>
      <c r="J198" s="12" t="n">
        <f aca="false">I198*$J$5</f>
        <v>777.726315789474</v>
      </c>
    </row>
    <row r="199" customFormat="false" ht="15" hidden="false" customHeight="true" outlineLevel="0" collapsed="false">
      <c r="A199" s="12" t="n">
        <v>4413133</v>
      </c>
      <c r="B199" s="12" t="str">
        <f aca="false">IFERROR(INDEX('Catalog'!$B:$B,MATCH($A199,'Catalog'!$A:$A,0)),"")</f>
        <v>76 Mמיישר כתף יציב,יישור רחב</v>
      </c>
      <c r="C199" s="12" t="n">
        <f aca="false">SUMIFS('BE Raw'!$C$6:$C$615,'BE Raw'!$E$6:$E$615,$A199,'BE Raw'!$B$6:$B$615,2025)</f>
        <v>5</v>
      </c>
      <c r="D199" s="12" t="n">
        <f aca="false">SUMIFS('BE Raw'!$C$6:$C$615,'BE Raw'!$E$6:$E$615,$A199,'BE Raw'!$B$6:$B$615,2026)</f>
        <v>2</v>
      </c>
      <c r="E199" s="12" t="n">
        <f aca="false">D199*$J$5</f>
        <v>2.52631578947368</v>
      </c>
      <c r="F199" s="12" t="n">
        <f aca="false">E199-C199</f>
        <v>-2.47368421052632</v>
      </c>
      <c r="G199" s="21" t="n">
        <f aca="false">IF(AND(C199=0,E199=0),0,IF(C199=0,"New",(E199-C199)/C199))</f>
        <v>-0.494736842105263</v>
      </c>
      <c r="H199" s="12" t="n">
        <f aca="false">SUMIFS('BE Raw'!$D$6:$D$615,'BE Raw'!$E$6:$E$615,$A199,'BE Raw'!$B$6:$B$615,2025)</f>
        <v>882.2</v>
      </c>
      <c r="I199" s="12" t="n">
        <f aca="false">SUMIFS('BE Raw'!$D$6:$D$615,'BE Raw'!$E$6:$E$615,$A199,'BE Raw'!$B$6:$B$615,2026)</f>
        <v>352.9</v>
      </c>
      <c r="J199" s="12" t="n">
        <f aca="false">I199*$J$5</f>
        <v>445.768421052632</v>
      </c>
    </row>
    <row r="200" customFormat="false" ht="15" hidden="false" customHeight="true" outlineLevel="0" collapsed="false">
      <c r="A200" s="12" t="n">
        <v>4413135</v>
      </c>
      <c r="B200" s="12" t="str">
        <f aca="false">IFERROR(INDEX('Catalog'!$B:$B,MATCH($A200,'Catalog'!$A:$A,0)),"")</f>
        <v>85 L (מתלה ליד )כיס</v>
      </c>
      <c r="C200" s="12" t="n">
        <f aca="false">SUMIFS('BE Raw'!$C$6:$C$615,'BE Raw'!$E$6:$E$615,$A200,'BE Raw'!$B$6:$B$615,2025)</f>
        <v>319</v>
      </c>
      <c r="D200" s="12" t="n">
        <f aca="false">SUMIFS('BE Raw'!$C$6:$C$615,'BE Raw'!$E$6:$E$615,$A200,'BE Raw'!$B$6:$B$615,2026)</f>
        <v>207</v>
      </c>
      <c r="E200" s="12" t="n">
        <f aca="false">D200*$J$5</f>
        <v>261.473684210526</v>
      </c>
      <c r="F200" s="12" t="n">
        <f aca="false">E200-C200</f>
        <v>-57.5263157894737</v>
      </c>
      <c r="G200" s="21" t="n">
        <f aca="false">IF(AND(C200=0,E200=0),0,IF(C200=0,"New",(E200-C200)/C200))</f>
        <v>-0.180333278336908</v>
      </c>
      <c r="H200" s="12" t="n">
        <f aca="false">SUMIFS('BE Raw'!$D$6:$D$615,'BE Raw'!$E$6:$E$615,$A200,'BE Raw'!$B$6:$B$615,2025)</f>
        <v>16783.9</v>
      </c>
      <c r="I200" s="12" t="n">
        <f aca="false">SUMIFS('BE Raw'!$D$6:$D$615,'BE Raw'!$E$6:$E$615,$A200,'BE Raw'!$B$6:$B$615,2026)</f>
        <v>10870.2</v>
      </c>
      <c r="J200" s="12" t="n">
        <f aca="false">I200*$J$5</f>
        <v>13730.7789473684</v>
      </c>
    </row>
    <row r="201" customFormat="false" ht="15" hidden="false" customHeight="true" outlineLevel="0" collapsed="false">
      <c r="A201" s="12" t="n">
        <v>4413136</v>
      </c>
      <c r="B201" s="12" t="str">
        <f aca="false">IFERROR(INDEX('Catalog'!$B:$B,MATCH($A201,'Catalog'!$A:$A,0)),"")</f>
        <v>85 M (מתלה ליד )כיס</v>
      </c>
      <c r="C201" s="12" t="n">
        <f aca="false">SUMIFS('BE Raw'!$C$6:$C$615,'BE Raw'!$E$6:$E$615,$A201,'BE Raw'!$B$6:$B$615,2025)</f>
        <v>193</v>
      </c>
      <c r="D201" s="12" t="n">
        <f aca="false">SUMIFS('BE Raw'!$C$6:$C$615,'BE Raw'!$E$6:$E$615,$A201,'BE Raw'!$B$6:$B$615,2026)</f>
        <v>124</v>
      </c>
      <c r="E201" s="12" t="n">
        <f aca="false">D201*$J$5</f>
        <v>156.631578947368</v>
      </c>
      <c r="F201" s="12" t="n">
        <f aca="false">E201-C201</f>
        <v>-36.3684210526316</v>
      </c>
      <c r="G201" s="21" t="n">
        <f aca="false">IF(AND(C201=0,E201=0),0,IF(C201=0,"New",(E201-C201)/C201))</f>
        <v>-0.188437414780475</v>
      </c>
      <c r="H201" s="12" t="n">
        <f aca="false">SUMIFS('BE Raw'!$D$6:$D$615,'BE Raw'!$E$6:$E$615,$A201,'BE Raw'!$B$6:$B$615,2025)</f>
        <v>10096.7</v>
      </c>
      <c r="I201" s="12" t="n">
        <f aca="false">SUMIFS('BE Raw'!$D$6:$D$615,'BE Raw'!$E$6:$E$615,$A201,'BE Raw'!$B$6:$B$615,2026)</f>
        <v>6530</v>
      </c>
      <c r="J201" s="12" t="n">
        <f aca="false">I201*$J$5</f>
        <v>8248.42105263158</v>
      </c>
    </row>
    <row r="202" customFormat="false" ht="15" hidden="false" customHeight="true" outlineLevel="0" collapsed="false">
      <c r="A202" s="12" t="n">
        <v>4413137</v>
      </c>
      <c r="B202" s="12" t="str">
        <f aca="false">IFERROR(INDEX('Catalog'!$B:$B,MATCH($A202,'Catalog'!$A:$A,0)),"")</f>
        <v>85 S (מתלה ליד )כיס</v>
      </c>
      <c r="C202" s="12" t="n">
        <f aca="false">SUMIFS('BE Raw'!$C$6:$C$615,'BE Raw'!$E$6:$E$615,$A202,'BE Raw'!$B$6:$B$615,2025)</f>
        <v>119</v>
      </c>
      <c r="D202" s="12" t="n">
        <f aca="false">SUMIFS('BE Raw'!$C$6:$C$615,'BE Raw'!$E$6:$E$615,$A202,'BE Raw'!$B$6:$B$615,2026)</f>
        <v>79</v>
      </c>
      <c r="E202" s="12" t="n">
        <f aca="false">D202*$J$5</f>
        <v>99.7894736842105</v>
      </c>
      <c r="F202" s="12" t="n">
        <f aca="false">E202-C202</f>
        <v>-19.2105263157895</v>
      </c>
      <c r="G202" s="21" t="n">
        <f aca="false">IF(AND(C202=0,E202=0),0,IF(C202=0,"New",(E202-C202)/C202))</f>
        <v>-0.161432994250332</v>
      </c>
      <c r="H202" s="12" t="n">
        <f aca="false">SUMIFS('BE Raw'!$D$6:$D$615,'BE Raw'!$E$6:$E$615,$A202,'BE Raw'!$B$6:$B$615,2025)</f>
        <v>6241.5</v>
      </c>
      <c r="I202" s="12" t="n">
        <f aca="false">SUMIFS('BE Raw'!$D$6:$D$615,'BE Raw'!$E$6:$E$615,$A202,'BE Raw'!$B$6:$B$615,2026)</f>
        <v>4146.2</v>
      </c>
      <c r="J202" s="12" t="n">
        <f aca="false">I202*$J$5</f>
        <v>5237.30526315789</v>
      </c>
    </row>
    <row r="203" customFormat="false" ht="15" hidden="false" customHeight="true" outlineLevel="0" collapsed="false">
      <c r="A203" s="12" t="n">
        <v>4413138</v>
      </c>
      <c r="B203" s="12" t="str">
        <f aca="false">IFERROR(INDEX('Catalog'!$B:$B,MATCH($A203,'Catalog'!$A:$A,0)),"")</f>
        <v>85 XL (מתלה ליד )כיס</v>
      </c>
      <c r="C203" s="12" t="n">
        <f aca="false">SUMIFS('BE Raw'!$C$6:$C$615,'BE Raw'!$E$6:$E$615,$A203,'BE Raw'!$B$6:$B$615,2025)</f>
        <v>158</v>
      </c>
      <c r="D203" s="12" t="n">
        <f aca="false">SUMIFS('BE Raw'!$C$6:$C$615,'BE Raw'!$E$6:$E$615,$A203,'BE Raw'!$B$6:$B$615,2026)</f>
        <v>102</v>
      </c>
      <c r="E203" s="12" t="n">
        <f aca="false">D203*$J$5</f>
        <v>128.842105263158</v>
      </c>
      <c r="F203" s="12" t="n">
        <f aca="false">E203-C203</f>
        <v>-29.1578947368421</v>
      </c>
      <c r="G203" s="21" t="n">
        <f aca="false">IF(AND(C203=0,E203=0),0,IF(C203=0,"New",(E203-C203)/C203))</f>
        <v>-0.18454363757495</v>
      </c>
      <c r="H203" s="12" t="n">
        <f aca="false">SUMIFS('BE Raw'!$D$6:$D$615,'BE Raw'!$E$6:$E$615,$A203,'BE Raw'!$B$6:$B$615,2025)</f>
        <v>8287.1</v>
      </c>
      <c r="I203" s="12" t="n">
        <f aca="false">SUMIFS('BE Raw'!$D$6:$D$615,'BE Raw'!$E$6:$E$615,$A203,'BE Raw'!$B$6:$B$615,2026)</f>
        <v>5363</v>
      </c>
      <c r="J203" s="12" t="n">
        <f aca="false">I203*$J$5</f>
        <v>6774.31578947368</v>
      </c>
    </row>
    <row r="204" customFormat="false" ht="15" hidden="false" customHeight="true" outlineLevel="0" collapsed="false">
      <c r="A204" s="12" t="n">
        <v>4413139</v>
      </c>
      <c r="B204" s="12" t="str">
        <f aca="false">IFERROR(INDEX('Catalog'!$B:$B,MATCH($A204,'Catalog'!$A:$A,0)),"")</f>
        <v>95 L מגן מרפק רגיל לבן</v>
      </c>
      <c r="C204" s="12" t="n">
        <f aca="false">SUMIFS('BE Raw'!$C$6:$C$615,'BE Raw'!$E$6:$E$615,$A204,'BE Raw'!$B$6:$B$615,2025)</f>
        <v>83</v>
      </c>
      <c r="D204" s="12" t="n">
        <f aca="false">SUMIFS('BE Raw'!$C$6:$C$615,'BE Raw'!$E$6:$E$615,$A204,'BE Raw'!$B$6:$B$615,2026)</f>
        <v>81</v>
      </c>
      <c r="E204" s="12" t="n">
        <f aca="false">D204*$J$5</f>
        <v>102.315789473684</v>
      </c>
      <c r="F204" s="12" t="n">
        <f aca="false">E204-C204</f>
        <v>19.3157894736842</v>
      </c>
      <c r="G204" s="21" t="n">
        <f aca="false">IF(AND(C204=0,E204=0),0,IF(C204=0,"New",(E204-C204)/C204))</f>
        <v>0.232720355104629</v>
      </c>
      <c r="H204" s="12" t="n">
        <f aca="false">SUMIFS('BE Raw'!$D$6:$D$615,'BE Raw'!$E$6:$E$615,$A204,'BE Raw'!$B$6:$B$615,2025)</f>
        <v>2316</v>
      </c>
      <c r="I204" s="12" t="n">
        <f aca="false">SUMIFS('BE Raw'!$D$6:$D$615,'BE Raw'!$E$6:$E$615,$A204,'BE Raw'!$B$6:$B$615,2026)</f>
        <v>2250.6</v>
      </c>
      <c r="J204" s="12" t="n">
        <f aca="false">I204*$J$5</f>
        <v>2842.86315789474</v>
      </c>
    </row>
    <row r="205" customFormat="false" ht="15" hidden="false" customHeight="true" outlineLevel="0" collapsed="false">
      <c r="A205" s="12" t="n">
        <v>4413140</v>
      </c>
      <c r="B205" s="12" t="str">
        <f aca="false">IFERROR(INDEX('Catalog'!$B:$B,MATCH($A205,'Catalog'!$A:$A,0)),"")</f>
        <v>95 M מגן מרפק רגיל לבן</v>
      </c>
      <c r="C205" s="12" t="n">
        <f aca="false">SUMIFS('BE Raw'!$C$6:$C$615,'BE Raw'!$E$6:$E$615,$A205,'BE Raw'!$B$6:$B$615,2025)</f>
        <v>145</v>
      </c>
      <c r="D205" s="12" t="n">
        <f aca="false">SUMIFS('BE Raw'!$C$6:$C$615,'BE Raw'!$E$6:$E$615,$A205,'BE Raw'!$B$6:$B$615,2026)</f>
        <v>74</v>
      </c>
      <c r="E205" s="12" t="n">
        <f aca="false">D205*$J$5</f>
        <v>93.4736842105263</v>
      </c>
      <c r="F205" s="12" t="n">
        <f aca="false">E205-C205</f>
        <v>-51.5263157894737</v>
      </c>
      <c r="G205" s="21" t="n">
        <f aca="false">IF(AND(C205=0,E205=0),0,IF(C205=0,"New",(E205-C205)/C205))</f>
        <v>-0.35535390199637</v>
      </c>
      <c r="H205" s="12" t="n">
        <f aca="false">SUMIFS('BE Raw'!$D$6:$D$615,'BE Raw'!$E$6:$E$615,$A205,'BE Raw'!$B$6:$B$615,2025)</f>
        <v>4031.2</v>
      </c>
      <c r="I205" s="12" t="n">
        <f aca="false">SUMIFS('BE Raw'!$D$6:$D$615,'BE Raw'!$E$6:$E$615,$A205,'BE Raw'!$B$6:$B$615,2026)</f>
        <v>2054.2</v>
      </c>
      <c r="J205" s="12" t="n">
        <f aca="false">I205*$J$5</f>
        <v>2594.77894736842</v>
      </c>
    </row>
    <row r="206" customFormat="false" ht="15" hidden="false" customHeight="true" outlineLevel="0" collapsed="false">
      <c r="A206" s="12" t="n">
        <v>4413141</v>
      </c>
      <c r="B206" s="12" t="str">
        <f aca="false">IFERROR(INDEX('Catalog'!$B:$B,MATCH($A206,'Catalog'!$A:$A,0)),"")</f>
        <v>95 S מגן מרפק רגיל לבן</v>
      </c>
      <c r="C206" s="12" t="n">
        <f aca="false">SUMIFS('BE Raw'!$C$6:$C$615,'BE Raw'!$E$6:$E$615,$A206,'BE Raw'!$B$6:$B$615,2025)</f>
        <v>72</v>
      </c>
      <c r="D206" s="12" t="n">
        <f aca="false">SUMIFS('BE Raw'!$C$6:$C$615,'BE Raw'!$E$6:$E$615,$A206,'BE Raw'!$B$6:$B$615,2026)</f>
        <v>64</v>
      </c>
      <c r="E206" s="12" t="n">
        <f aca="false">D206*$J$5</f>
        <v>80.8421052631579</v>
      </c>
      <c r="F206" s="12" t="n">
        <f aca="false">E206-C206</f>
        <v>8.84210526315789</v>
      </c>
      <c r="G206" s="21" t="n">
        <f aca="false">IF(AND(C206=0,E206=0),0,IF(C206=0,"New",(E206-C206)/C206))</f>
        <v>0.12280701754386</v>
      </c>
      <c r="H206" s="12" t="n">
        <f aca="false">SUMIFS('BE Raw'!$D$6:$D$615,'BE Raw'!$E$6:$E$615,$A206,'BE Raw'!$B$6:$B$615,2025)</f>
        <v>1998.7</v>
      </c>
      <c r="I206" s="12" t="n">
        <f aca="false">SUMIFS('BE Raw'!$D$6:$D$615,'BE Raw'!$E$6:$E$615,$A206,'BE Raw'!$B$6:$B$615,2026)</f>
        <v>1778.6</v>
      </c>
      <c r="J206" s="12" t="n">
        <f aca="false">I206*$J$5</f>
        <v>2246.65263157895</v>
      </c>
    </row>
    <row r="207" customFormat="false" ht="15" hidden="false" customHeight="true" outlineLevel="0" collapsed="false">
      <c r="A207" s="12" t="n">
        <v>4413142</v>
      </c>
      <c r="B207" s="12" t="str">
        <f aca="false">IFERROR(INDEX('Catalog'!$B:$B,MATCH($A207,'Catalog'!$A:$A,0)),"")</f>
        <v>95 XL מגן מרפק רגיל לבן</v>
      </c>
      <c r="C207" s="12" t="n">
        <f aca="false">SUMIFS('BE Raw'!$C$6:$C$615,'BE Raw'!$E$6:$E$615,$A207,'BE Raw'!$B$6:$B$615,2025)</f>
        <v>34</v>
      </c>
      <c r="D207" s="12" t="n">
        <f aca="false">SUMIFS('BE Raw'!$C$6:$C$615,'BE Raw'!$E$6:$E$615,$A207,'BE Raw'!$B$6:$B$615,2026)</f>
        <v>48</v>
      </c>
      <c r="E207" s="12" t="n">
        <f aca="false">D207*$J$5</f>
        <v>60.6315789473684</v>
      </c>
      <c r="F207" s="12" t="n">
        <f aca="false">E207-C207</f>
        <v>26.6315789473684</v>
      </c>
      <c r="G207" s="21" t="n">
        <f aca="false">IF(AND(C207=0,E207=0),0,IF(C207=0,"New",(E207-C207)/C207))</f>
        <v>0.78328173374613</v>
      </c>
      <c r="H207" s="12" t="n">
        <f aca="false">SUMIFS('BE Raw'!$D$6:$D$615,'BE Raw'!$E$6:$E$615,$A207,'BE Raw'!$B$6:$B$615,2025)</f>
        <v>945.8</v>
      </c>
      <c r="I207" s="12" t="n">
        <f aca="false">SUMIFS('BE Raw'!$D$6:$D$615,'BE Raw'!$E$6:$E$615,$A207,'BE Raw'!$B$6:$B$615,2026)</f>
        <v>1336.5</v>
      </c>
      <c r="J207" s="12" t="n">
        <f aca="false">I207*$J$5</f>
        <v>1688.21052631579</v>
      </c>
    </row>
    <row r="208" customFormat="false" ht="15" hidden="false" customHeight="true" outlineLevel="0" collapsed="false">
      <c r="A208" s="12" t="n">
        <v>4413149</v>
      </c>
      <c r="B208" s="12" t="str">
        <f aca="false">IFERROR(INDEX('Catalog'!$B:$B,MATCH($A208,'Catalog'!$A:$A,0)),"")</f>
        <v>FC321-מלח אמבט לכף הרגל</v>
      </c>
      <c r="C208" s="12" t="n">
        <f aca="false">SUMIFS('BE Raw'!$C$6:$C$615,'BE Raw'!$E$6:$E$615,$A208,'BE Raw'!$B$6:$B$615,2025)</f>
        <v>201</v>
      </c>
      <c r="D208" s="12" t="n">
        <f aca="false">SUMIFS('BE Raw'!$C$6:$C$615,'BE Raw'!$E$6:$E$615,$A208,'BE Raw'!$B$6:$B$615,2026)</f>
        <v>157</v>
      </c>
      <c r="E208" s="12" t="n">
        <f aca="false">D208*$J$5</f>
        <v>198.315789473684</v>
      </c>
      <c r="F208" s="12" t="n">
        <f aca="false">E208-C208</f>
        <v>-2.68421052631581</v>
      </c>
      <c r="G208" s="21" t="n">
        <f aca="false">IF(AND(C208=0,E208=0),0,IF(C208=0,"New",(E208-C208)/C208))</f>
        <v>-0.0133542812254518</v>
      </c>
      <c r="H208" s="12" t="n">
        <f aca="false">SUMIFS('BE Raw'!$D$6:$D$615,'BE Raw'!$E$6:$E$615,$A208,'BE Raw'!$B$6:$B$615,2025)</f>
        <v>2183.4</v>
      </c>
      <c r="I208" s="12" t="n">
        <f aca="false">SUMIFS('BE Raw'!$D$6:$D$615,'BE Raw'!$E$6:$E$615,$A208,'BE Raw'!$B$6:$B$615,2026)</f>
        <v>1717.6</v>
      </c>
      <c r="J208" s="12" t="n">
        <f aca="false">I208*$J$5</f>
        <v>2169.6</v>
      </c>
    </row>
    <row r="209" customFormat="false" ht="15" hidden="false" customHeight="true" outlineLevel="0" collapsed="false">
      <c r="A209" s="12" t="n">
        <v>4413150</v>
      </c>
      <c r="B209" s="12" t="str">
        <f aca="false">IFERROR(INDEX('Catalog'!$B:$B,MATCH($A209,'Catalog'!$A:$A,0)),"")</f>
        <v>PD341-מקצוע להסרת עור קשה</v>
      </c>
      <c r="C209" s="12" t="n">
        <f aca="false">SUMIFS('BE Raw'!$C$6:$C$615,'BE Raw'!$E$6:$E$615,$A209,'BE Raw'!$B$6:$B$615,2025)</f>
        <v>111</v>
      </c>
      <c r="D209" s="12" t="n">
        <f aca="false">SUMIFS('BE Raw'!$C$6:$C$615,'BE Raw'!$E$6:$E$615,$A209,'BE Raw'!$B$6:$B$615,2026)</f>
        <v>46</v>
      </c>
      <c r="E209" s="12" t="n">
        <f aca="false">D209*$J$5</f>
        <v>58.1052631578947</v>
      </c>
      <c r="F209" s="12" t="n">
        <f aca="false">E209-C209</f>
        <v>-52.8947368421053</v>
      </c>
      <c r="G209" s="21" t="n">
        <f aca="false">IF(AND(C209=0,E209=0),0,IF(C209=0,"New",(E209-C209)/C209))</f>
        <v>-0.476529160739687</v>
      </c>
      <c r="H209" s="12" t="n">
        <f aca="false">SUMIFS('BE Raw'!$D$6:$D$615,'BE Raw'!$E$6:$E$615,$A209,'BE Raw'!$B$6:$B$615,2025)</f>
        <v>2961.7</v>
      </c>
      <c r="I209" s="12" t="n">
        <f aca="false">SUMIFS('BE Raw'!$D$6:$D$615,'BE Raw'!$E$6:$E$615,$A209,'BE Raw'!$B$6:$B$615,2026)</f>
        <v>1227.4</v>
      </c>
      <c r="J209" s="12" t="n">
        <f aca="false">I209*$J$5</f>
        <v>1550.4</v>
      </c>
    </row>
    <row r="210" customFormat="false" ht="15" hidden="false" customHeight="true" outlineLevel="0" collapsed="false">
      <c r="A210" s="12" t="n">
        <v>4413153</v>
      </c>
      <c r="B210" s="12" t="str">
        <f aca="false">IFERROR(INDEX('Catalog'!$B:$B,MATCH($A210,'Catalog'!$A:$A,0)),"")</f>
        <v>305GA מדרס אורטופ.מתכוון35-36</v>
      </c>
      <c r="C210" s="12" t="n">
        <f aca="false">SUMIFS('BE Raw'!$C$6:$C$615,'BE Raw'!$E$6:$E$615,$A210,'BE Raw'!$B$6:$B$615,2025)</f>
        <v>3</v>
      </c>
      <c r="D210" s="12" t="n">
        <f aca="false">SUMIFS('BE Raw'!$C$6:$C$615,'BE Raw'!$E$6:$E$615,$A210,'BE Raw'!$B$6:$B$615,2026)</f>
        <v>2</v>
      </c>
      <c r="E210" s="12" t="n">
        <f aca="false">D210*$J$5</f>
        <v>2.52631578947368</v>
      </c>
      <c r="F210" s="12" t="n">
        <f aca="false">E210-C210</f>
        <v>-0.473684210526316</v>
      </c>
      <c r="G210" s="21" t="n">
        <f aca="false">IF(AND(C210=0,E210=0),0,IF(C210=0,"New",(E210-C210)/C210))</f>
        <v>-0.157894736842105</v>
      </c>
      <c r="H210" s="12" t="n">
        <f aca="false">SUMIFS('BE Raw'!$D$6:$D$615,'BE Raw'!$E$6:$E$615,$A210,'BE Raw'!$B$6:$B$615,2025)</f>
        <v>209.8</v>
      </c>
      <c r="I210" s="12" t="n">
        <f aca="false">SUMIFS('BE Raw'!$D$6:$D$615,'BE Raw'!$E$6:$E$615,$A210,'BE Raw'!$B$6:$B$615,2026)</f>
        <v>85</v>
      </c>
      <c r="J210" s="12" t="n">
        <f aca="false">I210*$J$5</f>
        <v>107.368421052632</v>
      </c>
    </row>
    <row r="211" customFormat="false" ht="15" hidden="false" customHeight="true" outlineLevel="0" collapsed="false">
      <c r="A211" s="12" t="n">
        <v>4413154</v>
      </c>
      <c r="B211" s="12" t="str">
        <f aca="false">IFERROR(INDEX('Catalog'!$B:$B,MATCH($A211,'Catalog'!$A:$A,0)),"")</f>
        <v>305GA מדרס אורטופ.מתכוון37-38</v>
      </c>
      <c r="C211" s="12" t="n">
        <f aca="false">SUMIFS('BE Raw'!$C$6:$C$615,'BE Raw'!$E$6:$E$615,$A211,'BE Raw'!$B$6:$B$615,2025)</f>
        <v>5</v>
      </c>
      <c r="D211" s="12" t="n">
        <f aca="false">SUMIFS('BE Raw'!$C$6:$C$615,'BE Raw'!$E$6:$E$615,$A211,'BE Raw'!$B$6:$B$615,2026)</f>
        <v>5</v>
      </c>
      <c r="E211" s="12" t="n">
        <f aca="false">D211*$J$5</f>
        <v>6.31578947368421</v>
      </c>
      <c r="F211" s="12" t="n">
        <f aca="false">E211-C211</f>
        <v>1.31578947368421</v>
      </c>
      <c r="G211" s="21" t="n">
        <f aca="false">IF(AND(C211=0,E211=0),0,IF(C211=0,"New",(E211-C211)/C211))</f>
        <v>0.263157894736842</v>
      </c>
      <c r="H211" s="12" t="n">
        <f aca="false">SUMIFS('BE Raw'!$D$6:$D$615,'BE Raw'!$E$6:$E$615,$A211,'BE Raw'!$B$6:$B$615,2025)</f>
        <v>294.7</v>
      </c>
      <c r="I211" s="12" t="n">
        <f aca="false">SUMIFS('BE Raw'!$D$6:$D$615,'BE Raw'!$E$6:$E$615,$A211,'BE Raw'!$B$6:$B$615,2026)</f>
        <v>349.8</v>
      </c>
      <c r="J211" s="12" t="n">
        <f aca="false">I211*$J$5</f>
        <v>441.852631578947</v>
      </c>
    </row>
    <row r="212" customFormat="false" ht="15" hidden="false" customHeight="true" outlineLevel="0" collapsed="false">
      <c r="A212" s="12" t="n">
        <v>4413155</v>
      </c>
      <c r="B212" s="12" t="str">
        <f aca="false">IFERROR(INDEX('Catalog'!$B:$B,MATCH($A212,'Catalog'!$A:$A,0)),"")</f>
        <v>305GA מדרס אורטופ.מתכוון39-40</v>
      </c>
      <c r="C212" s="12" t="n">
        <f aca="false">SUMIFS('BE Raw'!$C$6:$C$615,'BE Raw'!$E$6:$E$615,$A212,'BE Raw'!$B$6:$B$615,2025)</f>
        <v>13</v>
      </c>
      <c r="D212" s="12" t="n">
        <f aca="false">SUMIFS('BE Raw'!$C$6:$C$615,'BE Raw'!$E$6:$E$615,$A212,'BE Raw'!$B$6:$B$615,2026)</f>
        <v>7</v>
      </c>
      <c r="E212" s="12" t="n">
        <f aca="false">D212*$J$5</f>
        <v>8.84210526315789</v>
      </c>
      <c r="F212" s="12" t="n">
        <f aca="false">E212-C212</f>
        <v>-4.15789473684211</v>
      </c>
      <c r="G212" s="21" t="n">
        <f aca="false">IF(AND(C212=0,E212=0),0,IF(C212=0,"New",(E212-C212)/C212))</f>
        <v>-0.319838056680162</v>
      </c>
      <c r="H212" s="12" t="n">
        <f aca="false">SUMIFS('BE Raw'!$D$6:$D$615,'BE Raw'!$E$6:$E$615,$A212,'BE Raw'!$B$6:$B$615,2025)</f>
        <v>909.3</v>
      </c>
      <c r="I212" s="12" t="n">
        <f aca="false">SUMIFS('BE Raw'!$D$6:$D$615,'BE Raw'!$E$6:$E$615,$A212,'BE Raw'!$B$6:$B$615,2026)</f>
        <v>489.7</v>
      </c>
      <c r="J212" s="12" t="n">
        <f aca="false">I212*$J$5</f>
        <v>618.568421052632</v>
      </c>
    </row>
    <row r="213" customFormat="false" ht="15" hidden="false" customHeight="true" outlineLevel="0" collapsed="false">
      <c r="A213" s="12" t="n">
        <v>4413156</v>
      </c>
      <c r="B213" s="12" t="str">
        <f aca="false">IFERROR(INDEX('Catalog'!$B:$B,MATCH($A213,'Catalog'!$A:$A,0)),"")</f>
        <v>305GA מדרס אורטופ.מתכוון41-42</v>
      </c>
      <c r="C213" s="12" t="n">
        <f aca="false">SUMIFS('BE Raw'!$C$6:$C$615,'BE Raw'!$E$6:$E$615,$A213,'BE Raw'!$B$6:$B$615,2025)</f>
        <v>26</v>
      </c>
      <c r="D213" s="12" t="n">
        <f aca="false">SUMIFS('BE Raw'!$C$6:$C$615,'BE Raw'!$E$6:$E$615,$A213,'BE Raw'!$B$6:$B$615,2026)</f>
        <v>6</v>
      </c>
      <c r="E213" s="12" t="n">
        <f aca="false">D213*$J$5</f>
        <v>7.57894736842105</v>
      </c>
      <c r="F213" s="12" t="n">
        <f aca="false">E213-C213</f>
        <v>-18.421052631579</v>
      </c>
      <c r="G213" s="21" t="n">
        <f aca="false">IF(AND(C213=0,E213=0),0,IF(C213=0,"New",(E213-C213)/C213))</f>
        <v>-0.708502024291498</v>
      </c>
      <c r="H213" s="12" t="n">
        <f aca="false">SUMIFS('BE Raw'!$D$6:$D$615,'BE Raw'!$E$6:$E$615,$A213,'BE Raw'!$B$6:$B$615,2025)</f>
        <v>1818.7</v>
      </c>
      <c r="I213" s="12" t="n">
        <f aca="false">SUMIFS('BE Raw'!$D$6:$D$615,'BE Raw'!$E$6:$E$615,$A213,'BE Raw'!$B$6:$B$615,2026)</f>
        <v>419.7</v>
      </c>
      <c r="J213" s="12" t="n">
        <f aca="false">I213*$J$5</f>
        <v>530.147368421053</v>
      </c>
    </row>
    <row r="214" customFormat="false" ht="15" hidden="false" customHeight="true" outlineLevel="0" collapsed="false">
      <c r="A214" s="12" t="n">
        <v>4413157</v>
      </c>
      <c r="B214" s="12" t="str">
        <f aca="false">IFERROR(INDEX('Catalog'!$B:$B,MATCH($A214,'Catalog'!$A:$A,0)),"")</f>
        <v>305GA מדרס אורטופ.מתכוון43-44</v>
      </c>
      <c r="C214" s="12" t="n">
        <f aca="false">SUMIFS('BE Raw'!$C$6:$C$615,'BE Raw'!$E$6:$E$615,$A214,'BE Raw'!$B$6:$B$615,2025)</f>
        <v>21</v>
      </c>
      <c r="D214" s="12" t="n">
        <f aca="false">SUMIFS('BE Raw'!$C$6:$C$615,'BE Raw'!$E$6:$E$615,$A214,'BE Raw'!$B$6:$B$615,2026)</f>
        <v>8</v>
      </c>
      <c r="E214" s="12" t="n">
        <f aca="false">D214*$J$5</f>
        <v>10.1052631578947</v>
      </c>
      <c r="F214" s="12" t="n">
        <f aca="false">E214-C214</f>
        <v>-10.8947368421053</v>
      </c>
      <c r="G214" s="21" t="n">
        <f aca="false">IF(AND(C214=0,E214=0),0,IF(C214=0,"New",(E214-C214)/C214))</f>
        <v>-0.518796992481203</v>
      </c>
      <c r="H214" s="12" t="n">
        <f aca="false">SUMIFS('BE Raw'!$D$6:$D$615,'BE Raw'!$E$6:$E$615,$A214,'BE Raw'!$B$6:$B$615,2025)</f>
        <v>1469</v>
      </c>
      <c r="I214" s="12" t="n">
        <f aca="false">SUMIFS('BE Raw'!$D$6:$D$615,'BE Raw'!$E$6:$E$615,$A214,'BE Raw'!$B$6:$B$615,2026)</f>
        <v>559.6</v>
      </c>
      <c r="J214" s="12" t="n">
        <f aca="false">I214*$J$5</f>
        <v>706.863157894737</v>
      </c>
    </row>
    <row r="215" customFormat="false" ht="15" hidden="false" customHeight="true" outlineLevel="0" collapsed="false">
      <c r="A215" s="12" t="n">
        <v>4413158</v>
      </c>
      <c r="B215" s="12" t="str">
        <f aca="false">IFERROR(INDEX('Catalog'!$B:$B,MATCH($A215,'Catalog'!$A:$A,0)),"")</f>
        <v>305GA מדרס אורטופ.מתכוון45-46</v>
      </c>
      <c r="C215" s="12" t="n">
        <f aca="false">SUMIFS('BE Raw'!$C$6:$C$615,'BE Raw'!$E$6:$E$615,$A215,'BE Raw'!$B$6:$B$615,2025)</f>
        <v>15</v>
      </c>
      <c r="D215" s="12" t="n">
        <f aca="false">SUMIFS('BE Raw'!$C$6:$C$615,'BE Raw'!$E$6:$E$615,$A215,'BE Raw'!$B$6:$B$615,2026)</f>
        <v>12</v>
      </c>
      <c r="E215" s="12" t="n">
        <f aca="false">D215*$J$5</f>
        <v>15.1578947368421</v>
      </c>
      <c r="F215" s="12" t="n">
        <f aca="false">E215-C215</f>
        <v>0.157894736842104</v>
      </c>
      <c r="G215" s="21" t="n">
        <f aca="false">IF(AND(C215=0,E215=0),0,IF(C215=0,"New",(E215-C215)/C215))</f>
        <v>0.0105263157894736</v>
      </c>
      <c r="H215" s="12" t="n">
        <f aca="false">SUMIFS('BE Raw'!$D$6:$D$615,'BE Raw'!$E$6:$E$615,$A215,'BE Raw'!$B$6:$B$615,2025)</f>
        <v>1049.2</v>
      </c>
      <c r="I215" s="12" t="n">
        <f aca="false">SUMIFS('BE Raw'!$D$6:$D$615,'BE Raw'!$E$6:$E$615,$A215,'BE Raw'!$B$6:$B$615,2026)</f>
        <v>839.4</v>
      </c>
      <c r="J215" s="12" t="n">
        <f aca="false">I215*$J$5</f>
        <v>1060.29473684211</v>
      </c>
    </row>
    <row r="216" customFormat="false" ht="15" hidden="false" customHeight="true" outlineLevel="0" collapsed="false">
      <c r="A216" s="12" t="n">
        <v>4413160</v>
      </c>
      <c r="B216" s="12" t="str">
        <f aca="false">IFERROR(INDEX('Catalog'!$B:$B,MATCH($A216,'Catalog'!$A:$A,0)),"")</f>
        <v>34+ M מגן קרסול עקב סגור+רצוע</v>
      </c>
      <c r="C216" s="12" t="n">
        <f aca="false">SUMIFS('BE Raw'!$C$6:$C$615,'BE Raw'!$E$6:$E$615,$A216,'BE Raw'!$B$6:$B$615,2025)</f>
        <v>151</v>
      </c>
      <c r="D216" s="12" t="n">
        <f aca="false">SUMIFS('BE Raw'!$C$6:$C$615,'BE Raw'!$E$6:$E$615,$A216,'BE Raw'!$B$6:$B$615,2026)</f>
        <v>143</v>
      </c>
      <c r="E216" s="12" t="n">
        <f aca="false">D216*$J$5</f>
        <v>180.631578947368</v>
      </c>
      <c r="F216" s="12" t="n">
        <f aca="false">E216-C216</f>
        <v>29.6315789473684</v>
      </c>
      <c r="G216" s="21" t="n">
        <f aca="false">IF(AND(C216=0,E216=0),0,IF(C216=0,"New",(E216-C216)/C216))</f>
        <v>0.196235622168003</v>
      </c>
      <c r="H216" s="12" t="n">
        <f aca="false">SUMIFS('BE Raw'!$D$6:$D$615,'BE Raw'!$E$6:$E$615,$A216,'BE Raw'!$B$6:$B$615,2025)</f>
        <v>8653.8</v>
      </c>
      <c r="I216" s="12" t="n">
        <f aca="false">SUMIFS('BE Raw'!$D$6:$D$615,'BE Raw'!$E$6:$E$615,$A216,'BE Raw'!$B$6:$B$615,2026)</f>
        <v>8195.3</v>
      </c>
      <c r="J216" s="12" t="n">
        <f aca="false">I216*$J$5</f>
        <v>10351.9578947368</v>
      </c>
    </row>
    <row r="217" customFormat="false" ht="15" hidden="false" customHeight="true" outlineLevel="0" collapsed="false">
      <c r="A217" s="12" t="n">
        <v>4413161</v>
      </c>
      <c r="B217" s="12" t="str">
        <f aca="false">IFERROR(INDEX('Catalog'!$B:$B,MATCH($A217,'Catalog'!$A:$A,0)),"")</f>
        <v>34+ L מגן קרסול עקב סגור+רצוע</v>
      </c>
      <c r="C217" s="12" t="n">
        <f aca="false">SUMIFS('BE Raw'!$C$6:$C$615,'BE Raw'!$E$6:$E$615,$A217,'BE Raw'!$B$6:$B$615,2025)</f>
        <v>152</v>
      </c>
      <c r="D217" s="12" t="n">
        <f aca="false">SUMIFS('BE Raw'!$C$6:$C$615,'BE Raw'!$E$6:$E$615,$A217,'BE Raw'!$B$6:$B$615,2026)</f>
        <v>132</v>
      </c>
      <c r="E217" s="12" t="n">
        <f aca="false">D217*$J$5</f>
        <v>166.736842105263</v>
      </c>
      <c r="F217" s="12" t="n">
        <f aca="false">E217-C217</f>
        <v>14.7368421052632</v>
      </c>
      <c r="G217" s="21" t="n">
        <f aca="false">IF(AND(C217=0,E217=0),0,IF(C217=0,"New",(E217-C217)/C217))</f>
        <v>0.0969529085872576</v>
      </c>
      <c r="H217" s="12" t="n">
        <f aca="false">SUMIFS('BE Raw'!$D$6:$D$615,'BE Raw'!$E$6:$E$615,$A217,'BE Raw'!$B$6:$B$615,2025)</f>
        <v>8711.1</v>
      </c>
      <c r="I217" s="12" t="n">
        <f aca="false">SUMIFS('BE Raw'!$D$6:$D$615,'BE Raw'!$E$6:$E$615,$A217,'BE Raw'!$B$6:$B$615,2026)</f>
        <v>7565</v>
      </c>
      <c r="J217" s="12" t="n">
        <f aca="false">I217*$J$5</f>
        <v>9555.78947368421</v>
      </c>
    </row>
    <row r="218" customFormat="false" ht="15" hidden="false" customHeight="true" outlineLevel="0" collapsed="false">
      <c r="A218" s="12" t="n">
        <v>4413162</v>
      </c>
      <c r="B218" s="12" t="str">
        <f aca="false">IFERROR(INDEX('Catalog'!$B:$B,MATCH($A218,'Catalog'!$A:$A,0)),"")</f>
        <v>34+XL מגן קרסול עקב סגור+רצוע</v>
      </c>
      <c r="C218" s="12" t="n">
        <f aca="false">SUMIFS('BE Raw'!$C$6:$C$615,'BE Raw'!$E$6:$E$615,$A218,'BE Raw'!$B$6:$B$615,2025)</f>
        <v>116</v>
      </c>
      <c r="D218" s="12" t="n">
        <f aca="false">SUMIFS('BE Raw'!$C$6:$C$615,'BE Raw'!$E$6:$E$615,$A218,'BE Raw'!$B$6:$B$615,2026)</f>
        <v>110</v>
      </c>
      <c r="E218" s="12" t="n">
        <f aca="false">D218*$J$5</f>
        <v>138.947368421053</v>
      </c>
      <c r="F218" s="12" t="n">
        <f aca="false">E218-C218</f>
        <v>22.9473684210526</v>
      </c>
      <c r="G218" s="21" t="n">
        <f aca="false">IF(AND(C218=0,E218=0),0,IF(C218=0,"New",(E218-C218)/C218))</f>
        <v>0.197822141560799</v>
      </c>
      <c r="H218" s="12" t="n">
        <f aca="false">SUMIFS('BE Raw'!$D$6:$D$615,'BE Raw'!$E$6:$E$615,$A218,'BE Raw'!$B$6:$B$615,2025)</f>
        <v>6647.9</v>
      </c>
      <c r="I218" s="12" t="n">
        <f aca="false">SUMIFS('BE Raw'!$D$6:$D$615,'BE Raw'!$E$6:$E$615,$A218,'BE Raw'!$B$6:$B$615,2026)</f>
        <v>6304.1</v>
      </c>
      <c r="J218" s="12" t="n">
        <f aca="false">I218*$J$5</f>
        <v>7963.07368421053</v>
      </c>
    </row>
    <row r="219" customFormat="false" ht="15" hidden="false" customHeight="true" outlineLevel="0" collapsed="false">
      <c r="A219" s="12" t="n">
        <v>4413170</v>
      </c>
      <c r="B219" s="12" t="str">
        <f aca="false">IFERROR(INDEX('Catalog'!$B:$B,MATCH($A219,'Catalog'!$A:$A,0)),"")</f>
        <v>T402 M מיצב פיקה</v>
      </c>
      <c r="C219" s="12" t="n">
        <f aca="false">SUMIFS('BE Raw'!$C$6:$C$615,'BE Raw'!$E$6:$E$615,$A219,'BE Raw'!$B$6:$B$615,2025)</f>
        <v>3</v>
      </c>
      <c r="D219" s="12" t="n">
        <f aca="false">SUMIFS('BE Raw'!$C$6:$C$615,'BE Raw'!$E$6:$E$615,$A219,'BE Raw'!$B$6:$B$615,2026)</f>
        <v>0</v>
      </c>
      <c r="E219" s="12" t="n">
        <f aca="false">D219*$J$5</f>
        <v>0</v>
      </c>
      <c r="F219" s="12" t="n">
        <f aca="false">E219-C219</f>
        <v>-3</v>
      </c>
      <c r="G219" s="21" t="n">
        <f aca="false">IF(AND(C219=0,E219=0),0,IF(C219=0,"New",(E219-C219)/C219))</f>
        <v>-1</v>
      </c>
      <c r="H219" s="12" t="n">
        <f aca="false">SUMIFS('BE Raw'!$D$6:$D$615,'BE Raw'!$E$6:$E$615,$A219,'BE Raw'!$B$6:$B$615,2025)</f>
        <v>264.6</v>
      </c>
      <c r="I219" s="12" t="n">
        <f aca="false">SUMIFS('BE Raw'!$D$6:$D$615,'BE Raw'!$E$6:$E$615,$A219,'BE Raw'!$B$6:$B$615,2026)</f>
        <v>0</v>
      </c>
      <c r="J219" s="12" t="n">
        <f aca="false">I219*$J$5</f>
        <v>0</v>
      </c>
    </row>
    <row r="220" customFormat="false" ht="15" hidden="false" customHeight="true" outlineLevel="0" collapsed="false">
      <c r="A220" s="12" t="n">
        <v>4413171</v>
      </c>
      <c r="B220" s="12" t="str">
        <f aca="false">IFERROR(INDEX('Catalog'!$B:$B,MATCH($A220,'Catalog'!$A:$A,0)),"")</f>
        <v>T402 L מיצב פיקה</v>
      </c>
      <c r="C220" s="12" t="n">
        <f aca="false">SUMIFS('BE Raw'!$C$6:$C$615,'BE Raw'!$E$6:$E$615,$A220,'BE Raw'!$B$6:$B$615,2025)</f>
        <v>-1</v>
      </c>
      <c r="D220" s="12" t="n">
        <f aca="false">SUMIFS('BE Raw'!$C$6:$C$615,'BE Raw'!$E$6:$E$615,$A220,'BE Raw'!$B$6:$B$615,2026)</f>
        <v>0</v>
      </c>
      <c r="E220" s="12" t="n">
        <f aca="false">D220*$J$5</f>
        <v>0</v>
      </c>
      <c r="F220" s="12" t="n">
        <f aca="false">E220-C220</f>
        <v>1</v>
      </c>
      <c r="G220" s="21" t="n">
        <f aca="false">IF(AND(C220=0,E220=0),0,IF(C220=0,"New",(E220-C220)/C220))</f>
        <v>-1</v>
      </c>
      <c r="H220" s="12" t="n">
        <f aca="false">SUMIFS('BE Raw'!$D$6:$D$615,'BE Raw'!$E$6:$E$615,$A220,'BE Raw'!$B$6:$B$615,2025)</f>
        <v>-88.2</v>
      </c>
      <c r="I220" s="12" t="n">
        <f aca="false">SUMIFS('BE Raw'!$D$6:$D$615,'BE Raw'!$E$6:$E$615,$A220,'BE Raw'!$B$6:$B$615,2026)</f>
        <v>0</v>
      </c>
      <c r="J220" s="12" t="n">
        <f aca="false">I220*$J$5</f>
        <v>0</v>
      </c>
    </row>
    <row r="221" customFormat="false" ht="15" hidden="false" customHeight="true" outlineLevel="0" collapsed="false">
      <c r="A221" s="12" t="n">
        <v>4413178</v>
      </c>
      <c r="B221" s="12" t="str">
        <f aca="false">IFERROR(INDEX('Catalog'!$B:$B,MATCH($A221,'Catalog'!$A:$A,0)),"")</f>
        <v>T39 XL מגן שוק</v>
      </c>
      <c r="C221" s="12" t="n">
        <f aca="false">SUMIFS('BE Raw'!$C$6:$C$615,'BE Raw'!$E$6:$E$615,$A221,'BE Raw'!$B$6:$B$615,2025)</f>
        <v>-2</v>
      </c>
      <c r="D221" s="12" t="n">
        <f aca="false">SUMIFS('BE Raw'!$C$6:$C$615,'BE Raw'!$E$6:$E$615,$A221,'BE Raw'!$B$6:$B$615,2026)</f>
        <v>0</v>
      </c>
      <c r="E221" s="12" t="n">
        <f aca="false">D221*$J$5</f>
        <v>0</v>
      </c>
      <c r="F221" s="12" t="n">
        <f aca="false">E221-C221</f>
        <v>2</v>
      </c>
      <c r="G221" s="21" t="n">
        <f aca="false">IF(AND(C221=0,E221=0),0,IF(C221=0,"New",(E221-C221)/C221))</f>
        <v>-1</v>
      </c>
      <c r="H221" s="12" t="n">
        <f aca="false">SUMIFS('BE Raw'!$D$6:$D$615,'BE Raw'!$E$6:$E$615,$A221,'BE Raw'!$B$6:$B$615,2025)</f>
        <v>-194.1</v>
      </c>
      <c r="I221" s="12" t="n">
        <f aca="false">SUMIFS('BE Raw'!$D$6:$D$615,'BE Raw'!$E$6:$E$615,$A221,'BE Raw'!$B$6:$B$615,2026)</f>
        <v>0</v>
      </c>
      <c r="J221" s="12" t="n">
        <f aca="false">I221*$J$5</f>
        <v>0</v>
      </c>
    </row>
    <row r="222" customFormat="false" ht="15" hidden="false" customHeight="true" outlineLevel="0" collapsed="false">
      <c r="A222" s="12" t="n">
        <v>4413180</v>
      </c>
      <c r="B222" s="12" t="str">
        <f aca="false">IFERROR(INDEX('Catalog'!$B:$B,MATCH($A222,'Catalog'!$A:$A,0)),"")</f>
        <v>T39  S מגן שוק</v>
      </c>
      <c r="C222" s="12" t="n">
        <f aca="false">SUMIFS('BE Raw'!$C$6:$C$615,'BE Raw'!$E$6:$E$615,$A222,'BE Raw'!$B$6:$B$615,2025)</f>
        <v>2</v>
      </c>
      <c r="D222" s="12" t="n">
        <f aca="false">SUMIFS('BE Raw'!$C$6:$C$615,'BE Raw'!$E$6:$E$615,$A222,'BE Raw'!$B$6:$B$615,2026)</f>
        <v>1</v>
      </c>
      <c r="E222" s="12" t="n">
        <f aca="false">D222*$J$5</f>
        <v>1.26315789473684</v>
      </c>
      <c r="F222" s="12" t="n">
        <f aca="false">E222-C222</f>
        <v>-0.736842105263158</v>
      </c>
      <c r="G222" s="21" t="n">
        <f aca="false">IF(AND(C222=0,E222=0),0,IF(C222=0,"New",(E222-C222)/C222))</f>
        <v>-0.368421052631579</v>
      </c>
      <c r="H222" s="12" t="n">
        <f aca="false">SUMIFS('BE Raw'!$D$6:$D$615,'BE Raw'!$E$6:$E$615,$A222,'BE Raw'!$B$6:$B$615,2025)</f>
        <v>194.1</v>
      </c>
      <c r="I222" s="12" t="n">
        <f aca="false">SUMIFS('BE Raw'!$D$6:$D$615,'BE Raw'!$E$6:$E$615,$A222,'BE Raw'!$B$6:$B$615,2026)</f>
        <v>97</v>
      </c>
      <c r="J222" s="12" t="n">
        <f aca="false">I222*$J$5</f>
        <v>122.526315789474</v>
      </c>
    </row>
    <row r="223" customFormat="false" ht="15" hidden="false" customHeight="true" outlineLevel="0" collapsed="false">
      <c r="A223" s="12" t="n">
        <v>4413182</v>
      </c>
      <c r="B223" s="12" t="str">
        <f aca="false">IFERROR(INDEX('Catalog'!$B:$B,MATCH($A223,'Catalog'!$A:$A,0)),"")</f>
        <v>T45 S מגן ברך רגיל</v>
      </c>
      <c r="C223" s="12" t="n">
        <f aca="false">SUMIFS('BE Raw'!$C$6:$C$615,'BE Raw'!$E$6:$E$615,$A223,'BE Raw'!$B$6:$B$615,2025)</f>
        <v>0</v>
      </c>
      <c r="D223" s="12" t="n">
        <f aca="false">SUMIFS('BE Raw'!$C$6:$C$615,'BE Raw'!$E$6:$E$615,$A223,'BE Raw'!$B$6:$B$615,2026)</f>
        <v>2</v>
      </c>
      <c r="E223" s="12" t="n">
        <f aca="false">D223*$J$5</f>
        <v>2.52631578947368</v>
      </c>
      <c r="F223" s="12" t="n">
        <f aca="false">E223-C223</f>
        <v>2.52631578947368</v>
      </c>
      <c r="G223" s="21" t="str">
        <f aca="false">IF(AND(C223=0,E223=0),0,IF(C223=0,"New",(E223-C223)/C223))</f>
        <v>New</v>
      </c>
      <c r="H223" s="12" t="n">
        <f aca="false">SUMIFS('BE Raw'!$D$6:$D$615,'BE Raw'!$E$6:$E$615,$A223,'BE Raw'!$B$6:$B$615,2025)</f>
        <v>0</v>
      </c>
      <c r="I223" s="12" t="n">
        <f aca="false">SUMIFS('BE Raw'!$D$6:$D$615,'BE Raw'!$E$6:$E$615,$A223,'BE Raw'!$B$6:$B$615,2026)</f>
        <v>194.1</v>
      </c>
      <c r="J223" s="12" t="n">
        <f aca="false">I223*$J$5</f>
        <v>245.178947368421</v>
      </c>
    </row>
    <row r="224" customFormat="false" ht="15" hidden="false" customHeight="true" outlineLevel="0" collapsed="false">
      <c r="A224" s="12" t="n">
        <v>4413183</v>
      </c>
      <c r="B224" s="12" t="str">
        <f aca="false">IFERROR(INDEX('Catalog'!$B:$B,MATCH($A224,'Catalog'!$A:$A,0)),"")</f>
        <v>T 45 M מגן ברך רגיל</v>
      </c>
      <c r="C224" s="12" t="n">
        <f aca="false">SUMIFS('BE Raw'!$C$6:$C$615,'BE Raw'!$E$6:$E$615,$A224,'BE Raw'!$B$6:$B$615,2025)</f>
        <v>9</v>
      </c>
      <c r="D224" s="12" t="n">
        <f aca="false">SUMIFS('BE Raw'!$C$6:$C$615,'BE Raw'!$E$6:$E$615,$A224,'BE Raw'!$B$6:$B$615,2026)</f>
        <v>15</v>
      </c>
      <c r="E224" s="12" t="n">
        <f aca="false">D224*$J$5</f>
        <v>18.9473684210526</v>
      </c>
      <c r="F224" s="12" t="n">
        <f aca="false">E224-C224</f>
        <v>9.94736842105263</v>
      </c>
      <c r="G224" s="21" t="n">
        <f aca="false">IF(AND(C224=0,E224=0),0,IF(C224=0,"New",(E224-C224)/C224))</f>
        <v>1.10526315789474</v>
      </c>
      <c r="H224" s="12" t="n">
        <f aca="false">SUMIFS('BE Raw'!$D$6:$D$615,'BE Raw'!$E$6:$E$615,$A224,'BE Raw'!$B$6:$B$615,2025)</f>
        <v>873.3</v>
      </c>
      <c r="I224" s="12" t="n">
        <f aca="false">SUMIFS('BE Raw'!$D$6:$D$615,'BE Raw'!$E$6:$E$615,$A224,'BE Raw'!$B$6:$B$615,2026)</f>
        <v>1455.5</v>
      </c>
      <c r="J224" s="12" t="n">
        <f aca="false">I224*$J$5</f>
        <v>1838.52631578947</v>
      </c>
    </row>
    <row r="225" customFormat="false" ht="15" hidden="false" customHeight="true" outlineLevel="0" collapsed="false">
      <c r="A225" s="12" t="n">
        <v>4413184</v>
      </c>
      <c r="B225" s="12" t="str">
        <f aca="false">IFERROR(INDEX('Catalog'!$B:$B,MATCH($A225,'Catalog'!$A:$A,0)),"")</f>
        <v>T 45 L מגן ברך רגיל</v>
      </c>
      <c r="C225" s="12" t="n">
        <f aca="false">SUMIFS('BE Raw'!$C$6:$C$615,'BE Raw'!$E$6:$E$615,$A225,'BE Raw'!$B$6:$B$615,2025)</f>
        <v>14</v>
      </c>
      <c r="D225" s="12" t="n">
        <f aca="false">SUMIFS('BE Raw'!$C$6:$C$615,'BE Raw'!$E$6:$E$615,$A225,'BE Raw'!$B$6:$B$615,2026)</f>
        <v>6</v>
      </c>
      <c r="E225" s="12" t="n">
        <f aca="false">D225*$J$5</f>
        <v>7.57894736842105</v>
      </c>
      <c r="F225" s="12" t="n">
        <f aca="false">E225-C225</f>
        <v>-6.42105263157895</v>
      </c>
      <c r="G225" s="21" t="n">
        <f aca="false">IF(AND(C225=0,E225=0),0,IF(C225=0,"New",(E225-C225)/C225))</f>
        <v>-0.458646616541353</v>
      </c>
      <c r="H225" s="12" t="n">
        <f aca="false">SUMIFS('BE Raw'!$D$6:$D$615,'BE Raw'!$E$6:$E$615,$A225,'BE Raw'!$B$6:$B$615,2025)</f>
        <v>1358.5</v>
      </c>
      <c r="I225" s="12" t="n">
        <f aca="false">SUMIFS('BE Raw'!$D$6:$D$615,'BE Raw'!$E$6:$E$615,$A225,'BE Raw'!$B$6:$B$615,2026)</f>
        <v>582.2</v>
      </c>
      <c r="J225" s="12" t="n">
        <f aca="false">I225*$J$5</f>
        <v>735.41052631579</v>
      </c>
    </row>
    <row r="226" customFormat="false" ht="15" hidden="false" customHeight="true" outlineLevel="0" collapsed="false">
      <c r="A226" s="12" t="n">
        <v>4413185</v>
      </c>
      <c r="B226" s="12" t="str">
        <f aca="false">IFERROR(INDEX('Catalog'!$B:$B,MATCH($A226,'Catalog'!$A:$A,0)),"")</f>
        <v>T 45XL מגן ברך רגיל</v>
      </c>
      <c r="C226" s="12" t="n">
        <f aca="false">SUMIFS('BE Raw'!$C$6:$C$615,'BE Raw'!$E$6:$E$615,$A226,'BE Raw'!$B$6:$B$615,2025)</f>
        <v>19</v>
      </c>
      <c r="D226" s="12" t="n">
        <f aca="false">SUMIFS('BE Raw'!$C$6:$C$615,'BE Raw'!$E$6:$E$615,$A226,'BE Raw'!$B$6:$B$615,2026)</f>
        <v>9</v>
      </c>
      <c r="E226" s="12" t="n">
        <f aca="false">D226*$J$5</f>
        <v>11.3684210526316</v>
      </c>
      <c r="F226" s="12" t="n">
        <f aca="false">E226-C226</f>
        <v>-7.63157894736842</v>
      </c>
      <c r="G226" s="21" t="n">
        <f aca="false">IF(AND(C226=0,E226=0),0,IF(C226=0,"New",(E226-C226)/C226))</f>
        <v>-0.401662049861496</v>
      </c>
      <c r="H226" s="12" t="n">
        <f aca="false">SUMIFS('BE Raw'!$D$6:$D$615,'BE Raw'!$E$6:$E$615,$A226,'BE Raw'!$B$6:$B$615,2025)</f>
        <v>1843.5</v>
      </c>
      <c r="I226" s="12" t="n">
        <f aca="false">SUMIFS('BE Raw'!$D$6:$D$615,'BE Raw'!$E$6:$E$615,$A226,'BE Raw'!$B$6:$B$615,2026)</f>
        <v>873.2</v>
      </c>
      <c r="J226" s="12" t="n">
        <f aca="false">I226*$J$5</f>
        <v>1102.98947368421</v>
      </c>
    </row>
    <row r="227" customFormat="false" ht="15" hidden="false" customHeight="true" outlineLevel="0" collapsed="false">
      <c r="A227" s="12" t="n">
        <v>4413195</v>
      </c>
      <c r="B227" s="12" t="str">
        <f aca="false">IFERROR(INDEX('Catalog'!$B:$B,MATCH($A227,'Catalog'!$A:$A,0)),"")</f>
        <v>87 S מקבע כתף ויד</v>
      </c>
      <c r="C227" s="12" t="n">
        <f aca="false">SUMIFS('BE Raw'!$C$6:$C$615,'BE Raw'!$E$6:$E$615,$A227,'BE Raw'!$B$6:$B$615,2025)</f>
        <v>2</v>
      </c>
      <c r="D227" s="12" t="n">
        <f aca="false">SUMIFS('BE Raw'!$C$6:$C$615,'BE Raw'!$E$6:$E$615,$A227,'BE Raw'!$B$6:$B$615,2026)</f>
        <v>2</v>
      </c>
      <c r="E227" s="12" t="n">
        <f aca="false">D227*$J$5</f>
        <v>2.52631578947368</v>
      </c>
      <c r="F227" s="12" t="n">
        <f aca="false">E227-C227</f>
        <v>0.526315789473684</v>
      </c>
      <c r="G227" s="21" t="n">
        <f aca="false">IF(AND(C227=0,E227=0),0,IF(C227=0,"New",(E227-C227)/C227))</f>
        <v>0.263157894736842</v>
      </c>
      <c r="H227" s="12" t="n">
        <f aca="false">SUMIFS('BE Raw'!$D$6:$D$615,'BE Raw'!$E$6:$E$615,$A227,'BE Raw'!$B$6:$B$615,2025)</f>
        <v>352.9</v>
      </c>
      <c r="I227" s="12" t="n">
        <f aca="false">SUMIFS('BE Raw'!$D$6:$D$615,'BE Raw'!$E$6:$E$615,$A227,'BE Raw'!$B$6:$B$615,2026)</f>
        <v>352.9</v>
      </c>
      <c r="J227" s="12" t="n">
        <f aca="false">I227*$J$5</f>
        <v>445.768421052632</v>
      </c>
    </row>
    <row r="228" customFormat="false" ht="15" hidden="false" customHeight="true" outlineLevel="0" collapsed="false">
      <c r="A228" s="12" t="n">
        <v>4413196</v>
      </c>
      <c r="B228" s="12" t="str">
        <f aca="false">IFERROR(INDEX('Catalog'!$B:$B,MATCH($A228,'Catalog'!$A:$A,0)),"")</f>
        <v>87 M מקבע כתף ויד</v>
      </c>
      <c r="C228" s="12" t="n">
        <f aca="false">SUMIFS('BE Raw'!$C$6:$C$615,'BE Raw'!$E$6:$E$615,$A228,'BE Raw'!$B$6:$B$615,2025)</f>
        <v>6</v>
      </c>
      <c r="D228" s="12" t="n">
        <f aca="false">SUMIFS('BE Raw'!$C$6:$C$615,'BE Raw'!$E$6:$E$615,$A228,'BE Raw'!$B$6:$B$615,2026)</f>
        <v>5</v>
      </c>
      <c r="E228" s="12" t="n">
        <f aca="false">D228*$J$5</f>
        <v>6.31578947368421</v>
      </c>
      <c r="F228" s="12" t="n">
        <f aca="false">E228-C228</f>
        <v>0.315789473684211</v>
      </c>
      <c r="G228" s="21" t="n">
        <f aca="false">IF(AND(C228=0,E228=0),0,IF(C228=0,"New",(E228-C228)/C228))</f>
        <v>0.0526315789473684</v>
      </c>
      <c r="H228" s="12" t="n">
        <f aca="false">SUMIFS('BE Raw'!$D$6:$D$615,'BE Raw'!$E$6:$E$615,$A228,'BE Raw'!$B$6:$B$615,2025)</f>
        <v>1058.7</v>
      </c>
      <c r="I228" s="12" t="n">
        <f aca="false">SUMIFS('BE Raw'!$D$6:$D$615,'BE Raw'!$E$6:$E$615,$A228,'BE Raw'!$B$6:$B$615,2026)</f>
        <v>882.2</v>
      </c>
      <c r="J228" s="12" t="n">
        <f aca="false">I228*$J$5</f>
        <v>1114.35789473684</v>
      </c>
    </row>
    <row r="229" customFormat="false" ht="15" hidden="false" customHeight="true" outlineLevel="0" collapsed="false">
      <c r="A229" s="12" t="n">
        <v>4413197</v>
      </c>
      <c r="B229" s="12" t="str">
        <f aca="false">IFERROR(INDEX('Catalog'!$B:$B,MATCH($A229,'Catalog'!$A:$A,0)),"")</f>
        <v>87 L מקבע כתף ויד</v>
      </c>
      <c r="C229" s="12" t="n">
        <f aca="false">SUMIFS('BE Raw'!$C$6:$C$615,'BE Raw'!$E$6:$E$615,$A229,'BE Raw'!$B$6:$B$615,2025)</f>
        <v>13</v>
      </c>
      <c r="D229" s="12" t="n">
        <f aca="false">SUMIFS('BE Raw'!$C$6:$C$615,'BE Raw'!$E$6:$E$615,$A229,'BE Raw'!$B$6:$B$615,2026)</f>
        <v>10</v>
      </c>
      <c r="E229" s="12" t="n">
        <f aca="false">D229*$J$5</f>
        <v>12.6315789473684</v>
      </c>
      <c r="F229" s="12" t="n">
        <f aca="false">E229-C229</f>
        <v>-0.368421052631579</v>
      </c>
      <c r="G229" s="21" t="n">
        <f aca="false">IF(AND(C229=0,E229=0),0,IF(C229=0,"New",(E229-C229)/C229))</f>
        <v>-0.0283400809716599</v>
      </c>
      <c r="H229" s="12" t="n">
        <f aca="false">SUMIFS('BE Raw'!$D$6:$D$615,'BE Raw'!$E$6:$E$615,$A229,'BE Raw'!$B$6:$B$615,2025)</f>
        <v>2293.8</v>
      </c>
      <c r="I229" s="12" t="n">
        <f aca="false">SUMIFS('BE Raw'!$D$6:$D$615,'BE Raw'!$E$6:$E$615,$A229,'BE Raw'!$B$6:$B$615,2026)</f>
        <v>1764.4</v>
      </c>
      <c r="J229" s="12" t="n">
        <f aca="false">I229*$J$5</f>
        <v>2228.71578947368</v>
      </c>
    </row>
    <row r="230" customFormat="false" ht="15" hidden="false" customHeight="true" outlineLevel="0" collapsed="false">
      <c r="A230" s="12" t="n">
        <v>4413198</v>
      </c>
      <c r="B230" s="12" t="str">
        <f aca="false">IFERROR(INDEX('Catalog'!$B:$B,MATCH($A230,'Catalog'!$A:$A,0)),"")</f>
        <v>87 XL מקבע כתף ויד</v>
      </c>
      <c r="C230" s="12" t="n">
        <f aca="false">SUMIFS('BE Raw'!$C$6:$C$615,'BE Raw'!$E$6:$E$615,$A230,'BE Raw'!$B$6:$B$615,2025)</f>
        <v>8</v>
      </c>
      <c r="D230" s="12" t="n">
        <f aca="false">SUMIFS('BE Raw'!$C$6:$C$615,'BE Raw'!$E$6:$E$615,$A230,'BE Raw'!$B$6:$B$615,2026)</f>
        <v>9</v>
      </c>
      <c r="E230" s="12" t="n">
        <f aca="false">D230*$J$5</f>
        <v>11.3684210526316</v>
      </c>
      <c r="F230" s="12" t="n">
        <f aca="false">E230-C230</f>
        <v>3.36842105263158</v>
      </c>
      <c r="G230" s="21" t="n">
        <f aca="false">IF(AND(C230=0,E230=0),0,IF(C230=0,"New",(E230-C230)/C230))</f>
        <v>0.421052631578947</v>
      </c>
      <c r="H230" s="12" t="n">
        <f aca="false">SUMIFS('BE Raw'!$D$6:$D$615,'BE Raw'!$E$6:$E$615,$A230,'BE Raw'!$B$6:$B$615,2025)</f>
        <v>1411.5</v>
      </c>
      <c r="I230" s="12" t="n">
        <f aca="false">SUMIFS('BE Raw'!$D$6:$D$615,'BE Raw'!$E$6:$E$615,$A230,'BE Raw'!$B$6:$B$615,2026)</f>
        <v>1588</v>
      </c>
      <c r="J230" s="12" t="n">
        <f aca="false">I230*$J$5</f>
        <v>2005.89473684211</v>
      </c>
    </row>
    <row r="231" customFormat="false" ht="15" hidden="false" customHeight="true" outlineLevel="0" collapsed="false">
      <c r="A231" s="12" t="n">
        <v>4413204</v>
      </c>
      <c r="B231" s="12" t="str">
        <f aca="false">IFERROR(INDEX('Catalog'!$B:$B,MATCH($A231,'Catalog'!$A:$A,0)),"")</f>
        <v>87 XXL מקבע כתף ויד</v>
      </c>
      <c r="C231" s="12" t="n">
        <f aca="false">SUMIFS('BE Raw'!$C$6:$C$615,'BE Raw'!$E$6:$E$615,$A231,'BE Raw'!$B$6:$B$615,2025)</f>
        <v>4</v>
      </c>
      <c r="D231" s="12" t="n">
        <f aca="false">SUMIFS('BE Raw'!$C$6:$C$615,'BE Raw'!$E$6:$E$615,$A231,'BE Raw'!$B$6:$B$615,2026)</f>
        <v>3</v>
      </c>
      <c r="E231" s="12" t="n">
        <f aca="false">D231*$J$5</f>
        <v>3.78947368421053</v>
      </c>
      <c r="F231" s="12" t="n">
        <f aca="false">E231-C231</f>
        <v>-0.210526315789474</v>
      </c>
      <c r="G231" s="21" t="n">
        <f aca="false">IF(AND(C231=0,E231=0),0,IF(C231=0,"New",(E231-C231)/C231))</f>
        <v>-0.0526315789473685</v>
      </c>
      <c r="H231" s="12" t="n">
        <f aca="false">SUMIFS('BE Raw'!$D$6:$D$615,'BE Raw'!$E$6:$E$615,$A231,'BE Raw'!$B$6:$B$615,2025)</f>
        <v>705.8</v>
      </c>
      <c r="I231" s="12" t="n">
        <f aca="false">SUMIFS('BE Raw'!$D$6:$D$615,'BE Raw'!$E$6:$E$615,$A231,'BE Raw'!$B$6:$B$615,2026)</f>
        <v>529.3</v>
      </c>
      <c r="J231" s="12" t="n">
        <f aca="false">I231*$J$5</f>
        <v>668.589473684211</v>
      </c>
    </row>
    <row r="232" customFormat="false" ht="15" hidden="false" customHeight="true" outlineLevel="0" collapsed="false">
      <c r="A232" s="12" t="n">
        <v>4413210</v>
      </c>
      <c r="B232" s="12" t="str">
        <f aca="false">IFERROR(INDEX('Catalog'!$B:$B,MATCH($A232,'Catalog'!$A:$A,0)),"")</f>
        <v>T95 S מגן מרפק רגיל</v>
      </c>
      <c r="C232" s="12" t="n">
        <f aca="false">SUMIFS('BE Raw'!$C$6:$C$615,'BE Raw'!$E$6:$E$615,$A232,'BE Raw'!$B$6:$B$615,2025)</f>
        <v>-1</v>
      </c>
      <c r="D232" s="12" t="n">
        <f aca="false">SUMIFS('BE Raw'!$C$6:$C$615,'BE Raw'!$E$6:$E$615,$A232,'BE Raw'!$B$6:$B$615,2026)</f>
        <v>0</v>
      </c>
      <c r="E232" s="12" t="n">
        <f aca="false">D232*$J$5</f>
        <v>0</v>
      </c>
      <c r="F232" s="12" t="n">
        <f aca="false">E232-C232</f>
        <v>1</v>
      </c>
      <c r="G232" s="21" t="n">
        <f aca="false">IF(AND(C232=0,E232=0),0,IF(C232=0,"New",(E232-C232)/C232))</f>
        <v>-1</v>
      </c>
      <c r="H232" s="12" t="n">
        <f aca="false">SUMIFS('BE Raw'!$D$6:$D$615,'BE Raw'!$E$6:$E$615,$A232,'BE Raw'!$B$6:$B$615,2025)</f>
        <v>-88.2</v>
      </c>
      <c r="I232" s="12" t="n">
        <f aca="false">SUMIFS('BE Raw'!$D$6:$D$615,'BE Raw'!$E$6:$E$615,$A232,'BE Raw'!$B$6:$B$615,2026)</f>
        <v>0</v>
      </c>
      <c r="J232" s="12" t="n">
        <f aca="false">I232*$J$5</f>
        <v>0</v>
      </c>
    </row>
    <row r="233" customFormat="false" ht="15" hidden="false" customHeight="true" outlineLevel="0" collapsed="false">
      <c r="A233" s="12" t="n">
        <v>4413212</v>
      </c>
      <c r="B233" s="12" t="str">
        <f aca="false">IFERROR(INDEX('Catalog'!$B:$B,MATCH($A233,'Catalog'!$A:$A,0)),"")</f>
        <v>T95 L מגן מרפק רגיל</v>
      </c>
      <c r="C233" s="12" t="n">
        <f aca="false">SUMIFS('BE Raw'!$C$6:$C$615,'BE Raw'!$E$6:$E$615,$A233,'BE Raw'!$B$6:$B$615,2025)</f>
        <v>-3</v>
      </c>
      <c r="D233" s="12" t="n">
        <f aca="false">SUMIFS('BE Raw'!$C$6:$C$615,'BE Raw'!$E$6:$E$615,$A233,'BE Raw'!$B$6:$B$615,2026)</f>
        <v>0</v>
      </c>
      <c r="E233" s="12" t="n">
        <f aca="false">D233*$J$5</f>
        <v>0</v>
      </c>
      <c r="F233" s="12" t="n">
        <f aca="false">E233-C233</f>
        <v>3</v>
      </c>
      <c r="G233" s="21" t="n">
        <f aca="false">IF(AND(C233=0,E233=0),0,IF(C233=0,"New",(E233-C233)/C233))</f>
        <v>-1</v>
      </c>
      <c r="H233" s="12" t="n">
        <f aca="false">SUMIFS('BE Raw'!$D$6:$D$615,'BE Raw'!$E$6:$E$615,$A233,'BE Raw'!$B$6:$B$615,2025)</f>
        <v>-302.4</v>
      </c>
      <c r="I233" s="12" t="n">
        <f aca="false">SUMIFS('BE Raw'!$D$6:$D$615,'BE Raw'!$E$6:$E$615,$A233,'BE Raw'!$B$6:$B$615,2026)</f>
        <v>0</v>
      </c>
      <c r="J233" s="12" t="n">
        <f aca="false">I233*$J$5</f>
        <v>0</v>
      </c>
    </row>
    <row r="234" customFormat="false" ht="15" hidden="false" customHeight="true" outlineLevel="0" collapsed="false">
      <c r="A234" s="12" t="n">
        <v>4413216</v>
      </c>
      <c r="B234" s="12" t="str">
        <f aca="false">IFERROR(INDEX('Catalog'!$B:$B,MATCH($A234,'Catalog'!$A:$A,0)),"")</f>
        <v>T35 Mמגן קרסול+ צמדן</v>
      </c>
      <c r="C234" s="12" t="n">
        <f aca="false">SUMIFS('BE Raw'!$C$6:$C$615,'BE Raw'!$E$6:$E$615,$A234,'BE Raw'!$B$6:$B$615,2025)</f>
        <v>-1</v>
      </c>
      <c r="D234" s="12" t="n">
        <f aca="false">SUMIFS('BE Raw'!$C$6:$C$615,'BE Raw'!$E$6:$E$615,$A234,'BE Raw'!$B$6:$B$615,2026)</f>
        <v>0</v>
      </c>
      <c r="E234" s="12" t="n">
        <f aca="false">D234*$J$5</f>
        <v>0</v>
      </c>
      <c r="F234" s="12" t="n">
        <f aca="false">E234-C234</f>
        <v>1</v>
      </c>
      <c r="G234" s="21" t="n">
        <f aca="false">IF(AND(C234=0,E234=0),0,IF(C234=0,"New",(E234-C234)/C234))</f>
        <v>-1</v>
      </c>
      <c r="H234" s="12" t="n">
        <f aca="false">SUMIFS('BE Raw'!$D$6:$D$615,'BE Raw'!$E$6:$E$615,$A234,'BE Raw'!$B$6:$B$615,2025)</f>
        <v>-69.8</v>
      </c>
      <c r="I234" s="12" t="n">
        <f aca="false">SUMIFS('BE Raw'!$D$6:$D$615,'BE Raw'!$E$6:$E$615,$A234,'BE Raw'!$B$6:$B$615,2026)</f>
        <v>0</v>
      </c>
      <c r="J234" s="12" t="n">
        <f aca="false">I234*$J$5</f>
        <v>0</v>
      </c>
    </row>
    <row r="235" customFormat="false" ht="15" hidden="false" customHeight="true" outlineLevel="0" collapsed="false">
      <c r="A235" s="12" t="n">
        <v>4413217</v>
      </c>
      <c r="B235" s="12" t="str">
        <f aca="false">IFERROR(INDEX('Catalog'!$B:$B,MATCH($A235,'Catalog'!$A:$A,0)),"")</f>
        <v>T35 Lמגן קרסול+ צמדן</v>
      </c>
      <c r="C235" s="12" t="n">
        <f aca="false">SUMIFS('BE Raw'!$C$6:$C$615,'BE Raw'!$E$6:$E$615,$A235,'BE Raw'!$B$6:$B$615,2025)</f>
        <v>-4</v>
      </c>
      <c r="D235" s="12" t="n">
        <f aca="false">SUMIFS('BE Raw'!$C$6:$C$615,'BE Raw'!$E$6:$E$615,$A235,'BE Raw'!$B$6:$B$615,2026)</f>
        <v>0</v>
      </c>
      <c r="E235" s="12" t="n">
        <f aca="false">D235*$J$5</f>
        <v>0</v>
      </c>
      <c r="F235" s="12" t="n">
        <f aca="false">E235-C235</f>
        <v>4</v>
      </c>
      <c r="G235" s="21" t="n">
        <f aca="false">IF(AND(C235=0,E235=0),0,IF(C235=0,"New",(E235-C235)/C235))</f>
        <v>-1</v>
      </c>
      <c r="H235" s="12" t="n">
        <f aca="false">SUMIFS('BE Raw'!$D$6:$D$615,'BE Raw'!$E$6:$E$615,$A235,'BE Raw'!$B$6:$B$615,2025)</f>
        <v>-246.9</v>
      </c>
      <c r="I235" s="12" t="n">
        <f aca="false">SUMIFS('BE Raw'!$D$6:$D$615,'BE Raw'!$E$6:$E$615,$A235,'BE Raw'!$B$6:$B$615,2026)</f>
        <v>0</v>
      </c>
      <c r="J235" s="12" t="n">
        <f aca="false">I235*$J$5</f>
        <v>0</v>
      </c>
    </row>
    <row r="236" customFormat="false" ht="15" hidden="false" customHeight="true" outlineLevel="0" collapsed="false">
      <c r="A236" s="12" t="n">
        <v>4413218</v>
      </c>
      <c r="B236" s="12" t="str">
        <f aca="false">IFERROR(INDEX('Catalog'!$B:$B,MATCH($A236,'Catalog'!$A:$A,0)),"")</f>
        <v>T35 XLמגן קרסול+ צמדן</v>
      </c>
      <c r="C236" s="12" t="n">
        <f aca="false">SUMIFS('BE Raw'!$C$6:$C$615,'BE Raw'!$E$6:$E$615,$A236,'BE Raw'!$B$6:$B$615,2025)</f>
        <v>-2</v>
      </c>
      <c r="D236" s="12" t="n">
        <f aca="false">SUMIFS('BE Raw'!$C$6:$C$615,'BE Raw'!$E$6:$E$615,$A236,'BE Raw'!$B$6:$B$615,2026)</f>
        <v>0</v>
      </c>
      <c r="E236" s="12" t="n">
        <f aca="false">D236*$J$5</f>
        <v>0</v>
      </c>
      <c r="F236" s="12" t="n">
        <f aca="false">E236-C236</f>
        <v>2</v>
      </c>
      <c r="G236" s="21" t="n">
        <f aca="false">IF(AND(C236=0,E236=0),0,IF(C236=0,"New",(E236-C236)/C236))</f>
        <v>-1</v>
      </c>
      <c r="H236" s="12" t="n">
        <f aca="false">SUMIFS('BE Raw'!$D$6:$D$615,'BE Raw'!$E$6:$E$615,$A236,'BE Raw'!$B$6:$B$615,2025)</f>
        <v>-131.5</v>
      </c>
      <c r="I236" s="12" t="n">
        <f aca="false">SUMIFS('BE Raw'!$D$6:$D$615,'BE Raw'!$E$6:$E$615,$A236,'BE Raw'!$B$6:$B$615,2026)</f>
        <v>0</v>
      </c>
      <c r="J236" s="12" t="n">
        <f aca="false">I236*$J$5</f>
        <v>0</v>
      </c>
    </row>
    <row r="237" customFormat="false" ht="15" hidden="false" customHeight="true" outlineLevel="0" collapsed="false">
      <c r="A237" s="12" t="n">
        <v>4413276</v>
      </c>
      <c r="B237" s="12" t="str">
        <f aca="false">IFERROR(INDEX('Catalog'!$B:$B,MATCH($A237,'Catalog'!$A:$A,0)),"")</f>
        <v>LF377 L-מדרס סיליקון לנעלי עקב</v>
      </c>
      <c r="C237" s="12" t="n">
        <f aca="false">SUMIFS('BE Raw'!$C$6:$C$615,'BE Raw'!$E$6:$E$615,$A237,'BE Raw'!$B$6:$B$615,2025)</f>
        <v>0</v>
      </c>
      <c r="D237" s="12" t="n">
        <f aca="false">SUMIFS('BE Raw'!$C$6:$C$615,'BE Raw'!$E$6:$E$615,$A237,'BE Raw'!$B$6:$B$615,2026)</f>
        <v>4</v>
      </c>
      <c r="E237" s="12" t="n">
        <f aca="false">D237*$J$5</f>
        <v>5.05263157894737</v>
      </c>
      <c r="F237" s="12" t="n">
        <f aca="false">E237-C237</f>
        <v>5.05263157894737</v>
      </c>
      <c r="G237" s="21" t="str">
        <f aca="false">IF(AND(C237=0,E237=0),0,IF(C237=0,"New",(E237-C237)/C237))</f>
        <v>New</v>
      </c>
      <c r="H237" s="12" t="n">
        <f aca="false">SUMIFS('BE Raw'!$D$6:$D$615,'BE Raw'!$E$6:$E$615,$A237,'BE Raw'!$B$6:$B$615,2025)</f>
        <v>0</v>
      </c>
      <c r="I237" s="12" t="n">
        <f aca="false">SUMIFS('BE Raw'!$D$6:$D$615,'BE Raw'!$E$6:$E$615,$A237,'BE Raw'!$B$6:$B$615,2026)</f>
        <v>136.1</v>
      </c>
      <c r="J237" s="12" t="n">
        <f aca="false">I237*$J$5</f>
        <v>171.915789473684</v>
      </c>
    </row>
    <row r="238" customFormat="false" ht="15" hidden="false" customHeight="true" outlineLevel="0" collapsed="false">
      <c r="A238" s="12" t="n">
        <v>4413277</v>
      </c>
      <c r="B238" s="12" t="str">
        <f aca="false">IFERROR(INDEX('Catalog'!$B:$B,MATCH($A238,'Catalog'!$A:$A,0)),"")</f>
        <v>LF377 M-מדרס סיליקון לנעלי עקב</v>
      </c>
      <c r="C238" s="12" t="n">
        <f aca="false">SUMIFS('BE Raw'!$C$6:$C$615,'BE Raw'!$E$6:$E$615,$A238,'BE Raw'!$B$6:$B$615,2025)</f>
        <v>5</v>
      </c>
      <c r="D238" s="12" t="n">
        <f aca="false">SUMIFS('BE Raw'!$C$6:$C$615,'BE Raw'!$E$6:$E$615,$A238,'BE Raw'!$B$6:$B$615,2026)</f>
        <v>4</v>
      </c>
      <c r="E238" s="12" t="n">
        <f aca="false">D238*$J$5</f>
        <v>5.05263157894737</v>
      </c>
      <c r="F238" s="12" t="n">
        <f aca="false">E238-C238</f>
        <v>0.0526315789473681</v>
      </c>
      <c r="G238" s="21" t="n">
        <f aca="false">IF(AND(C238=0,E238=0),0,IF(C238=0,"New",(E238-C238)/C238))</f>
        <v>0.0105263157894736</v>
      </c>
      <c r="H238" s="12" t="n">
        <f aca="false">SUMIFS('BE Raw'!$D$6:$D$615,'BE Raw'!$E$6:$E$615,$A238,'BE Raw'!$B$6:$B$615,2025)</f>
        <v>218.5</v>
      </c>
      <c r="I238" s="12" t="n">
        <f aca="false">SUMIFS('BE Raw'!$D$6:$D$615,'BE Raw'!$E$6:$E$615,$A238,'BE Raw'!$B$6:$B$615,2026)</f>
        <v>174.8</v>
      </c>
      <c r="J238" s="12" t="n">
        <f aca="false">I238*$J$5</f>
        <v>220.8</v>
      </c>
    </row>
    <row r="239" customFormat="false" ht="15" hidden="false" customHeight="true" outlineLevel="0" collapsed="false">
      <c r="A239" s="12" t="n">
        <v>4413278</v>
      </c>
      <c r="B239" s="12" t="str">
        <f aca="false">IFERROR(INDEX('Catalog'!$B:$B,MATCH($A239,'Catalog'!$A:$A,0)),"")</f>
        <v>LF377 S-מדרס סיליקון לנעלי עקב</v>
      </c>
      <c r="C239" s="12" t="n">
        <f aca="false">SUMIFS('BE Raw'!$C$6:$C$615,'BE Raw'!$E$6:$E$615,$A239,'BE Raw'!$B$6:$B$615,2025)</f>
        <v>-4</v>
      </c>
      <c r="D239" s="12" t="n">
        <f aca="false">SUMIFS('BE Raw'!$C$6:$C$615,'BE Raw'!$E$6:$E$615,$A239,'BE Raw'!$B$6:$B$615,2026)</f>
        <v>0</v>
      </c>
      <c r="E239" s="12" t="n">
        <f aca="false">D239*$J$5</f>
        <v>0</v>
      </c>
      <c r="F239" s="12" t="n">
        <f aca="false">E239-C239</f>
        <v>4</v>
      </c>
      <c r="G239" s="21" t="n">
        <f aca="false">IF(AND(C239=0,E239=0),0,IF(C239=0,"New",(E239-C239)/C239))</f>
        <v>-1</v>
      </c>
      <c r="H239" s="12" t="n">
        <f aca="false">SUMIFS('BE Raw'!$D$6:$D$615,'BE Raw'!$E$6:$E$615,$A239,'BE Raw'!$B$6:$B$615,2025)</f>
        <v>-252.2</v>
      </c>
      <c r="I239" s="12" t="n">
        <f aca="false">SUMIFS('BE Raw'!$D$6:$D$615,'BE Raw'!$E$6:$E$615,$A239,'BE Raw'!$B$6:$B$615,2026)</f>
        <v>0</v>
      </c>
      <c r="J239" s="12" t="n">
        <f aca="false">I239*$J$5</f>
        <v>0</v>
      </c>
    </row>
    <row r="240" customFormat="false" ht="15" hidden="false" customHeight="true" outlineLevel="0" collapsed="false">
      <c r="A240" s="12" t="n">
        <v>4413279</v>
      </c>
      <c r="B240" s="12" t="str">
        <f aca="false">IFERROR(INDEX('Catalog'!$B:$B,MATCH($A240,'Catalog'!$A:$A,0)),"")</f>
        <v>422E L מגן ברך ארוך עם כרית</v>
      </c>
      <c r="C240" s="12" t="n">
        <f aca="false">SUMIFS('BE Raw'!$C$6:$C$615,'BE Raw'!$E$6:$E$615,$A240,'BE Raw'!$B$6:$B$615,2025)</f>
        <v>-1</v>
      </c>
      <c r="D240" s="12" t="n">
        <f aca="false">SUMIFS('BE Raw'!$C$6:$C$615,'BE Raw'!$E$6:$E$615,$A240,'BE Raw'!$B$6:$B$615,2026)</f>
        <v>0</v>
      </c>
      <c r="E240" s="12" t="n">
        <f aca="false">D240*$J$5</f>
        <v>0</v>
      </c>
      <c r="F240" s="12" t="n">
        <f aca="false">E240-C240</f>
        <v>1</v>
      </c>
      <c r="G240" s="21" t="n">
        <f aca="false">IF(AND(C240=0,E240=0),0,IF(C240=0,"New",(E240-C240)/C240))</f>
        <v>-1</v>
      </c>
      <c r="H240" s="12" t="n">
        <f aca="false">SUMIFS('BE Raw'!$D$6:$D$615,'BE Raw'!$E$6:$E$615,$A240,'BE Raw'!$B$6:$B$615,2025)</f>
        <v>-271</v>
      </c>
      <c r="I240" s="12" t="n">
        <f aca="false">SUMIFS('BE Raw'!$D$6:$D$615,'BE Raw'!$E$6:$E$615,$A240,'BE Raw'!$B$6:$B$615,2026)</f>
        <v>0</v>
      </c>
      <c r="J240" s="12" t="n">
        <f aca="false">I240*$J$5</f>
        <v>0</v>
      </c>
    </row>
    <row r="241" customFormat="false" ht="15" hidden="false" customHeight="true" outlineLevel="0" collapsed="false">
      <c r="A241" s="12" t="n">
        <v>4413281</v>
      </c>
      <c r="B241" s="12" t="str">
        <f aca="false">IFERROR(INDEX('Catalog'!$B:$B,MATCH($A241,'Catalog'!$A:$A,0)),"")</f>
        <v>422E S מגן ברך ארוך עם כרית</v>
      </c>
      <c r="C241" s="12" t="n">
        <f aca="false">SUMIFS('BE Raw'!$C$6:$C$615,'BE Raw'!$E$6:$E$615,$A241,'BE Raw'!$B$6:$B$615,2025)</f>
        <v>-2</v>
      </c>
      <c r="D241" s="12" t="n">
        <f aca="false">SUMIFS('BE Raw'!$C$6:$C$615,'BE Raw'!$E$6:$E$615,$A241,'BE Raw'!$B$6:$B$615,2026)</f>
        <v>0</v>
      </c>
      <c r="E241" s="12" t="n">
        <f aca="false">D241*$J$5</f>
        <v>0</v>
      </c>
      <c r="F241" s="12" t="n">
        <f aca="false">E241-C241</f>
        <v>2</v>
      </c>
      <c r="G241" s="21" t="n">
        <f aca="false">IF(AND(C241=0,E241=0),0,IF(C241=0,"New",(E241-C241)/C241))</f>
        <v>-1</v>
      </c>
      <c r="H241" s="12" t="n">
        <f aca="false">SUMIFS('BE Raw'!$D$6:$D$615,'BE Raw'!$E$6:$E$615,$A241,'BE Raw'!$B$6:$B$615,2025)</f>
        <v>-393.5</v>
      </c>
      <c r="I241" s="12" t="n">
        <f aca="false">SUMIFS('BE Raw'!$D$6:$D$615,'BE Raw'!$E$6:$E$615,$A241,'BE Raw'!$B$6:$B$615,2026)</f>
        <v>0</v>
      </c>
      <c r="J241" s="12" t="n">
        <f aca="false">I241*$J$5</f>
        <v>0</v>
      </c>
    </row>
    <row r="242" customFormat="false" ht="15" hidden="false" customHeight="true" outlineLevel="0" collapsed="false">
      <c r="A242" s="12" t="n">
        <v>4413283</v>
      </c>
      <c r="B242" s="12" t="str">
        <f aca="false">IFERROR(INDEX('Catalog'!$B:$B,MATCH($A242,'Catalog'!$A:$A,0)),"")</f>
        <v>422E XXL מגן ברך ארוך עם כרית</v>
      </c>
      <c r="C242" s="12" t="n">
        <f aca="false">SUMIFS('BE Raw'!$C$6:$C$615,'BE Raw'!$E$6:$E$615,$A242,'BE Raw'!$B$6:$B$615,2025)</f>
        <v>4</v>
      </c>
      <c r="D242" s="12" t="n">
        <f aca="false">SUMIFS('BE Raw'!$C$6:$C$615,'BE Raw'!$E$6:$E$615,$A242,'BE Raw'!$B$6:$B$615,2026)</f>
        <v>-3</v>
      </c>
      <c r="E242" s="12" t="n">
        <f aca="false">D242*$J$5</f>
        <v>-3.78947368421053</v>
      </c>
      <c r="F242" s="12" t="n">
        <f aca="false">E242-C242</f>
        <v>-7.78947368421053</v>
      </c>
      <c r="G242" s="21" t="n">
        <f aca="false">IF(AND(C242=0,E242=0),0,IF(C242=0,"New",(E242-C242)/C242))</f>
        <v>-1.94736842105263</v>
      </c>
      <c r="H242" s="12" t="n">
        <f aca="false">SUMIFS('BE Raw'!$D$6:$D$615,'BE Raw'!$E$6:$E$615,$A242,'BE Raw'!$B$6:$B$615,2025)</f>
        <v>787</v>
      </c>
      <c r="I242" s="12" t="n">
        <f aca="false">SUMIFS('BE Raw'!$D$6:$D$615,'BE Raw'!$E$6:$E$615,$A242,'BE Raw'!$B$6:$B$615,2026)</f>
        <v>-590.2</v>
      </c>
      <c r="J242" s="12" t="n">
        <f aca="false">I242*$J$5</f>
        <v>-745.515789473684</v>
      </c>
    </row>
    <row r="243" customFormat="false" ht="15" hidden="false" customHeight="true" outlineLevel="0" collapsed="false">
      <c r="A243" s="12" t="n">
        <v>4413285</v>
      </c>
      <c r="B243" s="12" t="str">
        <f aca="false">IFERROR(INDEX('Catalog'!$B:$B,MATCH($A243,'Catalog'!$A:$A,0)),"")</f>
        <v>305GA מדרס מתכוונן47-48</v>
      </c>
      <c r="C243" s="12" t="n">
        <f aca="false">SUMIFS('BE Raw'!$C$6:$C$615,'BE Raw'!$E$6:$E$615,$A243,'BE Raw'!$B$6:$B$615,2025)</f>
        <v>0</v>
      </c>
      <c r="D243" s="12" t="n">
        <f aca="false">SUMIFS('BE Raw'!$C$6:$C$615,'BE Raw'!$E$6:$E$615,$A243,'BE Raw'!$B$6:$B$615,2026)</f>
        <v>-1</v>
      </c>
      <c r="E243" s="12" t="n">
        <f aca="false">D243*$J$5</f>
        <v>-1.26315789473684</v>
      </c>
      <c r="F243" s="12" t="n">
        <f aca="false">E243-C243</f>
        <v>-1.26315789473684</v>
      </c>
      <c r="G243" s="21" t="str">
        <f aca="false">IF(AND(C243=0,E243=0),0,IF(C243=0,"New",(E243-C243)/C243))</f>
        <v>New</v>
      </c>
      <c r="H243" s="12" t="n">
        <f aca="false">SUMIFS('BE Raw'!$D$6:$D$615,'BE Raw'!$E$6:$E$615,$A243,'BE Raw'!$B$6:$B$615,2025)</f>
        <v>0</v>
      </c>
      <c r="I243" s="12" t="n">
        <f aca="false">SUMIFS('BE Raw'!$D$6:$D$615,'BE Raw'!$E$6:$E$615,$A243,'BE Raw'!$B$6:$B$615,2026)</f>
        <v>-70</v>
      </c>
      <c r="J243" s="12" t="n">
        <f aca="false">I243*$J$5</f>
        <v>-88.421052631579</v>
      </c>
    </row>
    <row r="244" customFormat="false" ht="15" hidden="false" customHeight="true" outlineLevel="0" collapsed="false">
      <c r="A244" s="12" t="n">
        <v>4413307</v>
      </c>
      <c r="B244" s="12" t="str">
        <f aca="false">IFERROR(INDEX('Catalog'!$B:$B,MATCH($A244,'Catalog'!$A:$A,0)),"")</f>
        <v>URI 3667 מגן בוניון</v>
      </c>
      <c r="C244" s="12" t="n">
        <f aca="false">SUMIFS('BE Raw'!$C$6:$C$615,'BE Raw'!$E$6:$E$615,$A244,'BE Raw'!$B$6:$B$615,2025)</f>
        <v>79</v>
      </c>
      <c r="D244" s="12" t="n">
        <f aca="false">SUMIFS('BE Raw'!$C$6:$C$615,'BE Raw'!$E$6:$E$615,$A244,'BE Raw'!$B$6:$B$615,2026)</f>
        <v>60</v>
      </c>
      <c r="E244" s="12" t="n">
        <f aca="false">D244*$J$5</f>
        <v>75.7894736842105</v>
      </c>
      <c r="F244" s="12" t="n">
        <f aca="false">E244-C244</f>
        <v>-3.21052631578948</v>
      </c>
      <c r="G244" s="21" t="n">
        <f aca="false">IF(AND(C244=0,E244=0),0,IF(C244=0,"New",(E244-C244)/C244))</f>
        <v>-0.0406395736175884</v>
      </c>
      <c r="H244" s="12" t="n">
        <f aca="false">SUMIFS('BE Raw'!$D$6:$D$615,'BE Raw'!$E$6:$E$615,$A244,'BE Raw'!$B$6:$B$615,2025)</f>
        <v>2285.5</v>
      </c>
      <c r="I244" s="12" t="n">
        <f aca="false">SUMIFS('BE Raw'!$D$6:$D$615,'BE Raw'!$E$6:$E$615,$A244,'BE Raw'!$B$6:$B$615,2026)</f>
        <v>1729.8</v>
      </c>
      <c r="J244" s="12" t="n">
        <f aca="false">I244*$J$5</f>
        <v>2185.01052631579</v>
      </c>
    </row>
    <row r="245" customFormat="false" ht="15" hidden="false" customHeight="true" outlineLevel="0" collapsed="false">
      <c r="A245" s="12" t="n">
        <v>4413328</v>
      </c>
      <c r="B245" s="12" t="str">
        <f aca="false">IFERROR(INDEX('Catalog'!$B:$B,MATCH($A245,'Catalog'!$A:$A,0)),"")</f>
        <v>AC43D מגן ברך + צירים</v>
      </c>
      <c r="C245" s="12" t="n">
        <f aca="false">SUMIFS('BE Raw'!$C$6:$C$615,'BE Raw'!$E$6:$E$615,$A245,'BE Raw'!$B$6:$B$615,2025)</f>
        <v>3</v>
      </c>
      <c r="D245" s="12" t="n">
        <f aca="false">SUMIFS('BE Raw'!$C$6:$C$615,'BE Raw'!$E$6:$E$615,$A245,'BE Raw'!$B$6:$B$615,2026)</f>
        <v>22</v>
      </c>
      <c r="E245" s="12" t="n">
        <f aca="false">D245*$J$5</f>
        <v>27.7894736842105</v>
      </c>
      <c r="F245" s="12" t="n">
        <f aca="false">E245-C245</f>
        <v>24.7894736842105</v>
      </c>
      <c r="G245" s="21" t="n">
        <f aca="false">IF(AND(C245=0,E245=0),0,IF(C245=0,"New",(E245-C245)/C245))</f>
        <v>8.26315789473684</v>
      </c>
      <c r="H245" s="12" t="n">
        <f aca="false">SUMIFS('BE Raw'!$D$6:$D$615,'BE Raw'!$E$6:$E$615,$A245,'BE Raw'!$B$6:$B$615,2025)</f>
        <v>270.3</v>
      </c>
      <c r="I245" s="12" t="n">
        <f aca="false">SUMIFS('BE Raw'!$D$6:$D$615,'BE Raw'!$E$6:$E$615,$A245,'BE Raw'!$B$6:$B$615,2026)</f>
        <v>1982.6</v>
      </c>
      <c r="J245" s="12" t="n">
        <f aca="false">I245*$J$5</f>
        <v>2504.33684210526</v>
      </c>
    </row>
    <row r="246" customFormat="false" ht="15" hidden="false" customHeight="true" outlineLevel="0" collapsed="false">
      <c r="A246" s="12" t="n">
        <v>4413340</v>
      </c>
      <c r="B246" s="12" t="str">
        <f aca="false">IFERROR(INDEX('Catalog'!$B:$B,MATCH($A246,'Catalog'!$A:$A,0)),"")</f>
        <v>3666 מפריד הלוקס</v>
      </c>
      <c r="C246" s="12" t="n">
        <f aca="false">SUMIFS('BE Raw'!$C$6:$C$615,'BE Raw'!$E$6:$E$615,$A246,'BE Raw'!$B$6:$B$615,2025)</f>
        <v>28</v>
      </c>
      <c r="D246" s="12" t="n">
        <f aca="false">SUMIFS('BE Raw'!$C$6:$C$615,'BE Raw'!$E$6:$E$615,$A246,'BE Raw'!$B$6:$B$615,2026)</f>
        <v>8</v>
      </c>
      <c r="E246" s="12" t="n">
        <f aca="false">D246*$J$5</f>
        <v>10.1052631578947</v>
      </c>
      <c r="F246" s="12" t="n">
        <f aca="false">E246-C246</f>
        <v>-17.8947368421053</v>
      </c>
      <c r="G246" s="21" t="n">
        <f aca="false">IF(AND(C246=0,E246=0),0,IF(C246=0,"New",(E246-C246)/C246))</f>
        <v>-0.639097744360902</v>
      </c>
      <c r="H246" s="12" t="n">
        <f aca="false">SUMIFS('BE Raw'!$D$6:$D$615,'BE Raw'!$E$6:$E$615,$A246,'BE Raw'!$B$6:$B$615,2025)</f>
        <v>1223.6</v>
      </c>
      <c r="I246" s="12" t="n">
        <f aca="false">SUMIFS('BE Raw'!$D$6:$D$615,'BE Raw'!$E$6:$E$615,$A246,'BE Raw'!$B$6:$B$615,2026)</f>
        <v>349.6</v>
      </c>
      <c r="J246" s="12" t="n">
        <f aca="false">I246*$J$5</f>
        <v>441.6</v>
      </c>
    </row>
    <row r="247" customFormat="false" ht="15" hidden="false" customHeight="true" outlineLevel="0" collapsed="false">
      <c r="A247" s="12" t="n">
        <v>4413348</v>
      </c>
      <c r="B247" s="12" t="str">
        <f aca="false">IFERROR(INDEX('Catalog'!$B:$B,MATCH($A247,'Catalog'!$A:$A,0)),"")</f>
        <v>302 מדרס ג'ל לגבר</v>
      </c>
      <c r="C247" s="12" t="n">
        <f aca="false">SUMIFS('BE Raw'!$C$6:$C$615,'BE Raw'!$E$6:$E$615,$A247,'BE Raw'!$B$6:$B$615,2025)</f>
        <v>187</v>
      </c>
      <c r="D247" s="12" t="n">
        <f aca="false">SUMIFS('BE Raw'!$C$6:$C$615,'BE Raw'!$E$6:$E$615,$A247,'BE Raw'!$B$6:$B$615,2026)</f>
        <v>142</v>
      </c>
      <c r="E247" s="12" t="n">
        <f aca="false">D247*$J$5</f>
        <v>179.368421052632</v>
      </c>
      <c r="F247" s="12" t="n">
        <f aca="false">E247-C247</f>
        <v>-7.63157894736844</v>
      </c>
      <c r="G247" s="21" t="n">
        <f aca="false">IF(AND(C247=0,E247=0),0,IF(C247=0,"New",(E247-C247)/C247))</f>
        <v>-0.0408105826062483</v>
      </c>
      <c r="H247" s="12" t="n">
        <f aca="false">SUMIFS('BE Raw'!$D$6:$D$615,'BE Raw'!$E$6:$E$615,$A247,'BE Raw'!$B$6:$B$615,2025)</f>
        <v>12070.4</v>
      </c>
      <c r="I247" s="12" t="n">
        <f aca="false">SUMIFS('BE Raw'!$D$6:$D$615,'BE Raw'!$E$6:$E$615,$A247,'BE Raw'!$B$6:$B$615,2026)</f>
        <v>9319.4</v>
      </c>
      <c r="J247" s="12" t="n">
        <f aca="false">I247*$J$5</f>
        <v>11771.8736842105</v>
      </c>
    </row>
    <row r="248" customFormat="false" ht="15" hidden="false" customHeight="true" outlineLevel="0" collapsed="false">
      <c r="A248" s="12" t="n">
        <v>4413364</v>
      </c>
      <c r="B248" s="12" t="str">
        <f aca="false">IFERROR(INDEX('Catalog'!$B:$B,MATCH($A248,'Catalog'!$A:$A,0)),"")</f>
        <v>95C M 'מגן מרפק בז</v>
      </c>
      <c r="C248" s="12" t="n">
        <f aca="false">SUMIFS('BE Raw'!$C$6:$C$615,'BE Raw'!$E$6:$E$615,$A248,'BE Raw'!$B$6:$B$615,2025)</f>
        <v>121</v>
      </c>
      <c r="D248" s="12" t="n">
        <f aca="false">SUMIFS('BE Raw'!$C$6:$C$615,'BE Raw'!$E$6:$E$615,$A248,'BE Raw'!$B$6:$B$615,2026)</f>
        <v>127</v>
      </c>
      <c r="E248" s="12" t="n">
        <f aca="false">D248*$J$5</f>
        <v>160.421052631579</v>
      </c>
      <c r="F248" s="12" t="n">
        <f aca="false">E248-C248</f>
        <v>39.4210526315789</v>
      </c>
      <c r="G248" s="21" t="n">
        <f aca="false">IF(AND(C248=0,E248=0),0,IF(C248=0,"New",(E248-C248)/C248))</f>
        <v>0.325793823401479</v>
      </c>
      <c r="H248" s="12" t="n">
        <f aca="false">SUMIFS('BE Raw'!$D$6:$D$615,'BE Raw'!$E$6:$E$615,$A248,'BE Raw'!$B$6:$B$615,2025)</f>
        <v>3355</v>
      </c>
      <c r="I248" s="12" t="n">
        <f aca="false">SUMIFS('BE Raw'!$D$6:$D$615,'BE Raw'!$E$6:$E$615,$A248,'BE Raw'!$B$6:$B$615,2026)</f>
        <v>3527.6</v>
      </c>
      <c r="J248" s="12" t="n">
        <f aca="false">I248*$J$5</f>
        <v>4455.91578947368</v>
      </c>
    </row>
    <row r="249" customFormat="false" ht="15" hidden="false" customHeight="true" outlineLevel="0" collapsed="false">
      <c r="A249" s="12" t="n">
        <v>4413365</v>
      </c>
      <c r="B249" s="12" t="str">
        <f aca="false">IFERROR(INDEX('Catalog'!$B:$B,MATCH($A249,'Catalog'!$A:$A,0)),"")</f>
        <v>95C L 'מגן מרפק בז</v>
      </c>
      <c r="C249" s="12" t="n">
        <f aca="false">SUMIFS('BE Raw'!$C$6:$C$615,'BE Raw'!$E$6:$E$615,$A249,'BE Raw'!$B$6:$B$615,2025)</f>
        <v>107</v>
      </c>
      <c r="D249" s="12" t="n">
        <f aca="false">SUMIFS('BE Raw'!$C$6:$C$615,'BE Raw'!$E$6:$E$615,$A249,'BE Raw'!$B$6:$B$615,2026)</f>
        <v>76</v>
      </c>
      <c r="E249" s="12" t="n">
        <f aca="false">D249*$J$5</f>
        <v>96</v>
      </c>
      <c r="F249" s="12" t="n">
        <f aca="false">E249-C249</f>
        <v>-11</v>
      </c>
      <c r="G249" s="21" t="n">
        <f aca="false">IF(AND(C249=0,E249=0),0,IF(C249=0,"New",(E249-C249)/C249))</f>
        <v>-0.102803738317757</v>
      </c>
      <c r="H249" s="12" t="n">
        <f aca="false">SUMIFS('BE Raw'!$D$6:$D$615,'BE Raw'!$E$6:$E$615,$A249,'BE Raw'!$B$6:$B$615,2025)</f>
        <v>2970.4</v>
      </c>
      <c r="I249" s="12" t="n">
        <f aca="false">SUMIFS('BE Raw'!$D$6:$D$615,'BE Raw'!$E$6:$E$615,$A249,'BE Raw'!$B$6:$B$615,2026)</f>
        <v>2111.7</v>
      </c>
      <c r="J249" s="12" t="n">
        <f aca="false">I249*$J$5</f>
        <v>2667.41052631579</v>
      </c>
    </row>
    <row r="250" customFormat="false" ht="15" hidden="false" customHeight="true" outlineLevel="0" collapsed="false">
      <c r="A250" s="12" t="n">
        <v>4413366</v>
      </c>
      <c r="B250" s="12" t="str">
        <f aca="false">IFERROR(INDEX('Catalog'!$B:$B,MATCH($A250,'Catalog'!$A:$A,0)),"")</f>
        <v>95C S 'מגן מרפק בז</v>
      </c>
      <c r="C250" s="12" t="n">
        <f aca="false">SUMIFS('BE Raw'!$C$6:$C$615,'BE Raw'!$E$6:$E$615,$A250,'BE Raw'!$B$6:$B$615,2025)</f>
        <v>109</v>
      </c>
      <c r="D250" s="12" t="n">
        <f aca="false">SUMIFS('BE Raw'!$C$6:$C$615,'BE Raw'!$E$6:$E$615,$A250,'BE Raw'!$B$6:$B$615,2026)</f>
        <v>88</v>
      </c>
      <c r="E250" s="12" t="n">
        <f aca="false">D250*$J$5</f>
        <v>111.157894736842</v>
      </c>
      <c r="F250" s="12" t="n">
        <f aca="false">E250-C250</f>
        <v>2.1578947368421</v>
      </c>
      <c r="G250" s="21" t="n">
        <f aca="false">IF(AND(C250=0,E250=0),0,IF(C250=0,"New",(E250-C250)/C250))</f>
        <v>0.0197971994205697</v>
      </c>
      <c r="H250" s="12" t="n">
        <f aca="false">SUMIFS('BE Raw'!$D$6:$D$615,'BE Raw'!$E$6:$E$615,$A250,'BE Raw'!$B$6:$B$615,2025)</f>
        <v>3023.9</v>
      </c>
      <c r="I250" s="12" t="n">
        <f aca="false">SUMIFS('BE Raw'!$D$6:$D$615,'BE Raw'!$E$6:$E$615,$A250,'BE Raw'!$B$6:$B$615,2026)</f>
        <v>2444.9</v>
      </c>
      <c r="J250" s="12" t="n">
        <f aca="false">I250*$J$5</f>
        <v>3088.29473684211</v>
      </c>
    </row>
    <row r="251" customFormat="false" ht="15" hidden="false" customHeight="true" outlineLevel="0" collapsed="false">
      <c r="A251" s="12" t="n">
        <v>4413367</v>
      </c>
      <c r="B251" s="12" t="str">
        <f aca="false">IFERROR(INDEX('Catalog'!$B:$B,MATCH($A251,'Catalog'!$A:$A,0)),"")</f>
        <v>95C XL'מגן מרפק בז</v>
      </c>
      <c r="C251" s="12" t="n">
        <f aca="false">SUMIFS('BE Raw'!$C$6:$C$615,'BE Raw'!$E$6:$E$615,$A251,'BE Raw'!$B$6:$B$615,2025)</f>
        <v>47</v>
      </c>
      <c r="D251" s="12" t="n">
        <f aca="false">SUMIFS('BE Raw'!$C$6:$C$615,'BE Raw'!$E$6:$E$615,$A251,'BE Raw'!$B$6:$B$615,2026)</f>
        <v>43</v>
      </c>
      <c r="E251" s="12" t="n">
        <f aca="false">D251*$J$5</f>
        <v>54.3157894736842</v>
      </c>
      <c r="F251" s="12" t="n">
        <f aca="false">E251-C251</f>
        <v>7.31578947368421</v>
      </c>
      <c r="G251" s="21" t="n">
        <f aca="false">IF(AND(C251=0,E251=0),0,IF(C251=0,"New",(E251-C251)/C251))</f>
        <v>0.15565509518477</v>
      </c>
      <c r="H251" s="12" t="n">
        <f aca="false">SUMIFS('BE Raw'!$D$6:$D$615,'BE Raw'!$E$6:$E$615,$A251,'BE Raw'!$B$6:$B$615,2025)</f>
        <v>1302.7</v>
      </c>
      <c r="I251" s="12" t="n">
        <f aca="false">SUMIFS('BE Raw'!$D$6:$D$615,'BE Raw'!$E$6:$E$615,$A251,'BE Raw'!$B$6:$B$615,2026)</f>
        <v>1193.7</v>
      </c>
      <c r="J251" s="12" t="n">
        <f aca="false">I251*$J$5</f>
        <v>1507.83157894737</v>
      </c>
    </row>
    <row r="252" customFormat="false" ht="15" hidden="false" customHeight="true" outlineLevel="0" collapsed="false">
      <c r="A252" s="12" t="n">
        <v>4413368</v>
      </c>
      <c r="B252" s="12" t="str">
        <f aca="false">IFERROR(INDEX('Catalog'!$B:$B,MATCH($A252,'Catalog'!$A:$A,0)),"")</f>
        <v>95C XS'מגן מרפק בז</v>
      </c>
      <c r="C252" s="12" t="n">
        <f aca="false">SUMIFS('BE Raw'!$C$6:$C$615,'BE Raw'!$E$6:$E$615,$A252,'BE Raw'!$B$6:$B$615,2025)</f>
        <v>44</v>
      </c>
      <c r="D252" s="12" t="n">
        <f aca="false">SUMIFS('BE Raw'!$C$6:$C$615,'BE Raw'!$E$6:$E$615,$A252,'BE Raw'!$B$6:$B$615,2026)</f>
        <v>44</v>
      </c>
      <c r="E252" s="12" t="n">
        <f aca="false">D252*$J$5</f>
        <v>55.5789473684211</v>
      </c>
      <c r="F252" s="12" t="n">
        <f aca="false">E252-C252</f>
        <v>11.578947368421</v>
      </c>
      <c r="G252" s="21" t="n">
        <f aca="false">IF(AND(C252=0,E252=0),0,IF(C252=0,"New",(E252-C252)/C252))</f>
        <v>0.263157894736842</v>
      </c>
      <c r="H252" s="12" t="n">
        <f aca="false">SUMIFS('BE Raw'!$D$6:$D$615,'BE Raw'!$E$6:$E$615,$A252,'BE Raw'!$B$6:$B$615,2025)</f>
        <v>1221.4</v>
      </c>
      <c r="I252" s="12" t="n">
        <f aca="false">SUMIFS('BE Raw'!$D$6:$D$615,'BE Raw'!$E$6:$E$615,$A252,'BE Raw'!$B$6:$B$615,2026)</f>
        <v>1221.5</v>
      </c>
      <c r="J252" s="12" t="n">
        <f aca="false">I252*$J$5</f>
        <v>1542.94736842105</v>
      </c>
    </row>
    <row r="253" customFormat="false" ht="15" hidden="false" customHeight="true" outlineLevel="0" collapsed="false">
      <c r="A253" s="12" t="n">
        <v>4413370</v>
      </c>
      <c r="B253" s="12" t="str">
        <f aca="false">IFERROR(INDEX('Catalog'!$B:$B,MATCH($A253,'Catalog'!$A:$A,0)),"")</f>
        <v>3674 0 מ.בוניון+מפריד אצבע</v>
      </c>
      <c r="C253" s="12" t="n">
        <f aca="false">SUMIFS('BE Raw'!$C$6:$C$615,'BE Raw'!$E$6:$E$615,$A253,'BE Raw'!$B$6:$B$615,2025)</f>
        <v>142</v>
      </c>
      <c r="D253" s="12" t="n">
        <f aca="false">SUMIFS('BE Raw'!$C$6:$C$615,'BE Raw'!$E$6:$E$615,$A253,'BE Raw'!$B$6:$B$615,2026)</f>
        <v>70</v>
      </c>
      <c r="E253" s="12" t="n">
        <f aca="false">D253*$J$5</f>
        <v>88.421052631579</v>
      </c>
      <c r="F253" s="12" t="n">
        <f aca="false">E253-C253</f>
        <v>-53.5789473684211</v>
      </c>
      <c r="G253" s="21" t="n">
        <f aca="false">IF(AND(C253=0,E253=0),0,IF(C253=0,"New",(E253-C253)/C253))</f>
        <v>-0.377316530763529</v>
      </c>
      <c r="H253" s="12" t="n">
        <f aca="false">SUMIFS('BE Raw'!$D$6:$D$615,'BE Raw'!$E$6:$E$615,$A253,'BE Raw'!$B$6:$B$615,2025)</f>
        <v>5326.8</v>
      </c>
      <c r="I253" s="12" t="n">
        <f aca="false">SUMIFS('BE Raw'!$D$6:$D$615,'BE Raw'!$E$6:$E$615,$A253,'BE Raw'!$B$6:$B$615,2026)</f>
        <v>2618</v>
      </c>
      <c r="J253" s="12" t="n">
        <f aca="false">I253*$J$5</f>
        <v>3306.94736842105</v>
      </c>
    </row>
    <row r="254" customFormat="false" ht="15" hidden="false" customHeight="true" outlineLevel="0" collapsed="false">
      <c r="A254" s="12" t="n">
        <v>4413371</v>
      </c>
      <c r="B254" s="12" t="str">
        <f aca="false">IFERROR(INDEX('Catalog'!$B:$B,MATCH($A254,'Catalog'!$A:$A,0)),"")</f>
        <v>3675    מגן זרת מסיליקון</v>
      </c>
      <c r="C254" s="12" t="n">
        <f aca="false">SUMIFS('BE Raw'!$C$6:$C$615,'BE Raw'!$E$6:$E$615,$A254,'BE Raw'!$B$6:$B$615,2025)</f>
        <v>17</v>
      </c>
      <c r="D254" s="12" t="n">
        <f aca="false">SUMIFS('BE Raw'!$C$6:$C$615,'BE Raw'!$E$6:$E$615,$A254,'BE Raw'!$B$6:$B$615,2026)</f>
        <v>32</v>
      </c>
      <c r="E254" s="12" t="n">
        <f aca="false">D254*$J$5</f>
        <v>40.4210526315789</v>
      </c>
      <c r="F254" s="12" t="n">
        <f aca="false">E254-C254</f>
        <v>23.4210526315789</v>
      </c>
      <c r="G254" s="21" t="n">
        <f aca="false">IF(AND(C254=0,E254=0),0,IF(C254=0,"New",(E254-C254)/C254))</f>
        <v>1.37770897832817</v>
      </c>
      <c r="H254" s="12" t="n">
        <f aca="false">SUMIFS('BE Raw'!$D$6:$D$615,'BE Raw'!$E$6:$E$615,$A254,'BE Raw'!$B$6:$B$615,2025)</f>
        <v>467.8</v>
      </c>
      <c r="I254" s="12" t="n">
        <f aca="false">SUMIFS('BE Raw'!$D$6:$D$615,'BE Raw'!$E$6:$E$615,$A254,'BE Raw'!$B$6:$B$615,2026)</f>
        <v>880.7</v>
      </c>
      <c r="J254" s="12" t="n">
        <f aca="false">I254*$J$5</f>
        <v>1112.46315789474</v>
      </c>
    </row>
    <row r="255" customFormat="false" ht="15" hidden="false" customHeight="true" outlineLevel="0" collapsed="false">
      <c r="A255" s="12" t="n">
        <v>4413372</v>
      </c>
      <c r="B255" s="12" t="str">
        <f aca="false">IFERROR(INDEX('Catalog'!$B:$B,MATCH($A255,'Catalog'!$A:$A,0)),"")</f>
        <v>302 W מדרס לאישה</v>
      </c>
      <c r="C255" s="12" t="n">
        <f aca="false">SUMIFS('BE Raw'!$C$6:$C$615,'BE Raw'!$E$6:$E$615,$A255,'BE Raw'!$B$6:$B$615,2025)</f>
        <v>99</v>
      </c>
      <c r="D255" s="12" t="n">
        <f aca="false">SUMIFS('BE Raw'!$C$6:$C$615,'BE Raw'!$E$6:$E$615,$A255,'BE Raw'!$B$6:$B$615,2026)</f>
        <v>82</v>
      </c>
      <c r="E255" s="12" t="n">
        <f aca="false">D255*$J$5</f>
        <v>103.578947368421</v>
      </c>
      <c r="F255" s="12" t="n">
        <f aca="false">E255-C255</f>
        <v>4.57894736842104</v>
      </c>
      <c r="G255" s="21" t="n">
        <f aca="false">IF(AND(C255=0,E255=0),0,IF(C255=0,"New",(E255-C255)/C255))</f>
        <v>0.0462519936204146</v>
      </c>
      <c r="H255" s="12" t="n">
        <f aca="false">SUMIFS('BE Raw'!$D$6:$D$615,'BE Raw'!$E$6:$E$615,$A255,'BE Raw'!$B$6:$B$615,2025)</f>
        <v>6382</v>
      </c>
      <c r="I255" s="12" t="n">
        <f aca="false">SUMIFS('BE Raw'!$D$6:$D$615,'BE Raw'!$E$6:$E$615,$A255,'BE Raw'!$B$6:$B$615,2026)</f>
        <v>5323.1</v>
      </c>
      <c r="J255" s="12" t="n">
        <f aca="false">I255*$J$5</f>
        <v>6723.91578947368</v>
      </c>
    </row>
    <row r="256" customFormat="false" ht="15" hidden="false" customHeight="true" outlineLevel="0" collapsed="false">
      <c r="A256" s="12" t="n">
        <v>4413405</v>
      </c>
      <c r="B256" s="12" t="str">
        <f aca="false">IFERROR(INDEX('Catalog'!$B:$B,MATCH($A256,'Catalog'!$A:$A,0)),"")</f>
        <v>SC95 S מגן מרפק</v>
      </c>
      <c r="C256" s="12" t="n">
        <f aca="false">SUMIFS('BE Raw'!$C$6:$C$615,'BE Raw'!$E$6:$E$615,$A256,'BE Raw'!$B$6:$B$615,2025)</f>
        <v>-2</v>
      </c>
      <c r="D256" s="12" t="n">
        <f aca="false">SUMIFS('BE Raw'!$C$6:$C$615,'BE Raw'!$E$6:$E$615,$A256,'BE Raw'!$B$6:$B$615,2026)</f>
        <v>0</v>
      </c>
      <c r="E256" s="12" t="n">
        <f aca="false">D256*$J$5</f>
        <v>0</v>
      </c>
      <c r="F256" s="12" t="n">
        <f aca="false">E256-C256</f>
        <v>2</v>
      </c>
      <c r="G256" s="21" t="n">
        <f aca="false">IF(AND(C256=0,E256=0),0,IF(C256=0,"New",(E256-C256)/C256))</f>
        <v>-1</v>
      </c>
      <c r="H256" s="12" t="n">
        <f aca="false">SUMIFS('BE Raw'!$D$6:$D$615,'BE Raw'!$E$6:$E$615,$A256,'BE Raw'!$B$6:$B$615,2025)</f>
        <v>-141.1</v>
      </c>
      <c r="I256" s="12" t="n">
        <f aca="false">SUMIFS('BE Raw'!$D$6:$D$615,'BE Raw'!$E$6:$E$615,$A256,'BE Raw'!$B$6:$B$615,2026)</f>
        <v>0</v>
      </c>
      <c r="J256" s="12" t="n">
        <f aca="false">I256*$J$5</f>
        <v>0</v>
      </c>
    </row>
    <row r="257" customFormat="false" ht="15" hidden="false" customHeight="true" outlineLevel="0" collapsed="false">
      <c r="A257" s="12" t="n">
        <v>4413406</v>
      </c>
      <c r="B257" s="12" t="str">
        <f aca="false">IFERROR(INDEX('Catalog'!$B:$B,MATCH($A257,'Catalog'!$A:$A,0)),"")</f>
        <v>SC95 M מגן מרפק</v>
      </c>
      <c r="C257" s="12" t="n">
        <f aca="false">SUMIFS('BE Raw'!$C$6:$C$615,'BE Raw'!$E$6:$E$615,$A257,'BE Raw'!$B$6:$B$615,2025)</f>
        <v>2</v>
      </c>
      <c r="D257" s="12" t="n">
        <f aca="false">SUMIFS('BE Raw'!$C$6:$C$615,'BE Raw'!$E$6:$E$615,$A257,'BE Raw'!$B$6:$B$615,2026)</f>
        <v>1</v>
      </c>
      <c r="E257" s="12" t="n">
        <f aca="false">D257*$J$5</f>
        <v>1.26315789473684</v>
      </c>
      <c r="F257" s="12" t="n">
        <f aca="false">E257-C257</f>
        <v>-0.736842105263158</v>
      </c>
      <c r="G257" s="21" t="n">
        <f aca="false">IF(AND(C257=0,E257=0),0,IF(C257=0,"New",(E257-C257)/C257))</f>
        <v>-0.368421052631579</v>
      </c>
      <c r="H257" s="12" t="n">
        <f aca="false">SUMIFS('BE Raw'!$D$6:$D$615,'BE Raw'!$E$6:$E$615,$A257,'BE Raw'!$B$6:$B$615,2025)</f>
        <v>122.7</v>
      </c>
      <c r="I257" s="12" t="n">
        <f aca="false">SUMIFS('BE Raw'!$D$6:$D$615,'BE Raw'!$E$6:$E$615,$A257,'BE Raw'!$B$6:$B$615,2026)</f>
        <v>74.5</v>
      </c>
      <c r="J257" s="12" t="n">
        <f aca="false">I257*$J$5</f>
        <v>94.1052631578947</v>
      </c>
    </row>
    <row r="258" customFormat="false" ht="15" hidden="false" customHeight="true" outlineLevel="0" collapsed="false">
      <c r="A258" s="12" t="n">
        <v>4413407</v>
      </c>
      <c r="B258" s="12" t="str">
        <f aca="false">IFERROR(INDEX('Catalog'!$B:$B,MATCH($A258,'Catalog'!$A:$A,0)),"")</f>
        <v>SC95 L מגן מרפק</v>
      </c>
      <c r="C258" s="12" t="n">
        <f aca="false">SUMIFS('BE Raw'!$C$6:$C$615,'BE Raw'!$E$6:$E$615,$A258,'BE Raw'!$B$6:$B$615,2025)</f>
        <v>4</v>
      </c>
      <c r="D258" s="12" t="n">
        <f aca="false">SUMIFS('BE Raw'!$C$6:$C$615,'BE Raw'!$E$6:$E$615,$A258,'BE Raw'!$B$6:$B$615,2026)</f>
        <v>2</v>
      </c>
      <c r="E258" s="12" t="n">
        <f aca="false">D258*$J$5</f>
        <v>2.52631578947368</v>
      </c>
      <c r="F258" s="12" t="n">
        <f aca="false">E258-C258</f>
        <v>-1.47368421052632</v>
      </c>
      <c r="G258" s="21" t="n">
        <f aca="false">IF(AND(C258=0,E258=0),0,IF(C258=0,"New",(E258-C258)/C258))</f>
        <v>-0.368421052631579</v>
      </c>
      <c r="H258" s="12" t="n">
        <f aca="false">SUMIFS('BE Raw'!$D$6:$D$615,'BE Raw'!$E$6:$E$615,$A258,'BE Raw'!$B$6:$B$615,2025)</f>
        <v>245.3</v>
      </c>
      <c r="I258" s="12" t="n">
        <f aca="false">SUMIFS('BE Raw'!$D$6:$D$615,'BE Raw'!$E$6:$E$615,$A258,'BE Raw'!$B$6:$B$615,2026)</f>
        <v>149</v>
      </c>
      <c r="J258" s="12" t="n">
        <f aca="false">I258*$J$5</f>
        <v>188.210526315789</v>
      </c>
    </row>
    <row r="259" customFormat="false" ht="15" hidden="false" customHeight="true" outlineLevel="0" collapsed="false">
      <c r="A259" s="12" t="n">
        <v>4413408</v>
      </c>
      <c r="B259" s="12" t="str">
        <f aca="false">IFERROR(INDEX('Catalog'!$B:$B,MATCH($A259,'Catalog'!$A:$A,0)),"")</f>
        <v>SC95 XLמגן מרפק</v>
      </c>
      <c r="C259" s="12" t="n">
        <f aca="false">SUMIFS('BE Raw'!$C$6:$C$615,'BE Raw'!$E$6:$E$615,$A259,'BE Raw'!$B$6:$B$615,2025)</f>
        <v>6</v>
      </c>
      <c r="D259" s="12" t="n">
        <f aca="false">SUMIFS('BE Raw'!$C$6:$C$615,'BE Raw'!$E$6:$E$615,$A259,'BE Raw'!$B$6:$B$615,2026)</f>
        <v>3</v>
      </c>
      <c r="E259" s="12" t="n">
        <f aca="false">D259*$J$5</f>
        <v>3.78947368421053</v>
      </c>
      <c r="F259" s="12" t="n">
        <f aca="false">E259-C259</f>
        <v>-2.21052631578947</v>
      </c>
      <c r="G259" s="21" t="n">
        <f aca="false">IF(AND(C259=0,E259=0),0,IF(C259=0,"New",(E259-C259)/C259))</f>
        <v>-0.368421052631579</v>
      </c>
      <c r="H259" s="12" t="n">
        <f aca="false">SUMIFS('BE Raw'!$D$6:$D$615,'BE Raw'!$E$6:$E$615,$A259,'BE Raw'!$B$6:$B$615,2025)</f>
        <v>420.6</v>
      </c>
      <c r="I259" s="12" t="n">
        <f aca="false">SUMIFS('BE Raw'!$D$6:$D$615,'BE Raw'!$E$6:$E$615,$A259,'BE Raw'!$B$6:$B$615,2026)</f>
        <v>223.5</v>
      </c>
      <c r="J259" s="12" t="n">
        <f aca="false">I259*$J$5</f>
        <v>282.315789473684</v>
      </c>
    </row>
    <row r="260" customFormat="false" ht="15" hidden="false" customHeight="true" outlineLevel="0" collapsed="false">
      <c r="A260" s="12" t="n">
        <v>4413415</v>
      </c>
      <c r="B260" s="12" t="str">
        <f aca="false">IFERROR(INDEX('Catalog'!$B:$B,MATCH($A260,'Catalog'!$A:$A,0)),"")</f>
        <v>SC39  S מגן שוק</v>
      </c>
      <c r="C260" s="12" t="n">
        <f aca="false">SUMIFS('BE Raw'!$C$6:$C$615,'BE Raw'!$E$6:$E$615,$A260,'BE Raw'!$B$6:$B$615,2025)</f>
        <v>2</v>
      </c>
      <c r="D260" s="12" t="n">
        <f aca="false">SUMIFS('BE Raw'!$C$6:$C$615,'BE Raw'!$E$6:$E$615,$A260,'BE Raw'!$B$6:$B$615,2026)</f>
        <v>0</v>
      </c>
      <c r="E260" s="12" t="n">
        <f aca="false">D260*$J$5</f>
        <v>0</v>
      </c>
      <c r="F260" s="12" t="n">
        <f aca="false">E260-C260</f>
        <v>-2</v>
      </c>
      <c r="G260" s="21" t="n">
        <f aca="false">IF(AND(C260=0,E260=0),0,IF(C260=0,"New",(E260-C260)/C260))</f>
        <v>-1</v>
      </c>
      <c r="H260" s="12" t="n">
        <f aca="false">SUMIFS('BE Raw'!$D$6:$D$615,'BE Raw'!$E$6:$E$615,$A260,'BE Raw'!$B$6:$B$615,2025)</f>
        <v>256</v>
      </c>
      <c r="I260" s="12" t="n">
        <f aca="false">SUMIFS('BE Raw'!$D$6:$D$615,'BE Raw'!$E$6:$E$615,$A260,'BE Raw'!$B$6:$B$615,2026)</f>
        <v>0</v>
      </c>
      <c r="J260" s="12" t="n">
        <f aca="false">I260*$J$5</f>
        <v>0</v>
      </c>
    </row>
    <row r="261" customFormat="false" ht="15" hidden="false" customHeight="true" outlineLevel="0" collapsed="false">
      <c r="A261" s="12" t="n">
        <v>4413416</v>
      </c>
      <c r="B261" s="12" t="str">
        <f aca="false">IFERROR(INDEX('Catalog'!$B:$B,MATCH($A261,'Catalog'!$A:$A,0)),"")</f>
        <v>SC39  M מגן שוק</v>
      </c>
      <c r="C261" s="12" t="n">
        <f aca="false">SUMIFS('BE Raw'!$C$6:$C$615,'BE Raw'!$E$6:$E$615,$A261,'BE Raw'!$B$6:$B$615,2025)</f>
        <v>7</v>
      </c>
      <c r="D261" s="12" t="n">
        <f aca="false">SUMIFS('BE Raw'!$C$6:$C$615,'BE Raw'!$E$6:$E$615,$A261,'BE Raw'!$B$6:$B$615,2026)</f>
        <v>8</v>
      </c>
      <c r="E261" s="12" t="n">
        <f aca="false">D261*$J$5</f>
        <v>10.1052631578947</v>
      </c>
      <c r="F261" s="12" t="n">
        <f aca="false">E261-C261</f>
        <v>3.10526315789474</v>
      </c>
      <c r="G261" s="21" t="n">
        <f aca="false">IF(AND(C261=0,E261=0),0,IF(C261=0,"New",(E261-C261)/C261))</f>
        <v>0.443609022556391</v>
      </c>
      <c r="H261" s="12" t="n">
        <f aca="false">SUMIFS('BE Raw'!$D$6:$D$615,'BE Raw'!$E$6:$E$615,$A261,'BE Raw'!$B$6:$B$615,2025)</f>
        <v>843.8</v>
      </c>
      <c r="I261" s="12" t="n">
        <f aca="false">SUMIFS('BE Raw'!$D$6:$D$615,'BE Raw'!$E$6:$E$615,$A261,'BE Raw'!$B$6:$B$615,2026)</f>
        <v>1086</v>
      </c>
      <c r="J261" s="12" t="n">
        <f aca="false">I261*$J$5</f>
        <v>1371.78947368421</v>
      </c>
    </row>
    <row r="262" customFormat="false" ht="15" hidden="false" customHeight="true" outlineLevel="0" collapsed="false">
      <c r="A262" s="12" t="n">
        <v>4413417</v>
      </c>
      <c r="B262" s="12" t="str">
        <f aca="false">IFERROR(INDEX('Catalog'!$B:$B,MATCH($A262,'Catalog'!$A:$A,0)),"")</f>
        <v>SC39  L מגן שוק</v>
      </c>
      <c r="C262" s="12" t="n">
        <f aca="false">SUMIFS('BE Raw'!$C$6:$C$615,'BE Raw'!$E$6:$E$615,$A262,'BE Raw'!$B$6:$B$615,2025)</f>
        <v>9</v>
      </c>
      <c r="D262" s="12" t="n">
        <f aca="false">SUMIFS('BE Raw'!$C$6:$C$615,'BE Raw'!$E$6:$E$615,$A262,'BE Raw'!$B$6:$B$615,2026)</f>
        <v>13</v>
      </c>
      <c r="E262" s="12" t="n">
        <f aca="false">D262*$J$5</f>
        <v>16.4210526315789</v>
      </c>
      <c r="F262" s="12" t="n">
        <f aca="false">E262-C262</f>
        <v>7.42105263157895</v>
      </c>
      <c r="G262" s="21" t="n">
        <f aca="false">IF(AND(C262=0,E262=0),0,IF(C262=0,"New",(E262-C262)/C262))</f>
        <v>0.824561403508772</v>
      </c>
      <c r="H262" s="12" t="n">
        <f aca="false">SUMIFS('BE Raw'!$D$6:$D$615,'BE Raw'!$E$6:$E$615,$A262,'BE Raw'!$B$6:$B$615,2025)</f>
        <v>1168.6</v>
      </c>
      <c r="I262" s="12" t="n">
        <f aca="false">SUMIFS('BE Raw'!$D$6:$D$615,'BE Raw'!$E$6:$E$615,$A262,'BE Raw'!$B$6:$B$615,2026)</f>
        <v>1764.8</v>
      </c>
      <c r="J262" s="12" t="n">
        <f aca="false">I262*$J$5</f>
        <v>2229.22105263158</v>
      </c>
    </row>
    <row r="263" customFormat="false" ht="15" hidden="false" customHeight="true" outlineLevel="0" collapsed="false">
      <c r="A263" s="12" t="n">
        <v>4413418</v>
      </c>
      <c r="B263" s="12" t="str">
        <f aca="false">IFERROR(INDEX('Catalog'!$B:$B,MATCH($A263,'Catalog'!$A:$A,0)),"")</f>
        <v>SC39 XL מגן שוק</v>
      </c>
      <c r="C263" s="12" t="n">
        <f aca="false">SUMIFS('BE Raw'!$C$6:$C$615,'BE Raw'!$E$6:$E$615,$A263,'BE Raw'!$B$6:$B$615,2025)</f>
        <v>-1</v>
      </c>
      <c r="D263" s="12" t="n">
        <f aca="false">SUMIFS('BE Raw'!$C$6:$C$615,'BE Raw'!$E$6:$E$615,$A263,'BE Raw'!$B$6:$B$615,2026)</f>
        <v>0</v>
      </c>
      <c r="E263" s="12" t="n">
        <f aca="false">D263*$J$5</f>
        <v>0</v>
      </c>
      <c r="F263" s="12" t="n">
        <f aca="false">E263-C263</f>
        <v>1</v>
      </c>
      <c r="G263" s="21" t="n">
        <f aca="false">IF(AND(C263=0,E263=0),0,IF(C263=0,"New",(E263-C263)/C263))</f>
        <v>-1</v>
      </c>
      <c r="H263" s="12" t="n">
        <f aca="false">SUMIFS('BE Raw'!$D$6:$D$615,'BE Raw'!$E$6:$E$615,$A263,'BE Raw'!$B$6:$B$615,2025)</f>
        <v>-189</v>
      </c>
      <c r="I263" s="12" t="n">
        <f aca="false">SUMIFS('BE Raw'!$D$6:$D$615,'BE Raw'!$E$6:$E$615,$A263,'BE Raw'!$B$6:$B$615,2026)</f>
        <v>0</v>
      </c>
      <c r="J263" s="12" t="n">
        <f aca="false">I263*$J$5</f>
        <v>0</v>
      </c>
    </row>
    <row r="264" customFormat="false" ht="15" hidden="false" customHeight="true" outlineLevel="0" collapsed="false">
      <c r="A264" s="12" t="n">
        <v>4413419</v>
      </c>
      <c r="B264" s="12" t="str">
        <f aca="false">IFERROR(INDEX('Catalog'!$B:$B,MATCH($A264,'Catalog'!$A:$A,0)),"")</f>
        <v>SC39 XXLמגן שוק</v>
      </c>
      <c r="C264" s="12" t="n">
        <f aca="false">SUMIFS('BE Raw'!$C$6:$C$615,'BE Raw'!$E$6:$E$615,$A264,'BE Raw'!$B$6:$B$615,2025)</f>
        <v>-4</v>
      </c>
      <c r="D264" s="12" t="n">
        <f aca="false">SUMIFS('BE Raw'!$C$6:$C$615,'BE Raw'!$E$6:$E$615,$A264,'BE Raw'!$B$6:$B$615,2026)</f>
        <v>2</v>
      </c>
      <c r="E264" s="12" t="n">
        <f aca="false">D264*$J$5</f>
        <v>2.52631578947368</v>
      </c>
      <c r="F264" s="12" t="n">
        <f aca="false">E264-C264</f>
        <v>6.52631578947368</v>
      </c>
      <c r="G264" s="21" t="n">
        <f aca="false">IF(AND(C264=0,E264=0),0,IF(C264=0,"New",(E264-C264)/C264))</f>
        <v>-1.63157894736842</v>
      </c>
      <c r="H264" s="12" t="n">
        <f aca="false">SUMIFS('BE Raw'!$D$6:$D$615,'BE Raw'!$E$6:$E$615,$A264,'BE Raw'!$B$6:$B$615,2025)</f>
        <v>-596.3</v>
      </c>
      <c r="I264" s="12" t="n">
        <f aca="false">SUMIFS('BE Raw'!$D$6:$D$615,'BE Raw'!$E$6:$E$615,$A264,'BE Raw'!$B$6:$B$615,2026)</f>
        <v>271.5</v>
      </c>
      <c r="J264" s="12" t="n">
        <f aca="false">I264*$J$5</f>
        <v>342.947368421053</v>
      </c>
    </row>
    <row r="265" customFormat="false" ht="15" hidden="false" customHeight="true" outlineLevel="0" collapsed="false">
      <c r="A265" s="12" t="n">
        <v>4413421</v>
      </c>
      <c r="B265" s="12" t="str">
        <f aca="false">IFERROR(INDEX('Catalog'!$B:$B,MATCH($A265,'Catalog'!$A:$A,0)),"")</f>
        <v>SC35L  M מגן קרסול שמאל</v>
      </c>
      <c r="C265" s="12" t="n">
        <f aca="false">SUMIFS('BE Raw'!$C$6:$C$615,'BE Raw'!$E$6:$E$615,$A265,'BE Raw'!$B$6:$B$615,2025)</f>
        <v>7</v>
      </c>
      <c r="D265" s="12" t="n">
        <f aca="false">SUMIFS('BE Raw'!$C$6:$C$615,'BE Raw'!$E$6:$E$615,$A265,'BE Raw'!$B$6:$B$615,2026)</f>
        <v>8</v>
      </c>
      <c r="E265" s="12" t="n">
        <f aca="false">D265*$J$5</f>
        <v>10.1052631578947</v>
      </c>
      <c r="F265" s="12" t="n">
        <f aca="false">E265-C265</f>
        <v>3.10526315789474</v>
      </c>
      <c r="G265" s="21" t="n">
        <f aca="false">IF(AND(C265=0,E265=0),0,IF(C265=0,"New",(E265-C265)/C265))</f>
        <v>0.443609022556391</v>
      </c>
      <c r="H265" s="12" t="n">
        <f aca="false">SUMIFS('BE Raw'!$D$6:$D$615,'BE Raw'!$E$6:$E$615,$A265,'BE Raw'!$B$6:$B$615,2025)</f>
        <v>495.1</v>
      </c>
      <c r="I265" s="12" t="n">
        <f aca="false">SUMIFS('BE Raw'!$D$6:$D$615,'BE Raw'!$E$6:$E$615,$A265,'BE Raw'!$B$6:$B$615,2026)</f>
        <v>595.9</v>
      </c>
      <c r="J265" s="12" t="n">
        <f aca="false">I265*$J$5</f>
        <v>752.715789473684</v>
      </c>
    </row>
    <row r="266" customFormat="false" ht="15" hidden="false" customHeight="true" outlineLevel="0" collapsed="false">
      <c r="A266" s="12" t="n">
        <v>4413422</v>
      </c>
      <c r="B266" s="12" t="str">
        <f aca="false">IFERROR(INDEX('Catalog'!$B:$B,MATCH($A266,'Catalog'!$A:$A,0)),"")</f>
        <v>SC35L  L מגן קרסול שמאל</v>
      </c>
      <c r="C266" s="12" t="n">
        <f aca="false">SUMIFS('BE Raw'!$C$6:$C$615,'BE Raw'!$E$6:$E$615,$A266,'BE Raw'!$B$6:$B$615,2025)</f>
        <v>9</v>
      </c>
      <c r="D266" s="12" t="n">
        <f aca="false">SUMIFS('BE Raw'!$C$6:$C$615,'BE Raw'!$E$6:$E$615,$A266,'BE Raw'!$B$6:$B$615,2026)</f>
        <v>11</v>
      </c>
      <c r="E266" s="12" t="n">
        <f aca="false">D266*$J$5</f>
        <v>13.8947368421053</v>
      </c>
      <c r="F266" s="12" t="n">
        <f aca="false">E266-C266</f>
        <v>4.89473684210526</v>
      </c>
      <c r="G266" s="21" t="n">
        <f aca="false">IF(AND(C266=0,E266=0),0,IF(C266=0,"New",(E266-C266)/C266))</f>
        <v>0.543859649122807</v>
      </c>
      <c r="H266" s="12" t="n">
        <f aca="false">SUMIFS('BE Raw'!$D$6:$D$615,'BE Raw'!$E$6:$E$615,$A266,'BE Raw'!$B$6:$B$615,2025)</f>
        <v>644.2</v>
      </c>
      <c r="I266" s="12" t="n">
        <f aca="false">SUMIFS('BE Raw'!$D$6:$D$615,'BE Raw'!$E$6:$E$615,$A266,'BE Raw'!$B$6:$B$615,2026)</f>
        <v>819.4</v>
      </c>
      <c r="J266" s="12" t="n">
        <f aca="false">I266*$J$5</f>
        <v>1035.03157894737</v>
      </c>
    </row>
    <row r="267" customFormat="false" ht="15" hidden="false" customHeight="true" outlineLevel="0" collapsed="false">
      <c r="A267" s="12" t="n">
        <v>4413423</v>
      </c>
      <c r="B267" s="12" t="str">
        <f aca="false">IFERROR(INDEX('Catalog'!$B:$B,MATCH($A267,'Catalog'!$A:$A,0)),"")</f>
        <v>SC35L XL מגן קרסול שמאל</v>
      </c>
      <c r="C267" s="12" t="n">
        <f aca="false">SUMIFS('BE Raw'!$C$6:$C$615,'BE Raw'!$E$6:$E$615,$A267,'BE Raw'!$B$6:$B$615,2025)</f>
        <v>4</v>
      </c>
      <c r="D267" s="12" t="n">
        <f aca="false">SUMIFS('BE Raw'!$C$6:$C$615,'BE Raw'!$E$6:$E$615,$A267,'BE Raw'!$B$6:$B$615,2026)</f>
        <v>6</v>
      </c>
      <c r="E267" s="12" t="n">
        <f aca="false">D267*$J$5</f>
        <v>7.57894736842105</v>
      </c>
      <c r="F267" s="12" t="n">
        <f aca="false">E267-C267</f>
        <v>3.57894736842105</v>
      </c>
      <c r="G267" s="21" t="n">
        <f aca="false">IF(AND(C267=0,E267=0),0,IF(C267=0,"New",(E267-C267)/C267))</f>
        <v>0.894736842105263</v>
      </c>
      <c r="H267" s="12" t="n">
        <f aca="false">SUMIFS('BE Raw'!$D$6:$D$615,'BE Raw'!$E$6:$E$615,$A267,'BE Raw'!$B$6:$B$615,2025)</f>
        <v>245.4</v>
      </c>
      <c r="I267" s="12" t="n">
        <f aca="false">SUMIFS('BE Raw'!$D$6:$D$615,'BE Raw'!$E$6:$E$615,$A267,'BE Raw'!$B$6:$B$615,2026)</f>
        <v>446.9</v>
      </c>
      <c r="J267" s="12" t="n">
        <f aca="false">I267*$J$5</f>
        <v>564.505263157895</v>
      </c>
    </row>
    <row r="268" customFormat="false" ht="15" hidden="false" customHeight="true" outlineLevel="0" collapsed="false">
      <c r="A268" s="12" t="n">
        <v>4413425</v>
      </c>
      <c r="B268" s="12" t="str">
        <f aca="false">IFERROR(INDEX('Catalog'!$B:$B,MATCH($A268,'Catalog'!$A:$A,0)),"")</f>
        <v>SC35R  M מגן קרסול ימין</v>
      </c>
      <c r="C268" s="12" t="n">
        <f aca="false">SUMIFS('BE Raw'!$C$6:$C$615,'BE Raw'!$E$6:$E$615,$A268,'BE Raw'!$B$6:$B$615,2025)</f>
        <v>0</v>
      </c>
      <c r="D268" s="12" t="n">
        <f aca="false">SUMIFS('BE Raw'!$C$6:$C$615,'BE Raw'!$E$6:$E$615,$A268,'BE Raw'!$B$6:$B$615,2026)</f>
        <v>9</v>
      </c>
      <c r="E268" s="12" t="n">
        <f aca="false">D268*$J$5</f>
        <v>11.3684210526316</v>
      </c>
      <c r="F268" s="12" t="n">
        <f aca="false">E268-C268</f>
        <v>11.3684210526316</v>
      </c>
      <c r="G268" s="21" t="str">
        <f aca="false">IF(AND(C268=0,E268=0),0,IF(C268=0,"New",(E268-C268)/C268))</f>
        <v>New</v>
      </c>
      <c r="H268" s="12" t="n">
        <f aca="false">SUMIFS('BE Raw'!$D$6:$D$615,'BE Raw'!$E$6:$E$615,$A268,'BE Raw'!$B$6:$B$615,2025)</f>
        <v>-26.3</v>
      </c>
      <c r="I268" s="12" t="n">
        <f aca="false">SUMIFS('BE Raw'!$D$6:$D$615,'BE Raw'!$E$6:$E$615,$A268,'BE Raw'!$B$6:$B$615,2026)</f>
        <v>670.5</v>
      </c>
      <c r="J268" s="12" t="n">
        <f aca="false">I268*$J$5</f>
        <v>846.947368421053</v>
      </c>
    </row>
    <row r="269" customFormat="false" ht="15" hidden="false" customHeight="true" outlineLevel="0" collapsed="false">
      <c r="A269" s="12" t="n">
        <v>4413426</v>
      </c>
      <c r="B269" s="12" t="str">
        <f aca="false">IFERROR(INDEX('Catalog'!$B:$B,MATCH($A269,'Catalog'!$A:$A,0)),"")</f>
        <v>SC35R  L מגן קרסול ימין</v>
      </c>
      <c r="C269" s="12" t="n">
        <f aca="false">SUMIFS('BE Raw'!$C$6:$C$615,'BE Raw'!$E$6:$E$615,$A269,'BE Raw'!$B$6:$B$615,2025)</f>
        <v>-3</v>
      </c>
      <c r="D269" s="12" t="n">
        <f aca="false">SUMIFS('BE Raw'!$C$6:$C$615,'BE Raw'!$E$6:$E$615,$A269,'BE Raw'!$B$6:$B$615,2026)</f>
        <v>4</v>
      </c>
      <c r="E269" s="12" t="n">
        <f aca="false">D269*$J$5</f>
        <v>5.05263157894737</v>
      </c>
      <c r="F269" s="12" t="n">
        <f aca="false">E269-C269</f>
        <v>8.05263157894737</v>
      </c>
      <c r="G269" s="21" t="n">
        <f aca="false">IF(AND(C269=0,E269=0),0,IF(C269=0,"New",(E269-C269)/C269))</f>
        <v>-2.68421052631579</v>
      </c>
      <c r="H269" s="12" t="n">
        <f aca="false">SUMIFS('BE Raw'!$D$6:$D$615,'BE Raw'!$E$6:$E$615,$A269,'BE Raw'!$B$6:$B$615,2025)</f>
        <v>-276.1</v>
      </c>
      <c r="I269" s="12" t="n">
        <f aca="false">SUMIFS('BE Raw'!$D$6:$D$615,'BE Raw'!$E$6:$E$615,$A269,'BE Raw'!$B$6:$B$615,2026)</f>
        <v>298</v>
      </c>
      <c r="J269" s="12" t="n">
        <f aca="false">I269*$J$5</f>
        <v>376.421052631579</v>
      </c>
    </row>
    <row r="270" customFormat="false" ht="15" hidden="false" customHeight="true" outlineLevel="0" collapsed="false">
      <c r="A270" s="12" t="n">
        <v>4413427</v>
      </c>
      <c r="B270" s="12" t="str">
        <f aca="false">IFERROR(INDEX('Catalog'!$B:$B,MATCH($A270,'Catalog'!$A:$A,0)),"")</f>
        <v>SC35R  XLמגן קרסול ימין</v>
      </c>
      <c r="C270" s="12" t="n">
        <f aca="false">SUMIFS('BE Raw'!$C$6:$C$615,'BE Raw'!$E$6:$E$615,$A270,'BE Raw'!$B$6:$B$615,2025)</f>
        <v>-1</v>
      </c>
      <c r="D270" s="12" t="n">
        <f aca="false">SUMIFS('BE Raw'!$C$6:$C$615,'BE Raw'!$E$6:$E$615,$A270,'BE Raw'!$B$6:$B$615,2026)</f>
        <v>6</v>
      </c>
      <c r="E270" s="12" t="n">
        <f aca="false">D270*$J$5</f>
        <v>7.57894736842105</v>
      </c>
      <c r="F270" s="12" t="n">
        <f aca="false">E270-C270</f>
        <v>8.57894736842105</v>
      </c>
      <c r="G270" s="21" t="n">
        <f aca="false">IF(AND(C270=0,E270=0),0,IF(C270=0,"New",(E270-C270)/C270))</f>
        <v>-8.57894736842105</v>
      </c>
      <c r="H270" s="12" t="n">
        <f aca="false">SUMIFS('BE Raw'!$D$6:$D$615,'BE Raw'!$E$6:$E$615,$A270,'BE Raw'!$B$6:$B$615,2025)</f>
        <v>-127.1</v>
      </c>
      <c r="I270" s="12" t="n">
        <f aca="false">SUMIFS('BE Raw'!$D$6:$D$615,'BE Raw'!$E$6:$E$615,$A270,'BE Raw'!$B$6:$B$615,2026)</f>
        <v>447</v>
      </c>
      <c r="J270" s="12" t="n">
        <f aca="false">I270*$J$5</f>
        <v>564.631578947368</v>
      </c>
    </row>
    <row r="271" customFormat="false" ht="15" hidden="false" customHeight="true" outlineLevel="0" collapsed="false">
      <c r="A271" s="12" t="n">
        <v>4413439</v>
      </c>
      <c r="B271" s="12" t="str">
        <f aca="false">IFERROR(INDEX('Catalog'!$B:$B,MATCH($A271,'Catalog'!$A:$A,0)),"")</f>
        <v>SC422  M מגן ברך</v>
      </c>
      <c r="C271" s="12" t="n">
        <f aca="false">SUMIFS('BE Raw'!$C$6:$C$615,'BE Raw'!$E$6:$E$615,$A271,'BE Raw'!$B$6:$B$615,2025)</f>
        <v>5</v>
      </c>
      <c r="D271" s="12" t="n">
        <f aca="false">SUMIFS('BE Raw'!$C$6:$C$615,'BE Raw'!$E$6:$E$615,$A271,'BE Raw'!$B$6:$B$615,2026)</f>
        <v>18</v>
      </c>
      <c r="E271" s="12" t="n">
        <f aca="false">D271*$J$5</f>
        <v>22.7368421052632</v>
      </c>
      <c r="F271" s="12" t="n">
        <f aca="false">E271-C271</f>
        <v>17.7368421052632</v>
      </c>
      <c r="G271" s="21" t="n">
        <f aca="false">IF(AND(C271=0,E271=0),0,IF(C271=0,"New",(E271-C271)/C271))</f>
        <v>3.54736842105263</v>
      </c>
      <c r="H271" s="12" t="n">
        <f aca="false">SUMIFS('BE Raw'!$D$6:$D$615,'BE Raw'!$E$6:$E$615,$A271,'BE Raw'!$B$6:$B$615,2025)</f>
        <v>537.9</v>
      </c>
      <c r="I271" s="12" t="n">
        <f aca="false">SUMIFS('BE Raw'!$D$6:$D$615,'BE Raw'!$E$6:$E$615,$A271,'BE Raw'!$B$6:$B$615,2026)</f>
        <v>2443.7</v>
      </c>
      <c r="J271" s="12" t="n">
        <f aca="false">I271*$J$5</f>
        <v>3086.77894736842</v>
      </c>
    </row>
    <row r="272" customFormat="false" ht="15" hidden="false" customHeight="true" outlineLevel="0" collapsed="false">
      <c r="A272" s="12" t="n">
        <v>4413440</v>
      </c>
      <c r="B272" s="12" t="str">
        <f aca="false">IFERROR(INDEX('Catalog'!$B:$B,MATCH($A272,'Catalog'!$A:$A,0)),"")</f>
        <v>SC422  L מגן ברך</v>
      </c>
      <c r="C272" s="12" t="n">
        <f aca="false">SUMIFS('BE Raw'!$C$6:$C$615,'BE Raw'!$E$6:$E$615,$A272,'BE Raw'!$B$6:$B$615,2025)</f>
        <v>8</v>
      </c>
      <c r="D272" s="12" t="n">
        <f aca="false">SUMIFS('BE Raw'!$C$6:$C$615,'BE Raw'!$E$6:$E$615,$A272,'BE Raw'!$B$6:$B$615,2026)</f>
        <v>14</v>
      </c>
      <c r="E272" s="12" t="n">
        <f aca="false">D272*$J$5</f>
        <v>17.6842105263158</v>
      </c>
      <c r="F272" s="12" t="n">
        <f aca="false">E272-C272</f>
        <v>9.68421052631579</v>
      </c>
      <c r="G272" s="21" t="n">
        <f aca="false">IF(AND(C272=0,E272=0),0,IF(C272=0,"New",(E272-C272)/C272))</f>
        <v>1.21052631578947</v>
      </c>
      <c r="H272" s="12" t="n">
        <f aca="false">SUMIFS('BE Raw'!$D$6:$D$615,'BE Raw'!$E$6:$E$615,$A272,'BE Raw'!$B$6:$B$615,2025)</f>
        <v>992.1</v>
      </c>
      <c r="I272" s="12" t="n">
        <f aca="false">SUMIFS('BE Raw'!$D$6:$D$615,'BE Raw'!$E$6:$E$615,$A272,'BE Raw'!$B$6:$B$615,2026)</f>
        <v>1900.6</v>
      </c>
      <c r="J272" s="12" t="n">
        <f aca="false">I272*$J$5</f>
        <v>2400.75789473684</v>
      </c>
    </row>
    <row r="273" customFormat="false" ht="15" hidden="false" customHeight="true" outlineLevel="0" collapsed="false">
      <c r="A273" s="12" t="n">
        <v>4413441</v>
      </c>
      <c r="B273" s="12" t="str">
        <f aca="false">IFERROR(INDEX('Catalog'!$B:$B,MATCH($A273,'Catalog'!$A:$A,0)),"")</f>
        <v>SC422 XL מגן ברך</v>
      </c>
      <c r="C273" s="12" t="n">
        <f aca="false">SUMIFS('BE Raw'!$C$6:$C$615,'BE Raw'!$E$6:$E$615,$A273,'BE Raw'!$B$6:$B$615,2025)</f>
        <v>1</v>
      </c>
      <c r="D273" s="12" t="n">
        <f aca="false">SUMIFS('BE Raw'!$C$6:$C$615,'BE Raw'!$E$6:$E$615,$A273,'BE Raw'!$B$6:$B$615,2026)</f>
        <v>14</v>
      </c>
      <c r="E273" s="12" t="n">
        <f aca="false">D273*$J$5</f>
        <v>17.6842105263158</v>
      </c>
      <c r="F273" s="12" t="n">
        <f aca="false">E273-C273</f>
        <v>16.6842105263158</v>
      </c>
      <c r="G273" s="21" t="n">
        <f aca="false">IF(AND(C273=0,E273=0),0,IF(C273=0,"New",(E273-C273)/C273))</f>
        <v>16.6842105263158</v>
      </c>
      <c r="H273" s="12" t="n">
        <f aca="false">SUMIFS('BE Raw'!$D$6:$D$615,'BE Raw'!$E$6:$E$615,$A273,'BE Raw'!$B$6:$B$615,2025)</f>
        <v>135.7</v>
      </c>
      <c r="I273" s="12" t="n">
        <f aca="false">SUMIFS('BE Raw'!$D$6:$D$615,'BE Raw'!$E$6:$E$615,$A273,'BE Raw'!$B$6:$B$615,2026)</f>
        <v>1900.7</v>
      </c>
      <c r="J273" s="12" t="n">
        <f aca="false">I273*$J$5</f>
        <v>2400.88421052632</v>
      </c>
    </row>
    <row r="274" customFormat="false" ht="15" hidden="false" customHeight="true" outlineLevel="0" collapsed="false">
      <c r="A274" s="12" t="n">
        <v>4413442</v>
      </c>
      <c r="B274" s="12" t="str">
        <f aca="false">IFERROR(INDEX('Catalog'!$B:$B,MATCH($A274,'Catalog'!$A:$A,0)),"")</f>
        <v>SC422 XXLמגן ברך</v>
      </c>
      <c r="C274" s="12" t="n">
        <f aca="false">SUMIFS('BE Raw'!$C$6:$C$615,'BE Raw'!$E$6:$E$615,$A274,'BE Raw'!$B$6:$B$615,2025)</f>
        <v>0</v>
      </c>
      <c r="D274" s="12" t="n">
        <f aca="false">SUMIFS('BE Raw'!$C$6:$C$615,'BE Raw'!$E$6:$E$615,$A274,'BE Raw'!$B$6:$B$615,2026)</f>
        <v>9</v>
      </c>
      <c r="E274" s="12" t="n">
        <f aca="false">D274*$J$5</f>
        <v>11.3684210526316</v>
      </c>
      <c r="F274" s="12" t="n">
        <f aca="false">E274-C274</f>
        <v>11.3684210526316</v>
      </c>
      <c r="G274" s="21" t="str">
        <f aca="false">IF(AND(C274=0,E274=0),0,IF(C274=0,"New",(E274-C274)/C274))</f>
        <v>New</v>
      </c>
      <c r="H274" s="12" t="n">
        <f aca="false">SUMIFS('BE Raw'!$D$6:$D$615,'BE Raw'!$E$6:$E$615,$A274,'BE Raw'!$B$6:$B$615,2025)</f>
        <v>-94</v>
      </c>
      <c r="I274" s="12" t="n">
        <f aca="false">SUMIFS('BE Raw'!$D$6:$D$615,'BE Raw'!$E$6:$E$615,$A274,'BE Raw'!$B$6:$B$615,2026)</f>
        <v>1221.9</v>
      </c>
      <c r="J274" s="12" t="n">
        <f aca="false">I274*$J$5</f>
        <v>1543.45263157895</v>
      </c>
    </row>
    <row r="275" customFormat="false" ht="15" hidden="false" customHeight="true" outlineLevel="0" collapsed="false">
      <c r="A275" s="12" t="n">
        <v>4413444</v>
      </c>
      <c r="B275" s="12" t="str">
        <f aca="false">IFERROR(INDEX('Catalog'!$B:$B,MATCH($A275,'Catalog'!$A:$A,0)),"")</f>
        <v>302SP M מדרס ג'ל ספורט לגבר</v>
      </c>
      <c r="C275" s="12" t="n">
        <f aca="false">SUMIFS('BE Raw'!$C$6:$C$615,'BE Raw'!$E$6:$E$615,$A275,'BE Raw'!$B$6:$B$615,2025)</f>
        <v>-1</v>
      </c>
      <c r="D275" s="12" t="n">
        <f aca="false">SUMIFS('BE Raw'!$C$6:$C$615,'BE Raw'!$E$6:$E$615,$A275,'BE Raw'!$B$6:$B$615,2026)</f>
        <v>-1</v>
      </c>
      <c r="E275" s="12" t="n">
        <f aca="false">D275*$J$5</f>
        <v>-1.26315789473684</v>
      </c>
      <c r="F275" s="12" t="n">
        <f aca="false">E275-C275</f>
        <v>-0.263157894736842</v>
      </c>
      <c r="G275" s="21" t="n">
        <f aca="false">IF(AND(C275=0,E275=0),0,IF(C275=0,"New",(E275-C275)/C275))</f>
        <v>0.263157894736842</v>
      </c>
      <c r="H275" s="12" t="n">
        <f aca="false">SUMIFS('BE Raw'!$D$6:$D$615,'BE Raw'!$E$6:$E$615,$A275,'BE Raw'!$B$6:$B$615,2025)</f>
        <v>-65.6</v>
      </c>
      <c r="I275" s="12" t="n">
        <f aca="false">SUMIFS('BE Raw'!$D$6:$D$615,'BE Raw'!$E$6:$E$615,$A275,'BE Raw'!$B$6:$B$615,2026)</f>
        <v>-65.6</v>
      </c>
      <c r="J275" s="12" t="n">
        <f aca="false">I275*$J$5</f>
        <v>-82.8631578947368</v>
      </c>
    </row>
    <row r="276" customFormat="false" ht="15" hidden="false" customHeight="true" outlineLevel="0" collapsed="false">
      <c r="A276" s="12" t="n">
        <v>4413445</v>
      </c>
      <c r="B276" s="12" t="str">
        <f aca="false">IFERROR(INDEX('Catalog'!$B:$B,MATCH($A276,'Catalog'!$A:$A,0)),"")</f>
        <v>302SP Wמדרס ג'ל ספורט לאישה</v>
      </c>
      <c r="C276" s="12" t="n">
        <f aca="false">SUMIFS('BE Raw'!$C$6:$C$615,'BE Raw'!$E$6:$E$615,$A276,'BE Raw'!$B$6:$B$615,2025)</f>
        <v>3</v>
      </c>
      <c r="D276" s="12" t="n">
        <f aca="false">SUMIFS('BE Raw'!$C$6:$C$615,'BE Raw'!$E$6:$E$615,$A276,'BE Raw'!$B$6:$B$615,2026)</f>
        <v>3</v>
      </c>
      <c r="E276" s="12" t="n">
        <f aca="false">D276*$J$5</f>
        <v>3.78947368421053</v>
      </c>
      <c r="F276" s="12" t="n">
        <f aca="false">E276-C276</f>
        <v>0.789473684210526</v>
      </c>
      <c r="G276" s="21" t="n">
        <f aca="false">IF(AND(C276=0,E276=0),0,IF(C276=0,"New",(E276-C276)/C276))</f>
        <v>0.263157894736842</v>
      </c>
      <c r="H276" s="12" t="n">
        <f aca="false">SUMIFS('BE Raw'!$D$6:$D$615,'BE Raw'!$E$6:$E$615,$A276,'BE Raw'!$B$6:$B$615,2025)</f>
        <v>197</v>
      </c>
      <c r="I276" s="12" t="n">
        <f aca="false">SUMIFS('BE Raw'!$D$6:$D$615,'BE Raw'!$E$6:$E$615,$A276,'BE Raw'!$B$6:$B$615,2026)</f>
        <v>196.9</v>
      </c>
      <c r="J276" s="12" t="n">
        <f aca="false">I276*$J$5</f>
        <v>248.715789473684</v>
      </c>
    </row>
    <row r="277" customFormat="false" ht="15" hidden="false" customHeight="true" outlineLevel="0" collapsed="false">
      <c r="A277" s="12" t="n">
        <v>4413452</v>
      </c>
      <c r="B277" s="12" t="str">
        <f aca="false">IFERROR(INDEX('Catalog'!$B:$B,MATCH($A277,'Catalog'!$A:$A,0)),"")</f>
        <v>386  מיישר בוניון-האלוקס ולגוס</v>
      </c>
      <c r="C277" s="12" t="n">
        <f aca="false">SUMIFS('BE Raw'!$C$6:$C$615,'BE Raw'!$E$6:$E$615,$A277,'BE Raw'!$B$6:$B$615,2025)</f>
        <v>28</v>
      </c>
      <c r="D277" s="12" t="n">
        <f aca="false">SUMIFS('BE Raw'!$C$6:$C$615,'BE Raw'!$E$6:$E$615,$A277,'BE Raw'!$B$6:$B$615,2026)</f>
        <v>27</v>
      </c>
      <c r="E277" s="12" t="n">
        <f aca="false">D277*$J$5</f>
        <v>34.1052631578947</v>
      </c>
      <c r="F277" s="12" t="n">
        <f aca="false">E277-C277</f>
        <v>6.10526315789473</v>
      </c>
      <c r="G277" s="21" t="n">
        <f aca="false">IF(AND(C277=0,E277=0),0,IF(C277=0,"New",(E277-C277)/C277))</f>
        <v>0.218045112781955</v>
      </c>
      <c r="H277" s="12" t="n">
        <f aca="false">SUMIFS('BE Raw'!$D$6:$D$615,'BE Raw'!$E$6:$E$615,$A277,'BE Raw'!$B$6:$B$615,2025)</f>
        <v>1234.2</v>
      </c>
      <c r="I277" s="12" t="n">
        <f aca="false">SUMIFS('BE Raw'!$D$6:$D$615,'BE Raw'!$E$6:$E$615,$A277,'BE Raw'!$B$6:$B$615,2026)</f>
        <v>1190.2</v>
      </c>
      <c r="J277" s="12" t="n">
        <f aca="false">I277*$J$5</f>
        <v>1503.41052631579</v>
      </c>
    </row>
    <row r="278" customFormat="false" ht="15" hidden="false" customHeight="true" outlineLevel="0" collapsed="false">
      <c r="A278" s="12" t="n">
        <v>4413453</v>
      </c>
      <c r="B278" s="12" t="str">
        <f aca="false">IFERROR(INDEX('Catalog'!$B:$B,MATCH($A278,'Catalog'!$A:$A,0)),"")</f>
        <v>AC75 מישר כתפיים אקטיב</v>
      </c>
      <c r="C278" s="12" t="n">
        <f aca="false">SUMIFS('BE Raw'!$C$6:$C$615,'BE Raw'!$E$6:$E$615,$A278,'BE Raw'!$B$6:$B$615,2025)</f>
        <v>66</v>
      </c>
      <c r="D278" s="12" t="n">
        <f aca="false">SUMIFS('BE Raw'!$C$6:$C$615,'BE Raw'!$E$6:$E$615,$A278,'BE Raw'!$B$6:$B$615,2026)</f>
        <v>79</v>
      </c>
      <c r="E278" s="12" t="n">
        <f aca="false">D278*$J$5</f>
        <v>99.7894736842105</v>
      </c>
      <c r="F278" s="12" t="n">
        <f aca="false">E278-C278</f>
        <v>33.7894736842105</v>
      </c>
      <c r="G278" s="21" t="n">
        <f aca="false">IF(AND(C278=0,E278=0),0,IF(C278=0,"New",(E278-C278)/C278))</f>
        <v>0.511961722488038</v>
      </c>
      <c r="H278" s="12" t="n">
        <f aca="false">SUMIFS('BE Raw'!$D$6:$D$615,'BE Raw'!$E$6:$E$615,$A278,'BE Raw'!$B$6:$B$615,2025)</f>
        <v>5247</v>
      </c>
      <c r="I278" s="12" t="n">
        <f aca="false">SUMIFS('BE Raw'!$D$6:$D$615,'BE Raw'!$E$6:$E$615,$A278,'BE Raw'!$B$6:$B$615,2026)</f>
        <v>6280.5</v>
      </c>
      <c r="J278" s="12" t="n">
        <f aca="false">I278*$J$5</f>
        <v>7933.26315789474</v>
      </c>
    </row>
    <row r="279" customFormat="false" ht="15" hidden="false" customHeight="true" outlineLevel="0" collapsed="false">
      <c r="A279" s="12" t="n">
        <v>4413455</v>
      </c>
      <c r="B279" s="12" t="str">
        <f aca="false">IFERROR(INDEX('Catalog'!$B:$B,MATCH($A279,'Catalog'!$A:$A,0)),"")</f>
        <v>85K מתלה ליד לילדים</v>
      </c>
      <c r="C279" s="12" t="n">
        <f aca="false">SUMIFS('BE Raw'!$C$6:$C$615,'BE Raw'!$E$6:$E$615,$A279,'BE Raw'!$B$6:$B$615,2025)</f>
        <v>15</v>
      </c>
      <c r="D279" s="12" t="n">
        <f aca="false">SUMIFS('BE Raw'!$C$6:$C$615,'BE Raw'!$E$6:$E$615,$A279,'BE Raw'!$B$6:$B$615,2026)</f>
        <v>16</v>
      </c>
      <c r="E279" s="12" t="n">
        <f aca="false">D279*$J$5</f>
        <v>20.2105263157895</v>
      </c>
      <c r="F279" s="12" t="n">
        <f aca="false">E279-C279</f>
        <v>5.21052631578947</v>
      </c>
      <c r="G279" s="21" t="n">
        <f aca="false">IF(AND(C279=0,E279=0),0,IF(C279=0,"New",(E279-C279)/C279))</f>
        <v>0.347368421052632</v>
      </c>
      <c r="H279" s="12" t="n">
        <f aca="false">SUMIFS('BE Raw'!$D$6:$D$615,'BE Raw'!$E$6:$E$615,$A279,'BE Raw'!$B$6:$B$615,2025)</f>
        <v>727.4</v>
      </c>
      <c r="I279" s="12" t="n">
        <f aca="false">SUMIFS('BE Raw'!$D$6:$D$615,'BE Raw'!$E$6:$E$615,$A279,'BE Raw'!$B$6:$B$615,2026)</f>
        <v>775.9</v>
      </c>
      <c r="J279" s="12" t="n">
        <f aca="false">I279*$J$5</f>
        <v>980.084210526316</v>
      </c>
    </row>
    <row r="280" customFormat="false" ht="15" hidden="false" customHeight="true" outlineLevel="0" collapsed="false">
      <c r="A280" s="12" t="n">
        <v>4413495</v>
      </c>
      <c r="B280" s="12" t="str">
        <f aca="false">IFERROR(INDEX('Catalog'!$B:$B,MATCH($A280,'Catalog'!$A:$A,0)),"")</f>
        <v>45B L מגן ברך שחור</v>
      </c>
      <c r="C280" s="12" t="n">
        <f aca="false">SUMIFS('BE Raw'!$C$6:$C$615,'BE Raw'!$E$6:$E$615,$A280,'BE Raw'!$B$6:$B$615,2025)</f>
        <v>44</v>
      </c>
      <c r="D280" s="12" t="n">
        <f aca="false">SUMIFS('BE Raw'!$C$6:$C$615,'BE Raw'!$E$6:$E$615,$A280,'BE Raw'!$B$6:$B$615,2026)</f>
        <v>30</v>
      </c>
      <c r="E280" s="12" t="n">
        <f aca="false">D280*$J$5</f>
        <v>37.8947368421053</v>
      </c>
      <c r="F280" s="12" t="n">
        <f aca="false">E280-C280</f>
        <v>-6.10526315789474</v>
      </c>
      <c r="G280" s="21" t="n">
        <f aca="false">IF(AND(C280=0,E280=0),0,IF(C280=0,"New",(E280-C280)/C280))</f>
        <v>-0.138755980861244</v>
      </c>
      <c r="H280" s="12" t="n">
        <f aca="false">SUMIFS('BE Raw'!$D$6:$D$615,'BE Raw'!$E$6:$E$615,$A280,'BE Raw'!$B$6:$B$615,2025)</f>
        <v>1221</v>
      </c>
      <c r="I280" s="12" t="n">
        <f aca="false">SUMIFS('BE Raw'!$D$6:$D$615,'BE Raw'!$E$6:$E$615,$A280,'BE Raw'!$B$6:$B$615,2026)</f>
        <v>832.6</v>
      </c>
      <c r="J280" s="12" t="n">
        <f aca="false">I280*$J$5</f>
        <v>1051.70526315789</v>
      </c>
    </row>
    <row r="281" customFormat="false" ht="15" hidden="false" customHeight="true" outlineLevel="0" collapsed="false">
      <c r="A281" s="12" t="n">
        <v>4413496</v>
      </c>
      <c r="B281" s="12" t="str">
        <f aca="false">IFERROR(INDEX('Catalog'!$B:$B,MATCH($A281,'Catalog'!$A:$A,0)),"")</f>
        <v>45B XL מגן ברך שחור</v>
      </c>
      <c r="C281" s="12" t="n">
        <f aca="false">SUMIFS('BE Raw'!$C$6:$C$615,'BE Raw'!$E$6:$E$615,$A281,'BE Raw'!$B$6:$B$615,2025)</f>
        <v>13</v>
      </c>
      <c r="D281" s="12" t="n">
        <f aca="false">SUMIFS('BE Raw'!$C$6:$C$615,'BE Raw'!$E$6:$E$615,$A281,'BE Raw'!$B$6:$B$615,2026)</f>
        <v>19</v>
      </c>
      <c r="E281" s="12" t="n">
        <f aca="false">D281*$J$5</f>
        <v>24</v>
      </c>
      <c r="F281" s="12" t="n">
        <f aca="false">E281-C281</f>
        <v>11</v>
      </c>
      <c r="G281" s="21" t="n">
        <f aca="false">IF(AND(C281=0,E281=0),0,IF(C281=0,"New",(E281-C281)/C281))</f>
        <v>0.846153846153846</v>
      </c>
      <c r="H281" s="12" t="n">
        <f aca="false">SUMIFS('BE Raw'!$D$6:$D$615,'BE Raw'!$E$6:$E$615,$A281,'BE Raw'!$B$6:$B$615,2025)</f>
        <v>360.8</v>
      </c>
      <c r="I281" s="12" t="n">
        <f aca="false">SUMIFS('BE Raw'!$D$6:$D$615,'BE Raw'!$E$6:$E$615,$A281,'BE Raw'!$B$6:$B$615,2026)</f>
        <v>527.3</v>
      </c>
      <c r="J281" s="12" t="n">
        <f aca="false">I281*$J$5</f>
        <v>666.063157894737</v>
      </c>
    </row>
    <row r="282" customFormat="false" ht="15" hidden="false" customHeight="true" outlineLevel="0" collapsed="false">
      <c r="A282" s="12" t="n">
        <v>4413497</v>
      </c>
      <c r="B282" s="12" t="str">
        <f aca="false">IFERROR(INDEX('Catalog'!$B:$B,MATCH($A282,'Catalog'!$A:$A,0)),"")</f>
        <v>45B M מגן ברך שחור</v>
      </c>
      <c r="C282" s="12" t="n">
        <f aca="false">SUMIFS('BE Raw'!$C$6:$C$615,'BE Raw'!$E$6:$E$615,$A282,'BE Raw'!$B$6:$B$615,2025)</f>
        <v>40</v>
      </c>
      <c r="D282" s="12" t="n">
        <f aca="false">SUMIFS('BE Raw'!$C$6:$C$615,'BE Raw'!$E$6:$E$615,$A282,'BE Raw'!$B$6:$B$615,2026)</f>
        <v>21</v>
      </c>
      <c r="E282" s="12" t="n">
        <f aca="false">D282*$J$5</f>
        <v>26.5263157894737</v>
      </c>
      <c r="F282" s="12" t="n">
        <f aca="false">E282-C282</f>
        <v>-13.4736842105263</v>
      </c>
      <c r="G282" s="21" t="n">
        <f aca="false">IF(AND(C282=0,E282=0),0,IF(C282=0,"New",(E282-C282)/C282))</f>
        <v>-0.336842105263158</v>
      </c>
      <c r="H282" s="12" t="n">
        <f aca="false">SUMIFS('BE Raw'!$D$6:$D$615,'BE Raw'!$E$6:$E$615,$A282,'BE Raw'!$B$6:$B$615,2025)</f>
        <v>1110.1</v>
      </c>
      <c r="I282" s="12" t="n">
        <f aca="false">SUMIFS('BE Raw'!$D$6:$D$615,'BE Raw'!$E$6:$E$615,$A282,'BE Raw'!$B$6:$B$615,2026)</f>
        <v>582.8</v>
      </c>
      <c r="J282" s="12" t="n">
        <f aca="false">I282*$J$5</f>
        <v>736.168421052632</v>
      </c>
    </row>
    <row r="283" customFormat="false" ht="15" hidden="false" customHeight="true" outlineLevel="0" collapsed="false">
      <c r="A283" s="12" t="n">
        <v>4413498</v>
      </c>
      <c r="B283" s="12" t="str">
        <f aca="false">IFERROR(INDEX('Catalog'!$B:$B,MATCH($A283,'Catalog'!$A:$A,0)),"")</f>
        <v>45B S מגן ברך שחור</v>
      </c>
      <c r="C283" s="12" t="n">
        <f aca="false">SUMIFS('BE Raw'!$C$6:$C$615,'BE Raw'!$E$6:$E$615,$A283,'BE Raw'!$B$6:$B$615,2025)</f>
        <v>12</v>
      </c>
      <c r="D283" s="12" t="n">
        <f aca="false">SUMIFS('BE Raw'!$C$6:$C$615,'BE Raw'!$E$6:$E$615,$A283,'BE Raw'!$B$6:$B$615,2026)</f>
        <v>17</v>
      </c>
      <c r="E283" s="12" t="n">
        <f aca="false">D283*$J$5</f>
        <v>21.4736842105263</v>
      </c>
      <c r="F283" s="12" t="n">
        <f aca="false">E283-C283</f>
        <v>9.47368421052632</v>
      </c>
      <c r="G283" s="21" t="n">
        <f aca="false">IF(AND(C283=0,E283=0),0,IF(C283=0,"New",(E283-C283)/C283))</f>
        <v>0.789473684210526</v>
      </c>
      <c r="H283" s="12" t="n">
        <f aca="false">SUMIFS('BE Raw'!$D$6:$D$615,'BE Raw'!$E$6:$E$615,$A283,'BE Raw'!$B$6:$B$615,2025)</f>
        <v>333</v>
      </c>
      <c r="I283" s="12" t="n">
        <f aca="false">SUMIFS('BE Raw'!$D$6:$D$615,'BE Raw'!$E$6:$E$615,$A283,'BE Raw'!$B$6:$B$615,2026)</f>
        <v>471.8</v>
      </c>
      <c r="J283" s="12" t="n">
        <f aca="false">I283*$J$5</f>
        <v>595.957894736842</v>
      </c>
    </row>
    <row r="284" customFormat="false" ht="15" hidden="false" customHeight="true" outlineLevel="0" collapsed="false">
      <c r="A284" s="12" t="n">
        <v>4413499</v>
      </c>
      <c r="B284" s="12" t="str">
        <f aca="false">IFERROR(INDEX('Catalog'!$B:$B,MATCH($A284,'Catalog'!$A:$A,0)),"")</f>
        <v>45B XXLמגן ברך שחור</v>
      </c>
      <c r="C284" s="12" t="n">
        <f aca="false">SUMIFS('BE Raw'!$C$6:$C$615,'BE Raw'!$E$6:$E$615,$A284,'BE Raw'!$B$6:$B$615,2025)</f>
        <v>20</v>
      </c>
      <c r="D284" s="12" t="n">
        <f aca="false">SUMIFS('BE Raw'!$C$6:$C$615,'BE Raw'!$E$6:$E$615,$A284,'BE Raw'!$B$6:$B$615,2026)</f>
        <v>18</v>
      </c>
      <c r="E284" s="12" t="n">
        <f aca="false">D284*$J$5</f>
        <v>22.7368421052632</v>
      </c>
      <c r="F284" s="12" t="n">
        <f aca="false">E284-C284</f>
        <v>2.73684210526316</v>
      </c>
      <c r="G284" s="21" t="n">
        <f aca="false">IF(AND(C284=0,E284=0),0,IF(C284=0,"New",(E284-C284)/C284))</f>
        <v>0.136842105263158</v>
      </c>
      <c r="H284" s="12" t="n">
        <f aca="false">SUMIFS('BE Raw'!$D$6:$D$615,'BE Raw'!$E$6:$E$615,$A284,'BE Raw'!$B$6:$B$615,2025)</f>
        <v>555</v>
      </c>
      <c r="I284" s="12" t="n">
        <f aca="false">SUMIFS('BE Raw'!$D$6:$D$615,'BE Raw'!$E$6:$E$615,$A284,'BE Raw'!$B$6:$B$615,2026)</f>
        <v>499.6</v>
      </c>
      <c r="J284" s="12" t="n">
        <f aca="false">I284*$J$5</f>
        <v>631.073684210526</v>
      </c>
    </row>
    <row r="285" customFormat="false" ht="15" hidden="false" customHeight="true" outlineLevel="0" collapsed="false">
      <c r="A285" s="12" t="n">
        <v>4414000</v>
      </c>
      <c r="B285" s="12" t="str">
        <f aca="false">IFERROR(INDEX('Catalog'!$B:$B,MATCH($A285,'Catalog'!$A:$A,0)),"")</f>
        <v>FC342-נוזל לציפורן חודרנית</v>
      </c>
      <c r="C285" s="12" t="n">
        <f aca="false">SUMIFS('BE Raw'!$C$6:$C$615,'BE Raw'!$E$6:$E$615,$A285,'BE Raw'!$B$6:$B$615,2025)</f>
        <v>185</v>
      </c>
      <c r="D285" s="12" t="n">
        <f aca="false">SUMIFS('BE Raw'!$C$6:$C$615,'BE Raw'!$E$6:$E$615,$A285,'BE Raw'!$B$6:$B$615,2026)</f>
        <v>164</v>
      </c>
      <c r="E285" s="12" t="n">
        <f aca="false">D285*$J$5</f>
        <v>207.157894736842</v>
      </c>
      <c r="F285" s="12" t="n">
        <f aca="false">E285-C285</f>
        <v>22.1578947368421</v>
      </c>
      <c r="G285" s="21" t="n">
        <f aca="false">IF(AND(C285=0,E285=0),0,IF(C285=0,"New",(E285-C285)/C285))</f>
        <v>0.11977240398293</v>
      </c>
      <c r="H285" s="12" t="n">
        <f aca="false">SUMIFS('BE Raw'!$D$6:$D$615,'BE Raw'!$E$6:$E$615,$A285,'BE Raw'!$B$6:$B$615,2025)</f>
        <v>6186.6</v>
      </c>
      <c r="I285" s="12" t="n">
        <f aca="false">SUMIFS('BE Raw'!$D$6:$D$615,'BE Raw'!$E$6:$E$615,$A285,'BE Raw'!$B$6:$B$615,2026)</f>
        <v>5523.8</v>
      </c>
      <c r="J285" s="12" t="n">
        <f aca="false">I285*$J$5</f>
        <v>6977.43157894737</v>
      </c>
    </row>
    <row r="286" customFormat="false" ht="15" hidden="false" customHeight="true" outlineLevel="0" collapsed="false">
      <c r="A286" s="12" t="n">
        <v>4415000</v>
      </c>
      <c r="B286" s="12" t="str">
        <f aca="false">IFERROR(INDEX('Catalog'!$B:$B,MATCH($A286,'Catalog'!$A:$A,0)),"")</f>
        <v>26 L סד ליד דו צדדי לאחר שבר</v>
      </c>
      <c r="C286" s="12" t="n">
        <f aca="false">SUMIFS('BE Raw'!$C$6:$C$615,'BE Raw'!$E$6:$E$615,$A286,'BE Raw'!$B$6:$B$615,2025)</f>
        <v>56</v>
      </c>
      <c r="D286" s="12" t="n">
        <f aca="false">SUMIFS('BE Raw'!$C$6:$C$615,'BE Raw'!$E$6:$E$615,$A286,'BE Raw'!$B$6:$B$615,2026)</f>
        <v>57</v>
      </c>
      <c r="E286" s="12" t="n">
        <f aca="false">D286*$J$5</f>
        <v>72</v>
      </c>
      <c r="F286" s="12" t="n">
        <f aca="false">E286-C286</f>
        <v>16</v>
      </c>
      <c r="G286" s="21" t="n">
        <f aca="false">IF(AND(C286=0,E286=0),0,IF(C286=0,"New",(E286-C286)/C286))</f>
        <v>0.285714285714286</v>
      </c>
      <c r="H286" s="12" t="n">
        <f aca="false">SUMIFS('BE Raw'!$D$6:$D$615,'BE Raw'!$E$6:$E$615,$A286,'BE Raw'!$B$6:$B$615,2025)</f>
        <v>4869.9</v>
      </c>
      <c r="I286" s="12" t="n">
        <f aca="false">SUMIFS('BE Raw'!$D$6:$D$615,'BE Raw'!$E$6:$E$615,$A286,'BE Raw'!$B$6:$B$615,2026)</f>
        <v>5027.4</v>
      </c>
      <c r="J286" s="12" t="n">
        <f aca="false">I286*$J$5</f>
        <v>6350.4</v>
      </c>
    </row>
    <row r="287" customFormat="false" ht="15" hidden="false" customHeight="true" outlineLevel="0" collapsed="false">
      <c r="A287" s="12" t="n">
        <v>4415001</v>
      </c>
      <c r="B287" s="12" t="str">
        <f aca="false">IFERROR(INDEX('Catalog'!$B:$B,MATCH($A287,'Catalog'!$A:$A,0)),"")</f>
        <v>26 M סד ליד דו צדדי לאחר שבר</v>
      </c>
      <c r="C287" s="12" t="n">
        <f aca="false">SUMIFS('BE Raw'!$C$6:$C$615,'BE Raw'!$E$6:$E$615,$A287,'BE Raw'!$B$6:$B$615,2025)</f>
        <v>53</v>
      </c>
      <c r="D287" s="12" t="n">
        <f aca="false">SUMIFS('BE Raw'!$C$6:$C$615,'BE Raw'!$E$6:$E$615,$A287,'BE Raw'!$B$6:$B$615,2026)</f>
        <v>59</v>
      </c>
      <c r="E287" s="12" t="n">
        <f aca="false">D287*$J$5</f>
        <v>74.5263157894737</v>
      </c>
      <c r="F287" s="12" t="n">
        <f aca="false">E287-C287</f>
        <v>21.5263157894737</v>
      </c>
      <c r="G287" s="21" t="n">
        <f aca="false">IF(AND(C287=0,E287=0),0,IF(C287=0,"New",(E287-C287)/C287))</f>
        <v>0.406156901688183</v>
      </c>
      <c r="H287" s="12" t="n">
        <f aca="false">SUMIFS('BE Raw'!$D$6:$D$615,'BE Raw'!$E$6:$E$615,$A287,'BE Raw'!$B$6:$B$615,2025)</f>
        <v>4674.6</v>
      </c>
      <c r="I287" s="12" t="n">
        <f aca="false">SUMIFS('BE Raw'!$D$6:$D$615,'BE Raw'!$E$6:$E$615,$A287,'BE Raw'!$B$6:$B$615,2026)</f>
        <v>5160.9</v>
      </c>
      <c r="J287" s="12" t="n">
        <f aca="false">I287*$J$5</f>
        <v>6519.03157894737</v>
      </c>
    </row>
    <row r="288" customFormat="false" ht="15" hidden="false" customHeight="true" outlineLevel="0" collapsed="false">
      <c r="A288" s="12" t="n">
        <v>4415002</v>
      </c>
      <c r="B288" s="12" t="str">
        <f aca="false">IFERROR(INDEX('Catalog'!$B:$B,MATCH($A288,'Catalog'!$A:$A,0)),"")</f>
        <v>26 S סד ליד דו צדדי לאחר שבר</v>
      </c>
      <c r="C288" s="12" t="n">
        <f aca="false">SUMIFS('BE Raw'!$C$6:$C$615,'BE Raw'!$E$6:$E$615,$A288,'BE Raw'!$B$6:$B$615,2025)</f>
        <v>49</v>
      </c>
      <c r="D288" s="12" t="n">
        <f aca="false">SUMIFS('BE Raw'!$C$6:$C$615,'BE Raw'!$E$6:$E$615,$A288,'BE Raw'!$B$6:$B$615,2026)</f>
        <v>40</v>
      </c>
      <c r="E288" s="12" t="n">
        <f aca="false">D288*$J$5</f>
        <v>50.5263157894737</v>
      </c>
      <c r="F288" s="12" t="n">
        <f aca="false">E288-C288</f>
        <v>1.52631578947369</v>
      </c>
      <c r="G288" s="21" t="n">
        <f aca="false">IF(AND(C288=0,E288=0),0,IF(C288=0,"New",(E288-C288)/C288))</f>
        <v>0.0311493018259936</v>
      </c>
      <c r="H288" s="12" t="n">
        <f aca="false">SUMIFS('BE Raw'!$D$6:$D$615,'BE Raw'!$E$6:$E$615,$A288,'BE Raw'!$B$6:$B$615,2025)</f>
        <v>4321.8</v>
      </c>
      <c r="I288" s="12" t="n">
        <f aca="false">SUMIFS('BE Raw'!$D$6:$D$615,'BE Raw'!$E$6:$E$615,$A288,'BE Raw'!$B$6:$B$615,2026)</f>
        <v>3528</v>
      </c>
      <c r="J288" s="12" t="n">
        <f aca="false">I288*$J$5</f>
        <v>4456.42105263158</v>
      </c>
    </row>
    <row r="289" customFormat="false" ht="15" hidden="false" customHeight="true" outlineLevel="0" collapsed="false">
      <c r="A289" s="12" t="n">
        <v>4415003</v>
      </c>
      <c r="B289" s="12" t="str">
        <f aca="false">IFERROR(INDEX('Catalog'!$B:$B,MATCH($A289,'Catalog'!$A:$A,0)),"")</f>
        <v>26 XL סד ליד דו צדדי לאחר שבר</v>
      </c>
      <c r="C289" s="12" t="n">
        <f aca="false">SUMIFS('BE Raw'!$C$6:$C$615,'BE Raw'!$E$6:$E$615,$A289,'BE Raw'!$B$6:$B$615,2025)</f>
        <v>27</v>
      </c>
      <c r="D289" s="12" t="n">
        <f aca="false">SUMIFS('BE Raw'!$C$6:$C$615,'BE Raw'!$E$6:$E$615,$A289,'BE Raw'!$B$6:$B$615,2026)</f>
        <v>33</v>
      </c>
      <c r="E289" s="12" t="n">
        <f aca="false">D289*$J$5</f>
        <v>41.6842105263158</v>
      </c>
      <c r="F289" s="12" t="n">
        <f aca="false">E289-C289</f>
        <v>14.6842105263158</v>
      </c>
      <c r="G289" s="21" t="n">
        <f aca="false">IF(AND(C289=0,E289=0),0,IF(C289=0,"New",(E289-C289)/C289))</f>
        <v>0.543859649122807</v>
      </c>
      <c r="H289" s="12" t="n">
        <f aca="false">SUMIFS('BE Raw'!$D$6:$D$615,'BE Raw'!$E$6:$E$615,$A289,'BE Raw'!$B$6:$B$615,2025)</f>
        <v>2375.1</v>
      </c>
      <c r="I289" s="12" t="n">
        <f aca="false">SUMIFS('BE Raw'!$D$6:$D$615,'BE Raw'!$E$6:$E$615,$A289,'BE Raw'!$B$6:$B$615,2026)</f>
        <v>2910.6</v>
      </c>
      <c r="J289" s="12" t="n">
        <f aca="false">I289*$J$5</f>
        <v>3676.54736842105</v>
      </c>
    </row>
    <row r="290" customFormat="false" ht="15" hidden="false" customHeight="true" outlineLevel="0" collapsed="false">
      <c r="A290" s="12" t="n">
        <v>4415004</v>
      </c>
      <c r="B290" s="12" t="str">
        <f aca="false">IFERROR(INDEX('Catalog'!$B:$B,MATCH($A290,'Catalog'!$A:$A,0)),"")</f>
        <v>26 XXL סד ליד דו צדדי לאחר שבר</v>
      </c>
      <c r="C290" s="12" t="n">
        <f aca="false">SUMIFS('BE Raw'!$C$6:$C$615,'BE Raw'!$E$6:$E$615,$A290,'BE Raw'!$B$6:$B$615,2025)</f>
        <v>-1</v>
      </c>
      <c r="D290" s="12" t="n">
        <f aca="false">SUMIFS('BE Raw'!$C$6:$C$615,'BE Raw'!$E$6:$E$615,$A290,'BE Raw'!$B$6:$B$615,2026)</f>
        <v>0</v>
      </c>
      <c r="E290" s="12" t="n">
        <f aca="false">D290*$J$5</f>
        <v>0</v>
      </c>
      <c r="F290" s="12" t="n">
        <f aca="false">E290-C290</f>
        <v>1</v>
      </c>
      <c r="G290" s="21" t="n">
        <f aca="false">IF(AND(C290=0,E290=0),0,IF(C290=0,"New",(E290-C290)/C290))</f>
        <v>-1</v>
      </c>
      <c r="H290" s="12" t="n">
        <f aca="false">SUMIFS('BE Raw'!$D$6:$D$615,'BE Raw'!$E$6:$E$615,$A290,'BE Raw'!$B$6:$B$615,2025)</f>
        <v>-88.2</v>
      </c>
      <c r="I290" s="12" t="n">
        <f aca="false">SUMIFS('BE Raw'!$D$6:$D$615,'BE Raw'!$E$6:$E$615,$A290,'BE Raw'!$B$6:$B$615,2026)</f>
        <v>0</v>
      </c>
      <c r="J290" s="12" t="n">
        <f aca="false">I290*$J$5</f>
        <v>0</v>
      </c>
    </row>
    <row r="291" customFormat="false" ht="15" hidden="false" customHeight="true" outlineLevel="0" collapsed="false">
      <c r="A291" s="12" t="n">
        <v>4415005</v>
      </c>
      <c r="B291" s="12" t="str">
        <f aca="false">IFERROR(INDEX('Catalog'!$B:$B,MATCH($A291,'Catalog'!$A:$A,0)),"")</f>
        <v>28 L סד לאגודל לאחר שבר</v>
      </c>
      <c r="C291" s="12" t="n">
        <f aca="false">SUMIFS('BE Raw'!$C$6:$C$615,'BE Raw'!$E$6:$E$615,$A291,'BE Raw'!$B$6:$B$615,2025)</f>
        <v>46</v>
      </c>
      <c r="D291" s="12" t="n">
        <f aca="false">SUMIFS('BE Raw'!$C$6:$C$615,'BE Raw'!$E$6:$E$615,$A291,'BE Raw'!$B$6:$B$615,2026)</f>
        <v>48</v>
      </c>
      <c r="E291" s="12" t="n">
        <f aca="false">D291*$J$5</f>
        <v>60.6315789473684</v>
      </c>
      <c r="F291" s="12" t="n">
        <f aca="false">E291-C291</f>
        <v>14.6315789473684</v>
      </c>
      <c r="G291" s="21" t="n">
        <f aca="false">IF(AND(C291=0,E291=0),0,IF(C291=0,"New",(E291-C291)/C291))</f>
        <v>0.318077803203661</v>
      </c>
      <c r="H291" s="12" t="n">
        <f aca="false">SUMIFS('BE Raw'!$D$6:$D$615,'BE Raw'!$E$6:$E$615,$A291,'BE Raw'!$B$6:$B$615,2025)</f>
        <v>4019.4</v>
      </c>
      <c r="I291" s="12" t="n">
        <f aca="false">SUMIFS('BE Raw'!$D$6:$D$615,'BE Raw'!$E$6:$E$615,$A291,'BE Raw'!$B$6:$B$615,2026)</f>
        <v>4233.6</v>
      </c>
      <c r="J291" s="12" t="n">
        <f aca="false">I291*$J$5</f>
        <v>5347.70526315789</v>
      </c>
    </row>
    <row r="292" customFormat="false" ht="15" hidden="false" customHeight="true" outlineLevel="0" collapsed="false">
      <c r="A292" s="12" t="n">
        <v>4415006</v>
      </c>
      <c r="B292" s="12" t="str">
        <f aca="false">IFERROR(INDEX('Catalog'!$B:$B,MATCH($A292,'Catalog'!$A:$A,0)),"")</f>
        <v>28 M סד לאגודל לאחר שבר</v>
      </c>
      <c r="C292" s="12" t="n">
        <f aca="false">SUMIFS('BE Raw'!$C$6:$C$615,'BE Raw'!$E$6:$E$615,$A292,'BE Raw'!$B$6:$B$615,2025)</f>
        <v>63</v>
      </c>
      <c r="D292" s="12" t="n">
        <f aca="false">SUMIFS('BE Raw'!$C$6:$C$615,'BE Raw'!$E$6:$E$615,$A292,'BE Raw'!$B$6:$B$615,2026)</f>
        <v>57</v>
      </c>
      <c r="E292" s="12" t="n">
        <f aca="false">D292*$J$5</f>
        <v>72</v>
      </c>
      <c r="F292" s="12" t="n">
        <f aca="false">E292-C292</f>
        <v>9</v>
      </c>
      <c r="G292" s="21" t="n">
        <f aca="false">IF(AND(C292=0,E292=0),0,IF(C292=0,"New",(E292-C292)/C292))</f>
        <v>0.142857142857143</v>
      </c>
      <c r="H292" s="12" t="n">
        <f aca="false">SUMIFS('BE Raw'!$D$6:$D$615,'BE Raw'!$E$6:$E$615,$A292,'BE Raw'!$B$6:$B$615,2025)</f>
        <v>5556.6</v>
      </c>
      <c r="I292" s="12" t="n">
        <f aca="false">SUMIFS('BE Raw'!$D$6:$D$615,'BE Raw'!$E$6:$E$615,$A292,'BE Raw'!$B$6:$B$615,2026)</f>
        <v>5027.4</v>
      </c>
      <c r="J292" s="12" t="n">
        <f aca="false">I292*$J$5</f>
        <v>6350.4</v>
      </c>
    </row>
    <row r="293" customFormat="false" ht="15" hidden="false" customHeight="true" outlineLevel="0" collapsed="false">
      <c r="A293" s="12" t="n">
        <v>4415007</v>
      </c>
      <c r="B293" s="12" t="str">
        <f aca="false">IFERROR(INDEX('Catalog'!$B:$B,MATCH($A293,'Catalog'!$A:$A,0)),"")</f>
        <v>28 S סד לאגודל לאחר שבר</v>
      </c>
      <c r="C293" s="12" t="n">
        <f aca="false">SUMIFS('BE Raw'!$C$6:$C$615,'BE Raw'!$E$6:$E$615,$A293,'BE Raw'!$B$6:$B$615,2025)</f>
        <v>80</v>
      </c>
      <c r="D293" s="12" t="n">
        <f aca="false">SUMIFS('BE Raw'!$C$6:$C$615,'BE Raw'!$E$6:$E$615,$A293,'BE Raw'!$B$6:$B$615,2026)</f>
        <v>61</v>
      </c>
      <c r="E293" s="12" t="n">
        <f aca="false">D293*$J$5</f>
        <v>77.0526315789474</v>
      </c>
      <c r="F293" s="12" t="n">
        <f aca="false">E293-C293</f>
        <v>-2.94736842105263</v>
      </c>
      <c r="G293" s="21" t="n">
        <f aca="false">IF(AND(C293=0,E293=0),0,IF(C293=0,"New",(E293-C293)/C293))</f>
        <v>-0.0368421052631579</v>
      </c>
      <c r="H293" s="12" t="n">
        <f aca="false">SUMIFS('BE Raw'!$D$6:$D$615,'BE Raw'!$E$6:$E$615,$A293,'BE Raw'!$B$6:$B$615,2025)</f>
        <v>7018.2</v>
      </c>
      <c r="I293" s="12" t="n">
        <f aca="false">SUMIFS('BE Raw'!$D$6:$D$615,'BE Raw'!$E$6:$E$615,$A293,'BE Raw'!$B$6:$B$615,2026)</f>
        <v>5380.2</v>
      </c>
      <c r="J293" s="12" t="n">
        <f aca="false">I293*$J$5</f>
        <v>6796.04210526316</v>
      </c>
    </row>
    <row r="294" customFormat="false" ht="15" hidden="false" customHeight="true" outlineLevel="0" collapsed="false">
      <c r="A294" s="12" t="n">
        <v>4415008</v>
      </c>
      <c r="B294" s="12" t="str">
        <f aca="false">IFERROR(INDEX('Catalog'!$B:$B,MATCH($A294,'Catalog'!$A:$A,0)),"")</f>
        <v>28 XL סד לאגודל לאחר שבר</v>
      </c>
      <c r="C294" s="12" t="n">
        <f aca="false">SUMIFS('BE Raw'!$C$6:$C$615,'BE Raw'!$E$6:$E$615,$A294,'BE Raw'!$B$6:$B$615,2025)</f>
        <v>18</v>
      </c>
      <c r="D294" s="12" t="n">
        <f aca="false">SUMIFS('BE Raw'!$C$6:$C$615,'BE Raw'!$E$6:$E$615,$A294,'BE Raw'!$B$6:$B$615,2026)</f>
        <v>15</v>
      </c>
      <c r="E294" s="12" t="n">
        <f aca="false">D294*$J$5</f>
        <v>18.9473684210526</v>
      </c>
      <c r="F294" s="12" t="n">
        <f aca="false">E294-C294</f>
        <v>0.94736842105263</v>
      </c>
      <c r="G294" s="21" t="n">
        <f aca="false">IF(AND(C294=0,E294=0),0,IF(C294=0,"New",(E294-C294)/C294))</f>
        <v>0.0526315789473683</v>
      </c>
      <c r="H294" s="12" t="n">
        <f aca="false">SUMIFS('BE Raw'!$D$6:$D$615,'BE Raw'!$E$6:$E$615,$A294,'BE Raw'!$B$6:$B$615,2025)</f>
        <v>1549.8</v>
      </c>
      <c r="I294" s="12" t="n">
        <f aca="false">SUMIFS('BE Raw'!$D$6:$D$615,'BE Raw'!$E$6:$E$615,$A294,'BE Raw'!$B$6:$B$615,2026)</f>
        <v>1323</v>
      </c>
      <c r="J294" s="12" t="n">
        <f aca="false">I294*$J$5</f>
        <v>1671.15789473684</v>
      </c>
    </row>
    <row r="295" customFormat="false" ht="15" hidden="false" customHeight="true" outlineLevel="0" collapsed="false">
      <c r="A295" s="12" t="n">
        <v>4415025</v>
      </c>
      <c r="B295" s="12" t="str">
        <f aca="false">IFERROR(INDEX('Catalog'!$B:$B,MATCH($A295,'Catalog'!$A:$A,0)),"")</f>
        <v>28-XS סד לאגודל לאחר שבר</v>
      </c>
      <c r="C295" s="12" t="n">
        <f aca="false">SUMIFS('BE Raw'!$C$6:$C$615,'BE Raw'!$E$6:$E$615,$A295,'BE Raw'!$B$6:$B$615,2025)</f>
        <v>0</v>
      </c>
      <c r="D295" s="12" t="n">
        <f aca="false">SUMIFS('BE Raw'!$C$6:$C$615,'BE Raw'!$E$6:$E$615,$A295,'BE Raw'!$B$6:$B$615,2026)</f>
        <v>7</v>
      </c>
      <c r="E295" s="12" t="n">
        <f aca="false">D295*$J$5</f>
        <v>8.84210526315789</v>
      </c>
      <c r="F295" s="12" t="n">
        <f aca="false">E295-C295</f>
        <v>8.84210526315789</v>
      </c>
      <c r="G295" s="21" t="str">
        <f aca="false">IF(AND(C295=0,E295=0),0,IF(C295=0,"New",(E295-C295)/C295))</f>
        <v>New</v>
      </c>
      <c r="H295" s="12" t="n">
        <f aca="false">SUMIFS('BE Raw'!$D$6:$D$615,'BE Raw'!$E$6:$E$615,$A295,'BE Raw'!$B$6:$B$615,2025)</f>
        <v>0</v>
      </c>
      <c r="I295" s="12" t="n">
        <f aca="false">SUMIFS('BE Raw'!$D$6:$D$615,'BE Raw'!$E$6:$E$615,$A295,'BE Raw'!$B$6:$B$615,2026)</f>
        <v>617.4</v>
      </c>
      <c r="J295" s="12" t="n">
        <f aca="false">I295*$J$5</f>
        <v>779.873684210526</v>
      </c>
    </row>
    <row r="296" customFormat="false" ht="15" hidden="false" customHeight="true" outlineLevel="0" collapsed="false">
      <c r="A296" s="12" t="n">
        <v>4415026</v>
      </c>
      <c r="B296" s="12" t="str">
        <f aca="false">IFERROR(INDEX('Catalog'!$B:$B,MATCH($A296,'Catalog'!$A:$A,0)),"")</f>
        <v>AC-27L סד לש.כף יד שמאל</v>
      </c>
      <c r="C296" s="12" t="n">
        <f aca="false">SUMIFS('BE Raw'!$C$6:$C$615,'BE Raw'!$E$6:$E$615,$A296,'BE Raw'!$B$6:$B$615,2025)</f>
        <v>23</v>
      </c>
      <c r="D296" s="12" t="n">
        <f aca="false">SUMIFS('BE Raw'!$C$6:$C$615,'BE Raw'!$E$6:$E$615,$A296,'BE Raw'!$B$6:$B$615,2026)</f>
        <v>22</v>
      </c>
      <c r="E296" s="12" t="n">
        <f aca="false">D296*$J$5</f>
        <v>27.7894736842105</v>
      </c>
      <c r="F296" s="12" t="n">
        <f aca="false">E296-C296</f>
        <v>4.78947368421052</v>
      </c>
      <c r="G296" s="21" t="n">
        <f aca="false">IF(AND(C296=0,E296=0),0,IF(C296=0,"New",(E296-C296)/C296))</f>
        <v>0.208237986270023</v>
      </c>
      <c r="H296" s="12" t="n">
        <f aca="false">SUMIFS('BE Raw'!$D$6:$D$615,'BE Raw'!$E$6:$E$615,$A296,'BE Raw'!$B$6:$B$615,2025)</f>
        <v>788.2</v>
      </c>
      <c r="I296" s="12" t="n">
        <f aca="false">SUMIFS('BE Raw'!$D$6:$D$615,'BE Raw'!$E$6:$E$615,$A296,'BE Raw'!$B$6:$B$615,2026)</f>
        <v>754</v>
      </c>
      <c r="J296" s="12" t="n">
        <f aca="false">I296*$J$5</f>
        <v>952.421052631579</v>
      </c>
    </row>
    <row r="297" customFormat="false" ht="15" hidden="false" customHeight="true" outlineLevel="0" collapsed="false">
      <c r="A297" s="12" t="n">
        <v>4415027</v>
      </c>
      <c r="B297" s="12" t="str">
        <f aca="false">IFERROR(INDEX('Catalog'!$B:$B,MATCH($A297,'Catalog'!$A:$A,0)),"")</f>
        <v>AC-27R סד לש.כף יד ימין</v>
      </c>
      <c r="C297" s="12" t="n">
        <f aca="false">SUMIFS('BE Raw'!$C$6:$C$615,'BE Raw'!$E$6:$E$615,$A297,'BE Raw'!$B$6:$B$615,2025)</f>
        <v>24</v>
      </c>
      <c r="D297" s="12" t="n">
        <f aca="false">SUMIFS('BE Raw'!$C$6:$C$615,'BE Raw'!$E$6:$E$615,$A297,'BE Raw'!$B$6:$B$615,2026)</f>
        <v>26</v>
      </c>
      <c r="E297" s="12" t="n">
        <f aca="false">D297*$J$5</f>
        <v>32.8421052631579</v>
      </c>
      <c r="F297" s="12" t="n">
        <f aca="false">E297-C297</f>
        <v>8.84210526315789</v>
      </c>
      <c r="G297" s="21" t="n">
        <f aca="false">IF(AND(C297=0,E297=0),0,IF(C297=0,"New",(E297-C297)/C297))</f>
        <v>0.368421052631579</v>
      </c>
      <c r="H297" s="12" t="n">
        <f aca="false">SUMIFS('BE Raw'!$D$6:$D$615,'BE Raw'!$E$6:$E$615,$A297,'BE Raw'!$B$6:$B$615,2025)</f>
        <v>822.5</v>
      </c>
      <c r="I297" s="12" t="n">
        <f aca="false">SUMIFS('BE Raw'!$D$6:$D$615,'BE Raw'!$E$6:$E$615,$A297,'BE Raw'!$B$6:$B$615,2026)</f>
        <v>901.9</v>
      </c>
      <c r="J297" s="12" t="n">
        <f aca="false">I297*$J$5</f>
        <v>1139.24210526316</v>
      </c>
    </row>
    <row r="298" customFormat="false" ht="15" hidden="false" customHeight="true" outlineLevel="0" collapsed="false">
      <c r="A298" s="12" t="n">
        <v>4415028</v>
      </c>
      <c r="B298" s="12" t="str">
        <f aca="false">IFERROR(INDEX('Catalog'!$B:$B,MATCH($A298,'Catalog'!$A:$A,0)),"")</f>
        <v>AC-28 סד לאגודל</v>
      </c>
      <c r="C298" s="12" t="n">
        <f aca="false">SUMIFS('BE Raw'!$C$6:$C$615,'BE Raw'!$E$6:$E$615,$A298,'BE Raw'!$B$6:$B$615,2025)</f>
        <v>47</v>
      </c>
      <c r="D298" s="12" t="n">
        <f aca="false">SUMIFS('BE Raw'!$C$6:$C$615,'BE Raw'!$E$6:$E$615,$A298,'BE Raw'!$B$6:$B$615,2026)</f>
        <v>45</v>
      </c>
      <c r="E298" s="12" t="n">
        <f aca="false">D298*$J$5</f>
        <v>56.8421052631579</v>
      </c>
      <c r="F298" s="12" t="n">
        <f aca="false">E298-C298</f>
        <v>9.84210526315789</v>
      </c>
      <c r="G298" s="21" t="n">
        <f aca="false">IF(AND(C298=0,E298=0),0,IF(C298=0,"New",(E298-C298)/C298))</f>
        <v>0.209406494960806</v>
      </c>
      <c r="H298" s="12" t="n">
        <f aca="false">SUMIFS('BE Raw'!$D$6:$D$615,'BE Raw'!$E$6:$E$615,$A298,'BE Raw'!$B$6:$B$615,2025)</f>
        <v>1130.8</v>
      </c>
      <c r="I298" s="12" t="n">
        <f aca="false">SUMIFS('BE Raw'!$D$6:$D$615,'BE Raw'!$E$6:$E$615,$A298,'BE Raw'!$B$6:$B$615,2026)</f>
        <v>1082.7</v>
      </c>
      <c r="J298" s="12" t="n">
        <f aca="false">I298*$J$5</f>
        <v>1367.62105263158</v>
      </c>
    </row>
    <row r="299" customFormat="false" ht="15" hidden="false" customHeight="true" outlineLevel="0" collapsed="false">
      <c r="A299" s="12" t="n">
        <v>4415029</v>
      </c>
      <c r="B299" s="12" t="str">
        <f aca="false">IFERROR(INDEX('Catalog'!$B:$B,MATCH($A299,'Catalog'!$A:$A,0)),"")</f>
        <v>סד קיבוע לאצבע הדק</v>
      </c>
      <c r="C299" s="12" t="n">
        <f aca="false">SUMIFS('BE Raw'!$C$6:$C$615,'BE Raw'!$E$6:$E$615,$A299,'BE Raw'!$B$6:$B$615,2025)</f>
        <v>13</v>
      </c>
      <c r="D299" s="12" t="n">
        <f aca="false">SUMIFS('BE Raw'!$C$6:$C$615,'BE Raw'!$E$6:$E$615,$A299,'BE Raw'!$B$6:$B$615,2026)</f>
        <v>30</v>
      </c>
      <c r="E299" s="12" t="n">
        <f aca="false">D299*$J$5</f>
        <v>37.8947368421053</v>
      </c>
      <c r="F299" s="12" t="n">
        <f aca="false">E299-C299</f>
        <v>24.8947368421053</v>
      </c>
      <c r="G299" s="21" t="n">
        <f aca="false">IF(AND(C299=0,E299=0),0,IF(C299=0,"New",(E299-C299)/C299))</f>
        <v>1.91497975708502</v>
      </c>
      <c r="H299" s="12" t="n">
        <f aca="false">SUMIFS('BE Raw'!$D$6:$D$615,'BE Raw'!$E$6:$E$615,$A299,'BE Raw'!$B$6:$B$615,2025)</f>
        <v>527.2</v>
      </c>
      <c r="I299" s="12" t="n">
        <f aca="false">SUMIFS('BE Raw'!$D$6:$D$615,'BE Raw'!$E$6:$E$615,$A299,'BE Raw'!$B$6:$B$615,2026)</f>
        <v>1216.8</v>
      </c>
      <c r="J299" s="12" t="n">
        <f aca="false">I299*$J$5</f>
        <v>1537.01052631579</v>
      </c>
    </row>
    <row r="300" customFormat="false" ht="15" hidden="false" customHeight="true" outlineLevel="0" collapsed="false">
      <c r="A300" s="12" t="n">
        <v>4415067</v>
      </c>
      <c r="B300" s="12" t="str">
        <f aca="false">IFERROR(INDEX('Catalog'!$B:$B,MATCH($A300,'Catalog'!$A:$A,0)),"")</f>
        <v>T28 XL סד לאגודל כפפה</v>
      </c>
      <c r="C300" s="12" t="n">
        <f aca="false">SUMIFS('BE Raw'!$C$6:$C$615,'BE Raw'!$E$6:$E$615,$A300,'BE Raw'!$B$6:$B$615,2025)</f>
        <v>-2</v>
      </c>
      <c r="D300" s="12" t="n">
        <f aca="false">SUMIFS('BE Raw'!$C$6:$C$615,'BE Raw'!$E$6:$E$615,$A300,'BE Raw'!$B$6:$B$615,2026)</f>
        <v>0</v>
      </c>
      <c r="E300" s="12" t="n">
        <f aca="false">D300*$J$5</f>
        <v>0</v>
      </c>
      <c r="F300" s="12" t="n">
        <f aca="false">E300-C300</f>
        <v>2</v>
      </c>
      <c r="G300" s="21" t="n">
        <f aca="false">IF(AND(C300=0,E300=0),0,IF(C300=0,"New",(E300-C300)/C300))</f>
        <v>-1</v>
      </c>
      <c r="H300" s="12" t="n">
        <f aca="false">SUMIFS('BE Raw'!$D$6:$D$615,'BE Raw'!$E$6:$E$615,$A300,'BE Raw'!$B$6:$B$615,2025)</f>
        <v>-132.3</v>
      </c>
      <c r="I300" s="12" t="n">
        <f aca="false">SUMIFS('BE Raw'!$D$6:$D$615,'BE Raw'!$E$6:$E$615,$A300,'BE Raw'!$B$6:$B$615,2026)</f>
        <v>0</v>
      </c>
      <c r="J300" s="12" t="n">
        <f aca="false">I300*$J$5</f>
        <v>0</v>
      </c>
    </row>
    <row r="301" customFormat="false" ht="15" hidden="false" customHeight="true" outlineLevel="0" collapsed="false">
      <c r="A301" s="12" t="n">
        <v>4415072</v>
      </c>
      <c r="B301" s="12" t="str">
        <f aca="false">IFERROR(INDEX('Catalog'!$B:$B,MATCH($A301,'Catalog'!$A:$A,0)),"")</f>
        <v>T28A S-M סד לאגודל</v>
      </c>
      <c r="C301" s="12" t="n">
        <f aca="false">SUMIFS('BE Raw'!$C$6:$C$615,'BE Raw'!$E$6:$E$615,$A301,'BE Raw'!$B$6:$B$615,2025)</f>
        <v>159</v>
      </c>
      <c r="D301" s="12" t="n">
        <f aca="false">SUMIFS('BE Raw'!$C$6:$C$615,'BE Raw'!$E$6:$E$615,$A301,'BE Raw'!$B$6:$B$615,2026)</f>
        <v>152</v>
      </c>
      <c r="E301" s="12" t="n">
        <f aca="false">D301*$J$5</f>
        <v>192</v>
      </c>
      <c r="F301" s="12" t="n">
        <f aca="false">E301-C301</f>
        <v>33</v>
      </c>
      <c r="G301" s="21" t="n">
        <f aca="false">IF(AND(C301=0,E301=0),0,IF(C301=0,"New",(E301-C301)/C301))</f>
        <v>0.207547169811321</v>
      </c>
      <c r="H301" s="12" t="n">
        <f aca="false">SUMIFS('BE Raw'!$D$6:$D$615,'BE Raw'!$E$6:$E$615,$A301,'BE Raw'!$B$6:$B$615,2025)</f>
        <v>10043</v>
      </c>
      <c r="I301" s="12" t="n">
        <f aca="false">SUMIFS('BE Raw'!$D$6:$D$615,'BE Raw'!$E$6:$E$615,$A301,'BE Raw'!$B$6:$B$615,2026)</f>
        <v>9583.7</v>
      </c>
      <c r="J301" s="12" t="n">
        <f aca="false">I301*$J$5</f>
        <v>12105.7263157895</v>
      </c>
    </row>
    <row r="302" customFormat="false" ht="15" hidden="false" customHeight="true" outlineLevel="0" collapsed="false">
      <c r="A302" s="12" t="n">
        <v>4415073</v>
      </c>
      <c r="B302" s="12" t="str">
        <f aca="false">IFERROR(INDEX('Catalog'!$B:$B,MATCH($A302,'Catalog'!$A:$A,0)),"")</f>
        <v>T28A L-XL סד לאגודל</v>
      </c>
      <c r="C302" s="12" t="n">
        <f aca="false">SUMIFS('BE Raw'!$C$6:$C$615,'BE Raw'!$E$6:$E$615,$A302,'BE Raw'!$B$6:$B$615,2025)</f>
        <v>31</v>
      </c>
      <c r="D302" s="12" t="n">
        <f aca="false">SUMIFS('BE Raw'!$C$6:$C$615,'BE Raw'!$E$6:$E$615,$A302,'BE Raw'!$B$6:$B$615,2026)</f>
        <v>20</v>
      </c>
      <c r="E302" s="12" t="n">
        <f aca="false">D302*$J$5</f>
        <v>25.2631578947368</v>
      </c>
      <c r="F302" s="12" t="n">
        <f aca="false">E302-C302</f>
        <v>-5.73684210526316</v>
      </c>
      <c r="G302" s="21" t="n">
        <f aca="false">IF(AND(C302=0,E302=0),0,IF(C302=0,"New",(E302-C302)/C302))</f>
        <v>-0.185059422750424</v>
      </c>
      <c r="H302" s="12" t="n">
        <f aca="false">SUMIFS('BE Raw'!$D$6:$D$615,'BE Raw'!$E$6:$E$615,$A302,'BE Raw'!$B$6:$B$615,2025)</f>
        <v>1959.2</v>
      </c>
      <c r="I302" s="12" t="n">
        <f aca="false">SUMIFS('BE Raw'!$D$6:$D$615,'BE Raw'!$E$6:$E$615,$A302,'BE Raw'!$B$6:$B$615,2026)</f>
        <v>1270.1</v>
      </c>
      <c r="J302" s="12" t="n">
        <f aca="false">I302*$J$5</f>
        <v>1604.33684210526</v>
      </c>
    </row>
    <row r="303" customFormat="false" ht="15" hidden="false" customHeight="true" outlineLevel="0" collapsed="false">
      <c r="A303" s="12" t="n">
        <v>4415080</v>
      </c>
      <c r="B303" s="12" t="str">
        <f aca="false">IFERROR(INDEX('Catalog'!$B:$B,MATCH($A303,'Catalog'!$A:$A,0)),"")</f>
        <v>PD346-10 סכינים למקצוע</v>
      </c>
      <c r="C303" s="12" t="n">
        <f aca="false">SUMIFS('BE Raw'!$C$6:$C$615,'BE Raw'!$E$6:$E$615,$A303,'BE Raw'!$B$6:$B$615,2025)</f>
        <v>69</v>
      </c>
      <c r="D303" s="12" t="n">
        <f aca="false">SUMIFS('BE Raw'!$C$6:$C$615,'BE Raw'!$E$6:$E$615,$A303,'BE Raw'!$B$6:$B$615,2026)</f>
        <v>23</v>
      </c>
      <c r="E303" s="12" t="n">
        <f aca="false">D303*$J$5</f>
        <v>29.0526315789474</v>
      </c>
      <c r="F303" s="12" t="n">
        <f aca="false">E303-C303</f>
        <v>-39.9473684210526</v>
      </c>
      <c r="G303" s="21" t="n">
        <f aca="false">IF(AND(C303=0,E303=0),0,IF(C303=0,"New",(E303-C303)/C303))</f>
        <v>-0.578947368421053</v>
      </c>
      <c r="H303" s="12" t="n">
        <f aca="false">SUMIFS('BE Raw'!$D$6:$D$615,'BE Raw'!$E$6:$E$615,$A303,'BE Raw'!$B$6:$B$615,2025)</f>
        <v>564.4</v>
      </c>
      <c r="I303" s="12" t="n">
        <f aca="false">SUMIFS('BE Raw'!$D$6:$D$615,'BE Raw'!$E$6:$E$615,$A303,'BE Raw'!$B$6:$B$615,2026)</f>
        <v>188.1</v>
      </c>
      <c r="J303" s="12" t="n">
        <f aca="false">I303*$J$5</f>
        <v>237.6</v>
      </c>
    </row>
    <row r="304" customFormat="false" ht="15" hidden="false" customHeight="true" outlineLevel="0" collapsed="false">
      <c r="A304" s="12" t="n">
        <v>4415089</v>
      </c>
      <c r="B304" s="12" t="str">
        <f aca="false">IFERROR(INDEX('Catalog'!$B:$B,MATCH($A304,'Catalog'!$A:$A,0)),"")</f>
        <v>27L M סד ליד שמאל</v>
      </c>
      <c r="C304" s="12" t="n">
        <f aca="false">SUMIFS('BE Raw'!$C$6:$C$615,'BE Raw'!$E$6:$E$615,$A304,'BE Raw'!$B$6:$B$615,2025)</f>
        <v>-2</v>
      </c>
      <c r="D304" s="12" t="n">
        <f aca="false">SUMIFS('BE Raw'!$C$6:$C$615,'BE Raw'!$E$6:$E$615,$A304,'BE Raw'!$B$6:$B$615,2026)</f>
        <v>0</v>
      </c>
      <c r="E304" s="12" t="n">
        <f aca="false">D304*$J$5</f>
        <v>0</v>
      </c>
      <c r="F304" s="12" t="n">
        <f aca="false">E304-C304</f>
        <v>2</v>
      </c>
      <c r="G304" s="21" t="n">
        <f aca="false">IF(AND(C304=0,E304=0),0,IF(C304=0,"New",(E304-C304)/C304))</f>
        <v>-1</v>
      </c>
      <c r="H304" s="12" t="n">
        <f aca="false">SUMIFS('BE Raw'!$D$6:$D$615,'BE Raw'!$E$6:$E$615,$A304,'BE Raw'!$B$6:$B$615,2025)</f>
        <v>-194.1</v>
      </c>
      <c r="I304" s="12" t="n">
        <f aca="false">SUMIFS('BE Raw'!$D$6:$D$615,'BE Raw'!$E$6:$E$615,$A304,'BE Raw'!$B$6:$B$615,2026)</f>
        <v>0</v>
      </c>
      <c r="J304" s="12" t="n">
        <f aca="false">I304*$J$5</f>
        <v>0</v>
      </c>
    </row>
    <row r="305" customFormat="false" ht="15" hidden="false" customHeight="true" outlineLevel="0" collapsed="false">
      <c r="A305" s="12" t="n">
        <v>4415142</v>
      </c>
      <c r="B305" s="12" t="str">
        <f aca="false">IFERROR(INDEX('Catalog'!$B:$B,MATCH($A305,'Catalog'!$A:$A,0)),"")</f>
        <v>26 XS סד ליד דו צדדי לאחר שבר</v>
      </c>
      <c r="C305" s="12" t="n">
        <f aca="false">SUMIFS('BE Raw'!$C$6:$C$615,'BE Raw'!$E$6:$E$615,$A305,'BE Raw'!$B$6:$B$615,2025)</f>
        <v>-1</v>
      </c>
      <c r="D305" s="12" t="n">
        <f aca="false">SUMIFS('BE Raw'!$C$6:$C$615,'BE Raw'!$E$6:$E$615,$A305,'BE Raw'!$B$6:$B$615,2026)</f>
        <v>0</v>
      </c>
      <c r="E305" s="12" t="n">
        <f aca="false">D305*$J$5</f>
        <v>0</v>
      </c>
      <c r="F305" s="12" t="n">
        <f aca="false">E305-C305</f>
        <v>1</v>
      </c>
      <c r="G305" s="21" t="n">
        <f aca="false">IF(AND(C305=0,E305=0),0,IF(C305=0,"New",(E305-C305)/C305))</f>
        <v>-1</v>
      </c>
      <c r="H305" s="12" t="n">
        <f aca="false">SUMIFS('BE Raw'!$D$6:$D$615,'BE Raw'!$E$6:$E$615,$A305,'BE Raw'!$B$6:$B$615,2025)</f>
        <v>-166.6</v>
      </c>
      <c r="I305" s="12" t="n">
        <f aca="false">SUMIFS('BE Raw'!$D$6:$D$615,'BE Raw'!$E$6:$E$615,$A305,'BE Raw'!$B$6:$B$615,2026)</f>
        <v>0</v>
      </c>
      <c r="J305" s="12" t="n">
        <f aca="false">I305*$J$5</f>
        <v>0</v>
      </c>
    </row>
    <row r="306" customFormat="false" ht="15" hidden="false" customHeight="true" outlineLevel="0" collapsed="false">
      <c r="A306" s="12" t="n">
        <v>4415158</v>
      </c>
      <c r="B306" s="12" t="str">
        <f aca="false">IFERROR(INDEX('Catalog'!$B:$B,MATCH($A306,'Catalog'!$A:$A,0)),"")</f>
        <v>266 סד ליד דו צדדי</v>
      </c>
      <c r="C306" s="12" t="n">
        <f aca="false">SUMIFS('BE Raw'!$C$6:$C$615,'BE Raw'!$E$6:$E$615,$A306,'BE Raw'!$B$6:$B$615,2025)</f>
        <v>367</v>
      </c>
      <c r="D306" s="12" t="n">
        <f aca="false">SUMIFS('BE Raw'!$C$6:$C$615,'BE Raw'!$E$6:$E$615,$A306,'BE Raw'!$B$6:$B$615,2026)</f>
        <v>331</v>
      </c>
      <c r="E306" s="12" t="n">
        <f aca="false">D306*$J$5</f>
        <v>418.105263157895</v>
      </c>
      <c r="F306" s="12" t="n">
        <f aca="false">E306-C306</f>
        <v>51.1052631578947</v>
      </c>
      <c r="G306" s="21" t="n">
        <f aca="false">IF(AND(C306=0,E306=0),0,IF(C306=0,"New",(E306-C306)/C306))</f>
        <v>0.139251398250394</v>
      </c>
      <c r="H306" s="12" t="n">
        <f aca="false">SUMIFS('BE Raw'!$D$6:$D$615,'BE Raw'!$E$6:$E$615,$A306,'BE Raw'!$B$6:$B$615,2025)</f>
        <v>26702.9</v>
      </c>
      <c r="I306" s="12" t="n">
        <f aca="false">SUMIFS('BE Raw'!$D$6:$D$615,'BE Raw'!$E$6:$E$615,$A306,'BE Raw'!$B$6:$B$615,2026)</f>
        <v>24083.6</v>
      </c>
      <c r="J306" s="12" t="n">
        <f aca="false">I306*$J$5</f>
        <v>30421.3894736842</v>
      </c>
    </row>
    <row r="307" customFormat="false" ht="15" hidden="false" customHeight="true" outlineLevel="0" collapsed="false">
      <c r="A307" s="12" t="n">
        <v>4415159</v>
      </c>
      <c r="B307" s="12" t="str">
        <f aca="false">IFERROR(INDEX('Catalog'!$B:$B,MATCH($A307,'Catalog'!$A:$A,0)),"")</f>
        <v>268 סד לאגודל</v>
      </c>
      <c r="C307" s="12" t="n">
        <f aca="false">SUMIFS('BE Raw'!$C$6:$C$615,'BE Raw'!$E$6:$E$615,$A307,'BE Raw'!$B$6:$B$615,2025)</f>
        <v>43</v>
      </c>
      <c r="D307" s="12" t="n">
        <f aca="false">SUMIFS('BE Raw'!$C$6:$C$615,'BE Raw'!$E$6:$E$615,$A307,'BE Raw'!$B$6:$B$615,2026)</f>
        <v>30</v>
      </c>
      <c r="E307" s="12" t="n">
        <f aca="false">D307*$J$5</f>
        <v>37.8947368421053</v>
      </c>
      <c r="F307" s="12" t="n">
        <f aca="false">E307-C307</f>
        <v>-5.10526315789474</v>
      </c>
      <c r="G307" s="21" t="n">
        <f aca="false">IF(AND(C307=0,E307=0),0,IF(C307=0,"New",(E307-C307)/C307))</f>
        <v>-0.118727050183599</v>
      </c>
      <c r="H307" s="12" t="n">
        <f aca="false">SUMIFS('BE Raw'!$D$6:$D$615,'BE Raw'!$E$6:$E$615,$A307,'BE Raw'!$B$6:$B$615,2025)</f>
        <v>4740.9</v>
      </c>
      <c r="I307" s="12" t="n">
        <f aca="false">SUMIFS('BE Raw'!$D$6:$D$615,'BE Raw'!$E$6:$E$615,$A307,'BE Raw'!$B$6:$B$615,2026)</f>
        <v>3307.6</v>
      </c>
      <c r="J307" s="12" t="n">
        <f aca="false">I307*$J$5</f>
        <v>4178.02105263158</v>
      </c>
    </row>
    <row r="308" customFormat="false" ht="15" hidden="false" customHeight="true" outlineLevel="0" collapsed="false">
      <c r="A308" s="12" t="n">
        <v>4415160</v>
      </c>
      <c r="B308" s="12" t="str">
        <f aca="false">IFERROR(INDEX('Catalog'!$B:$B,MATCH($A308,'Catalog'!$A:$A,0)),"")</f>
        <v>238S סד ליישור אצבע</v>
      </c>
      <c r="C308" s="12" t="n">
        <f aca="false">SUMIFS('BE Raw'!$C$6:$C$615,'BE Raw'!$E$6:$E$615,$A308,'BE Raw'!$B$6:$B$615,2025)</f>
        <v>470</v>
      </c>
      <c r="D308" s="12" t="n">
        <f aca="false">SUMIFS('BE Raw'!$C$6:$C$615,'BE Raw'!$E$6:$E$615,$A308,'BE Raw'!$B$6:$B$615,2026)</f>
        <v>373</v>
      </c>
      <c r="E308" s="12" t="n">
        <f aca="false">D308*$J$5</f>
        <v>471.157894736842</v>
      </c>
      <c r="F308" s="12" t="n">
        <f aca="false">E308-C308</f>
        <v>1.15789473684208</v>
      </c>
      <c r="G308" s="21" t="n">
        <f aca="false">IF(AND(C308=0,E308=0),0,IF(C308=0,"New",(E308-C308)/C308))</f>
        <v>0.00246360582306826</v>
      </c>
      <c r="H308" s="12" t="n">
        <f aca="false">SUMIFS('BE Raw'!$D$6:$D$615,'BE Raw'!$E$6:$E$615,$A308,'BE Raw'!$B$6:$B$615,2025)</f>
        <v>7238</v>
      </c>
      <c r="I308" s="12" t="n">
        <f aca="false">SUMIFS('BE Raw'!$D$6:$D$615,'BE Raw'!$E$6:$E$615,$A308,'BE Raw'!$B$6:$B$615,2026)</f>
        <v>5744.2</v>
      </c>
      <c r="J308" s="12" t="n">
        <f aca="false">I308*$J$5</f>
        <v>7255.83157894737</v>
      </c>
    </row>
    <row r="309" customFormat="false" ht="15" hidden="false" customHeight="true" outlineLevel="0" collapsed="false">
      <c r="A309" s="12" t="n">
        <v>4415161</v>
      </c>
      <c r="B309" s="12" t="str">
        <f aca="false">IFERROR(INDEX('Catalog'!$B:$B,MATCH($A309,'Catalog'!$A:$A,0)),"")</f>
        <v>238M סד ליישור אצבע</v>
      </c>
      <c r="C309" s="12" t="n">
        <f aca="false">SUMIFS('BE Raw'!$C$6:$C$615,'BE Raw'!$E$6:$E$615,$A309,'BE Raw'!$B$6:$B$615,2025)</f>
        <v>577</v>
      </c>
      <c r="D309" s="12" t="n">
        <f aca="false">SUMIFS('BE Raw'!$C$6:$C$615,'BE Raw'!$E$6:$E$615,$A309,'BE Raw'!$B$6:$B$615,2026)</f>
        <v>533</v>
      </c>
      <c r="E309" s="12" t="n">
        <f aca="false">D309*$J$5</f>
        <v>673.263157894737</v>
      </c>
      <c r="F309" s="12" t="n">
        <f aca="false">E309-C309</f>
        <v>96.2631578947368</v>
      </c>
      <c r="G309" s="21" t="n">
        <f aca="false">IF(AND(C309=0,E309=0),0,IF(C309=0,"New",(E309-C309)/C309))</f>
        <v>0.166833895831433</v>
      </c>
      <c r="H309" s="12" t="n">
        <f aca="false">SUMIFS('BE Raw'!$D$6:$D$615,'BE Raw'!$E$6:$E$615,$A309,'BE Raw'!$B$6:$B$615,2025)</f>
        <v>8885.8</v>
      </c>
      <c r="I309" s="12" t="n">
        <f aca="false">SUMIFS('BE Raw'!$D$6:$D$615,'BE Raw'!$E$6:$E$615,$A309,'BE Raw'!$B$6:$B$615,2026)</f>
        <v>8208.2</v>
      </c>
      <c r="J309" s="12" t="n">
        <f aca="false">I309*$J$5</f>
        <v>10368.2526315789</v>
      </c>
    </row>
    <row r="310" customFormat="false" ht="15" hidden="false" customHeight="true" outlineLevel="0" collapsed="false">
      <c r="A310" s="12" t="n">
        <v>4415162</v>
      </c>
      <c r="B310" s="12" t="str">
        <f aca="false">IFERROR(INDEX('Catalog'!$B:$B,MATCH($A310,'Catalog'!$A:$A,0)),"")</f>
        <v>238L סד ליישור אצבע</v>
      </c>
      <c r="C310" s="12" t="n">
        <f aca="false">SUMIFS('BE Raw'!$C$6:$C$615,'BE Raw'!$E$6:$E$615,$A310,'BE Raw'!$B$6:$B$615,2025)</f>
        <v>596</v>
      </c>
      <c r="D310" s="12" t="n">
        <f aca="false">SUMIFS('BE Raw'!$C$6:$C$615,'BE Raw'!$E$6:$E$615,$A310,'BE Raw'!$B$6:$B$615,2026)</f>
        <v>470</v>
      </c>
      <c r="E310" s="12" t="n">
        <f aca="false">D310*$J$5</f>
        <v>593.684210526316</v>
      </c>
      <c r="F310" s="12" t="n">
        <f aca="false">E310-C310</f>
        <v>-2.31578947368428</v>
      </c>
      <c r="G310" s="21" t="n">
        <f aca="false">IF(AND(C310=0,E310=0),0,IF(C310=0,"New",(E310-C310)/C310))</f>
        <v>-0.00388555280819509</v>
      </c>
      <c r="H310" s="12" t="n">
        <f aca="false">SUMIFS('BE Raw'!$D$6:$D$615,'BE Raw'!$E$6:$E$615,$A310,'BE Raw'!$B$6:$B$615,2025)</f>
        <v>9178.4</v>
      </c>
      <c r="I310" s="12" t="n">
        <f aca="false">SUMIFS('BE Raw'!$D$6:$D$615,'BE Raw'!$E$6:$E$615,$A310,'BE Raw'!$B$6:$B$615,2026)</f>
        <v>7238</v>
      </c>
      <c r="J310" s="12" t="n">
        <f aca="false">I310*$J$5</f>
        <v>9142.73684210526</v>
      </c>
    </row>
    <row r="311" customFormat="false" ht="15" hidden="false" customHeight="true" outlineLevel="0" collapsed="false">
      <c r="A311" s="12" t="n">
        <v>4415163</v>
      </c>
      <c r="B311" s="12" t="str">
        <f aca="false">IFERROR(INDEX('Catalog'!$B:$B,MATCH($A311,'Catalog'!$A:$A,0)),"")</f>
        <v>238XL סד ליישור אצבע</v>
      </c>
      <c r="C311" s="12" t="n">
        <f aca="false">SUMIFS('BE Raw'!$C$6:$C$615,'BE Raw'!$E$6:$E$615,$A311,'BE Raw'!$B$6:$B$615,2025)</f>
        <v>249</v>
      </c>
      <c r="D311" s="12" t="n">
        <f aca="false">SUMIFS('BE Raw'!$C$6:$C$615,'BE Raw'!$E$6:$E$615,$A311,'BE Raw'!$B$6:$B$615,2026)</f>
        <v>215</v>
      </c>
      <c r="E311" s="12" t="n">
        <f aca="false">D311*$J$5</f>
        <v>271.578947368421</v>
      </c>
      <c r="F311" s="12" t="n">
        <f aca="false">E311-C311</f>
        <v>22.578947368421</v>
      </c>
      <c r="G311" s="21" t="n">
        <f aca="false">IF(AND(C311=0,E311=0),0,IF(C311=0,"New",(E311-C311)/C311))</f>
        <v>0.0906785034876347</v>
      </c>
      <c r="H311" s="12" t="n">
        <f aca="false">SUMIFS('BE Raw'!$D$6:$D$615,'BE Raw'!$E$6:$E$615,$A311,'BE Raw'!$B$6:$B$615,2025)</f>
        <v>3834.6</v>
      </c>
      <c r="I311" s="12" t="n">
        <f aca="false">SUMIFS('BE Raw'!$D$6:$D$615,'BE Raw'!$E$6:$E$615,$A311,'BE Raw'!$B$6:$B$615,2026)</f>
        <v>3311</v>
      </c>
      <c r="J311" s="12" t="n">
        <f aca="false">I311*$J$5</f>
        <v>4182.31578947368</v>
      </c>
    </row>
    <row r="312" customFormat="false" ht="15" hidden="false" customHeight="true" outlineLevel="0" collapsed="false">
      <c r="A312" s="12" t="n">
        <v>4416000</v>
      </c>
      <c r="B312" s="12" t="str">
        <f aca="false">IFERROR(INDEX('Catalog'!$B:$B,MATCH($A312,'Catalog'!$A:$A,0)),"")</f>
        <v>307 L עקבים לדורבן-זוג כריות</v>
      </c>
      <c r="C312" s="12" t="n">
        <f aca="false">SUMIFS('BE Raw'!$C$6:$C$615,'BE Raw'!$E$6:$E$615,$A312,'BE Raw'!$B$6:$B$615,2025)</f>
        <v>85</v>
      </c>
      <c r="D312" s="12" t="n">
        <f aca="false">SUMIFS('BE Raw'!$C$6:$C$615,'BE Raw'!$E$6:$E$615,$A312,'BE Raw'!$B$6:$B$615,2026)</f>
        <v>107</v>
      </c>
      <c r="E312" s="12" t="n">
        <f aca="false">D312*$J$5</f>
        <v>135.157894736842</v>
      </c>
      <c r="F312" s="12" t="n">
        <f aca="false">E312-C312</f>
        <v>50.1578947368421</v>
      </c>
      <c r="G312" s="21" t="n">
        <f aca="false">IF(AND(C312=0,E312=0),0,IF(C312=0,"New",(E312-C312)/C312))</f>
        <v>0.590092879256966</v>
      </c>
      <c r="H312" s="12" t="n">
        <f aca="false">SUMIFS('BE Raw'!$D$6:$D$615,'BE Raw'!$E$6:$E$615,$A312,'BE Raw'!$B$6:$B$615,2025)</f>
        <v>7447.2</v>
      </c>
      <c r="I312" s="12" t="n">
        <f aca="false">SUMIFS('BE Raw'!$D$6:$D$615,'BE Raw'!$E$6:$E$615,$A312,'BE Raw'!$B$6:$B$615,2026)</f>
        <v>9399.1</v>
      </c>
      <c r="J312" s="12" t="n">
        <f aca="false">I312*$J$5</f>
        <v>11872.5473684211</v>
      </c>
    </row>
    <row r="313" customFormat="false" ht="15" hidden="false" customHeight="true" outlineLevel="0" collapsed="false">
      <c r="A313" s="12" t="n">
        <v>4416001</v>
      </c>
      <c r="B313" s="12" t="str">
        <f aca="false">IFERROR(INDEX('Catalog'!$B:$B,MATCH($A313,'Catalog'!$A:$A,0)),"")</f>
        <v>307 M עקבים לדורבן-זוג כריות</v>
      </c>
      <c r="C313" s="12" t="n">
        <f aca="false">SUMIFS('BE Raw'!$C$6:$C$615,'BE Raw'!$E$6:$E$615,$A313,'BE Raw'!$B$6:$B$615,2025)</f>
        <v>96</v>
      </c>
      <c r="D313" s="12" t="n">
        <f aca="false">SUMIFS('BE Raw'!$C$6:$C$615,'BE Raw'!$E$6:$E$615,$A313,'BE Raw'!$B$6:$B$615,2026)</f>
        <v>88</v>
      </c>
      <c r="E313" s="12" t="n">
        <f aca="false">D313*$J$5</f>
        <v>111.157894736842</v>
      </c>
      <c r="F313" s="12" t="n">
        <f aca="false">E313-C313</f>
        <v>15.1578947368421</v>
      </c>
      <c r="G313" s="21" t="n">
        <f aca="false">IF(AND(C313=0,E313=0),0,IF(C313=0,"New",(E313-C313)/C313))</f>
        <v>0.157894736842105</v>
      </c>
      <c r="H313" s="12" t="n">
        <f aca="false">SUMIFS('BE Raw'!$D$6:$D$615,'BE Raw'!$E$6:$E$615,$A313,'BE Raw'!$B$6:$B$615,2025)</f>
        <v>8409.2</v>
      </c>
      <c r="I313" s="12" t="n">
        <f aca="false">SUMIFS('BE Raw'!$D$6:$D$615,'BE Raw'!$E$6:$E$615,$A313,'BE Raw'!$B$6:$B$615,2026)</f>
        <v>7709.6</v>
      </c>
      <c r="J313" s="12" t="n">
        <f aca="false">I313*$J$5</f>
        <v>9738.44210526316</v>
      </c>
    </row>
    <row r="314" customFormat="false" ht="15" hidden="false" customHeight="true" outlineLevel="0" collapsed="false">
      <c r="A314" s="12" t="n">
        <v>4416002</v>
      </c>
      <c r="B314" s="12" t="str">
        <f aca="false">IFERROR(INDEX('Catalog'!$B:$B,MATCH($A314,'Catalog'!$A:$A,0)),"")</f>
        <v>307 S עקבים לדורבן-זוג כריות</v>
      </c>
      <c r="C314" s="12" t="n">
        <f aca="false">SUMIFS('BE Raw'!$C$6:$C$615,'BE Raw'!$E$6:$E$615,$A314,'BE Raw'!$B$6:$B$615,2025)</f>
        <v>30</v>
      </c>
      <c r="D314" s="12" t="n">
        <f aca="false">SUMIFS('BE Raw'!$C$6:$C$615,'BE Raw'!$E$6:$E$615,$A314,'BE Raw'!$B$6:$B$615,2026)</f>
        <v>32</v>
      </c>
      <c r="E314" s="12" t="n">
        <f aca="false">D314*$J$5</f>
        <v>40.4210526315789</v>
      </c>
      <c r="F314" s="12" t="n">
        <f aca="false">E314-C314</f>
        <v>10.4210526315789</v>
      </c>
      <c r="G314" s="21" t="n">
        <f aca="false">IF(AND(C314=0,E314=0),0,IF(C314=0,"New",(E314-C314)/C314))</f>
        <v>0.347368421052632</v>
      </c>
      <c r="H314" s="12" t="n">
        <f aca="false">SUMIFS('BE Raw'!$D$6:$D$615,'BE Raw'!$E$6:$E$615,$A314,'BE Raw'!$B$6:$B$615,2025)</f>
        <v>2588.2</v>
      </c>
      <c r="I314" s="12" t="n">
        <f aca="false">SUMIFS('BE Raw'!$D$6:$D$615,'BE Raw'!$E$6:$E$615,$A314,'BE Raw'!$B$6:$B$615,2026)</f>
        <v>2798.4</v>
      </c>
      <c r="J314" s="12" t="n">
        <f aca="false">I314*$J$5</f>
        <v>3534.82105263158</v>
      </c>
    </row>
    <row r="315" customFormat="false" ht="15" hidden="false" customHeight="true" outlineLevel="0" collapsed="false">
      <c r="A315" s="12" t="n">
        <v>4416003</v>
      </c>
      <c r="B315" s="12" t="str">
        <f aca="false">IFERROR(INDEX('Catalog'!$B:$B,MATCH($A315,'Catalog'!$A:$A,0)),"")</f>
        <v>308 Lעקבים סיליקון כחול לדורבן</v>
      </c>
      <c r="C315" s="12" t="n">
        <f aca="false">SUMIFS('BE Raw'!$C$6:$C$615,'BE Raw'!$E$6:$E$615,$A315,'BE Raw'!$B$6:$B$615,2025)</f>
        <v>94</v>
      </c>
      <c r="D315" s="12" t="n">
        <f aca="false">SUMIFS('BE Raw'!$C$6:$C$615,'BE Raw'!$E$6:$E$615,$A315,'BE Raw'!$B$6:$B$615,2026)</f>
        <v>93</v>
      </c>
      <c r="E315" s="12" t="n">
        <f aca="false">D315*$J$5</f>
        <v>117.473684210526</v>
      </c>
      <c r="F315" s="12" t="n">
        <f aca="false">E315-C315</f>
        <v>23.4736842105263</v>
      </c>
      <c r="G315" s="21" t="n">
        <f aca="false">IF(AND(C315=0,E315=0),0,IF(C315=0,"New",(E315-C315)/C315))</f>
        <v>0.249720044792833</v>
      </c>
      <c r="H315" s="12" t="n">
        <f aca="false">SUMIFS('BE Raw'!$D$6:$D$615,'BE Raw'!$E$6:$E$615,$A315,'BE Raw'!$B$6:$B$615,2025)</f>
        <v>5124.9</v>
      </c>
      <c r="I315" s="12" t="n">
        <f aca="false">SUMIFS('BE Raw'!$D$6:$D$615,'BE Raw'!$E$6:$E$615,$A315,'BE Raw'!$B$6:$B$615,2026)</f>
        <v>5070.4</v>
      </c>
      <c r="J315" s="12" t="n">
        <f aca="false">I315*$J$5</f>
        <v>6404.71578947368</v>
      </c>
    </row>
    <row r="316" customFormat="false" ht="15" hidden="false" customHeight="true" outlineLevel="0" collapsed="false">
      <c r="A316" s="12" t="n">
        <v>4416005</v>
      </c>
      <c r="B316" s="12" t="str">
        <f aca="false">IFERROR(INDEX('Catalog'!$B:$B,MATCH($A316,'Catalog'!$A:$A,0)),"")</f>
        <v>308 Mעקבים סיליק.כחול לדורבן</v>
      </c>
      <c r="C316" s="12" t="n">
        <f aca="false">SUMIFS('BE Raw'!$C$6:$C$615,'BE Raw'!$E$6:$E$615,$A316,'BE Raw'!$B$6:$B$615,2025)</f>
        <v>118</v>
      </c>
      <c r="D316" s="12" t="n">
        <f aca="false">SUMIFS('BE Raw'!$C$6:$C$615,'BE Raw'!$E$6:$E$615,$A316,'BE Raw'!$B$6:$B$615,2026)</f>
        <v>91</v>
      </c>
      <c r="E316" s="12" t="n">
        <f aca="false">D316*$J$5</f>
        <v>114.947368421053</v>
      </c>
      <c r="F316" s="12" t="n">
        <f aca="false">E316-C316</f>
        <v>-3.05263157894737</v>
      </c>
      <c r="G316" s="21" t="n">
        <f aca="false">IF(AND(C316=0,E316=0),0,IF(C316=0,"New",(E316-C316)/C316))</f>
        <v>-0.0258697591436218</v>
      </c>
      <c r="H316" s="12" t="n">
        <f aca="false">SUMIFS('BE Raw'!$D$6:$D$615,'BE Raw'!$E$6:$E$615,$A316,'BE Raw'!$B$6:$B$615,2025)</f>
        <v>6456.7</v>
      </c>
      <c r="I316" s="12" t="n">
        <f aca="false">SUMIFS('BE Raw'!$D$6:$D$615,'BE Raw'!$E$6:$E$615,$A316,'BE Raw'!$B$6:$B$615,2026)</f>
        <v>4961.3</v>
      </c>
      <c r="J316" s="12" t="n">
        <f aca="false">I316*$J$5</f>
        <v>6266.90526315789</v>
      </c>
    </row>
    <row r="317" customFormat="false" ht="15" hidden="false" customHeight="true" outlineLevel="0" collapsed="false">
      <c r="A317" s="12" t="n">
        <v>4416006</v>
      </c>
      <c r="B317" s="12" t="str">
        <f aca="false">IFERROR(INDEX('Catalog'!$B:$B,MATCH($A317,'Catalog'!$A:$A,0)),"")</f>
        <v>308 Sעקבים סיליק.כחול לדורבן</v>
      </c>
      <c r="C317" s="12" t="n">
        <f aca="false">SUMIFS('BE Raw'!$C$6:$C$615,'BE Raw'!$E$6:$E$615,$A317,'BE Raw'!$B$6:$B$615,2025)</f>
        <v>0</v>
      </c>
      <c r="D317" s="12" t="n">
        <f aca="false">SUMIFS('BE Raw'!$C$6:$C$615,'BE Raw'!$E$6:$E$615,$A317,'BE Raw'!$B$6:$B$615,2026)</f>
        <v>-2</v>
      </c>
      <c r="E317" s="12" t="n">
        <f aca="false">D317*$J$5</f>
        <v>-2.52631578947368</v>
      </c>
      <c r="F317" s="12" t="n">
        <f aca="false">E317-C317</f>
        <v>-2.52631578947368</v>
      </c>
      <c r="G317" s="21" t="str">
        <f aca="false">IF(AND(C317=0,E317=0),0,IF(C317=0,"New",(E317-C317)/C317))</f>
        <v>New</v>
      </c>
      <c r="H317" s="12" t="n">
        <f aca="false">SUMIFS('BE Raw'!$D$6:$D$615,'BE Raw'!$E$6:$E$615,$A317,'BE Raw'!$B$6:$B$615,2025)</f>
        <v>0</v>
      </c>
      <c r="I317" s="12" t="n">
        <f aca="false">SUMIFS('BE Raw'!$D$6:$D$615,'BE Raw'!$E$6:$E$615,$A317,'BE Raw'!$B$6:$B$615,2026)</f>
        <v>-109</v>
      </c>
      <c r="J317" s="12" t="n">
        <f aca="false">I317*$J$5</f>
        <v>-137.684210526316</v>
      </c>
    </row>
    <row r="318" customFormat="false" ht="15" hidden="false" customHeight="true" outlineLevel="0" collapsed="false">
      <c r="A318" s="12" t="n">
        <v>4417000</v>
      </c>
      <c r="B318" s="12" t="str">
        <f aca="false">IFERROR(INDEX('Catalog'!$B:$B,MATCH($A318,'Catalog'!$A:$A,0)),"")</f>
        <v>PD342-פומפיה להסרת עור קשה</v>
      </c>
      <c r="C318" s="12" t="n">
        <f aca="false">SUMIFS('BE Raw'!$C$6:$C$615,'BE Raw'!$E$6:$E$615,$A318,'BE Raw'!$B$6:$B$615,2025)</f>
        <v>196</v>
      </c>
      <c r="D318" s="12" t="n">
        <f aca="false">SUMIFS('BE Raw'!$C$6:$C$615,'BE Raw'!$E$6:$E$615,$A318,'BE Raw'!$B$6:$B$615,2026)</f>
        <v>103</v>
      </c>
      <c r="E318" s="12" t="n">
        <f aca="false">D318*$J$5</f>
        <v>130.105263157895</v>
      </c>
      <c r="F318" s="12" t="n">
        <f aca="false">E318-C318</f>
        <v>-65.8947368421053</v>
      </c>
      <c r="G318" s="21" t="n">
        <f aca="false">IF(AND(C318=0,E318=0),0,IF(C318=0,"New",(E318-C318)/C318))</f>
        <v>-0.336197636949517</v>
      </c>
      <c r="H318" s="12" t="n">
        <f aca="false">SUMIFS('BE Raw'!$D$6:$D$615,'BE Raw'!$E$6:$E$615,$A318,'BE Raw'!$B$6:$B$615,2025)</f>
        <v>4287.3</v>
      </c>
      <c r="I318" s="12" t="n">
        <f aca="false">SUMIFS('BE Raw'!$D$6:$D$615,'BE Raw'!$E$6:$E$615,$A318,'BE Raw'!$B$6:$B$615,2026)</f>
        <v>2253</v>
      </c>
      <c r="J318" s="12" t="n">
        <f aca="false">I318*$J$5</f>
        <v>2845.89473684211</v>
      </c>
    </row>
    <row r="319" customFormat="false" ht="15" hidden="false" customHeight="true" outlineLevel="0" collapsed="false">
      <c r="A319" s="12" t="n">
        <v>4418000</v>
      </c>
      <c r="B319" s="12" t="str">
        <f aca="false">IFERROR(INDEX('Catalog'!$B:$B,MATCH($A319,'Catalog'!$A:$A,0)),"")</f>
        <v>60 L צוארון ספוגי</v>
      </c>
      <c r="C319" s="12" t="n">
        <f aca="false">SUMIFS('BE Raw'!$C$6:$C$615,'BE Raw'!$E$6:$E$615,$A319,'BE Raw'!$B$6:$B$615,2025)</f>
        <v>120</v>
      </c>
      <c r="D319" s="12" t="n">
        <f aca="false">SUMIFS('BE Raw'!$C$6:$C$615,'BE Raw'!$E$6:$E$615,$A319,'BE Raw'!$B$6:$B$615,2026)</f>
        <v>77</v>
      </c>
      <c r="E319" s="12" t="n">
        <f aca="false">D319*$J$5</f>
        <v>97.2631578947368</v>
      </c>
      <c r="F319" s="12" t="n">
        <f aca="false">E319-C319</f>
        <v>-22.7368421052632</v>
      </c>
      <c r="G319" s="21" t="n">
        <f aca="false">IF(AND(C319=0,E319=0),0,IF(C319=0,"New",(E319-C319)/C319))</f>
        <v>-0.189473684210526</v>
      </c>
      <c r="H319" s="12" t="n">
        <f aca="false">SUMIFS('BE Raw'!$D$6:$D$615,'BE Raw'!$E$6:$E$615,$A319,'BE Raw'!$B$6:$B$615,2025)</f>
        <v>3782.7</v>
      </c>
      <c r="I319" s="12" t="n">
        <f aca="false">SUMIFS('BE Raw'!$D$6:$D$615,'BE Raw'!$E$6:$E$615,$A319,'BE Raw'!$B$6:$B$615,2026)</f>
        <v>2492.4</v>
      </c>
      <c r="J319" s="12" t="n">
        <f aca="false">I319*$J$5</f>
        <v>3148.29473684211</v>
      </c>
    </row>
    <row r="320" customFormat="false" ht="15" hidden="false" customHeight="true" outlineLevel="0" collapsed="false">
      <c r="A320" s="12" t="n">
        <v>4418001</v>
      </c>
      <c r="B320" s="12" t="str">
        <f aca="false">IFERROR(INDEX('Catalog'!$B:$B,MATCH($A320,'Catalog'!$A:$A,0)),"")</f>
        <v>60 M צוארון ספוגי</v>
      </c>
      <c r="C320" s="12" t="n">
        <f aca="false">SUMIFS('BE Raw'!$C$6:$C$615,'BE Raw'!$E$6:$E$615,$A320,'BE Raw'!$B$6:$B$615,2025)</f>
        <v>127</v>
      </c>
      <c r="D320" s="12" t="n">
        <f aca="false">SUMIFS('BE Raw'!$C$6:$C$615,'BE Raw'!$E$6:$E$615,$A320,'BE Raw'!$B$6:$B$615,2026)</f>
        <v>72</v>
      </c>
      <c r="E320" s="12" t="n">
        <f aca="false">D320*$J$5</f>
        <v>90.9473684210526</v>
      </c>
      <c r="F320" s="12" t="n">
        <f aca="false">E320-C320</f>
        <v>-36.0526315789474</v>
      </c>
      <c r="G320" s="21" t="n">
        <f aca="false">IF(AND(C320=0,E320=0),0,IF(C320=0,"New",(E320-C320)/C320))</f>
        <v>-0.283878988810609</v>
      </c>
      <c r="H320" s="12" t="n">
        <f aca="false">SUMIFS('BE Raw'!$D$6:$D$615,'BE Raw'!$E$6:$E$615,$A320,'BE Raw'!$B$6:$B$615,2025)</f>
        <v>4110.2</v>
      </c>
      <c r="I320" s="12" t="n">
        <f aca="false">SUMIFS('BE Raw'!$D$6:$D$615,'BE Raw'!$E$6:$E$615,$A320,'BE Raw'!$B$6:$B$615,2026)</f>
        <v>2326.3</v>
      </c>
      <c r="J320" s="12" t="n">
        <f aca="false">I320*$J$5</f>
        <v>2938.48421052632</v>
      </c>
    </row>
    <row r="321" customFormat="false" ht="15" hidden="false" customHeight="true" outlineLevel="0" collapsed="false">
      <c r="A321" s="12" t="n">
        <v>4418002</v>
      </c>
      <c r="B321" s="12" t="str">
        <f aca="false">IFERROR(INDEX('Catalog'!$B:$B,MATCH($A321,'Catalog'!$A:$A,0)),"")</f>
        <v>60 S צוארון ספוגי</v>
      </c>
      <c r="C321" s="12" t="n">
        <f aca="false">SUMIFS('BE Raw'!$C$6:$C$615,'BE Raw'!$E$6:$E$615,$A321,'BE Raw'!$B$6:$B$615,2025)</f>
        <v>52</v>
      </c>
      <c r="D321" s="12" t="n">
        <f aca="false">SUMIFS('BE Raw'!$C$6:$C$615,'BE Raw'!$E$6:$E$615,$A321,'BE Raw'!$B$6:$B$615,2026)</f>
        <v>48</v>
      </c>
      <c r="E321" s="12" t="n">
        <f aca="false">D321*$J$5</f>
        <v>60.6315789473684</v>
      </c>
      <c r="F321" s="12" t="n">
        <f aca="false">E321-C321</f>
        <v>8.63157894736842</v>
      </c>
      <c r="G321" s="21" t="n">
        <f aca="false">IF(AND(C321=0,E321=0),0,IF(C321=0,"New",(E321-C321)/C321))</f>
        <v>0.165991902834008</v>
      </c>
      <c r="H321" s="12" t="n">
        <f aca="false">SUMIFS('BE Raw'!$D$6:$D$615,'BE Raw'!$E$6:$E$615,$A321,'BE Raw'!$B$6:$B$615,2025)</f>
        <v>1680.1</v>
      </c>
      <c r="I321" s="12" t="n">
        <f aca="false">SUMIFS('BE Raw'!$D$6:$D$615,'BE Raw'!$E$6:$E$615,$A321,'BE Raw'!$B$6:$B$615,2026)</f>
        <v>1550.9</v>
      </c>
      <c r="J321" s="12" t="n">
        <f aca="false">I321*$J$5</f>
        <v>1959.03157894737</v>
      </c>
    </row>
    <row r="322" customFormat="false" ht="15" hidden="false" customHeight="true" outlineLevel="0" collapsed="false">
      <c r="A322" s="12" t="n">
        <v>4418003</v>
      </c>
      <c r="B322" s="12" t="str">
        <f aca="false">IFERROR(INDEX('Catalog'!$B:$B,MATCH($A322,'Catalog'!$A:$A,0)),"")</f>
        <v>60 XL צוארון ספוגי</v>
      </c>
      <c r="C322" s="12" t="n">
        <f aca="false">SUMIFS('BE Raw'!$C$6:$C$615,'BE Raw'!$E$6:$E$615,$A322,'BE Raw'!$B$6:$B$615,2025)</f>
        <v>88</v>
      </c>
      <c r="D322" s="12" t="n">
        <f aca="false">SUMIFS('BE Raw'!$C$6:$C$615,'BE Raw'!$E$6:$E$615,$A322,'BE Raw'!$B$6:$B$615,2026)</f>
        <v>66</v>
      </c>
      <c r="E322" s="12" t="n">
        <f aca="false">D322*$J$5</f>
        <v>83.3684210526316</v>
      </c>
      <c r="F322" s="12" t="n">
        <f aca="false">E322-C322</f>
        <v>-4.63157894736843</v>
      </c>
      <c r="G322" s="21" t="n">
        <f aca="false">IF(AND(C322=0,E322=0),0,IF(C322=0,"New",(E322-C322)/C322))</f>
        <v>-0.0526315789473685</v>
      </c>
      <c r="H322" s="12" t="n">
        <f aca="false">SUMIFS('BE Raw'!$D$6:$D$615,'BE Raw'!$E$6:$E$615,$A322,'BE Raw'!$B$6:$B$615,2025)</f>
        <v>2784.8</v>
      </c>
      <c r="I322" s="12" t="n">
        <f aca="false">SUMIFS('BE Raw'!$D$6:$D$615,'BE Raw'!$E$6:$E$615,$A322,'BE Raw'!$B$6:$B$615,2026)</f>
        <v>2134.8</v>
      </c>
      <c r="J322" s="12" t="n">
        <f aca="false">I322*$J$5</f>
        <v>2696.58947368421</v>
      </c>
    </row>
    <row r="323" customFormat="false" ht="15" hidden="false" customHeight="true" outlineLevel="0" collapsed="false">
      <c r="A323" s="12" t="n">
        <v>4419006</v>
      </c>
      <c r="B323" s="12" t="str">
        <f aca="false">IFERROR(INDEX('Catalog'!$B:$B,MATCH($A323,'Catalog'!$A:$A,0)),"")</f>
        <v>PD340-קוצץ ציפורניים</v>
      </c>
      <c r="C323" s="12" t="n">
        <f aca="false">SUMIFS('BE Raw'!$C$6:$C$615,'BE Raw'!$E$6:$E$615,$A323,'BE Raw'!$B$6:$B$615,2025)</f>
        <v>928</v>
      </c>
      <c r="D323" s="12" t="n">
        <f aca="false">SUMIFS('BE Raw'!$C$6:$C$615,'BE Raw'!$E$6:$E$615,$A323,'BE Raw'!$B$6:$B$615,2026)</f>
        <v>514</v>
      </c>
      <c r="E323" s="12" t="n">
        <f aca="false">D323*$J$5</f>
        <v>649.263157894737</v>
      </c>
      <c r="F323" s="12" t="n">
        <f aca="false">E323-C323</f>
        <v>-278.736842105263</v>
      </c>
      <c r="G323" s="21" t="n">
        <f aca="false">IF(AND(C323=0,E323=0),0,IF(C323=0,"New",(E323-C323)/C323))</f>
        <v>-0.300362976406534</v>
      </c>
      <c r="H323" s="12" t="n">
        <f aca="false">SUMIFS('BE Raw'!$D$6:$D$615,'BE Raw'!$E$6:$E$615,$A323,'BE Raw'!$B$6:$B$615,2025)</f>
        <v>12205.1</v>
      </c>
      <c r="I323" s="12" t="n">
        <f aca="false">SUMIFS('BE Raw'!$D$6:$D$615,'BE Raw'!$E$6:$E$615,$A323,'BE Raw'!$B$6:$B$615,2026)</f>
        <v>6760.2</v>
      </c>
      <c r="J323" s="12" t="n">
        <f aca="false">I323*$J$5</f>
        <v>8539.2</v>
      </c>
    </row>
    <row r="324" customFormat="false" ht="15" hidden="false" customHeight="true" outlineLevel="0" collapsed="false">
      <c r="A324" s="12" t="n">
        <v>4420000</v>
      </c>
      <c r="B324" s="12" t="str">
        <f aca="false">IFERROR(INDEX('Catalog'!$B:$B,MATCH($A324,'Catalog'!$A:$A,0)),"")</f>
        <v>370  רפידת נוחות-זוג</v>
      </c>
      <c r="C324" s="12" t="n">
        <f aca="false">SUMIFS('BE Raw'!$C$6:$C$615,'BE Raw'!$E$6:$E$615,$A324,'BE Raw'!$B$6:$B$615,2025)</f>
        <v>330</v>
      </c>
      <c r="D324" s="12" t="n">
        <f aca="false">SUMIFS('BE Raw'!$C$6:$C$615,'BE Raw'!$E$6:$E$615,$A324,'BE Raw'!$B$6:$B$615,2026)</f>
        <v>200</v>
      </c>
      <c r="E324" s="12" t="n">
        <f aca="false">D324*$J$5</f>
        <v>252.631578947368</v>
      </c>
      <c r="F324" s="12" t="n">
        <f aca="false">E324-C324</f>
        <v>-77.3684210526316</v>
      </c>
      <c r="G324" s="21" t="n">
        <f aca="false">IF(AND(C324=0,E324=0),0,IF(C324=0,"New",(E324-C324)/C324))</f>
        <v>-0.23444976076555</v>
      </c>
      <c r="H324" s="12" t="n">
        <f aca="false">SUMIFS('BE Raw'!$D$6:$D$615,'BE Raw'!$E$6:$E$615,$A324,'BE Raw'!$B$6:$B$615,2025)</f>
        <v>3524.3</v>
      </c>
      <c r="I324" s="12" t="n">
        <f aca="false">SUMIFS('BE Raw'!$D$6:$D$615,'BE Raw'!$E$6:$E$615,$A324,'BE Raw'!$B$6:$B$615,2026)</f>
        <v>2136.1</v>
      </c>
      <c r="J324" s="12" t="n">
        <f aca="false">I324*$J$5</f>
        <v>2698.23157894737</v>
      </c>
    </row>
    <row r="325" customFormat="false" ht="15" hidden="false" customHeight="true" outlineLevel="0" collapsed="false">
      <c r="A325" s="12" t="n">
        <v>4420001</v>
      </c>
      <c r="B325" s="12" t="str">
        <f aca="false">IFERROR(INDEX('Catalog'!$B:$B,MATCH($A325,'Catalog'!$A:$A,0)),"")</f>
        <v>371 רפידת מגבת כותנה-זוג</v>
      </c>
      <c r="C325" s="12" t="n">
        <f aca="false">SUMIFS('BE Raw'!$C$6:$C$615,'BE Raw'!$E$6:$E$615,$A325,'BE Raw'!$B$6:$B$615,2025)</f>
        <v>54</v>
      </c>
      <c r="D325" s="12" t="n">
        <f aca="false">SUMIFS('BE Raw'!$C$6:$C$615,'BE Raw'!$E$6:$E$615,$A325,'BE Raw'!$B$6:$B$615,2026)</f>
        <v>34</v>
      </c>
      <c r="E325" s="12" t="n">
        <f aca="false">D325*$J$5</f>
        <v>42.9473684210526</v>
      </c>
      <c r="F325" s="12" t="n">
        <f aca="false">E325-C325</f>
        <v>-11.0526315789474</v>
      </c>
      <c r="G325" s="21" t="n">
        <f aca="false">IF(AND(C325=0,E325=0),0,IF(C325=0,"New",(E325-C325)/C325))</f>
        <v>-0.204678362573099</v>
      </c>
      <c r="H325" s="12" t="n">
        <f aca="false">SUMIFS('BE Raw'!$D$6:$D$615,'BE Raw'!$E$6:$E$615,$A325,'BE Raw'!$B$6:$B$615,2025)</f>
        <v>576.7</v>
      </c>
      <c r="I325" s="12" t="n">
        <f aca="false">SUMIFS('BE Raw'!$D$6:$D$615,'BE Raw'!$E$6:$E$615,$A325,'BE Raw'!$B$6:$B$615,2026)</f>
        <v>363.1</v>
      </c>
      <c r="J325" s="12" t="n">
        <f aca="false">I325*$J$5</f>
        <v>458.652631578947</v>
      </c>
    </row>
    <row r="326" customFormat="false" ht="15" hidden="false" customHeight="true" outlineLevel="0" collapsed="false">
      <c r="A326" s="12" t="n">
        <v>4420002</v>
      </c>
      <c r="B326" s="12" t="str">
        <f aca="false">IFERROR(INDEX('Catalog'!$B:$B,MATCH($A326,'Catalog'!$A:$A,0)),"")</f>
        <v>372 רפידת אנטי ריח -זוג</v>
      </c>
      <c r="C326" s="12" t="n">
        <f aca="false">SUMIFS('BE Raw'!$C$6:$C$615,'BE Raw'!$E$6:$E$615,$A326,'BE Raw'!$B$6:$B$615,2025)</f>
        <v>234</v>
      </c>
      <c r="D326" s="12" t="n">
        <f aca="false">SUMIFS('BE Raw'!$C$6:$C$615,'BE Raw'!$E$6:$E$615,$A326,'BE Raw'!$B$6:$B$615,2026)</f>
        <v>151</v>
      </c>
      <c r="E326" s="12" t="n">
        <f aca="false">D326*$J$5</f>
        <v>190.736842105263</v>
      </c>
      <c r="F326" s="12" t="n">
        <f aca="false">E326-C326</f>
        <v>-43.2631578947369</v>
      </c>
      <c r="G326" s="21" t="n">
        <f aca="false">IF(AND(C326=0,E326=0),0,IF(C326=0,"New",(E326-C326)/C326))</f>
        <v>-0.184885290148448</v>
      </c>
      <c r="H326" s="12" t="n">
        <f aca="false">SUMIFS('BE Raw'!$D$6:$D$615,'BE Raw'!$E$6:$E$615,$A326,'BE Raw'!$B$6:$B$615,2025)</f>
        <v>3171.8</v>
      </c>
      <c r="I326" s="12" t="n">
        <f aca="false">SUMIFS('BE Raw'!$D$6:$D$615,'BE Raw'!$E$6:$E$615,$A326,'BE Raw'!$B$6:$B$615,2026)</f>
        <v>2047.6</v>
      </c>
      <c r="J326" s="12" t="n">
        <f aca="false">I326*$J$5</f>
        <v>2586.44210526316</v>
      </c>
    </row>
    <row r="327" customFormat="false" ht="15" hidden="false" customHeight="true" outlineLevel="0" collapsed="false">
      <c r="A327" s="12" t="n">
        <v>4420003</v>
      </c>
      <c r="B327" s="12" t="str">
        <f aca="false">IFERROR(INDEX('Catalog'!$B:$B,MATCH($A327,'Catalog'!$A:$A,0)),"")</f>
        <v>374 רפידת בולמת זעזועים -זוג</v>
      </c>
      <c r="C327" s="12" t="n">
        <f aca="false">SUMIFS('BE Raw'!$C$6:$C$615,'BE Raw'!$E$6:$E$615,$A327,'BE Raw'!$B$6:$B$615,2025)</f>
        <v>168</v>
      </c>
      <c r="D327" s="12" t="n">
        <f aca="false">SUMIFS('BE Raw'!$C$6:$C$615,'BE Raw'!$E$6:$E$615,$A327,'BE Raw'!$B$6:$B$615,2026)</f>
        <v>101</v>
      </c>
      <c r="E327" s="12" t="n">
        <f aca="false">D327*$J$5</f>
        <v>127.578947368421</v>
      </c>
      <c r="F327" s="12" t="n">
        <f aca="false">E327-C327</f>
        <v>-40.421052631579</v>
      </c>
      <c r="G327" s="21" t="n">
        <f aca="false">IF(AND(C327=0,E327=0),0,IF(C327=0,"New",(E327-C327)/C327))</f>
        <v>-0.240601503759399</v>
      </c>
      <c r="H327" s="12" t="n">
        <f aca="false">SUMIFS('BE Raw'!$D$6:$D$615,'BE Raw'!$E$6:$E$615,$A327,'BE Raw'!$B$6:$B$615,2025)</f>
        <v>2246.9</v>
      </c>
      <c r="I327" s="12" t="n">
        <f aca="false">SUMIFS('BE Raw'!$D$6:$D$615,'BE Raw'!$E$6:$E$615,$A327,'BE Raw'!$B$6:$B$615,2026)</f>
        <v>1347.3</v>
      </c>
      <c r="J327" s="12" t="n">
        <f aca="false">I327*$J$5</f>
        <v>1701.85263157895</v>
      </c>
    </row>
    <row r="328" customFormat="false" ht="15" hidden="false" customHeight="true" outlineLevel="0" collapsed="false">
      <c r="A328" s="12" t="n">
        <v>4420004</v>
      </c>
      <c r="B328" s="12" t="str">
        <f aca="false">IFERROR(INDEX('Catalog'!$B:$B,MATCH($A328,'Catalog'!$A:$A,0)),"")</f>
        <v>377  רפ.אורטופדית ספורט זוג35</v>
      </c>
      <c r="C328" s="12" t="n">
        <f aca="false">SUMIFS('BE Raw'!$C$6:$C$615,'BE Raw'!$E$6:$E$615,$A328,'BE Raw'!$B$6:$B$615,2025)</f>
        <v>4</v>
      </c>
      <c r="D328" s="12" t="n">
        <f aca="false">SUMIFS('BE Raw'!$C$6:$C$615,'BE Raw'!$E$6:$E$615,$A328,'BE Raw'!$B$6:$B$615,2026)</f>
        <v>0</v>
      </c>
      <c r="E328" s="12" t="n">
        <f aca="false">D328*$J$5</f>
        <v>0</v>
      </c>
      <c r="F328" s="12" t="n">
        <f aca="false">E328-C328</f>
        <v>-4</v>
      </c>
      <c r="G328" s="21" t="n">
        <f aca="false">IF(AND(C328=0,E328=0),0,IF(C328=0,"New",(E328-C328)/C328))</f>
        <v>-1</v>
      </c>
      <c r="H328" s="12" t="n">
        <f aca="false">SUMIFS('BE Raw'!$D$6:$D$615,'BE Raw'!$E$6:$E$615,$A328,'BE Raw'!$B$6:$B$615,2025)</f>
        <v>157.4</v>
      </c>
      <c r="I328" s="12" t="n">
        <f aca="false">SUMIFS('BE Raw'!$D$6:$D$615,'BE Raw'!$E$6:$E$615,$A328,'BE Raw'!$B$6:$B$615,2026)</f>
        <v>0</v>
      </c>
      <c r="J328" s="12" t="n">
        <f aca="false">I328*$J$5</f>
        <v>0</v>
      </c>
    </row>
    <row r="329" customFormat="false" ht="15" hidden="false" customHeight="true" outlineLevel="0" collapsed="false">
      <c r="A329" s="12" t="n">
        <v>4420005</v>
      </c>
      <c r="B329" s="12" t="str">
        <f aca="false">IFERROR(INDEX('Catalog'!$B:$B,MATCH($A329,'Catalog'!$A:$A,0)),"")</f>
        <v>377 רפ.אורטופדית ספורט זוג36</v>
      </c>
      <c r="C329" s="12" t="n">
        <f aca="false">SUMIFS('BE Raw'!$C$6:$C$615,'BE Raw'!$E$6:$E$615,$A329,'BE Raw'!$B$6:$B$615,2025)</f>
        <v>4</v>
      </c>
      <c r="D329" s="12" t="n">
        <f aca="false">SUMIFS('BE Raw'!$C$6:$C$615,'BE Raw'!$E$6:$E$615,$A329,'BE Raw'!$B$6:$B$615,2026)</f>
        <v>0</v>
      </c>
      <c r="E329" s="12" t="n">
        <f aca="false">D329*$J$5</f>
        <v>0</v>
      </c>
      <c r="F329" s="12" t="n">
        <f aca="false">E329-C329</f>
        <v>-4</v>
      </c>
      <c r="G329" s="21" t="n">
        <f aca="false">IF(AND(C329=0,E329=0),0,IF(C329=0,"New",(E329-C329)/C329))</f>
        <v>-1</v>
      </c>
      <c r="H329" s="12" t="n">
        <f aca="false">SUMIFS('BE Raw'!$D$6:$D$615,'BE Raw'!$E$6:$E$615,$A329,'BE Raw'!$B$6:$B$615,2025)</f>
        <v>157.3</v>
      </c>
      <c r="I329" s="12" t="n">
        <f aca="false">SUMIFS('BE Raw'!$D$6:$D$615,'BE Raw'!$E$6:$E$615,$A329,'BE Raw'!$B$6:$B$615,2026)</f>
        <v>0</v>
      </c>
      <c r="J329" s="12" t="n">
        <f aca="false">I329*$J$5</f>
        <v>0</v>
      </c>
    </row>
    <row r="330" customFormat="false" ht="15" hidden="false" customHeight="true" outlineLevel="0" collapsed="false">
      <c r="A330" s="12" t="n">
        <v>4420006</v>
      </c>
      <c r="B330" s="12" t="str">
        <f aca="false">IFERROR(INDEX('Catalog'!$B:$B,MATCH($A330,'Catalog'!$A:$A,0)),"")</f>
        <v>377  רפ.אורטופדית ספורט זוג37</v>
      </c>
      <c r="C330" s="12" t="n">
        <f aca="false">SUMIFS('BE Raw'!$C$6:$C$615,'BE Raw'!$E$6:$E$615,$A330,'BE Raw'!$B$6:$B$615,2025)</f>
        <v>1</v>
      </c>
      <c r="D330" s="12" t="n">
        <f aca="false">SUMIFS('BE Raw'!$C$6:$C$615,'BE Raw'!$E$6:$E$615,$A330,'BE Raw'!$B$6:$B$615,2026)</f>
        <v>0</v>
      </c>
      <c r="E330" s="12" t="n">
        <f aca="false">D330*$J$5</f>
        <v>0</v>
      </c>
      <c r="F330" s="12" t="n">
        <f aca="false">E330-C330</f>
        <v>-1</v>
      </c>
      <c r="G330" s="21" t="n">
        <f aca="false">IF(AND(C330=0,E330=0),0,IF(C330=0,"New",(E330-C330)/C330))</f>
        <v>-1</v>
      </c>
      <c r="H330" s="12" t="n">
        <f aca="false">SUMIFS('BE Raw'!$D$6:$D$615,'BE Raw'!$E$6:$E$615,$A330,'BE Raw'!$B$6:$B$615,2025)</f>
        <v>39.3</v>
      </c>
      <c r="I330" s="12" t="n">
        <f aca="false">SUMIFS('BE Raw'!$D$6:$D$615,'BE Raw'!$E$6:$E$615,$A330,'BE Raw'!$B$6:$B$615,2026)</f>
        <v>0</v>
      </c>
      <c r="J330" s="12" t="n">
        <f aca="false">I330*$J$5</f>
        <v>0</v>
      </c>
    </row>
    <row r="331" customFormat="false" ht="15" hidden="false" customHeight="true" outlineLevel="0" collapsed="false">
      <c r="A331" s="12" t="n">
        <v>4420007</v>
      </c>
      <c r="B331" s="12" t="str">
        <f aca="false">IFERROR(INDEX('Catalog'!$B:$B,MATCH($A331,'Catalog'!$A:$A,0)),"")</f>
        <v>377   רפ.ורטופדית ספורט זוג38</v>
      </c>
      <c r="C331" s="12" t="n">
        <f aca="false">SUMIFS('BE Raw'!$C$6:$C$615,'BE Raw'!$E$6:$E$615,$A331,'BE Raw'!$B$6:$B$615,2025)</f>
        <v>-1</v>
      </c>
      <c r="D331" s="12" t="n">
        <f aca="false">SUMIFS('BE Raw'!$C$6:$C$615,'BE Raw'!$E$6:$E$615,$A331,'BE Raw'!$B$6:$B$615,2026)</f>
        <v>0</v>
      </c>
      <c r="E331" s="12" t="n">
        <f aca="false">D331*$J$5</f>
        <v>0</v>
      </c>
      <c r="F331" s="12" t="n">
        <f aca="false">E331-C331</f>
        <v>1</v>
      </c>
      <c r="G331" s="21" t="n">
        <f aca="false">IF(AND(C331=0,E331=0),0,IF(C331=0,"New",(E331-C331)/C331))</f>
        <v>-1</v>
      </c>
      <c r="H331" s="12" t="n">
        <f aca="false">SUMIFS('BE Raw'!$D$6:$D$615,'BE Raw'!$E$6:$E$615,$A331,'BE Raw'!$B$6:$B$615,2025)</f>
        <v>-47.3</v>
      </c>
      <c r="I331" s="12" t="n">
        <f aca="false">SUMIFS('BE Raw'!$D$6:$D$615,'BE Raw'!$E$6:$E$615,$A331,'BE Raw'!$B$6:$B$615,2026)</f>
        <v>0</v>
      </c>
      <c r="J331" s="12" t="n">
        <f aca="false">I331*$J$5</f>
        <v>0</v>
      </c>
    </row>
    <row r="332" customFormat="false" ht="15" hidden="false" customHeight="true" outlineLevel="0" collapsed="false">
      <c r="A332" s="12" t="n">
        <v>4420008</v>
      </c>
      <c r="B332" s="12" t="str">
        <f aca="false">IFERROR(INDEX('Catalog'!$B:$B,MATCH($A332,'Catalog'!$A:$A,0)),"")</f>
        <v>377  רפ.אורטופדית ספורט זוג39</v>
      </c>
      <c r="C332" s="12" t="n">
        <f aca="false">SUMIFS('BE Raw'!$C$6:$C$615,'BE Raw'!$E$6:$E$615,$A332,'BE Raw'!$B$6:$B$615,2025)</f>
        <v>4</v>
      </c>
      <c r="D332" s="12" t="n">
        <f aca="false">SUMIFS('BE Raw'!$C$6:$C$615,'BE Raw'!$E$6:$E$615,$A332,'BE Raw'!$B$6:$B$615,2026)</f>
        <v>0</v>
      </c>
      <c r="E332" s="12" t="n">
        <f aca="false">D332*$J$5</f>
        <v>0</v>
      </c>
      <c r="F332" s="12" t="n">
        <f aca="false">E332-C332</f>
        <v>-4</v>
      </c>
      <c r="G332" s="21" t="n">
        <f aca="false">IF(AND(C332=0,E332=0),0,IF(C332=0,"New",(E332-C332)/C332))</f>
        <v>-1</v>
      </c>
      <c r="H332" s="12" t="n">
        <f aca="false">SUMIFS('BE Raw'!$D$6:$D$615,'BE Raw'!$E$6:$E$615,$A332,'BE Raw'!$B$6:$B$615,2025)</f>
        <v>157.3</v>
      </c>
      <c r="I332" s="12" t="n">
        <f aca="false">SUMIFS('BE Raw'!$D$6:$D$615,'BE Raw'!$E$6:$E$615,$A332,'BE Raw'!$B$6:$B$615,2026)</f>
        <v>0</v>
      </c>
      <c r="J332" s="12" t="n">
        <f aca="false">I332*$J$5</f>
        <v>0</v>
      </c>
    </row>
    <row r="333" customFormat="false" ht="15" hidden="false" customHeight="true" outlineLevel="0" collapsed="false">
      <c r="A333" s="12" t="n">
        <v>4420010</v>
      </c>
      <c r="B333" s="12" t="str">
        <f aca="false">IFERROR(INDEX('Catalog'!$B:$B,MATCH($A333,'Catalog'!$A:$A,0)),"")</f>
        <v>377  רפידה אורטופ.ספורט זוג41</v>
      </c>
      <c r="C333" s="12" t="n">
        <f aca="false">SUMIFS('BE Raw'!$C$6:$C$615,'BE Raw'!$E$6:$E$615,$A333,'BE Raw'!$B$6:$B$615,2025)</f>
        <v>2</v>
      </c>
      <c r="D333" s="12" t="n">
        <f aca="false">SUMIFS('BE Raw'!$C$6:$C$615,'BE Raw'!$E$6:$E$615,$A333,'BE Raw'!$B$6:$B$615,2026)</f>
        <v>0</v>
      </c>
      <c r="E333" s="12" t="n">
        <f aca="false">D333*$J$5</f>
        <v>0</v>
      </c>
      <c r="F333" s="12" t="n">
        <f aca="false">E333-C333</f>
        <v>-2</v>
      </c>
      <c r="G333" s="21" t="n">
        <f aca="false">IF(AND(C333=0,E333=0),0,IF(C333=0,"New",(E333-C333)/C333))</f>
        <v>-1</v>
      </c>
      <c r="H333" s="12" t="n">
        <f aca="false">SUMIFS('BE Raw'!$D$6:$D$615,'BE Raw'!$E$6:$E$615,$A333,'BE Raw'!$B$6:$B$615,2025)</f>
        <v>78.7</v>
      </c>
      <c r="I333" s="12" t="n">
        <f aca="false">SUMIFS('BE Raw'!$D$6:$D$615,'BE Raw'!$E$6:$E$615,$A333,'BE Raw'!$B$6:$B$615,2026)</f>
        <v>0</v>
      </c>
      <c r="J333" s="12" t="n">
        <f aca="false">I333*$J$5</f>
        <v>0</v>
      </c>
    </row>
    <row r="334" customFormat="false" ht="15" hidden="false" customHeight="true" outlineLevel="0" collapsed="false">
      <c r="A334" s="12" t="n">
        <v>4420011</v>
      </c>
      <c r="B334" s="12" t="str">
        <f aca="false">IFERROR(INDEX('Catalog'!$B:$B,MATCH($A334,'Catalog'!$A:$A,0)),"")</f>
        <v>377 רפידה אורטופ.ספורט זוג42</v>
      </c>
      <c r="C334" s="12" t="n">
        <f aca="false">SUMIFS('BE Raw'!$C$6:$C$615,'BE Raw'!$E$6:$E$615,$A334,'BE Raw'!$B$6:$B$615,2025)</f>
        <v>2</v>
      </c>
      <c r="D334" s="12" t="n">
        <f aca="false">SUMIFS('BE Raw'!$C$6:$C$615,'BE Raw'!$E$6:$E$615,$A334,'BE Raw'!$B$6:$B$615,2026)</f>
        <v>0</v>
      </c>
      <c r="E334" s="12" t="n">
        <f aca="false">D334*$J$5</f>
        <v>0</v>
      </c>
      <c r="F334" s="12" t="n">
        <f aca="false">E334-C334</f>
        <v>-2</v>
      </c>
      <c r="G334" s="21" t="n">
        <f aca="false">IF(AND(C334=0,E334=0),0,IF(C334=0,"New",(E334-C334)/C334))</f>
        <v>-1</v>
      </c>
      <c r="H334" s="12" t="n">
        <f aca="false">SUMIFS('BE Raw'!$D$6:$D$615,'BE Raw'!$E$6:$E$615,$A334,'BE Raw'!$B$6:$B$615,2025)</f>
        <v>78.7</v>
      </c>
      <c r="I334" s="12" t="n">
        <f aca="false">SUMIFS('BE Raw'!$D$6:$D$615,'BE Raw'!$E$6:$E$615,$A334,'BE Raw'!$B$6:$B$615,2026)</f>
        <v>0</v>
      </c>
      <c r="J334" s="12" t="n">
        <f aca="false">I334*$J$5</f>
        <v>0</v>
      </c>
    </row>
    <row r="335" customFormat="false" ht="15" hidden="false" customHeight="true" outlineLevel="0" collapsed="false">
      <c r="A335" s="12" t="n">
        <v>4420012</v>
      </c>
      <c r="B335" s="12" t="str">
        <f aca="false">IFERROR(INDEX('Catalog'!$B:$B,MATCH($A335,'Catalog'!$A:$A,0)),"")</f>
        <v>377   רפידה אורט.ספורט זוג43</v>
      </c>
      <c r="C335" s="12" t="n">
        <f aca="false">SUMIFS('BE Raw'!$C$6:$C$615,'BE Raw'!$E$6:$E$615,$A335,'BE Raw'!$B$6:$B$615,2025)</f>
        <v>-1</v>
      </c>
      <c r="D335" s="12" t="n">
        <f aca="false">SUMIFS('BE Raw'!$C$6:$C$615,'BE Raw'!$E$6:$E$615,$A335,'BE Raw'!$B$6:$B$615,2026)</f>
        <v>0</v>
      </c>
      <c r="E335" s="12" t="n">
        <f aca="false">D335*$J$5</f>
        <v>0</v>
      </c>
      <c r="F335" s="12" t="n">
        <f aca="false">E335-C335</f>
        <v>1</v>
      </c>
      <c r="G335" s="21" t="n">
        <f aca="false">IF(AND(C335=0,E335=0),0,IF(C335=0,"New",(E335-C335)/C335))</f>
        <v>-1</v>
      </c>
      <c r="H335" s="12" t="n">
        <f aca="false">SUMIFS('BE Raw'!$D$6:$D$615,'BE Raw'!$E$6:$E$615,$A335,'BE Raw'!$B$6:$B$615,2025)</f>
        <v>-55.2</v>
      </c>
      <c r="I335" s="12" t="n">
        <f aca="false">SUMIFS('BE Raw'!$D$6:$D$615,'BE Raw'!$E$6:$E$615,$A335,'BE Raw'!$B$6:$B$615,2026)</f>
        <v>0</v>
      </c>
      <c r="J335" s="12" t="n">
        <f aca="false">I335*$J$5</f>
        <v>0</v>
      </c>
    </row>
    <row r="336" customFormat="false" ht="15" hidden="false" customHeight="true" outlineLevel="0" collapsed="false">
      <c r="A336" s="12" t="n">
        <v>4420013</v>
      </c>
      <c r="B336" s="12" t="str">
        <f aca="false">IFERROR(INDEX('Catalog'!$B:$B,MATCH($A336,'Catalog'!$A:$A,0)),"")</f>
        <v>377  רפידה אורט.ספורט זוג44</v>
      </c>
      <c r="C336" s="12" t="n">
        <f aca="false">SUMIFS('BE Raw'!$C$6:$C$615,'BE Raw'!$E$6:$E$615,$A336,'BE Raw'!$B$6:$B$615,2025)</f>
        <v>1</v>
      </c>
      <c r="D336" s="12" t="n">
        <f aca="false">SUMIFS('BE Raw'!$C$6:$C$615,'BE Raw'!$E$6:$E$615,$A336,'BE Raw'!$B$6:$B$615,2026)</f>
        <v>0</v>
      </c>
      <c r="E336" s="12" t="n">
        <f aca="false">D336*$J$5</f>
        <v>0</v>
      </c>
      <c r="F336" s="12" t="n">
        <f aca="false">E336-C336</f>
        <v>-1</v>
      </c>
      <c r="G336" s="21" t="n">
        <f aca="false">IF(AND(C336=0,E336=0),0,IF(C336=0,"New",(E336-C336)/C336))</f>
        <v>-1</v>
      </c>
      <c r="H336" s="12" t="n">
        <f aca="false">SUMIFS('BE Raw'!$D$6:$D$615,'BE Raw'!$E$6:$E$615,$A336,'BE Raw'!$B$6:$B$615,2025)</f>
        <v>39.3</v>
      </c>
      <c r="I336" s="12" t="n">
        <f aca="false">SUMIFS('BE Raw'!$D$6:$D$615,'BE Raw'!$E$6:$E$615,$A336,'BE Raw'!$B$6:$B$615,2026)</f>
        <v>0</v>
      </c>
      <c r="J336" s="12" t="n">
        <f aca="false">I336*$J$5</f>
        <v>0</v>
      </c>
    </row>
    <row r="337" customFormat="false" ht="15" hidden="false" customHeight="true" outlineLevel="0" collapsed="false">
      <c r="A337" s="12" t="n">
        <v>4420016</v>
      </c>
      <c r="B337" s="12" t="str">
        <f aca="false">IFERROR(INDEX('Catalog'!$B:$B,MATCH($A337,'Catalog'!$A:$A,0)),"")</f>
        <v>40-רצועת פיקה לברך</v>
      </c>
      <c r="C337" s="12" t="n">
        <f aca="false">SUMIFS('BE Raw'!$C$6:$C$615,'BE Raw'!$E$6:$E$615,$A337,'BE Raw'!$B$6:$B$615,2025)</f>
        <v>56</v>
      </c>
      <c r="D337" s="12" t="n">
        <f aca="false">SUMIFS('BE Raw'!$C$6:$C$615,'BE Raw'!$E$6:$E$615,$A337,'BE Raw'!$B$6:$B$615,2026)</f>
        <v>33</v>
      </c>
      <c r="E337" s="12" t="n">
        <f aca="false">D337*$J$5</f>
        <v>41.6842105263158</v>
      </c>
      <c r="F337" s="12" t="n">
        <f aca="false">E337-C337</f>
        <v>-14.3157894736842</v>
      </c>
      <c r="G337" s="21" t="n">
        <f aca="false">IF(AND(C337=0,E337=0),0,IF(C337=0,"New",(E337-C337)/C337))</f>
        <v>-0.255639097744361</v>
      </c>
      <c r="H337" s="12" t="n">
        <f aca="false">SUMIFS('BE Raw'!$D$6:$D$615,'BE Raw'!$E$6:$E$615,$A337,'BE Raw'!$B$6:$B$615,2025)</f>
        <v>2715.5</v>
      </c>
      <c r="I337" s="12" t="n">
        <f aca="false">SUMIFS('BE Raw'!$D$6:$D$615,'BE Raw'!$E$6:$E$615,$A337,'BE Raw'!$B$6:$B$615,2026)</f>
        <v>1600.2</v>
      </c>
      <c r="J337" s="12" t="n">
        <f aca="false">I337*$J$5</f>
        <v>2021.30526315789</v>
      </c>
    </row>
    <row r="338" customFormat="false" ht="15" hidden="false" customHeight="true" outlineLevel="0" collapsed="false">
      <c r="A338" s="12" t="n">
        <v>4420018</v>
      </c>
      <c r="B338" s="12" t="str">
        <f aca="false">IFERROR(INDEX('Catalog'!$B:$B,MATCH($A338,'Catalog'!$A:$A,0)),"")</f>
        <v>T90 רצועת טניס אלבו עם פלסטיק</v>
      </c>
      <c r="C338" s="12" t="n">
        <f aca="false">SUMIFS('BE Raw'!$C$6:$C$615,'BE Raw'!$E$6:$E$615,$A338,'BE Raw'!$B$6:$B$615,2025)</f>
        <v>1</v>
      </c>
      <c r="D338" s="12" t="n">
        <f aca="false">SUMIFS('BE Raw'!$C$6:$C$615,'BE Raw'!$E$6:$E$615,$A338,'BE Raw'!$B$6:$B$615,2026)</f>
        <v>0</v>
      </c>
      <c r="E338" s="12" t="n">
        <f aca="false">D338*$J$5</f>
        <v>0</v>
      </c>
      <c r="F338" s="12" t="n">
        <f aca="false">E338-C338</f>
        <v>-1</v>
      </c>
      <c r="G338" s="21" t="n">
        <f aca="false">IF(AND(C338=0,E338=0),0,IF(C338=0,"New",(E338-C338)/C338))</f>
        <v>-1</v>
      </c>
      <c r="H338" s="12" t="n">
        <f aca="false">SUMIFS('BE Raw'!$D$6:$D$615,'BE Raw'!$E$6:$E$615,$A338,'BE Raw'!$B$6:$B$615,2025)</f>
        <v>105.9</v>
      </c>
      <c r="I338" s="12" t="n">
        <f aca="false">SUMIFS('BE Raw'!$D$6:$D$615,'BE Raw'!$E$6:$E$615,$A338,'BE Raw'!$B$6:$B$615,2026)</f>
        <v>0</v>
      </c>
      <c r="J338" s="12" t="n">
        <f aca="false">I338*$J$5</f>
        <v>0</v>
      </c>
    </row>
    <row r="339" customFormat="false" ht="15" hidden="false" customHeight="true" outlineLevel="0" collapsed="false">
      <c r="A339" s="12" t="n">
        <v>4420019</v>
      </c>
      <c r="B339" s="12" t="str">
        <f aca="false">IFERROR(INDEX('Catalog'!$B:$B,MATCH($A339,'Catalog'!$A:$A,0)),"")</f>
        <v>T91  L-XL רצועת טניס אלבו</v>
      </c>
      <c r="C339" s="12" t="n">
        <f aca="false">SUMIFS('BE Raw'!$C$6:$C$615,'BE Raw'!$E$6:$E$615,$A339,'BE Raw'!$B$6:$B$615,2025)</f>
        <v>-3</v>
      </c>
      <c r="D339" s="12" t="n">
        <f aca="false">SUMIFS('BE Raw'!$C$6:$C$615,'BE Raw'!$E$6:$E$615,$A339,'BE Raw'!$B$6:$B$615,2026)</f>
        <v>0</v>
      </c>
      <c r="E339" s="12" t="n">
        <f aca="false">D339*$J$5</f>
        <v>0</v>
      </c>
      <c r="F339" s="12" t="n">
        <f aca="false">E339-C339</f>
        <v>3</v>
      </c>
      <c r="G339" s="21" t="n">
        <f aca="false">IF(AND(C339=0,E339=0),0,IF(C339=0,"New",(E339-C339)/C339))</f>
        <v>-1</v>
      </c>
      <c r="H339" s="12" t="n">
        <f aca="false">SUMIFS('BE Raw'!$D$6:$D$615,'BE Raw'!$E$6:$E$615,$A339,'BE Raw'!$B$6:$B$615,2025)</f>
        <v>-158.7</v>
      </c>
      <c r="I339" s="12" t="n">
        <f aca="false">SUMIFS('BE Raw'!$D$6:$D$615,'BE Raw'!$E$6:$E$615,$A339,'BE Raw'!$B$6:$B$615,2026)</f>
        <v>0</v>
      </c>
      <c r="J339" s="12" t="n">
        <f aca="false">I339*$J$5</f>
        <v>0</v>
      </c>
    </row>
    <row r="340" customFormat="false" ht="15" hidden="false" customHeight="true" outlineLevel="0" collapsed="false">
      <c r="A340" s="12" t="n">
        <v>4420020</v>
      </c>
      <c r="B340" s="12" t="str">
        <f aca="false">IFERROR(INDEX('Catalog'!$B:$B,MATCH($A340,'Catalog'!$A:$A,0)),"")</f>
        <v>T91 S-M רצועת טניס אלבו</v>
      </c>
      <c r="C340" s="12" t="n">
        <f aca="false">SUMIFS('BE Raw'!$C$6:$C$615,'BE Raw'!$E$6:$E$615,$A340,'BE Raw'!$B$6:$B$615,2025)</f>
        <v>-3</v>
      </c>
      <c r="D340" s="12" t="n">
        <f aca="false">SUMIFS('BE Raw'!$C$6:$C$615,'BE Raw'!$E$6:$E$615,$A340,'BE Raw'!$B$6:$B$615,2026)</f>
        <v>0</v>
      </c>
      <c r="E340" s="12" t="n">
        <f aca="false">D340*$J$5</f>
        <v>0</v>
      </c>
      <c r="F340" s="12" t="n">
        <f aca="false">E340-C340</f>
        <v>3</v>
      </c>
      <c r="G340" s="21" t="n">
        <f aca="false">IF(AND(C340=0,E340=0),0,IF(C340=0,"New",(E340-C340)/C340))</f>
        <v>-1</v>
      </c>
      <c r="H340" s="12" t="n">
        <f aca="false">SUMIFS('BE Raw'!$D$6:$D$615,'BE Raw'!$E$6:$E$615,$A340,'BE Raw'!$B$6:$B$615,2025)</f>
        <v>-158.7</v>
      </c>
      <c r="I340" s="12" t="n">
        <f aca="false">SUMIFS('BE Raw'!$D$6:$D$615,'BE Raw'!$E$6:$E$615,$A340,'BE Raw'!$B$6:$B$615,2026)</f>
        <v>0</v>
      </c>
      <c r="J340" s="12" t="n">
        <f aca="false">I340*$J$5</f>
        <v>0</v>
      </c>
    </row>
    <row r="341" customFormat="false" ht="15" hidden="false" customHeight="true" outlineLevel="0" collapsed="false">
      <c r="A341" s="12" t="n">
        <v>4420022</v>
      </c>
      <c r="B341" s="12" t="str">
        <f aca="false">IFERROR(INDEX('Catalog'!$B:$B,MATCH($A341,'Catalog'!$A:$A,0)),"")</f>
        <v>LF370 ריפוד סיליקון לעקב אחורי</v>
      </c>
      <c r="C341" s="12" t="n">
        <f aca="false">SUMIFS('BE Raw'!$C$6:$C$615,'BE Raw'!$E$6:$E$615,$A341,'BE Raw'!$B$6:$B$615,2025)</f>
        <v>87</v>
      </c>
      <c r="D341" s="12" t="n">
        <f aca="false">SUMIFS('BE Raw'!$C$6:$C$615,'BE Raw'!$E$6:$E$615,$A341,'BE Raw'!$B$6:$B$615,2026)</f>
        <v>91</v>
      </c>
      <c r="E341" s="12" t="n">
        <f aca="false">D341*$J$5</f>
        <v>114.947368421053</v>
      </c>
      <c r="F341" s="12" t="n">
        <f aca="false">E341-C341</f>
        <v>27.9473684210526</v>
      </c>
      <c r="G341" s="21" t="n">
        <f aca="false">IF(AND(C341=0,E341=0),0,IF(C341=0,"New",(E341-C341)/C341))</f>
        <v>0.321234119782214</v>
      </c>
      <c r="H341" s="12" t="n">
        <f aca="false">SUMIFS('BE Raw'!$D$6:$D$615,'BE Raw'!$E$6:$E$615,$A341,'BE Raw'!$B$6:$B$615,2025)</f>
        <v>1870.3</v>
      </c>
      <c r="I341" s="12" t="n">
        <f aca="false">SUMIFS('BE Raw'!$D$6:$D$615,'BE Raw'!$E$6:$E$615,$A341,'BE Raw'!$B$6:$B$615,2026)</f>
        <v>1968.5</v>
      </c>
      <c r="J341" s="12" t="n">
        <f aca="false">I341*$J$5</f>
        <v>2486.52631578947</v>
      </c>
    </row>
    <row r="342" customFormat="false" ht="15" hidden="false" customHeight="true" outlineLevel="0" collapsed="false">
      <c r="A342" s="12" t="n">
        <v>4420023</v>
      </c>
      <c r="B342" s="12" t="str">
        <f aca="false">IFERROR(INDEX('Catalog'!$B:$B,MATCH($A342,'Catalog'!$A:$A,0)),"")</f>
        <v>LF371 ריפוד סיליקון לנעלי אצבע</v>
      </c>
      <c r="C342" s="12" t="n">
        <f aca="false">SUMIFS('BE Raw'!$C$6:$C$615,'BE Raw'!$E$6:$E$615,$A342,'BE Raw'!$B$6:$B$615,2025)</f>
        <v>4</v>
      </c>
      <c r="D342" s="12" t="n">
        <f aca="false">SUMIFS('BE Raw'!$C$6:$C$615,'BE Raw'!$E$6:$E$615,$A342,'BE Raw'!$B$6:$B$615,2026)</f>
        <v>7</v>
      </c>
      <c r="E342" s="12" t="n">
        <f aca="false">D342*$J$5</f>
        <v>8.84210526315789</v>
      </c>
      <c r="F342" s="12" t="n">
        <f aca="false">E342-C342</f>
        <v>4.84210526315789</v>
      </c>
      <c r="G342" s="21" t="n">
        <f aca="false">IF(AND(C342=0,E342=0),0,IF(C342=0,"New",(E342-C342)/C342))</f>
        <v>1.21052631578947</v>
      </c>
      <c r="H342" s="12" t="n">
        <f aca="false">SUMIFS('BE Raw'!$D$6:$D$615,'BE Raw'!$E$6:$E$615,$A342,'BE Raw'!$B$6:$B$615,2025)</f>
        <v>43.8</v>
      </c>
      <c r="I342" s="12" t="n">
        <f aca="false">SUMIFS('BE Raw'!$D$6:$D$615,'BE Raw'!$E$6:$E$615,$A342,'BE Raw'!$B$6:$B$615,2026)</f>
        <v>171.6</v>
      </c>
      <c r="J342" s="12" t="n">
        <f aca="false">I342*$J$5</f>
        <v>216.757894736842</v>
      </c>
    </row>
    <row r="343" customFormat="false" ht="15" hidden="false" customHeight="true" outlineLevel="0" collapsed="false">
      <c r="A343" s="12" t="n">
        <v>4420024</v>
      </c>
      <c r="B343" s="12" t="str">
        <f aca="false">IFERROR(INDEX('Catalog'!$B:$B,MATCH($A343,'Catalog'!$A:$A,0)),"")</f>
        <v>LFריפוד סיליק.לכרית כף הרגל373</v>
      </c>
      <c r="C343" s="12" t="n">
        <f aca="false">SUMIFS('BE Raw'!$C$6:$C$615,'BE Raw'!$E$6:$E$615,$A343,'BE Raw'!$B$6:$B$615,2025)</f>
        <v>57</v>
      </c>
      <c r="D343" s="12" t="n">
        <f aca="false">SUMIFS('BE Raw'!$C$6:$C$615,'BE Raw'!$E$6:$E$615,$A343,'BE Raw'!$B$6:$B$615,2026)</f>
        <v>18</v>
      </c>
      <c r="E343" s="12" t="n">
        <f aca="false">D343*$J$5</f>
        <v>22.7368421052632</v>
      </c>
      <c r="F343" s="12" t="n">
        <f aca="false">E343-C343</f>
        <v>-34.2631578947368</v>
      </c>
      <c r="G343" s="21" t="n">
        <f aca="false">IF(AND(C343=0,E343=0),0,IF(C343=0,"New",(E343-C343)/C343))</f>
        <v>-0.601108033240997</v>
      </c>
      <c r="H343" s="12" t="n">
        <f aca="false">SUMIFS('BE Raw'!$D$6:$D$615,'BE Raw'!$E$6:$E$615,$A343,'BE Raw'!$B$6:$B$615,2025)</f>
        <v>1110.8</v>
      </c>
      <c r="I343" s="12" t="n">
        <f aca="false">SUMIFS('BE Raw'!$D$6:$D$615,'BE Raw'!$E$6:$E$615,$A343,'BE Raw'!$B$6:$B$615,2026)</f>
        <v>344.5</v>
      </c>
      <c r="J343" s="12" t="n">
        <f aca="false">I343*$J$5</f>
        <v>435.157894736842</v>
      </c>
    </row>
    <row r="344" customFormat="false" ht="15" hidden="false" customHeight="true" outlineLevel="0" collapsed="false">
      <c r="A344" s="12" t="n">
        <v>4420025</v>
      </c>
      <c r="B344" s="12" t="str">
        <f aca="false">IFERROR(INDEX('Catalog'!$B:$B,MATCH($A344,'Catalog'!$A:$A,0)),"")</f>
        <v>LF374 ריפוד סיליק.לעקב תחתון</v>
      </c>
      <c r="C344" s="12" t="n">
        <f aca="false">SUMIFS('BE Raw'!$C$6:$C$615,'BE Raw'!$E$6:$E$615,$A344,'BE Raw'!$B$6:$B$615,2025)</f>
        <v>41</v>
      </c>
      <c r="D344" s="12" t="n">
        <f aca="false">SUMIFS('BE Raw'!$C$6:$C$615,'BE Raw'!$E$6:$E$615,$A344,'BE Raw'!$B$6:$B$615,2026)</f>
        <v>44</v>
      </c>
      <c r="E344" s="12" t="n">
        <f aca="false">D344*$J$5</f>
        <v>55.5789473684211</v>
      </c>
      <c r="F344" s="12" t="n">
        <f aca="false">E344-C344</f>
        <v>14.578947368421</v>
      </c>
      <c r="G344" s="21" t="n">
        <f aca="false">IF(AND(C344=0,E344=0),0,IF(C344=0,"New",(E344-C344)/C344))</f>
        <v>0.355584082156611</v>
      </c>
      <c r="H344" s="12" t="n">
        <f aca="false">SUMIFS('BE Raw'!$D$6:$D$615,'BE Raw'!$E$6:$E$615,$A344,'BE Raw'!$B$6:$B$615,2025)</f>
        <v>869.5</v>
      </c>
      <c r="I344" s="12" t="n">
        <f aca="false">SUMIFS('BE Raw'!$D$6:$D$615,'BE Raw'!$E$6:$E$615,$A344,'BE Raw'!$B$6:$B$615,2026)</f>
        <v>940.6</v>
      </c>
      <c r="J344" s="12" t="n">
        <f aca="false">I344*$J$5</f>
        <v>1188.12631578947</v>
      </c>
    </row>
    <row r="345" customFormat="false" ht="15" hidden="false" customHeight="true" outlineLevel="0" collapsed="false">
      <c r="A345" s="12" t="n">
        <v>4421000</v>
      </c>
      <c r="B345" s="12" t="str">
        <f aca="false">IFERROR(INDEX('Catalog'!$B:$B,MATCH($A345,'Catalog'!$A:$A,0)),"")</f>
        <v>3655 שרוול מסיליקון לאצבע</v>
      </c>
      <c r="C345" s="12" t="n">
        <f aca="false">SUMIFS('BE Raw'!$C$6:$C$615,'BE Raw'!$E$6:$E$615,$A345,'BE Raw'!$B$6:$B$615,2025)</f>
        <v>885</v>
      </c>
      <c r="D345" s="12" t="n">
        <f aca="false">SUMIFS('BE Raw'!$C$6:$C$615,'BE Raw'!$E$6:$E$615,$A345,'BE Raw'!$B$6:$B$615,2026)</f>
        <v>617</v>
      </c>
      <c r="E345" s="12" t="n">
        <f aca="false">D345*$J$5</f>
        <v>779.368421052632</v>
      </c>
      <c r="F345" s="12" t="n">
        <f aca="false">E345-C345</f>
        <v>-105.631578947368</v>
      </c>
      <c r="G345" s="21" t="n">
        <f aca="false">IF(AND(C345=0,E345=0),0,IF(C345=0,"New",(E345-C345)/C345))</f>
        <v>-0.11935771632471</v>
      </c>
      <c r="H345" s="12" t="n">
        <f aca="false">SUMIFS('BE Raw'!$D$6:$D$615,'BE Raw'!$E$6:$E$615,$A345,'BE Raw'!$B$6:$B$615,2025)</f>
        <v>14918.9</v>
      </c>
      <c r="I345" s="12" t="n">
        <f aca="false">SUMIFS('BE Raw'!$D$6:$D$615,'BE Raw'!$E$6:$E$615,$A345,'BE Raw'!$B$6:$B$615,2026)</f>
        <v>10390.5</v>
      </c>
      <c r="J345" s="12" t="n">
        <f aca="false">I345*$J$5</f>
        <v>13124.8421052632</v>
      </c>
    </row>
    <row r="346" customFormat="false" ht="15" hidden="false" customHeight="true" outlineLevel="0" collapsed="false">
      <c r="A346" s="12" t="n">
        <v>4421001</v>
      </c>
      <c r="B346" s="12" t="str">
        <f aca="false">IFERROR(INDEX('Catalog'!$B:$B,MATCH($A346,'Catalog'!$A:$A,0)),"")</f>
        <v>3611 שרוול מטטרזלי מסיליקון</v>
      </c>
      <c r="C346" s="12" t="n">
        <f aca="false">SUMIFS('BE Raw'!$C$6:$C$615,'BE Raw'!$E$6:$E$615,$A346,'BE Raw'!$B$6:$B$615,2025)</f>
        <v>59</v>
      </c>
      <c r="D346" s="12" t="n">
        <f aca="false">SUMIFS('BE Raw'!$C$6:$C$615,'BE Raw'!$E$6:$E$615,$A346,'BE Raw'!$B$6:$B$615,2026)</f>
        <v>43</v>
      </c>
      <c r="E346" s="12" t="n">
        <f aca="false">D346*$J$5</f>
        <v>54.3157894736842</v>
      </c>
      <c r="F346" s="12" t="n">
        <f aca="false">E346-C346</f>
        <v>-4.6842105263158</v>
      </c>
      <c r="G346" s="21" t="n">
        <f aca="false">IF(AND(C346=0,E346=0),0,IF(C346=0,"New",(E346-C346)/C346))</f>
        <v>-0.0793933987511152</v>
      </c>
      <c r="H346" s="12" t="n">
        <f aca="false">SUMIFS('BE Raw'!$D$6:$D$615,'BE Raw'!$E$6:$E$615,$A346,'BE Raw'!$B$6:$B$615,2025)</f>
        <v>3304</v>
      </c>
      <c r="I346" s="12" t="n">
        <f aca="false">SUMIFS('BE Raw'!$D$6:$D$615,'BE Raw'!$E$6:$E$615,$A346,'BE Raw'!$B$6:$B$615,2026)</f>
        <v>2408</v>
      </c>
      <c r="J346" s="12" t="n">
        <f aca="false">I346*$J$5</f>
        <v>3041.68421052632</v>
      </c>
    </row>
    <row r="347" customFormat="false" ht="15" hidden="false" customHeight="true" outlineLevel="0" collapsed="false">
      <c r="A347" s="12" t="n">
        <v>4421003</v>
      </c>
      <c r="B347" s="12" t="str">
        <f aca="false">IFERROR(INDEX('Catalog'!$B:$B,MATCH($A347,'Catalog'!$A:$A,0)),"")</f>
        <v>3672 שרוול מגן לבוניון</v>
      </c>
      <c r="C347" s="12" t="n">
        <f aca="false">SUMIFS('BE Raw'!$C$6:$C$615,'BE Raw'!$E$6:$E$615,$A347,'BE Raw'!$B$6:$B$615,2025)</f>
        <v>98</v>
      </c>
      <c r="D347" s="12" t="n">
        <f aca="false">SUMIFS('BE Raw'!$C$6:$C$615,'BE Raw'!$E$6:$E$615,$A347,'BE Raw'!$B$6:$B$615,2026)</f>
        <v>30</v>
      </c>
      <c r="E347" s="12" t="n">
        <f aca="false">D347*$J$5</f>
        <v>37.8947368421053</v>
      </c>
      <c r="F347" s="12" t="n">
        <f aca="false">E347-C347</f>
        <v>-60.1052631578947</v>
      </c>
      <c r="G347" s="21" t="n">
        <f aca="false">IF(AND(C347=0,E347=0),0,IF(C347=0,"New",(E347-C347)/C347))</f>
        <v>-0.613319011815253</v>
      </c>
      <c r="H347" s="12" t="n">
        <f aca="false">SUMIFS('BE Raw'!$D$6:$D$615,'BE Raw'!$E$6:$E$615,$A347,'BE Raw'!$B$6:$B$615,2025)</f>
        <v>3049.7</v>
      </c>
      <c r="I347" s="12" t="n">
        <f aca="false">SUMIFS('BE Raw'!$D$6:$D$615,'BE Raw'!$E$6:$E$615,$A347,'BE Raw'!$B$6:$B$615,2026)</f>
        <v>877.1</v>
      </c>
      <c r="J347" s="12" t="n">
        <f aca="false">I347*$J$5</f>
        <v>1107.91578947368</v>
      </c>
    </row>
    <row r="348" customFormat="false" ht="15" hidden="false" customHeight="true" outlineLevel="0" collapsed="false">
      <c r="A348" s="12" t="n">
        <v>4422000</v>
      </c>
      <c r="B348" s="12" t="str">
        <f aca="false">IFERROR(INDEX('Catalog'!$B:$B,MATCH($A348,'Catalog'!$A:$A,0)),"")</f>
        <v>801  תחבושת אלסטית מקררת</v>
      </c>
      <c r="C348" s="12" t="n">
        <f aca="false">SUMIFS('BE Raw'!$C$6:$C$615,'BE Raw'!$E$6:$E$615,$A348,'BE Raw'!$B$6:$B$615,2025)</f>
        <v>134</v>
      </c>
      <c r="D348" s="12" t="n">
        <f aca="false">SUMIFS('BE Raw'!$C$6:$C$615,'BE Raw'!$E$6:$E$615,$A348,'BE Raw'!$B$6:$B$615,2026)</f>
        <v>87</v>
      </c>
      <c r="E348" s="12" t="n">
        <f aca="false">D348*$J$5</f>
        <v>109.894736842105</v>
      </c>
      <c r="F348" s="12" t="n">
        <f aca="false">E348-C348</f>
        <v>-24.1052631578947</v>
      </c>
      <c r="G348" s="21" t="n">
        <f aca="false">IF(AND(C348=0,E348=0),0,IF(C348=0,"New",(E348-C348)/C348))</f>
        <v>-0.179890023566379</v>
      </c>
      <c r="H348" s="12" t="n">
        <f aca="false">SUMIFS('BE Raw'!$D$6:$D$615,'BE Raw'!$E$6:$E$615,$A348,'BE Raw'!$B$6:$B$615,2025)</f>
        <v>2363.5</v>
      </c>
      <c r="I348" s="12" t="n">
        <f aca="false">SUMIFS('BE Raw'!$D$6:$D$615,'BE Raw'!$E$6:$E$615,$A348,'BE Raw'!$B$6:$B$615,2026)</f>
        <v>1525</v>
      </c>
      <c r="J348" s="12" t="n">
        <f aca="false">I348*$J$5</f>
        <v>1926.31578947368</v>
      </c>
    </row>
    <row r="349" customFormat="false" ht="15" hidden="false" customHeight="true" outlineLevel="0" collapsed="false">
      <c r="A349" s="12" t="n">
        <v>4422005</v>
      </c>
      <c r="B349" s="12" t="str">
        <f aca="false">IFERROR(INDEX('Catalog'!$B:$B,MATCH($A349,'Catalog'!$A:$A,0)),"")</f>
        <v>T78 M תומך זרוע וכתף</v>
      </c>
      <c r="C349" s="12" t="n">
        <f aca="false">SUMIFS('BE Raw'!$C$6:$C$615,'BE Raw'!$E$6:$E$615,$A349,'BE Raw'!$B$6:$B$615,2025)</f>
        <v>5</v>
      </c>
      <c r="D349" s="12" t="n">
        <f aca="false">SUMIFS('BE Raw'!$C$6:$C$615,'BE Raw'!$E$6:$E$615,$A349,'BE Raw'!$B$6:$B$615,2026)</f>
        <v>2</v>
      </c>
      <c r="E349" s="12" t="n">
        <f aca="false">D349*$J$5</f>
        <v>2.52631578947368</v>
      </c>
      <c r="F349" s="12" t="n">
        <f aca="false">E349-C349</f>
        <v>-2.47368421052632</v>
      </c>
      <c r="G349" s="21" t="n">
        <f aca="false">IF(AND(C349=0,E349=0),0,IF(C349=0,"New",(E349-C349)/C349))</f>
        <v>-0.494736842105263</v>
      </c>
      <c r="H349" s="12" t="n">
        <f aca="false">SUMIFS('BE Raw'!$D$6:$D$615,'BE Raw'!$E$6:$E$615,$A349,'BE Raw'!$B$6:$B$615,2025)</f>
        <v>936.5</v>
      </c>
      <c r="I349" s="12" t="n">
        <f aca="false">SUMIFS('BE Raw'!$D$6:$D$615,'BE Raw'!$E$6:$E$615,$A349,'BE Raw'!$B$6:$B$615,2026)</f>
        <v>374.6</v>
      </c>
      <c r="J349" s="12" t="n">
        <f aca="false">I349*$J$5</f>
        <v>473.178947368421</v>
      </c>
    </row>
    <row r="350" customFormat="false" ht="15" hidden="false" customHeight="true" outlineLevel="0" collapsed="false">
      <c r="A350" s="12" t="n">
        <v>4422006</v>
      </c>
      <c r="B350" s="12" t="str">
        <f aca="false">IFERROR(INDEX('Catalog'!$B:$B,MATCH($A350,'Catalog'!$A:$A,0)),"")</f>
        <v>T78 L תומך זרוע וכתף</v>
      </c>
      <c r="C350" s="12" t="n">
        <f aca="false">SUMIFS('BE Raw'!$C$6:$C$615,'BE Raw'!$E$6:$E$615,$A350,'BE Raw'!$B$6:$B$615,2025)</f>
        <v>2</v>
      </c>
      <c r="D350" s="12" t="n">
        <f aca="false">SUMIFS('BE Raw'!$C$6:$C$615,'BE Raw'!$E$6:$E$615,$A350,'BE Raw'!$B$6:$B$615,2026)</f>
        <v>2</v>
      </c>
      <c r="E350" s="12" t="n">
        <f aca="false">D350*$J$5</f>
        <v>2.52631578947368</v>
      </c>
      <c r="F350" s="12" t="n">
        <f aca="false">E350-C350</f>
        <v>0.526315789473684</v>
      </c>
      <c r="G350" s="21" t="n">
        <f aca="false">IF(AND(C350=0,E350=0),0,IF(C350=0,"New",(E350-C350)/C350))</f>
        <v>0.263157894736842</v>
      </c>
      <c r="H350" s="12" t="n">
        <f aca="false">SUMIFS('BE Raw'!$D$6:$D$615,'BE Raw'!$E$6:$E$615,$A350,'BE Raw'!$B$6:$B$615,2025)</f>
        <v>374.6</v>
      </c>
      <c r="I350" s="12" t="n">
        <f aca="false">SUMIFS('BE Raw'!$D$6:$D$615,'BE Raw'!$E$6:$E$615,$A350,'BE Raw'!$B$6:$B$615,2026)</f>
        <v>374.6</v>
      </c>
      <c r="J350" s="12" t="n">
        <f aca="false">I350*$J$5</f>
        <v>473.178947368421</v>
      </c>
    </row>
    <row r="351" customFormat="false" ht="15" hidden="false" customHeight="true" outlineLevel="0" collapsed="false">
      <c r="A351" s="12" t="n">
        <v>4422023</v>
      </c>
      <c r="B351" s="12" t="str">
        <f aca="false">IFERROR(INDEX('Catalog'!$B:$B,MATCH($A351,'Catalog'!$A:$A,0)),"")</f>
        <v>806CB-BEIGE      תחבושת א.נצמ</v>
      </c>
      <c r="C351" s="12" t="n">
        <f aca="false">SUMIFS('BE Raw'!$C$6:$C$615,'BE Raw'!$E$6:$E$615,$A351,'BE Raw'!$B$6:$B$615,2025)</f>
        <v>797</v>
      </c>
      <c r="D351" s="12" t="n">
        <f aca="false">SUMIFS('BE Raw'!$C$6:$C$615,'BE Raw'!$E$6:$E$615,$A351,'BE Raw'!$B$6:$B$615,2026)</f>
        <v>283</v>
      </c>
      <c r="E351" s="12" t="n">
        <f aca="false">D351*$J$5</f>
        <v>357.473684210526</v>
      </c>
      <c r="F351" s="12" t="n">
        <f aca="false">E351-C351</f>
        <v>-439.526315789474</v>
      </c>
      <c r="G351" s="21" t="n">
        <f aca="false">IF(AND(C351=0,E351=0),0,IF(C351=0,"New",(E351-C351)/C351))</f>
        <v>-0.551475929472364</v>
      </c>
      <c r="H351" s="12" t="n">
        <f aca="false">SUMIFS('BE Raw'!$D$6:$D$615,'BE Raw'!$E$6:$E$615,$A351,'BE Raw'!$B$6:$B$615,2025)</f>
        <v>8758.2</v>
      </c>
      <c r="I351" s="12" t="n">
        <f aca="false">SUMIFS('BE Raw'!$D$6:$D$615,'BE Raw'!$E$6:$E$615,$A351,'BE Raw'!$B$6:$B$615,2026)</f>
        <v>3107.3</v>
      </c>
      <c r="J351" s="12" t="n">
        <f aca="false">I351*$J$5</f>
        <v>3925.01052631579</v>
      </c>
    </row>
    <row r="352" customFormat="false" ht="15" hidden="false" customHeight="true" outlineLevel="0" collapsed="false">
      <c r="A352" s="12" t="n">
        <v>4422024</v>
      </c>
      <c r="B352" s="12" t="str">
        <f aca="false">IFERROR(INDEX('Catalog'!$B:$B,MATCH($A352,'Catalog'!$A:$A,0)),"")</f>
        <v>806CB-BLACK      תחבושת א.נצמ</v>
      </c>
      <c r="C352" s="12" t="n">
        <f aca="false">SUMIFS('BE Raw'!$C$6:$C$615,'BE Raw'!$E$6:$E$615,$A352,'BE Raw'!$B$6:$B$615,2025)</f>
        <v>602</v>
      </c>
      <c r="D352" s="12" t="n">
        <f aca="false">SUMIFS('BE Raw'!$C$6:$C$615,'BE Raw'!$E$6:$E$615,$A352,'BE Raw'!$B$6:$B$615,2026)</f>
        <v>490</v>
      </c>
      <c r="E352" s="12" t="n">
        <f aca="false">D352*$J$5</f>
        <v>618.947368421053</v>
      </c>
      <c r="F352" s="12" t="n">
        <f aca="false">E352-C352</f>
        <v>16.9473684210526</v>
      </c>
      <c r="G352" s="21" t="n">
        <f aca="false">IF(AND(C352=0,E352=0),0,IF(C352=0,"New",(E352-C352)/C352))</f>
        <v>0.0281517747858017</v>
      </c>
      <c r="H352" s="12" t="n">
        <f aca="false">SUMIFS('BE Raw'!$D$6:$D$615,'BE Raw'!$E$6:$E$615,$A352,'BE Raw'!$B$6:$B$615,2025)</f>
        <v>6613.9</v>
      </c>
      <c r="I352" s="12" t="n">
        <f aca="false">SUMIFS('BE Raw'!$D$6:$D$615,'BE Raw'!$E$6:$E$615,$A352,'BE Raw'!$B$6:$B$615,2026)</f>
        <v>5384.1</v>
      </c>
      <c r="J352" s="12" t="n">
        <f aca="false">I352*$J$5</f>
        <v>6800.96842105263</v>
      </c>
    </row>
    <row r="353" customFormat="false" ht="15" hidden="false" customHeight="true" outlineLevel="0" collapsed="false">
      <c r="A353" s="12" t="n">
        <v>4422025</v>
      </c>
      <c r="B353" s="12" t="str">
        <f aca="false">IFERROR(INDEX('Catalog'!$B:$B,MATCH($A353,'Catalog'!$A:$A,0)),"")</f>
        <v>806CB-GREEN      תחבושת א.נצמ</v>
      </c>
      <c r="C353" s="12" t="n">
        <f aca="false">SUMIFS('BE Raw'!$C$6:$C$615,'BE Raw'!$E$6:$E$615,$A353,'BE Raw'!$B$6:$B$615,2025)</f>
        <v>273</v>
      </c>
      <c r="D353" s="12" t="n">
        <f aca="false">SUMIFS('BE Raw'!$C$6:$C$615,'BE Raw'!$E$6:$E$615,$A353,'BE Raw'!$B$6:$B$615,2026)</f>
        <v>134</v>
      </c>
      <c r="E353" s="12" t="n">
        <f aca="false">D353*$J$5</f>
        <v>169.263157894737</v>
      </c>
      <c r="F353" s="12" t="n">
        <f aca="false">E353-C353</f>
        <v>-103.736842105263</v>
      </c>
      <c r="G353" s="21" t="n">
        <f aca="false">IF(AND(C353=0,E353=0),0,IF(C353=0,"New",(E353-C353)/C353))</f>
        <v>-0.379988432620012</v>
      </c>
      <c r="H353" s="12" t="n">
        <f aca="false">SUMIFS('BE Raw'!$D$6:$D$615,'BE Raw'!$E$6:$E$615,$A353,'BE Raw'!$B$6:$B$615,2025)</f>
        <v>2997.5</v>
      </c>
      <c r="I353" s="12" t="n">
        <f aca="false">SUMIFS('BE Raw'!$D$6:$D$615,'BE Raw'!$E$6:$E$615,$A353,'BE Raw'!$B$6:$B$615,2026)</f>
        <v>1471.3</v>
      </c>
      <c r="J353" s="12" t="n">
        <f aca="false">I353*$J$5</f>
        <v>1858.48421052632</v>
      </c>
    </row>
    <row r="354" customFormat="false" ht="15" hidden="false" customHeight="true" outlineLevel="0" collapsed="false">
      <c r="A354" s="12" t="n">
        <v>4422026</v>
      </c>
      <c r="B354" s="12" t="str">
        <f aca="false">IFERROR(INDEX('Catalog'!$B:$B,MATCH($A354,'Catalog'!$A:$A,0)),"")</f>
        <v>806CB-PINK       תחבושת א.נצמ</v>
      </c>
      <c r="C354" s="12" t="n">
        <f aca="false">SUMIFS('BE Raw'!$C$6:$C$615,'BE Raw'!$E$6:$E$615,$A354,'BE Raw'!$B$6:$B$615,2025)</f>
        <v>355</v>
      </c>
      <c r="D354" s="12" t="n">
        <f aca="false">SUMIFS('BE Raw'!$C$6:$C$615,'BE Raw'!$E$6:$E$615,$A354,'BE Raw'!$B$6:$B$615,2026)</f>
        <v>277</v>
      </c>
      <c r="E354" s="12" t="n">
        <f aca="false">D354*$J$5</f>
        <v>349.894736842105</v>
      </c>
      <c r="F354" s="12" t="n">
        <f aca="false">E354-C354</f>
        <v>-5.10526315789474</v>
      </c>
      <c r="G354" s="21" t="n">
        <f aca="false">IF(AND(C354=0,E354=0),0,IF(C354=0,"New",(E354-C354)/C354))</f>
        <v>-0.0143810229799852</v>
      </c>
      <c r="H354" s="12" t="n">
        <f aca="false">SUMIFS('BE Raw'!$D$6:$D$615,'BE Raw'!$E$6:$E$615,$A354,'BE Raw'!$B$6:$B$615,2025)</f>
        <v>3897.9</v>
      </c>
      <c r="I354" s="12" t="n">
        <f aca="false">SUMIFS('BE Raw'!$D$6:$D$615,'BE Raw'!$E$6:$E$615,$A354,'BE Raw'!$B$6:$B$615,2026)</f>
        <v>3041.5</v>
      </c>
      <c r="J354" s="12" t="n">
        <f aca="false">I354*$J$5</f>
        <v>3841.89473684211</v>
      </c>
    </row>
    <row r="356" customFormat="false" ht="15" hidden="false" customHeight="true" outlineLevel="0" collapsed="false">
      <c r="A356" s="27"/>
      <c r="B356" s="25" t="s">
        <v>942</v>
      </c>
      <c r="C356" s="25" t="n">
        <f aca="false">SUM(C9:C354)</f>
        <v>27268</v>
      </c>
      <c r="D356" s="25" t="n">
        <f aca="false">SUM(D9:D354)</f>
        <v>19109</v>
      </c>
      <c r="E356" s="25" t="n">
        <f aca="false">SUM(E9:E354)</f>
        <v>24137.6842105263</v>
      </c>
      <c r="F356" s="25" t="n">
        <f aca="false">SUM(F9:F354)</f>
        <v>-3130.31578947369</v>
      </c>
      <c r="G356" s="28" t="n">
        <f aca="false">IF(C356=0,"N/A",F356/C356)</f>
        <v>-0.114798143958988</v>
      </c>
      <c r="H356" s="25" t="n">
        <f aca="false">SUM(H9:H354)</f>
        <v>889501.1</v>
      </c>
      <c r="I356" s="25" t="n">
        <f aca="false">SUM(I9:I354)</f>
        <v>676265.8</v>
      </c>
      <c r="J356" s="25" t="n">
        <f aca="false">SUM(J9:J354)</f>
        <v>854230.484210526</v>
      </c>
    </row>
  </sheetData>
  <mergeCells count="2">
    <mergeCell ref="A3:J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42"/>
    <col collapsed="false" customWidth="true" hidden="false" outlineLevel="0" max="2" min="2" style="1" width="8"/>
    <col collapsed="false" customWidth="true" hidden="false" outlineLevel="0" max="3" min="3" style="1" width="12"/>
    <col collapsed="false" customWidth="true" hidden="false" outlineLevel="0" max="5" min="4" style="1" width="14"/>
    <col collapsed="false" customWidth="true" hidden="false" outlineLevel="0" max="6" min="6" style="1" width="24"/>
  </cols>
  <sheetData>
    <row r="1" customFormat="false" ht="15.75" hidden="false" customHeight="true" outlineLevel="0" collapsed="false">
      <c r="A1" s="11" t="s">
        <v>1274</v>
      </c>
    </row>
    <row r="2" customFormat="false" ht="15" hidden="false" customHeight="true" outlineLevel="0" collapsed="false">
      <c r="A2" s="3" t="s">
        <v>1</v>
      </c>
      <c r="B2" s="4" t="n">
        <v>46290</v>
      </c>
    </row>
    <row r="3" customFormat="false" ht="21.75" hidden="false" customHeight="true" outlineLevel="0" collapsed="false">
      <c r="A3" s="5" t="s">
        <v>1275</v>
      </c>
      <c r="B3" s="5"/>
      <c r="C3" s="5"/>
      <c r="D3" s="5"/>
      <c r="E3" s="5"/>
      <c r="F3" s="5"/>
      <c r="G3" s="5"/>
    </row>
    <row r="5" customFormat="false" ht="15" hidden="false" customHeight="true" outlineLevel="0" collapsed="false">
      <c r="A5" s="19" t="s">
        <v>946</v>
      </c>
      <c r="B5" s="19" t="s">
        <v>947</v>
      </c>
      <c r="C5" s="19" t="s">
        <v>948</v>
      </c>
      <c r="D5" s="19" t="s">
        <v>949</v>
      </c>
      <c r="E5" s="19" t="s">
        <v>70</v>
      </c>
      <c r="F5" s="19" t="s">
        <v>1276</v>
      </c>
    </row>
    <row r="6" customFormat="false" ht="15" hidden="false" customHeight="true" outlineLevel="0" collapsed="false">
      <c r="A6" s="12" t="s">
        <v>564</v>
      </c>
      <c r="B6" s="12" t="n">
        <v>2025</v>
      </c>
      <c r="C6" s="12" t="n">
        <v>134</v>
      </c>
      <c r="D6" s="12" t="n">
        <v>2713.5</v>
      </c>
      <c r="E6" s="12" t="n">
        <f aca="false">IFERROR(INDEX('Catalog'!$A:$A,MATCH($A6,'Catalog'!$B:$B,0)),IFERROR(INDEX('Catalog'!$A:$A,MATCH(TRIM(SUBSTITUTE($A6,CHAR(160)," ")),'Catalog'!$C:$C,0)),""))</f>
        <v>4401000</v>
      </c>
      <c r="F6" s="12" t="str">
        <f aca="false">IF($E6="","Unmatched","Matched")</f>
        <v>Matched</v>
      </c>
    </row>
    <row r="7" customFormat="false" ht="15" hidden="false" customHeight="true" outlineLevel="0" collapsed="false">
      <c r="A7" s="12" t="s">
        <v>563</v>
      </c>
      <c r="B7" s="12" t="n">
        <v>2025</v>
      </c>
      <c r="C7" s="12" t="n">
        <v>168</v>
      </c>
      <c r="D7" s="12" t="n">
        <v>3675.7</v>
      </c>
      <c r="E7" s="12" t="n">
        <f aca="false">IFERROR(INDEX('Catalog'!$A:$A,MATCH($A7,'Catalog'!$B:$B,0)),IFERROR(INDEX('Catalog'!$A:$A,MATCH(TRIM(SUBSTITUTE($A7,CHAR(160)," ")),'Catalog'!$C:$C,0)),""))</f>
        <v>4401001</v>
      </c>
      <c r="F7" s="12" t="str">
        <f aca="false">IF($E7="","Unmatched","Matched")</f>
        <v>Matched</v>
      </c>
    </row>
    <row r="8" customFormat="false" ht="15" hidden="false" customHeight="true" outlineLevel="0" collapsed="false">
      <c r="A8" s="12" t="s">
        <v>572</v>
      </c>
      <c r="B8" s="12" t="n">
        <v>2025</v>
      </c>
      <c r="C8" s="12" t="n">
        <v>118</v>
      </c>
      <c r="D8" s="12" t="n">
        <v>852</v>
      </c>
      <c r="E8" s="12" t="n">
        <f aca="false">IFERROR(INDEX('Catalog'!$A:$A,MATCH($A8,'Catalog'!$B:$B,0)),IFERROR(INDEX('Catalog'!$A:$A,MATCH(TRIM(SUBSTITUTE($A8,CHAR(160)," ")),'Catalog'!$C:$C,0)),""))</f>
        <v>4401002</v>
      </c>
      <c r="F8" s="12" t="str">
        <f aca="false">IF($E8="","Unmatched","Matched")</f>
        <v>Matched</v>
      </c>
    </row>
    <row r="9" customFormat="false" ht="15" hidden="false" customHeight="true" outlineLevel="0" collapsed="false">
      <c r="A9" s="12" t="s">
        <v>550</v>
      </c>
      <c r="B9" s="12" t="n">
        <v>2025</v>
      </c>
      <c r="C9" s="12" t="n">
        <v>53</v>
      </c>
      <c r="D9" s="12" t="n">
        <v>1249.8</v>
      </c>
      <c r="E9" s="12" t="n">
        <f aca="false">IFERROR(INDEX('Catalog'!$A:$A,MATCH($A9,'Catalog'!$B:$B,0)),IFERROR(INDEX('Catalog'!$A:$A,MATCH(TRIM(SUBSTITUTE($A9,CHAR(160)," ")),'Catalog'!$C:$C,0)),""))</f>
        <v>4402000</v>
      </c>
      <c r="F9" s="12" t="str">
        <f aca="false">IF($E9="","Unmatched","Matched")</f>
        <v>Matched</v>
      </c>
    </row>
    <row r="10" customFormat="false" ht="15" hidden="false" customHeight="true" outlineLevel="0" collapsed="false">
      <c r="A10" s="12" t="s">
        <v>546</v>
      </c>
      <c r="B10" s="12" t="n">
        <v>2025</v>
      </c>
      <c r="C10" s="12" t="n">
        <v>148</v>
      </c>
      <c r="D10" s="12" t="n">
        <v>2837.2</v>
      </c>
      <c r="E10" s="12" t="n">
        <f aca="false">IFERROR(INDEX('Catalog'!$A:$A,MATCH($A10,'Catalog'!$B:$B,0)),IFERROR(INDEX('Catalog'!$A:$A,MATCH(TRIM(SUBSTITUTE($A10,CHAR(160)," ")),'Catalog'!$C:$C,0)),""))</f>
        <v>4402007</v>
      </c>
      <c r="F10" s="12" t="str">
        <f aca="false">IF($E10="","Unmatched","Matched")</f>
        <v>Matched</v>
      </c>
    </row>
    <row r="11" customFormat="false" ht="15" hidden="false" customHeight="true" outlineLevel="0" collapsed="false">
      <c r="A11" s="12" t="s">
        <v>186</v>
      </c>
      <c r="B11" s="12" t="n">
        <v>2025</v>
      </c>
      <c r="C11" s="12" t="n">
        <v>14</v>
      </c>
      <c r="D11" s="12" t="n">
        <v>440.4</v>
      </c>
      <c r="E11" s="12" t="n">
        <f aca="false">IFERROR(INDEX('Catalog'!$A:$A,MATCH($A11,'Catalog'!$B:$B,0)),IFERROR(INDEX('Catalog'!$A:$A,MATCH(TRIM(SUBSTITUTE($A11,CHAR(160)," ")),'Catalog'!$C:$C,0)),""))</f>
        <v>4403001</v>
      </c>
      <c r="F11" s="12" t="str">
        <f aca="false">IF($E11="","Unmatched","Matched")</f>
        <v>Matched</v>
      </c>
    </row>
    <row r="12" customFormat="false" ht="15" hidden="false" customHeight="true" outlineLevel="0" collapsed="false">
      <c r="A12" s="12" t="s">
        <v>187</v>
      </c>
      <c r="B12" s="12" t="n">
        <v>2025</v>
      </c>
      <c r="C12" s="12" t="n">
        <v>18</v>
      </c>
      <c r="D12" s="12" t="n">
        <v>566.3</v>
      </c>
      <c r="E12" s="12" t="n">
        <f aca="false">IFERROR(INDEX('Catalog'!$A:$A,MATCH($A12,'Catalog'!$B:$B,0)),IFERROR(INDEX('Catalog'!$A:$A,MATCH(TRIM(SUBSTITUTE($A12,CHAR(160)," ")),'Catalog'!$C:$C,0)),""))</f>
        <v>4403002</v>
      </c>
      <c r="F12" s="12" t="str">
        <f aca="false">IF($E12="","Unmatched","Matched")</f>
        <v>Matched</v>
      </c>
    </row>
    <row r="13" customFormat="false" ht="15" hidden="false" customHeight="true" outlineLevel="0" collapsed="false">
      <c r="A13" s="12" t="s">
        <v>190</v>
      </c>
      <c r="B13" s="12" t="n">
        <v>2025</v>
      </c>
      <c r="C13" s="12" t="n">
        <v>2</v>
      </c>
      <c r="D13" s="12" t="n">
        <v>62.9</v>
      </c>
      <c r="E13" s="12" t="n">
        <f aca="false">IFERROR(INDEX('Catalog'!$A:$A,MATCH($A13,'Catalog'!$B:$B,0)),IFERROR(INDEX('Catalog'!$A:$A,MATCH(TRIM(SUBSTITUTE($A13,CHAR(160)," ")),'Catalog'!$C:$C,0)),""))</f>
        <v>4403003</v>
      </c>
      <c r="F13" s="12" t="str">
        <f aca="false">IF($E13="","Unmatched","Matched")</f>
        <v>Matched</v>
      </c>
    </row>
    <row r="14" customFormat="false" ht="15" hidden="false" customHeight="true" outlineLevel="0" collapsed="false">
      <c r="A14" s="12" t="s">
        <v>189</v>
      </c>
      <c r="B14" s="12" t="n">
        <v>2025</v>
      </c>
      <c r="C14" s="12" t="n">
        <v>2</v>
      </c>
      <c r="D14" s="12" t="n">
        <v>62.9</v>
      </c>
      <c r="E14" s="12" t="n">
        <f aca="false">IFERROR(INDEX('Catalog'!$A:$A,MATCH($A14,'Catalog'!$B:$B,0)),IFERROR(INDEX('Catalog'!$A:$A,MATCH(TRIM(SUBSTITUTE($A14,CHAR(160)," ")),'Catalog'!$C:$C,0)),""))</f>
        <v>4403004</v>
      </c>
      <c r="F14" s="12" t="str">
        <f aca="false">IF($E14="","Unmatched","Matched")</f>
        <v>Matched</v>
      </c>
    </row>
    <row r="15" customFormat="false" ht="15" hidden="false" customHeight="true" outlineLevel="0" collapsed="false">
      <c r="A15" s="12" t="s">
        <v>213</v>
      </c>
      <c r="B15" s="12" t="n">
        <v>2025</v>
      </c>
      <c r="C15" s="12" t="n">
        <v>3</v>
      </c>
      <c r="D15" s="12" t="n">
        <v>79</v>
      </c>
      <c r="E15" s="12" t="n">
        <f aca="false">IFERROR(INDEX('Catalog'!$A:$A,MATCH($A15,'Catalog'!$B:$B,0)),IFERROR(INDEX('Catalog'!$A:$A,MATCH(TRIM(SUBSTITUTE($A15,CHAR(160)," ")),'Catalog'!$C:$C,0)),""))</f>
        <v>4403005</v>
      </c>
      <c r="F15" s="12" t="str">
        <f aca="false">IF($E15="","Unmatched","Matched")</f>
        <v>Matched</v>
      </c>
    </row>
    <row r="16" customFormat="false" ht="15" hidden="false" customHeight="true" outlineLevel="0" collapsed="false">
      <c r="A16" s="12" t="s">
        <v>191</v>
      </c>
      <c r="B16" s="12" t="n">
        <v>2025</v>
      </c>
      <c r="C16" s="12" t="n">
        <v>2</v>
      </c>
      <c r="D16" s="12" t="n">
        <v>62.9</v>
      </c>
      <c r="E16" s="12" t="n">
        <f aca="false">IFERROR(INDEX('Catalog'!$A:$A,MATCH($A16,'Catalog'!$B:$B,0)),IFERROR(INDEX('Catalog'!$A:$A,MATCH(TRIM(SUBSTITUTE($A16,CHAR(160)," ")),'Catalog'!$C:$C,0)),""))</f>
        <v>4403006</v>
      </c>
      <c r="F16" s="12" t="str">
        <f aca="false">IF($E16="","Unmatched","Matched")</f>
        <v>Matched</v>
      </c>
    </row>
    <row r="17" customFormat="false" ht="15" hidden="false" customHeight="true" outlineLevel="0" collapsed="false">
      <c r="A17" s="12" t="s">
        <v>192</v>
      </c>
      <c r="B17" s="12" t="n">
        <v>2025</v>
      </c>
      <c r="C17" s="12" t="n">
        <v>16</v>
      </c>
      <c r="D17" s="12" t="n">
        <v>499.9</v>
      </c>
      <c r="E17" s="12" t="n">
        <f aca="false">IFERROR(INDEX('Catalog'!$A:$A,MATCH($A17,'Catalog'!$B:$B,0)),IFERROR(INDEX('Catalog'!$A:$A,MATCH(TRIM(SUBSTITUTE($A17,CHAR(160)," ")),'Catalog'!$C:$C,0)),""))</f>
        <v>4403007</v>
      </c>
      <c r="F17" s="12" t="str">
        <f aca="false">IF($E17="","Unmatched","Matched")</f>
        <v>Matched</v>
      </c>
    </row>
    <row r="18" customFormat="false" ht="15" hidden="false" customHeight="true" outlineLevel="0" collapsed="false">
      <c r="A18" s="12" t="s">
        <v>195</v>
      </c>
      <c r="B18" s="12" t="n">
        <v>2025</v>
      </c>
      <c r="C18" s="12" t="n">
        <v>25</v>
      </c>
      <c r="D18" s="12" t="n">
        <v>600.5</v>
      </c>
      <c r="E18" s="12" t="n">
        <f aca="false">IFERROR(INDEX('Catalog'!$A:$A,MATCH($A18,'Catalog'!$B:$B,0)),IFERROR(INDEX('Catalog'!$A:$A,MATCH(TRIM(SUBSTITUTE($A18,CHAR(160)," ")),'Catalog'!$C:$C,0)),""))</f>
        <v>4403018</v>
      </c>
      <c r="F18" s="12" t="str">
        <f aca="false">IF($E18="","Unmatched","Matched")</f>
        <v>Matched</v>
      </c>
    </row>
    <row r="19" customFormat="false" ht="15" hidden="false" customHeight="true" outlineLevel="0" collapsed="false">
      <c r="A19" s="12" t="s">
        <v>199</v>
      </c>
      <c r="B19" s="12" t="n">
        <v>2025</v>
      </c>
      <c r="C19" s="12" t="n">
        <v>4</v>
      </c>
      <c r="D19" s="12" t="n">
        <v>96.1</v>
      </c>
      <c r="E19" s="12" t="n">
        <f aca="false">IFERROR(INDEX('Catalog'!$A:$A,MATCH($A19,'Catalog'!$B:$B,0)),IFERROR(INDEX('Catalog'!$A:$A,MATCH(TRIM(SUBSTITUTE($A19,CHAR(160)," ")),'Catalog'!$C:$C,0)),""))</f>
        <v>4403022</v>
      </c>
      <c r="F19" s="12" t="str">
        <f aca="false">IF($E19="","Unmatched","Matched")</f>
        <v>Matched</v>
      </c>
    </row>
    <row r="20" customFormat="false" ht="15" hidden="false" customHeight="true" outlineLevel="0" collapsed="false">
      <c r="A20" s="12" t="s">
        <v>200</v>
      </c>
      <c r="B20" s="12" t="n">
        <v>2025</v>
      </c>
      <c r="C20" s="12" t="n">
        <v>4</v>
      </c>
      <c r="D20" s="12" t="n">
        <v>96</v>
      </c>
      <c r="E20" s="12" t="n">
        <f aca="false">IFERROR(INDEX('Catalog'!$A:$A,MATCH($A20,'Catalog'!$B:$B,0)),IFERROR(INDEX('Catalog'!$A:$A,MATCH(TRIM(SUBSTITUTE($A20,CHAR(160)," ")),'Catalog'!$C:$C,0)),""))</f>
        <v>4403023</v>
      </c>
      <c r="F20" s="12" t="str">
        <f aca="false">IF($E20="","Unmatched","Matched")</f>
        <v>Matched</v>
      </c>
    </row>
    <row r="21" customFormat="false" ht="15" hidden="false" customHeight="true" outlineLevel="0" collapsed="false">
      <c r="A21" s="12" t="s">
        <v>201</v>
      </c>
      <c r="B21" s="12" t="n">
        <v>2025</v>
      </c>
      <c r="C21" s="12" t="n">
        <v>10</v>
      </c>
      <c r="D21" s="12" t="n">
        <v>226.8</v>
      </c>
      <c r="E21" s="12" t="n">
        <f aca="false">IFERROR(INDEX('Catalog'!$A:$A,MATCH($A21,'Catalog'!$B:$B,0)),IFERROR(INDEX('Catalog'!$A:$A,MATCH(TRIM(SUBSTITUTE($A21,CHAR(160)," ")),'Catalog'!$C:$C,0)),""))</f>
        <v>4403024</v>
      </c>
      <c r="F21" s="12" t="str">
        <f aca="false">IF($E21="","Unmatched","Matched")</f>
        <v>Matched</v>
      </c>
    </row>
    <row r="22" customFormat="false" ht="15" hidden="false" customHeight="true" outlineLevel="0" collapsed="false">
      <c r="A22" s="12" t="s">
        <v>202</v>
      </c>
      <c r="B22" s="12" t="n">
        <v>2025</v>
      </c>
      <c r="C22" s="12" t="n">
        <v>7</v>
      </c>
      <c r="D22" s="12" t="n">
        <v>154.7</v>
      </c>
      <c r="E22" s="12" t="n">
        <f aca="false">IFERROR(INDEX('Catalog'!$A:$A,MATCH($A22,'Catalog'!$B:$B,0)),IFERROR(INDEX('Catalog'!$A:$A,MATCH(TRIM(SUBSTITUTE($A22,CHAR(160)," ")),'Catalog'!$C:$C,0)),""))</f>
        <v>4403025</v>
      </c>
      <c r="F22" s="12" t="str">
        <f aca="false">IF($E22="","Unmatched","Matched")</f>
        <v>Matched</v>
      </c>
    </row>
    <row r="23" customFormat="false" ht="15" hidden="false" customHeight="true" outlineLevel="0" collapsed="false">
      <c r="A23" s="12" t="s">
        <v>705</v>
      </c>
      <c r="B23" s="12" t="n">
        <v>2025</v>
      </c>
      <c r="C23" s="12" t="n">
        <v>3</v>
      </c>
      <c r="D23" s="12" t="n">
        <v>76.1</v>
      </c>
      <c r="E23" s="12" t="n">
        <f aca="false">IFERROR(INDEX('Catalog'!$A:$A,MATCH($A23,'Catalog'!$B:$B,0)),IFERROR(INDEX('Catalog'!$A:$A,MATCH(TRIM(SUBSTITUTE($A23,CHAR(160)," ")),'Catalog'!$C:$C,0)),""))</f>
        <v>4404000</v>
      </c>
      <c r="F23" s="12" t="str">
        <f aca="false">IF($E23="","Unmatched","Matched")</f>
        <v>Matched</v>
      </c>
    </row>
    <row r="24" customFormat="false" ht="15" hidden="false" customHeight="true" outlineLevel="0" collapsed="false">
      <c r="A24" s="12" t="s">
        <v>216</v>
      </c>
      <c r="B24" s="12" t="n">
        <v>2025</v>
      </c>
      <c r="C24" s="12" t="n">
        <v>-1</v>
      </c>
      <c r="D24" s="12" t="n">
        <v>-158.8</v>
      </c>
      <c r="E24" s="12" t="n">
        <f aca="false">IFERROR(INDEX('Catalog'!$A:$A,MATCH($A24,'Catalog'!$B:$B,0)),IFERROR(INDEX('Catalog'!$A:$A,MATCH(TRIM(SUBSTITUTE($A24,CHAR(160)," ")),'Catalog'!$C:$C,0)),""))</f>
        <v>4408002</v>
      </c>
      <c r="F24" s="12" t="str">
        <f aca="false">IF($E24="","Unmatched","Matched")</f>
        <v>Matched</v>
      </c>
    </row>
    <row r="25" customFormat="false" ht="15" hidden="false" customHeight="true" outlineLevel="0" collapsed="false">
      <c r="A25" s="12" t="s">
        <v>244</v>
      </c>
      <c r="B25" s="12" t="n">
        <v>2025</v>
      </c>
      <c r="C25" s="12" t="n">
        <v>6</v>
      </c>
      <c r="D25" s="12" t="n">
        <v>595.4</v>
      </c>
      <c r="E25" s="12" t="n">
        <f aca="false">IFERROR(INDEX('Catalog'!$A:$A,MATCH($A25,'Catalog'!$B:$B,0)),IFERROR(INDEX('Catalog'!$A:$A,MATCH(TRIM(SUBSTITUTE($A25,CHAR(160)," ")),'Catalog'!$C:$C,0)),""))</f>
        <v>4408009</v>
      </c>
      <c r="F25" s="12" t="str">
        <f aca="false">IF($E25="","Unmatched","Matched")</f>
        <v>Matched</v>
      </c>
    </row>
    <row r="26" customFormat="false" ht="15" hidden="false" customHeight="true" outlineLevel="0" collapsed="false">
      <c r="A26" s="12" t="s">
        <v>243</v>
      </c>
      <c r="B26" s="12" t="n">
        <v>2025</v>
      </c>
      <c r="C26" s="12" t="n">
        <v>-3</v>
      </c>
      <c r="D26" s="12" t="n">
        <v>-297.7</v>
      </c>
      <c r="E26" s="12" t="n">
        <f aca="false">IFERROR(INDEX('Catalog'!$A:$A,MATCH($A26,'Catalog'!$B:$B,0)),IFERROR(INDEX('Catalog'!$A:$A,MATCH(TRIM(SUBSTITUTE($A26,CHAR(160)," ")),'Catalog'!$C:$C,0)),""))</f>
        <v>4408010</v>
      </c>
      <c r="F26" s="12" t="str">
        <f aca="false">IF($E26="","Unmatched","Matched")</f>
        <v>Matched</v>
      </c>
    </row>
    <row r="27" customFormat="false" ht="15" hidden="false" customHeight="true" outlineLevel="0" collapsed="false">
      <c r="A27" s="12" t="s">
        <v>242</v>
      </c>
      <c r="B27" s="12" t="n">
        <v>2025</v>
      </c>
      <c r="C27" s="12" t="n">
        <v>2</v>
      </c>
      <c r="D27" s="12" t="n">
        <v>198.4</v>
      </c>
      <c r="E27" s="12" t="n">
        <f aca="false">IFERROR(INDEX('Catalog'!$A:$A,MATCH($A27,'Catalog'!$B:$B,0)),IFERROR(INDEX('Catalog'!$A:$A,MATCH(TRIM(SUBSTITUTE($A27,CHAR(160)," ")),'Catalog'!$C:$C,0)),""))</f>
        <v>4408011</v>
      </c>
      <c r="F27" s="12" t="str">
        <f aca="false">IF($E27="","Unmatched","Matched")</f>
        <v>Matched</v>
      </c>
    </row>
    <row r="28" customFormat="false" ht="15" hidden="false" customHeight="true" outlineLevel="0" collapsed="false">
      <c r="A28" s="12" t="s">
        <v>245</v>
      </c>
      <c r="B28" s="12" t="n">
        <v>2025</v>
      </c>
      <c r="C28" s="12" t="n">
        <v>-2</v>
      </c>
      <c r="D28" s="12" t="n">
        <v>-198.4</v>
      </c>
      <c r="E28" s="12" t="n">
        <f aca="false">IFERROR(INDEX('Catalog'!$A:$A,MATCH($A28,'Catalog'!$B:$B,0)),IFERROR(INDEX('Catalog'!$A:$A,MATCH(TRIM(SUBSTITUTE($A28,CHAR(160)," ")),'Catalog'!$C:$C,0)),""))</f>
        <v>4408012</v>
      </c>
      <c r="F28" s="12" t="str">
        <f aca="false">IF($E28="","Unmatched","Matched")</f>
        <v>Matched</v>
      </c>
    </row>
    <row r="29" customFormat="false" ht="15" hidden="false" customHeight="true" outlineLevel="0" collapsed="false">
      <c r="A29" s="12" t="s">
        <v>247</v>
      </c>
      <c r="B29" s="12" t="n">
        <v>2025</v>
      </c>
      <c r="C29" s="12" t="n">
        <v>1</v>
      </c>
      <c r="D29" s="12" t="n">
        <v>244.2</v>
      </c>
      <c r="E29" s="12" t="n">
        <f aca="false">IFERROR(INDEX('Catalog'!$A:$A,MATCH($A29,'Catalog'!$B:$B,0)),IFERROR(INDEX('Catalog'!$A:$A,MATCH(TRIM(SUBSTITUTE($A29,CHAR(160)," ")),'Catalog'!$C:$C,0)),""))</f>
        <v>4408015</v>
      </c>
      <c r="F29" s="12" t="str">
        <f aca="false">IF($E29="","Unmatched","Matched")</f>
        <v>Matched</v>
      </c>
    </row>
    <row r="30" customFormat="false" ht="15" hidden="false" customHeight="true" outlineLevel="0" collapsed="false">
      <c r="A30" s="12" t="s">
        <v>248</v>
      </c>
      <c r="B30" s="12" t="n">
        <v>2025</v>
      </c>
      <c r="C30" s="12" t="n">
        <v>2</v>
      </c>
      <c r="D30" s="12" t="n">
        <v>488.4</v>
      </c>
      <c r="E30" s="12" t="n">
        <f aca="false">IFERROR(INDEX('Catalog'!$A:$A,MATCH($A30,'Catalog'!$B:$B,0)),IFERROR(INDEX('Catalog'!$A:$A,MATCH(TRIM(SUBSTITUTE($A30,CHAR(160)," ")),'Catalog'!$C:$C,0)),""))</f>
        <v>4408016</v>
      </c>
      <c r="F30" s="12" t="str">
        <f aca="false">IF($E30="","Unmatched","Matched")</f>
        <v>Matched</v>
      </c>
    </row>
    <row r="31" customFormat="false" ht="15" hidden="false" customHeight="true" outlineLevel="0" collapsed="false">
      <c r="A31" s="12" t="s">
        <v>253</v>
      </c>
      <c r="B31" s="12" t="n">
        <v>2025</v>
      </c>
      <c r="C31" s="12" t="n">
        <v>2</v>
      </c>
      <c r="D31" s="12" t="n">
        <v>282.3</v>
      </c>
      <c r="E31" s="12" t="n">
        <f aca="false">IFERROR(INDEX('Catalog'!$A:$A,MATCH($A31,'Catalog'!$B:$B,0)),IFERROR(INDEX('Catalog'!$A:$A,MATCH(TRIM(SUBSTITUTE($A31,CHAR(160)," ")),'Catalog'!$C:$C,0)),""))</f>
        <v>4408027</v>
      </c>
      <c r="F31" s="12" t="str">
        <f aca="false">IF($E31="","Unmatched","Matched")</f>
        <v>Matched</v>
      </c>
    </row>
    <row r="32" customFormat="false" ht="15" hidden="false" customHeight="true" outlineLevel="0" collapsed="false">
      <c r="A32" s="12" t="s">
        <v>254</v>
      </c>
      <c r="B32" s="12" t="n">
        <v>2025</v>
      </c>
      <c r="C32" s="12" t="n">
        <v>3</v>
      </c>
      <c r="D32" s="12" t="n">
        <v>423.5</v>
      </c>
      <c r="E32" s="12" t="n">
        <f aca="false">IFERROR(INDEX('Catalog'!$A:$A,MATCH($A32,'Catalog'!$B:$B,0)),IFERROR(INDEX('Catalog'!$A:$A,MATCH(TRIM(SUBSTITUTE($A32,CHAR(160)," ")),'Catalog'!$C:$C,0)),""))</f>
        <v>4408028</v>
      </c>
      <c r="F32" s="12" t="str">
        <f aca="false">IF($E32="","Unmatched","Matched")</f>
        <v>Matched</v>
      </c>
    </row>
    <row r="33" customFormat="false" ht="15" hidden="false" customHeight="true" outlineLevel="0" collapsed="false">
      <c r="A33" s="12" t="s">
        <v>256</v>
      </c>
      <c r="B33" s="12" t="n">
        <v>2025</v>
      </c>
      <c r="C33" s="12" t="n">
        <v>2</v>
      </c>
      <c r="D33" s="12" t="n">
        <v>282.3</v>
      </c>
      <c r="E33" s="12" t="n">
        <f aca="false">IFERROR(INDEX('Catalog'!$A:$A,MATCH($A33,'Catalog'!$B:$B,0)),IFERROR(INDEX('Catalog'!$A:$A,MATCH(TRIM(SUBSTITUTE($A33,CHAR(160)," ")),'Catalog'!$C:$C,0)),""))</f>
        <v>4408029</v>
      </c>
      <c r="F33" s="12" t="str">
        <f aca="false">IF($E33="","Unmatched","Matched")</f>
        <v>Matched</v>
      </c>
    </row>
    <row r="34" customFormat="false" ht="15" hidden="false" customHeight="true" outlineLevel="0" collapsed="false">
      <c r="A34" s="12" t="s">
        <v>260</v>
      </c>
      <c r="B34" s="12" t="n">
        <v>2025</v>
      </c>
      <c r="C34" s="12" t="n">
        <v>19</v>
      </c>
      <c r="D34" s="12" t="n">
        <v>1843.5</v>
      </c>
      <c r="E34" s="12" t="n">
        <f aca="false">IFERROR(INDEX('Catalog'!$A:$A,MATCH($A34,'Catalog'!$B:$B,0)),IFERROR(INDEX('Catalog'!$A:$A,MATCH(TRIM(SUBSTITUTE($A34,CHAR(160)," ")),'Catalog'!$C:$C,0)),""))</f>
        <v>4408031</v>
      </c>
      <c r="F34" s="12" t="str">
        <f aca="false">IF($E34="","Unmatched","Matched")</f>
        <v>Matched</v>
      </c>
    </row>
    <row r="35" customFormat="false" ht="15" hidden="false" customHeight="true" outlineLevel="0" collapsed="false">
      <c r="A35" s="12" t="s">
        <v>258</v>
      </c>
      <c r="B35" s="12" t="n">
        <v>2025</v>
      </c>
      <c r="C35" s="12" t="n">
        <v>67</v>
      </c>
      <c r="D35" s="12" t="n">
        <v>6501</v>
      </c>
      <c r="E35" s="12" t="n">
        <f aca="false">IFERROR(INDEX('Catalog'!$A:$A,MATCH($A35,'Catalog'!$B:$B,0)),IFERROR(INDEX('Catalog'!$A:$A,MATCH(TRIM(SUBSTITUTE($A35,CHAR(160)," ")),'Catalog'!$C:$C,0)),""))</f>
        <v>4408032</v>
      </c>
      <c r="F35" s="12" t="str">
        <f aca="false">IF($E35="","Unmatched","Matched")</f>
        <v>Matched</v>
      </c>
    </row>
    <row r="36" customFormat="false" ht="15" hidden="false" customHeight="true" outlineLevel="0" collapsed="false">
      <c r="A36" s="12" t="s">
        <v>259</v>
      </c>
      <c r="B36" s="12" t="n">
        <v>2025</v>
      </c>
      <c r="C36" s="12" t="n">
        <v>47</v>
      </c>
      <c r="D36" s="12" t="n">
        <v>4394.1</v>
      </c>
      <c r="E36" s="12" t="n">
        <f aca="false">IFERROR(INDEX('Catalog'!$A:$A,MATCH($A36,'Catalog'!$B:$B,0)),IFERROR(INDEX('Catalog'!$A:$A,MATCH(TRIM(SUBSTITUTE($A36,CHAR(160)," ")),'Catalog'!$C:$C,0)),""))</f>
        <v>4408033</v>
      </c>
      <c r="F36" s="12" t="str">
        <f aca="false">IF($E36="","Unmatched","Matched")</f>
        <v>Matched</v>
      </c>
    </row>
    <row r="37" customFormat="false" ht="15" hidden="false" customHeight="true" outlineLevel="0" collapsed="false">
      <c r="A37" s="12" t="s">
        <v>261</v>
      </c>
      <c r="B37" s="12" t="n">
        <v>2025</v>
      </c>
      <c r="C37" s="12" t="n">
        <v>66</v>
      </c>
      <c r="D37" s="12" t="n">
        <v>6410.9</v>
      </c>
      <c r="E37" s="12" t="n">
        <f aca="false">IFERROR(INDEX('Catalog'!$A:$A,MATCH($A37,'Catalog'!$B:$B,0)),IFERROR(INDEX('Catalog'!$A:$A,MATCH(TRIM(SUBSTITUTE($A37,CHAR(160)," ")),'Catalog'!$C:$C,0)),""))</f>
        <v>4408034</v>
      </c>
      <c r="F37" s="12" t="str">
        <f aca="false">IF($E37="","Unmatched","Matched")</f>
        <v>Matched</v>
      </c>
    </row>
    <row r="38" customFormat="false" ht="15" hidden="false" customHeight="true" outlineLevel="0" collapsed="false">
      <c r="A38" s="12" t="s">
        <v>263</v>
      </c>
      <c r="B38" s="12" t="n">
        <v>2025</v>
      </c>
      <c r="C38" s="12" t="n">
        <v>28</v>
      </c>
      <c r="D38" s="12" t="n">
        <v>2557.5</v>
      </c>
      <c r="E38" s="12" t="n">
        <f aca="false">IFERROR(INDEX('Catalog'!$A:$A,MATCH($A38,'Catalog'!$B:$B,0)),IFERROR(INDEX('Catalog'!$A:$A,MATCH(TRIM(SUBSTITUTE($A38,CHAR(160)," ")),'Catalog'!$C:$C,0)),""))</f>
        <v>4408035</v>
      </c>
      <c r="F38" s="12" t="str">
        <f aca="false">IF($E38="","Unmatched","Matched")</f>
        <v>Matched</v>
      </c>
    </row>
    <row r="39" customFormat="false" ht="15" hidden="false" customHeight="true" outlineLevel="0" collapsed="false">
      <c r="A39" s="12" t="s">
        <v>310</v>
      </c>
      <c r="B39" s="12" t="n">
        <v>2025</v>
      </c>
      <c r="C39" s="12" t="n">
        <v>2</v>
      </c>
      <c r="D39" s="12" t="n">
        <v>573.6</v>
      </c>
      <c r="E39" s="12" t="n">
        <f aca="false">IFERROR(INDEX('Catalog'!$A:$A,MATCH($A39,'Catalog'!$B:$B,0)),IFERROR(INDEX('Catalog'!$A:$A,MATCH(TRIM(SUBSTITUTE($A39,CHAR(160)," ")),'Catalog'!$C:$C,0)),""))</f>
        <v>4408044</v>
      </c>
      <c r="F39" s="12" t="str">
        <f aca="false">IF($E39="","Unmatched","Matched")</f>
        <v>Matched</v>
      </c>
    </row>
    <row r="40" customFormat="false" ht="15" hidden="false" customHeight="true" outlineLevel="0" collapsed="false">
      <c r="A40" s="12" t="s">
        <v>580</v>
      </c>
      <c r="B40" s="12" t="n">
        <v>2025</v>
      </c>
      <c r="C40" s="12" t="n">
        <v>98</v>
      </c>
      <c r="D40" s="12" t="n">
        <v>2662.6</v>
      </c>
      <c r="E40" s="12" t="n">
        <f aca="false">IFERROR(INDEX('Catalog'!$A:$A,MATCH($A40,'Catalog'!$B:$B,0)),IFERROR(INDEX('Catalog'!$A:$A,MATCH(TRIM(SUBSTITUTE($A40,CHAR(160)," ")),'Catalog'!$C:$C,0)),""))</f>
        <v>4408046</v>
      </c>
      <c r="F40" s="12" t="str">
        <f aca="false">IF($E40="","Unmatched","Matched")</f>
        <v>Matched</v>
      </c>
    </row>
    <row r="41" customFormat="false" ht="15" hidden="false" customHeight="true" outlineLevel="0" collapsed="false">
      <c r="A41" s="12" t="s">
        <v>581</v>
      </c>
      <c r="B41" s="12" t="n">
        <v>2025</v>
      </c>
      <c r="C41" s="12" t="n">
        <v>107</v>
      </c>
      <c r="D41" s="12" t="n">
        <v>2906.8</v>
      </c>
      <c r="E41" s="12" t="n">
        <f aca="false">IFERROR(INDEX('Catalog'!$A:$A,MATCH($A41,'Catalog'!$B:$B,0)),IFERROR(INDEX('Catalog'!$A:$A,MATCH(TRIM(SUBSTITUTE($A41,CHAR(160)," ")),'Catalog'!$C:$C,0)),""))</f>
        <v>4408047</v>
      </c>
      <c r="F41" s="12" t="str">
        <f aca="false">IF($E41="","Unmatched","Matched")</f>
        <v>Matched</v>
      </c>
    </row>
    <row r="42" customFormat="false" ht="15" hidden="false" customHeight="true" outlineLevel="0" collapsed="false">
      <c r="A42" s="12" t="s">
        <v>582</v>
      </c>
      <c r="B42" s="12" t="n">
        <v>2025</v>
      </c>
      <c r="C42" s="12" t="n">
        <v>98</v>
      </c>
      <c r="D42" s="12" t="n">
        <v>2659.5</v>
      </c>
      <c r="E42" s="12" t="n">
        <f aca="false">IFERROR(INDEX('Catalog'!$A:$A,MATCH($A42,'Catalog'!$B:$B,0)),IFERROR(INDEX('Catalog'!$A:$A,MATCH(TRIM(SUBSTITUTE($A42,CHAR(160)," ")),'Catalog'!$C:$C,0)),""))</f>
        <v>4408048</v>
      </c>
      <c r="F42" s="12" t="str">
        <f aca="false">IF($E42="","Unmatched","Matched")</f>
        <v>Matched</v>
      </c>
    </row>
    <row r="43" customFormat="false" ht="15" hidden="false" customHeight="true" outlineLevel="0" collapsed="false">
      <c r="A43" s="12" t="s">
        <v>583</v>
      </c>
      <c r="B43" s="12" t="n">
        <v>2025</v>
      </c>
      <c r="C43" s="12" t="n">
        <v>41</v>
      </c>
      <c r="D43" s="12" t="n">
        <v>1114.2</v>
      </c>
      <c r="E43" s="12" t="n">
        <f aca="false">IFERROR(INDEX('Catalog'!$A:$A,MATCH($A43,'Catalog'!$B:$B,0)),IFERROR(INDEX('Catalog'!$A:$A,MATCH(TRIM(SUBSTITUTE($A43,CHAR(160)," ")),'Catalog'!$C:$C,0)),""))</f>
        <v>4408049</v>
      </c>
      <c r="F43" s="12" t="str">
        <f aca="false">IF($E43="","Unmatched","Matched")</f>
        <v>Matched</v>
      </c>
    </row>
    <row r="44" customFormat="false" ht="15" hidden="false" customHeight="true" outlineLevel="0" collapsed="false">
      <c r="A44" s="12" t="s">
        <v>588</v>
      </c>
      <c r="B44" s="12" t="n">
        <v>2025</v>
      </c>
      <c r="C44" s="12" t="n">
        <v>184</v>
      </c>
      <c r="D44" s="12" t="n">
        <v>6493.6</v>
      </c>
      <c r="E44" s="12" t="n">
        <f aca="false">IFERROR(INDEX('Catalog'!$A:$A,MATCH($A44,'Catalog'!$B:$B,0)),IFERROR(INDEX('Catalog'!$A:$A,MATCH(TRIM(SUBSTITUTE($A44,CHAR(160)," ")),'Catalog'!$C:$C,0)),""))</f>
        <v>4408051</v>
      </c>
      <c r="F44" s="12" t="str">
        <f aca="false">IF($E44="","Unmatched","Matched")</f>
        <v>Matched</v>
      </c>
    </row>
    <row r="45" customFormat="false" ht="15" hidden="false" customHeight="true" outlineLevel="0" collapsed="false">
      <c r="A45" s="12" t="s">
        <v>586</v>
      </c>
      <c r="B45" s="12" t="n">
        <v>2025</v>
      </c>
      <c r="C45" s="12" t="n">
        <v>211</v>
      </c>
      <c r="D45" s="12" t="n">
        <v>7450.3</v>
      </c>
      <c r="E45" s="12" t="n">
        <f aca="false">IFERROR(INDEX('Catalog'!$A:$A,MATCH($A45,'Catalog'!$B:$B,0)),IFERROR(INDEX('Catalog'!$A:$A,MATCH(TRIM(SUBSTITUTE($A45,CHAR(160)," ")),'Catalog'!$C:$C,0)),""))</f>
        <v>4408052</v>
      </c>
      <c r="F45" s="12" t="str">
        <f aca="false">IF($E45="","Unmatched","Matched")</f>
        <v>Matched</v>
      </c>
    </row>
    <row r="46" customFormat="false" ht="15" hidden="false" customHeight="true" outlineLevel="0" collapsed="false">
      <c r="A46" s="12" t="s">
        <v>587</v>
      </c>
      <c r="B46" s="12" t="n">
        <v>2025</v>
      </c>
      <c r="C46" s="12" t="n">
        <v>300</v>
      </c>
      <c r="D46" s="12" t="n">
        <v>10585.1</v>
      </c>
      <c r="E46" s="12" t="n">
        <f aca="false">IFERROR(INDEX('Catalog'!$A:$A,MATCH($A46,'Catalog'!$B:$B,0)),IFERROR(INDEX('Catalog'!$A:$A,MATCH(TRIM(SUBSTITUTE($A46,CHAR(160)," ")),'Catalog'!$C:$C,0)),""))</f>
        <v>4408053</v>
      </c>
      <c r="F46" s="12" t="str">
        <f aca="false">IF($E46="","Unmatched","Matched")</f>
        <v>Matched</v>
      </c>
    </row>
    <row r="47" customFormat="false" ht="15" hidden="false" customHeight="true" outlineLevel="0" collapsed="false">
      <c r="A47" s="12" t="s">
        <v>589</v>
      </c>
      <c r="B47" s="12" t="n">
        <v>2025</v>
      </c>
      <c r="C47" s="12" t="n">
        <v>62</v>
      </c>
      <c r="D47" s="12" t="n">
        <v>2183.1</v>
      </c>
      <c r="E47" s="12" t="n">
        <f aca="false">IFERROR(INDEX('Catalog'!$A:$A,MATCH($A47,'Catalog'!$B:$B,0)),IFERROR(INDEX('Catalog'!$A:$A,MATCH(TRIM(SUBSTITUTE($A47,CHAR(160)," ")),'Catalog'!$C:$C,0)),""))</f>
        <v>4408054</v>
      </c>
      <c r="F47" s="12" t="str">
        <f aca="false">IF($E47="","Unmatched","Matched")</f>
        <v>Matched</v>
      </c>
    </row>
    <row r="48" customFormat="false" ht="15" hidden="false" customHeight="true" outlineLevel="0" collapsed="false">
      <c r="A48" s="12" t="s">
        <v>610</v>
      </c>
      <c r="B48" s="12" t="n">
        <v>2025</v>
      </c>
      <c r="C48" s="12" t="n">
        <v>-4</v>
      </c>
      <c r="D48" s="12" t="n">
        <v>-314.4</v>
      </c>
      <c r="E48" s="12" t="n">
        <f aca="false">IFERROR(INDEX('Catalog'!$A:$A,MATCH($A48,'Catalog'!$B:$B,0)),IFERROR(INDEX('Catalog'!$A:$A,MATCH(TRIM(SUBSTITUTE($A48,CHAR(160)," ")),'Catalog'!$C:$C,0)),""))</f>
        <v>4408059</v>
      </c>
      <c r="F48" s="12" t="str">
        <f aca="false">IF($E48="","Unmatched","Matched")</f>
        <v>Matched</v>
      </c>
    </row>
    <row r="49" customFormat="false" ht="15" hidden="false" customHeight="true" outlineLevel="0" collapsed="false">
      <c r="A49" s="12" t="s">
        <v>611</v>
      </c>
      <c r="B49" s="12" t="n">
        <v>2025</v>
      </c>
      <c r="C49" s="12" t="n">
        <v>2</v>
      </c>
      <c r="D49" s="12" t="n">
        <v>137</v>
      </c>
      <c r="E49" s="12" t="n">
        <f aca="false">IFERROR(INDEX('Catalog'!$A:$A,MATCH($A49,'Catalog'!$B:$B,0)),IFERROR(INDEX('Catalog'!$A:$A,MATCH(TRIM(SUBSTITUTE($A49,CHAR(160)," ")),'Catalog'!$C:$C,0)),""))</f>
        <v>4408060</v>
      </c>
      <c r="F49" s="12" t="str">
        <f aca="false">IF($E49="","Unmatched","Matched")</f>
        <v>Matched</v>
      </c>
    </row>
    <row r="50" customFormat="false" ht="15" hidden="false" customHeight="true" outlineLevel="0" collapsed="false">
      <c r="A50" s="12" t="s">
        <v>612</v>
      </c>
      <c r="B50" s="12" t="n">
        <v>2025</v>
      </c>
      <c r="C50" s="12" t="n">
        <v>-2</v>
      </c>
      <c r="D50" s="12" t="n">
        <v>-133.6</v>
      </c>
      <c r="E50" s="12" t="n">
        <f aca="false">IFERROR(INDEX('Catalog'!$A:$A,MATCH($A50,'Catalog'!$B:$B,0)),IFERROR(INDEX('Catalog'!$A:$A,MATCH(TRIM(SUBSTITUTE($A50,CHAR(160)," ")),'Catalog'!$C:$C,0)),""))</f>
        <v>4408061</v>
      </c>
      <c r="F50" s="12" t="str">
        <f aca="false">IF($E50="","Unmatched","Matched")</f>
        <v>Matched</v>
      </c>
    </row>
    <row r="51" customFormat="false" ht="15" hidden="false" customHeight="true" outlineLevel="0" collapsed="false">
      <c r="A51" s="12" t="s">
        <v>613</v>
      </c>
      <c r="B51" s="12" t="n">
        <v>2025</v>
      </c>
      <c r="C51" s="12" t="n">
        <v>1</v>
      </c>
      <c r="D51" s="12" t="n">
        <v>68.5</v>
      </c>
      <c r="E51" s="12" t="n">
        <f aca="false">IFERROR(INDEX('Catalog'!$A:$A,MATCH($A51,'Catalog'!$B:$B,0)),IFERROR(INDEX('Catalog'!$A:$A,MATCH(TRIM(SUBSTITUTE($A51,CHAR(160)," ")),'Catalog'!$C:$C,0)),""))</f>
        <v>4408062</v>
      </c>
      <c r="F51" s="12" t="str">
        <f aca="false">IF($E51="","Unmatched","Matched")</f>
        <v>Matched</v>
      </c>
    </row>
    <row r="52" customFormat="false" ht="15" hidden="false" customHeight="true" outlineLevel="0" collapsed="false">
      <c r="A52" s="12" t="s">
        <v>456</v>
      </c>
      <c r="B52" s="12" t="n">
        <v>2025</v>
      </c>
      <c r="C52" s="12" t="n">
        <v>4</v>
      </c>
      <c r="D52" s="12" t="n">
        <v>1206.8</v>
      </c>
      <c r="E52" s="12" t="n">
        <f aca="false">IFERROR(INDEX('Catalog'!$A:$A,MATCH($A52,'Catalog'!$B:$B,0)),IFERROR(INDEX('Catalog'!$A:$A,MATCH(TRIM(SUBSTITUTE($A52,CHAR(160)," ")),'Catalog'!$C:$C,0)),""))</f>
        <v>4408070</v>
      </c>
      <c r="F52" s="12" t="str">
        <f aca="false">IF($E52="","Unmatched","Matched")</f>
        <v>Matched</v>
      </c>
    </row>
    <row r="53" customFormat="false" ht="15" hidden="false" customHeight="true" outlineLevel="0" collapsed="false">
      <c r="A53" s="12" t="s">
        <v>457</v>
      </c>
      <c r="B53" s="12" t="n">
        <v>2025</v>
      </c>
      <c r="C53" s="12" t="n">
        <v>2</v>
      </c>
      <c r="D53" s="12" t="n">
        <v>603.4</v>
      </c>
      <c r="E53" s="12" t="n">
        <f aca="false">IFERROR(INDEX('Catalog'!$A:$A,MATCH($A53,'Catalog'!$B:$B,0)),IFERROR(INDEX('Catalog'!$A:$A,MATCH(TRIM(SUBSTITUTE($A53,CHAR(160)," ")),'Catalog'!$C:$C,0)),""))</f>
        <v>4408073</v>
      </c>
      <c r="F53" s="12" t="str">
        <f aca="false">IF($E53="","Unmatched","Matched")</f>
        <v>Matched</v>
      </c>
    </row>
    <row r="54" customFormat="false" ht="15" hidden="false" customHeight="true" outlineLevel="0" collapsed="false">
      <c r="A54" s="12" t="s">
        <v>459</v>
      </c>
      <c r="B54" s="12" t="n">
        <v>2025</v>
      </c>
      <c r="C54" s="12" t="n">
        <v>-1</v>
      </c>
      <c r="D54" s="12" t="n">
        <v>-178.9</v>
      </c>
      <c r="E54" s="12" t="n">
        <f aca="false">IFERROR(INDEX('Catalog'!$A:$A,MATCH($A54,'Catalog'!$B:$B,0)),IFERROR(INDEX('Catalog'!$A:$A,MATCH(TRIM(SUBSTITUTE($A54,CHAR(160)," ")),'Catalog'!$C:$C,0)),""))</f>
        <v>4408076</v>
      </c>
      <c r="F54" s="12" t="str">
        <f aca="false">IF($E54="","Unmatched","Matched")</f>
        <v>Matched</v>
      </c>
    </row>
    <row r="55" customFormat="false" ht="15" hidden="false" customHeight="true" outlineLevel="0" collapsed="false">
      <c r="A55" s="12" t="s">
        <v>463</v>
      </c>
      <c r="B55" s="12" t="n">
        <v>2025</v>
      </c>
      <c r="C55" s="12" t="n">
        <v>4</v>
      </c>
      <c r="D55" s="12" t="n">
        <v>715.5</v>
      </c>
      <c r="E55" s="12" t="n">
        <f aca="false">IFERROR(INDEX('Catalog'!$A:$A,MATCH($A55,'Catalog'!$B:$B,0)),IFERROR(INDEX('Catalog'!$A:$A,MATCH(TRIM(SUBSTITUTE($A55,CHAR(160)," ")),'Catalog'!$C:$C,0)),""))</f>
        <v>4408080</v>
      </c>
      <c r="F55" s="12" t="str">
        <f aca="false">IF($E55="","Unmatched","Matched")</f>
        <v>Matched</v>
      </c>
    </row>
    <row r="56" customFormat="false" ht="15" hidden="false" customHeight="true" outlineLevel="0" collapsed="false">
      <c r="A56" s="12" t="s">
        <v>464</v>
      </c>
      <c r="B56" s="12" t="n">
        <v>2025</v>
      </c>
      <c r="C56" s="12" t="n">
        <v>1</v>
      </c>
      <c r="D56" s="12" t="n">
        <v>178.9</v>
      </c>
      <c r="E56" s="12" t="n">
        <f aca="false">IFERROR(INDEX('Catalog'!$A:$A,MATCH($A56,'Catalog'!$B:$B,0)),IFERROR(INDEX('Catalog'!$A:$A,MATCH(TRIM(SUBSTITUTE($A56,CHAR(160)," ")),'Catalog'!$C:$C,0)),""))</f>
        <v>4408081</v>
      </c>
      <c r="F56" s="12" t="str">
        <f aca="false">IF($E56="","Unmatched","Matched")</f>
        <v>Matched</v>
      </c>
    </row>
    <row r="57" customFormat="false" ht="15" hidden="false" customHeight="true" outlineLevel="0" collapsed="false">
      <c r="A57" s="12" t="s">
        <v>471</v>
      </c>
      <c r="B57" s="12" t="n">
        <v>2025</v>
      </c>
      <c r="C57" s="12" t="n">
        <v>31</v>
      </c>
      <c r="D57" s="12" t="n">
        <v>2307.7</v>
      </c>
      <c r="E57" s="12" t="n">
        <f aca="false">IFERROR(INDEX('Catalog'!$A:$A,MATCH($A57,'Catalog'!$B:$B,0)),IFERROR(INDEX('Catalog'!$A:$A,MATCH(TRIM(SUBSTITUTE($A57,CHAR(160)," ")),'Catalog'!$C:$C,0)),""))</f>
        <v>4408088</v>
      </c>
      <c r="F57" s="12" t="str">
        <f aca="false">IF($E57="","Unmatched","Matched")</f>
        <v>Matched</v>
      </c>
    </row>
    <row r="58" customFormat="false" ht="15" hidden="false" customHeight="true" outlineLevel="0" collapsed="false">
      <c r="A58" s="12" t="s">
        <v>338</v>
      </c>
      <c r="B58" s="12" t="n">
        <v>2025</v>
      </c>
      <c r="C58" s="12" t="n">
        <v>-2</v>
      </c>
      <c r="D58" s="12" t="n">
        <v>-176.4</v>
      </c>
      <c r="E58" s="12" t="n">
        <f aca="false">IFERROR(INDEX('Catalog'!$A:$A,MATCH($A58,'Catalog'!$B:$B,0)),IFERROR(INDEX('Catalog'!$A:$A,MATCH(TRIM(SUBSTITUTE($A58,CHAR(160)," ")),'Catalog'!$C:$C,0)),""))</f>
        <v>4408089</v>
      </c>
      <c r="F58" s="12" t="str">
        <f aca="false">IF($E58="","Unmatched","Matched")</f>
        <v>Matched</v>
      </c>
    </row>
    <row r="59" customFormat="false" ht="15" hidden="false" customHeight="true" outlineLevel="0" collapsed="false">
      <c r="A59" s="12" t="s">
        <v>336</v>
      </c>
      <c r="B59" s="12" t="n">
        <v>2025</v>
      </c>
      <c r="C59" s="12" t="n">
        <v>8</v>
      </c>
      <c r="D59" s="12" t="n">
        <v>705.6</v>
      </c>
      <c r="E59" s="12" t="n">
        <f aca="false">IFERROR(INDEX('Catalog'!$A:$A,MATCH($A59,'Catalog'!$B:$B,0)),IFERROR(INDEX('Catalog'!$A:$A,MATCH(TRIM(SUBSTITUTE($A59,CHAR(160)," ")),'Catalog'!$C:$C,0)),""))</f>
        <v>4408090</v>
      </c>
      <c r="F59" s="12" t="str">
        <f aca="false">IF($E59="","Unmatched","Matched")</f>
        <v>Matched</v>
      </c>
    </row>
    <row r="60" customFormat="false" ht="15" hidden="false" customHeight="true" outlineLevel="0" collapsed="false">
      <c r="A60" s="12" t="s">
        <v>339</v>
      </c>
      <c r="B60" s="12" t="n">
        <v>2025</v>
      </c>
      <c r="C60" s="12" t="n">
        <v>6</v>
      </c>
      <c r="D60" s="12" t="n">
        <v>529.2</v>
      </c>
      <c r="E60" s="12" t="n">
        <f aca="false">IFERROR(INDEX('Catalog'!$A:$A,MATCH($A60,'Catalog'!$B:$B,0)),IFERROR(INDEX('Catalog'!$A:$A,MATCH(TRIM(SUBSTITUTE($A60,CHAR(160)," ")),'Catalog'!$C:$C,0)),""))</f>
        <v>4408092</v>
      </c>
      <c r="F60" s="12" t="str">
        <f aca="false">IF($E60="","Unmatched","Matched")</f>
        <v>Matched</v>
      </c>
    </row>
    <row r="61" customFormat="false" ht="15" hidden="false" customHeight="true" outlineLevel="0" collapsed="false">
      <c r="A61" s="12" t="s">
        <v>653</v>
      </c>
      <c r="B61" s="12" t="n">
        <v>2025</v>
      </c>
      <c r="C61" s="12" t="n">
        <v>42</v>
      </c>
      <c r="D61" s="12" t="n">
        <v>1443.5</v>
      </c>
      <c r="E61" s="12" t="n">
        <f aca="false">IFERROR(INDEX('Catalog'!$A:$A,MATCH($A61,'Catalog'!$B:$B,0)),IFERROR(INDEX('Catalog'!$A:$A,MATCH(TRIM(SUBSTITUTE($A61,CHAR(160)," ")),'Catalog'!$C:$C,0)),""))</f>
        <v>4408094</v>
      </c>
      <c r="F61" s="12" t="str">
        <f aca="false">IF($E61="","Unmatched","Matched")</f>
        <v>Matched</v>
      </c>
    </row>
    <row r="62" customFormat="false" ht="15" hidden="false" customHeight="true" outlineLevel="0" collapsed="false">
      <c r="A62" s="12" t="s">
        <v>652</v>
      </c>
      <c r="B62" s="12" t="n">
        <v>2025</v>
      </c>
      <c r="C62" s="12" t="n">
        <v>31</v>
      </c>
      <c r="D62" s="12" t="n">
        <v>1065.5</v>
      </c>
      <c r="E62" s="12" t="n">
        <f aca="false">IFERROR(INDEX('Catalog'!$A:$A,MATCH($A62,'Catalog'!$B:$B,0)),IFERROR(INDEX('Catalog'!$A:$A,MATCH(TRIM(SUBSTITUTE($A62,CHAR(160)," ")),'Catalog'!$C:$C,0)),""))</f>
        <v>4408095</v>
      </c>
      <c r="F62" s="12" t="str">
        <f aca="false">IF($E62="","Unmatched","Matched")</f>
        <v>Matched</v>
      </c>
    </row>
    <row r="63" customFormat="false" ht="15" hidden="false" customHeight="true" outlineLevel="0" collapsed="false">
      <c r="A63" s="12" t="s">
        <v>656</v>
      </c>
      <c r="B63" s="12" t="n">
        <v>2025</v>
      </c>
      <c r="C63" s="12" t="n">
        <v>386</v>
      </c>
      <c r="D63" s="12" t="n">
        <v>15339.9</v>
      </c>
      <c r="E63" s="12" t="n">
        <f aca="false">IFERROR(INDEX('Catalog'!$A:$A,MATCH($A63,'Catalog'!$B:$B,0)),IFERROR(INDEX('Catalog'!$A:$A,MATCH(TRIM(SUBSTITUTE($A63,CHAR(160)," ")),'Catalog'!$C:$C,0)),""))</f>
        <v>4408098</v>
      </c>
      <c r="F63" s="12" t="str">
        <f aca="false">IF($E63="","Unmatched","Matched")</f>
        <v>Matched</v>
      </c>
    </row>
    <row r="64" customFormat="false" ht="15" hidden="false" customHeight="true" outlineLevel="0" collapsed="false">
      <c r="A64" s="12" t="s">
        <v>658</v>
      </c>
      <c r="B64" s="12" t="n">
        <v>2025</v>
      </c>
      <c r="C64" s="12" t="n">
        <v>322</v>
      </c>
      <c r="D64" s="12" t="n">
        <v>12779.1</v>
      </c>
      <c r="E64" s="12" t="n">
        <f aca="false">IFERROR(INDEX('Catalog'!$A:$A,MATCH($A64,'Catalog'!$B:$B,0)),IFERROR(INDEX('Catalog'!$A:$A,MATCH(TRIM(SUBSTITUTE($A64,CHAR(160)," ")),'Catalog'!$C:$C,0)),""))</f>
        <v>4408099</v>
      </c>
      <c r="F64" s="12" t="str">
        <f aca="false">IF($E64="","Unmatched","Matched")</f>
        <v>Matched</v>
      </c>
    </row>
    <row r="65" customFormat="false" ht="15" hidden="false" customHeight="true" outlineLevel="0" collapsed="false">
      <c r="A65" s="12" t="s">
        <v>264</v>
      </c>
      <c r="B65" s="12" t="n">
        <v>2025</v>
      </c>
      <c r="C65" s="12" t="n">
        <v>11</v>
      </c>
      <c r="D65" s="12" t="n">
        <v>1067.3</v>
      </c>
      <c r="E65" s="12" t="n">
        <f aca="false">IFERROR(INDEX('Catalog'!$A:$A,MATCH($A65,'Catalog'!$B:$B,0)),IFERROR(INDEX('Catalog'!$A:$A,MATCH(TRIM(SUBSTITUTE($A65,CHAR(160)," ")),'Catalog'!$C:$C,0)),""))</f>
        <v>4408115</v>
      </c>
      <c r="F65" s="12" t="str">
        <f aca="false">IF($E65="","Unmatched","Matched")</f>
        <v>Matched</v>
      </c>
    </row>
    <row r="66" customFormat="false" ht="15" hidden="false" customHeight="true" outlineLevel="0" collapsed="false">
      <c r="A66" s="12" t="s">
        <v>268</v>
      </c>
      <c r="B66" s="12" t="n">
        <v>2025</v>
      </c>
      <c r="C66" s="12" t="n">
        <v>63</v>
      </c>
      <c r="D66" s="12" t="n">
        <v>6048</v>
      </c>
      <c r="E66" s="12" t="n">
        <f aca="false">IFERROR(INDEX('Catalog'!$A:$A,MATCH($A66,'Catalog'!$B:$B,0)),IFERROR(INDEX('Catalog'!$A:$A,MATCH(TRIM(SUBSTITUTE($A66,CHAR(160)," ")),'Catalog'!$C:$C,0)),""))</f>
        <v>4408132</v>
      </c>
      <c r="F66" s="12" t="str">
        <f aca="false">IF($E66="","Unmatched","Matched")</f>
        <v>Matched</v>
      </c>
    </row>
    <row r="67" customFormat="false" ht="15" hidden="false" customHeight="true" outlineLevel="0" collapsed="false">
      <c r="A67" s="12" t="s">
        <v>271</v>
      </c>
      <c r="B67" s="12" t="n">
        <v>2025</v>
      </c>
      <c r="C67" s="12" t="n">
        <v>-1</v>
      </c>
      <c r="D67" s="12" t="n">
        <v>-118.6</v>
      </c>
      <c r="E67" s="12" t="n">
        <f aca="false">IFERROR(INDEX('Catalog'!$A:$A,MATCH($A67,'Catalog'!$B:$B,0)),IFERROR(INDEX('Catalog'!$A:$A,MATCH(TRIM(SUBSTITUTE($A67,CHAR(160)," ")),'Catalog'!$C:$C,0)),""))</f>
        <v>4408145</v>
      </c>
      <c r="F67" s="12" t="str">
        <f aca="false">IF($E67="","Unmatched","Matched")</f>
        <v>Matched</v>
      </c>
    </row>
    <row r="68" customFormat="false" ht="15" hidden="false" customHeight="true" outlineLevel="0" collapsed="false">
      <c r="A68" s="12" t="s">
        <v>270</v>
      </c>
      <c r="B68" s="12" t="n">
        <v>2025</v>
      </c>
      <c r="C68" s="12" t="n">
        <v>1</v>
      </c>
      <c r="D68" s="12" t="n">
        <v>118.6</v>
      </c>
      <c r="E68" s="12" t="n">
        <f aca="false">IFERROR(INDEX('Catalog'!$A:$A,MATCH($A68,'Catalog'!$B:$B,0)),IFERROR(INDEX('Catalog'!$A:$A,MATCH(TRIM(SUBSTITUTE($A68,CHAR(160)," ")),'Catalog'!$C:$C,0)),""))</f>
        <v>4408146</v>
      </c>
      <c r="F68" s="12" t="str">
        <f aca="false">IF($E68="","Unmatched","Matched")</f>
        <v>Matched</v>
      </c>
    </row>
    <row r="69" customFormat="false" ht="15" hidden="false" customHeight="true" outlineLevel="0" collapsed="false">
      <c r="A69" s="12" t="s">
        <v>272</v>
      </c>
      <c r="B69" s="12" t="n">
        <v>2025</v>
      </c>
      <c r="C69" s="12" t="n">
        <v>11</v>
      </c>
      <c r="D69" s="12" t="n">
        <v>1305</v>
      </c>
      <c r="E69" s="12" t="n">
        <f aca="false">IFERROR(INDEX('Catalog'!$A:$A,MATCH($A69,'Catalog'!$B:$B,0)),IFERROR(INDEX('Catalog'!$A:$A,MATCH(TRIM(SUBSTITUTE($A69,CHAR(160)," ")),'Catalog'!$C:$C,0)),""))</f>
        <v>4408148</v>
      </c>
      <c r="F69" s="12" t="str">
        <f aca="false">IF($E69="","Unmatched","Matched")</f>
        <v>Matched</v>
      </c>
    </row>
    <row r="70" customFormat="false" ht="15" hidden="false" customHeight="true" outlineLevel="0" collapsed="false">
      <c r="A70" s="12" t="s">
        <v>273</v>
      </c>
      <c r="B70" s="12" t="n">
        <v>2025</v>
      </c>
      <c r="C70" s="12" t="n">
        <v>12</v>
      </c>
      <c r="D70" s="12" t="n">
        <v>1423.7</v>
      </c>
      <c r="E70" s="12" t="n">
        <f aca="false">IFERROR(INDEX('Catalog'!$A:$A,MATCH($A70,'Catalog'!$B:$B,0)),IFERROR(INDEX('Catalog'!$A:$A,MATCH(TRIM(SUBSTITUTE($A70,CHAR(160)," ")),'Catalog'!$C:$C,0)),""))</f>
        <v>4408149</v>
      </c>
      <c r="F70" s="12" t="str">
        <f aca="false">IF($E70="","Unmatched","Matched")</f>
        <v>Matched</v>
      </c>
    </row>
    <row r="71" customFormat="false" ht="15" hidden="false" customHeight="true" outlineLevel="0" collapsed="false">
      <c r="A71" s="12" t="s">
        <v>281</v>
      </c>
      <c r="B71" s="12" t="n">
        <v>2025</v>
      </c>
      <c r="C71" s="12" t="n">
        <v>8</v>
      </c>
      <c r="D71" s="12" t="n">
        <v>1164.4</v>
      </c>
      <c r="E71" s="12" t="n">
        <f aca="false">IFERROR(INDEX('Catalog'!$A:$A,MATCH($A71,'Catalog'!$B:$B,0)),IFERROR(INDEX('Catalog'!$A:$A,MATCH(TRIM(SUBSTITUTE($A71,CHAR(160)," ")),'Catalog'!$C:$C,0)),""))</f>
        <v>4408150</v>
      </c>
      <c r="F71" s="12" t="str">
        <f aca="false">IF($E71="","Unmatched","Matched")</f>
        <v>Matched</v>
      </c>
    </row>
    <row r="72" customFormat="false" ht="15" hidden="false" customHeight="true" outlineLevel="0" collapsed="false">
      <c r="A72" s="12" t="s">
        <v>280</v>
      </c>
      <c r="B72" s="12" t="n">
        <v>2025</v>
      </c>
      <c r="C72" s="12" t="n">
        <v>17</v>
      </c>
      <c r="D72" s="12" t="n">
        <v>2225</v>
      </c>
      <c r="E72" s="12" t="n">
        <f aca="false">IFERROR(INDEX('Catalog'!$A:$A,MATCH($A72,'Catalog'!$B:$B,0)),IFERROR(INDEX('Catalog'!$A:$A,MATCH(TRIM(SUBSTITUTE($A72,CHAR(160)," ")),'Catalog'!$C:$C,0)),""))</f>
        <v>4408151</v>
      </c>
      <c r="F72" s="12" t="str">
        <f aca="false">IF($E72="","Unmatched","Matched")</f>
        <v>Matched</v>
      </c>
    </row>
    <row r="73" customFormat="false" ht="15" hidden="false" customHeight="true" outlineLevel="0" collapsed="false">
      <c r="A73" s="12" t="s">
        <v>279</v>
      </c>
      <c r="B73" s="12" t="n">
        <v>2025</v>
      </c>
      <c r="C73" s="12" t="n">
        <v>41</v>
      </c>
      <c r="D73" s="12" t="n">
        <v>5718.4</v>
      </c>
      <c r="E73" s="12" t="n">
        <f aca="false">IFERROR(INDEX('Catalog'!$A:$A,MATCH($A73,'Catalog'!$B:$B,0)),IFERROR(INDEX('Catalog'!$A:$A,MATCH(TRIM(SUBSTITUTE($A73,CHAR(160)," ")),'Catalog'!$C:$C,0)),""))</f>
        <v>4408152</v>
      </c>
      <c r="F73" s="12" t="str">
        <f aca="false">IF($E73="","Unmatched","Matched")</f>
        <v>Matched</v>
      </c>
    </row>
    <row r="74" customFormat="false" ht="15" hidden="false" customHeight="true" outlineLevel="0" collapsed="false">
      <c r="A74" s="12" t="s">
        <v>282</v>
      </c>
      <c r="B74" s="12" t="n">
        <v>2025</v>
      </c>
      <c r="C74" s="12" t="n">
        <v>57</v>
      </c>
      <c r="D74" s="12" t="n">
        <v>8296.9</v>
      </c>
      <c r="E74" s="12" t="n">
        <f aca="false">IFERROR(INDEX('Catalog'!$A:$A,MATCH($A74,'Catalog'!$B:$B,0)),IFERROR(INDEX('Catalog'!$A:$A,MATCH(TRIM(SUBSTITUTE($A74,CHAR(160)," ")),'Catalog'!$C:$C,0)),""))</f>
        <v>4408153</v>
      </c>
      <c r="F74" s="12" t="str">
        <f aca="false">IF($E74="","Unmatched","Matched")</f>
        <v>Matched</v>
      </c>
    </row>
    <row r="75" customFormat="false" ht="15" hidden="false" customHeight="true" outlineLevel="0" collapsed="false">
      <c r="A75" s="12" t="s">
        <v>283</v>
      </c>
      <c r="B75" s="12" t="n">
        <v>2025</v>
      </c>
      <c r="C75" s="12" t="n">
        <v>61</v>
      </c>
      <c r="D75" s="12" t="n">
        <v>8879.2</v>
      </c>
      <c r="E75" s="12" t="n">
        <f aca="false">IFERROR(INDEX('Catalog'!$A:$A,MATCH($A75,'Catalog'!$B:$B,0)),IFERROR(INDEX('Catalog'!$A:$A,MATCH(TRIM(SUBSTITUTE($A75,CHAR(160)," ")),'Catalog'!$C:$C,0)),""))</f>
        <v>4408154</v>
      </c>
      <c r="F75" s="12" t="str">
        <f aca="false">IF($E75="","Unmatched","Matched")</f>
        <v>Matched</v>
      </c>
    </row>
    <row r="76" customFormat="false" ht="15" hidden="false" customHeight="true" outlineLevel="0" collapsed="false">
      <c r="A76" s="12" t="s">
        <v>326</v>
      </c>
      <c r="B76" s="12" t="n">
        <v>2025</v>
      </c>
      <c r="C76" s="12" t="n">
        <v>22</v>
      </c>
      <c r="D76" s="12" t="n">
        <v>1983.7</v>
      </c>
      <c r="E76" s="12" t="n">
        <f aca="false">IFERROR(INDEX('Catalog'!$A:$A,MATCH($A76,'Catalog'!$B:$B,0)),IFERROR(INDEX('Catalog'!$A:$A,MATCH(TRIM(SUBSTITUTE($A76,CHAR(160)," ")),'Catalog'!$C:$C,0)),""))</f>
        <v>4408205</v>
      </c>
      <c r="F76" s="12" t="str">
        <f aca="false">IF($E76="","Unmatched","Matched")</f>
        <v>Matched</v>
      </c>
    </row>
    <row r="77" customFormat="false" ht="15" hidden="false" customHeight="true" outlineLevel="0" collapsed="false">
      <c r="A77" s="12" t="s">
        <v>327</v>
      </c>
      <c r="B77" s="12" t="n">
        <v>2025</v>
      </c>
      <c r="C77" s="12" t="n">
        <v>-1</v>
      </c>
      <c r="D77" s="12" t="n">
        <v>-75.3</v>
      </c>
      <c r="E77" s="12" t="n">
        <f aca="false">IFERROR(INDEX('Catalog'!$A:$A,MATCH($A77,'Catalog'!$B:$B,0)),IFERROR(INDEX('Catalog'!$A:$A,MATCH(TRIM(SUBSTITUTE($A77,CHAR(160)," ")),'Catalog'!$C:$C,0)),""))</f>
        <v>4408206</v>
      </c>
      <c r="F77" s="12" t="str">
        <f aca="false">IF($E77="","Unmatched","Matched")</f>
        <v>Matched</v>
      </c>
    </row>
    <row r="78" customFormat="false" ht="15" hidden="false" customHeight="true" outlineLevel="0" collapsed="false">
      <c r="A78" s="12" t="s">
        <v>808</v>
      </c>
      <c r="B78" s="12" t="n">
        <v>2025</v>
      </c>
      <c r="C78" s="12" t="n">
        <v>60</v>
      </c>
      <c r="D78" s="12" t="n">
        <v>1495.8</v>
      </c>
      <c r="E78" s="12" t="n">
        <f aca="false">IFERROR(INDEX('Catalog'!$A:$A,MATCH($A78,'Catalog'!$B:$B,0)),IFERROR(INDEX('Catalog'!$A:$A,MATCH(TRIM(SUBSTITUTE($A78,CHAR(160)," ")),'Catalog'!$C:$C,0)),""))</f>
        <v>4408207</v>
      </c>
      <c r="F78" s="12" t="str">
        <f aca="false">IF($E78="","Unmatched","Matched")</f>
        <v>Matched</v>
      </c>
    </row>
    <row r="79" customFormat="false" ht="15" hidden="false" customHeight="true" outlineLevel="0" collapsed="false">
      <c r="A79" s="12" t="s">
        <v>500</v>
      </c>
      <c r="B79" s="12" t="n">
        <v>2025</v>
      </c>
      <c r="C79" s="12" t="n">
        <v>123</v>
      </c>
      <c r="D79" s="12" t="n">
        <v>3539</v>
      </c>
      <c r="E79" s="12" t="n">
        <f aca="false">IFERROR(INDEX('Catalog'!$A:$A,MATCH($A79,'Catalog'!$B:$B,0)),IFERROR(INDEX('Catalog'!$A:$A,MATCH(TRIM(SUBSTITUTE($A79,CHAR(160)," ")),'Catalog'!$C:$C,0)),""))</f>
        <v>4408208</v>
      </c>
      <c r="F79" s="12" t="str">
        <f aca="false">IF($E79="","Unmatched","Matched")</f>
        <v>Matched</v>
      </c>
    </row>
    <row r="80" customFormat="false" ht="15" hidden="false" customHeight="true" outlineLevel="0" collapsed="false">
      <c r="A80" s="12" t="s">
        <v>555</v>
      </c>
      <c r="B80" s="12" t="n">
        <v>2025</v>
      </c>
      <c r="C80" s="12" t="n">
        <v>247</v>
      </c>
      <c r="D80" s="12" t="n">
        <v>3250</v>
      </c>
      <c r="E80" s="12" t="n">
        <f aca="false">IFERROR(INDEX('Catalog'!$A:$A,MATCH($A80,'Catalog'!$B:$B,0)),IFERROR(INDEX('Catalog'!$A:$A,MATCH(TRIM(SUBSTITUTE($A80,CHAR(160)," ")),'Catalog'!$C:$C,0)),""))</f>
        <v>4409000</v>
      </c>
      <c r="F80" s="12" t="str">
        <f aca="false">IF($E80="","Unmatched","Matched")</f>
        <v>Matched</v>
      </c>
    </row>
    <row r="81" customFormat="false" ht="15" hidden="false" customHeight="true" outlineLevel="0" collapsed="false">
      <c r="A81" s="12" t="s">
        <v>554</v>
      </c>
      <c r="B81" s="12" t="n">
        <v>2025</v>
      </c>
      <c r="C81" s="12" t="n">
        <v>112</v>
      </c>
      <c r="D81" s="12" t="n">
        <v>1254.4</v>
      </c>
      <c r="E81" s="12" t="n">
        <f aca="false">IFERROR(INDEX('Catalog'!$A:$A,MATCH($A81,'Catalog'!$B:$B,0)),IFERROR(INDEX('Catalog'!$A:$A,MATCH(TRIM(SUBSTITUTE($A81,CHAR(160)," ")),'Catalog'!$C:$C,0)),""))</f>
        <v>4409001</v>
      </c>
      <c r="F81" s="12" t="str">
        <f aca="false">IF($E81="","Unmatched","Matched")</f>
        <v>Matched</v>
      </c>
    </row>
    <row r="82" customFormat="false" ht="15" hidden="false" customHeight="true" outlineLevel="0" collapsed="false">
      <c r="A82" s="12" t="s">
        <v>707</v>
      </c>
      <c r="B82" s="12" t="n">
        <v>2025</v>
      </c>
      <c r="C82" s="12" t="n">
        <v>-15</v>
      </c>
      <c r="D82" s="12" t="n">
        <v>-507.9</v>
      </c>
      <c r="E82" s="12" t="n">
        <f aca="false">IFERROR(INDEX('Catalog'!$A:$A,MATCH($A82,'Catalog'!$B:$B,0)),IFERROR(INDEX('Catalog'!$A:$A,MATCH(TRIM(SUBSTITUTE($A82,CHAR(160)," ")),'Catalog'!$C:$C,0)),""))</f>
        <v>4409002</v>
      </c>
      <c r="F82" s="12" t="str">
        <f aca="false">IF($E82="","Unmatched","Matched")</f>
        <v>Matched</v>
      </c>
    </row>
    <row r="83" customFormat="false" ht="15" hidden="false" customHeight="true" outlineLevel="0" collapsed="false">
      <c r="A83" s="12" t="s">
        <v>702</v>
      </c>
      <c r="B83" s="12" t="n">
        <v>2025</v>
      </c>
      <c r="C83" s="12" t="n">
        <v>-1</v>
      </c>
      <c r="D83" s="12" t="n">
        <v>-20.8</v>
      </c>
      <c r="E83" s="12" t="n">
        <f aca="false">IFERROR(INDEX('Catalog'!$A:$A,MATCH($A83,'Catalog'!$B:$B,0)),IFERROR(INDEX('Catalog'!$A:$A,MATCH(TRIM(SUBSTITUTE($A83,CHAR(160)," ")),'Catalog'!$C:$C,0)),""))</f>
        <v>4409003</v>
      </c>
      <c r="F83" s="12" t="str">
        <f aca="false">IF($E83="","Unmatched","Matched")</f>
        <v>Matched</v>
      </c>
    </row>
    <row r="84" customFormat="false" ht="15" hidden="false" customHeight="true" outlineLevel="0" collapsed="false">
      <c r="A84" s="12" t="s">
        <v>367</v>
      </c>
      <c r="B84" s="12" t="n">
        <v>2025</v>
      </c>
      <c r="C84" s="12" t="n">
        <v>1341</v>
      </c>
      <c r="D84" s="12" t="n">
        <v>23461.9</v>
      </c>
      <c r="E84" s="12" t="n">
        <f aca="false">IFERROR(INDEX('Catalog'!$A:$A,MATCH($A84,'Catalog'!$B:$B,0)),IFERROR(INDEX('Catalog'!$A:$A,MATCH(TRIM(SUBSTITUTE($A84,CHAR(160)," ")),'Catalog'!$C:$C,0)),""))</f>
        <v>4409004</v>
      </c>
      <c r="F84" s="12" t="str">
        <f aca="false">IF($E84="","Unmatched","Matched")</f>
        <v>Matched</v>
      </c>
    </row>
    <row r="85" customFormat="false" ht="15" hidden="false" customHeight="true" outlineLevel="0" collapsed="false">
      <c r="A85" s="12" t="s">
        <v>571</v>
      </c>
      <c r="B85" s="12" t="n">
        <v>2025</v>
      </c>
      <c r="C85" s="12" t="n">
        <v>155</v>
      </c>
      <c r="D85" s="12" t="n">
        <v>3879.7</v>
      </c>
      <c r="E85" s="12" t="n">
        <f aca="false">IFERROR(INDEX('Catalog'!$A:$A,MATCH($A85,'Catalog'!$B:$B,0)),IFERROR(INDEX('Catalog'!$A:$A,MATCH(TRIM(SUBSTITUTE($A85,CHAR(160)," ")),'Catalog'!$C:$C,0)),""))</f>
        <v>4411000</v>
      </c>
      <c r="F85" s="12" t="str">
        <f aca="false">IF($E85="","Unmatched","Matched")</f>
        <v>Matched</v>
      </c>
    </row>
    <row r="86" customFormat="false" ht="15" hidden="false" customHeight="true" outlineLevel="0" collapsed="false">
      <c r="A86" s="12" t="s">
        <v>549</v>
      </c>
      <c r="B86" s="12" t="n">
        <v>2025</v>
      </c>
      <c r="C86" s="12" t="n">
        <v>66</v>
      </c>
      <c r="D86" s="12" t="n">
        <v>1727.3</v>
      </c>
      <c r="E86" s="12" t="n">
        <f aca="false">IFERROR(INDEX('Catalog'!$A:$A,MATCH($A86,'Catalog'!$B:$B,0)),IFERROR(INDEX('Catalog'!$A:$A,MATCH(TRIM(SUBSTITUTE($A86,CHAR(160)," ")),'Catalog'!$C:$C,0)),""))</f>
        <v>4411001</v>
      </c>
      <c r="F86" s="12" t="str">
        <f aca="false">IF($E86="","Unmatched","Matched")</f>
        <v>Matched</v>
      </c>
    </row>
    <row r="87" customFormat="false" ht="15" hidden="false" customHeight="true" outlineLevel="0" collapsed="false">
      <c r="A87" s="12" t="s">
        <v>710</v>
      </c>
      <c r="B87" s="12" t="n">
        <v>2025</v>
      </c>
      <c r="C87" s="12" t="n">
        <v>9</v>
      </c>
      <c r="D87" s="12" t="n">
        <v>555.6</v>
      </c>
      <c r="E87" s="12" t="n">
        <f aca="false">IFERROR(INDEX('Catalog'!$A:$A,MATCH($A87,'Catalog'!$B:$B,0)),IFERROR(INDEX('Catalog'!$A:$A,MATCH(TRIM(SUBSTITUTE($A87,CHAR(160)," ")),'Catalog'!$C:$C,0)),""))</f>
        <v>4413000</v>
      </c>
      <c r="F87" s="12" t="str">
        <f aca="false">IF($E87="","Unmatched","Matched")</f>
        <v>Matched</v>
      </c>
    </row>
    <row r="88" customFormat="false" ht="15" hidden="false" customHeight="true" outlineLevel="0" collapsed="false">
      <c r="A88" s="12" t="s">
        <v>708</v>
      </c>
      <c r="B88" s="12" t="n">
        <v>2025</v>
      </c>
      <c r="C88" s="12" t="n">
        <v>3</v>
      </c>
      <c r="D88" s="12" t="n">
        <v>185.1</v>
      </c>
      <c r="E88" s="12" t="n">
        <f aca="false">IFERROR(INDEX('Catalog'!$A:$A,MATCH($A88,'Catalog'!$B:$B,0)),IFERROR(INDEX('Catalog'!$A:$A,MATCH(TRIM(SUBSTITUTE($A88,CHAR(160)," ")),'Catalog'!$C:$C,0)),""))</f>
        <v>4413002</v>
      </c>
      <c r="F88" s="12" t="str">
        <f aca="false">IF($E88="","Unmatched","Matched")</f>
        <v>Matched</v>
      </c>
    </row>
    <row r="89" customFormat="false" ht="15" hidden="false" customHeight="true" outlineLevel="0" collapsed="false">
      <c r="A89" s="12" t="s">
        <v>709</v>
      </c>
      <c r="B89" s="12" t="n">
        <v>2025</v>
      </c>
      <c r="C89" s="12" t="n">
        <v>15</v>
      </c>
      <c r="D89" s="12" t="n">
        <v>820.2</v>
      </c>
      <c r="E89" s="12" t="n">
        <f aca="false">IFERROR(INDEX('Catalog'!$A:$A,MATCH($A89,'Catalog'!$B:$B,0)),IFERROR(INDEX('Catalog'!$A:$A,MATCH(TRIM(SUBSTITUTE($A89,CHAR(160)," ")),'Catalog'!$C:$C,0)),""))</f>
        <v>4413003</v>
      </c>
      <c r="F89" s="12" t="str">
        <f aca="false">IF($E89="","Unmatched","Matched")</f>
        <v>Matched</v>
      </c>
    </row>
    <row r="90" customFormat="false" ht="15" hidden="false" customHeight="true" outlineLevel="0" collapsed="false">
      <c r="A90" s="12" t="s">
        <v>711</v>
      </c>
      <c r="B90" s="12" t="n">
        <v>2025</v>
      </c>
      <c r="C90" s="12" t="n">
        <v>11</v>
      </c>
      <c r="D90" s="12" t="n">
        <v>683.4</v>
      </c>
      <c r="E90" s="12" t="n">
        <f aca="false">IFERROR(INDEX('Catalog'!$A:$A,MATCH($A90,'Catalog'!$B:$B,0)),IFERROR(INDEX('Catalog'!$A:$A,MATCH(TRIM(SUBSTITUTE($A90,CHAR(160)," ")),'Catalog'!$C:$C,0)),""))</f>
        <v>4413004</v>
      </c>
      <c r="F90" s="12" t="str">
        <f aca="false">IF($E90="","Unmatched","Matched")</f>
        <v>Matched</v>
      </c>
    </row>
    <row r="91" customFormat="false" ht="15" hidden="false" customHeight="true" outlineLevel="0" collapsed="false">
      <c r="A91" s="12" t="s">
        <v>712</v>
      </c>
      <c r="B91" s="12" t="n">
        <v>2025</v>
      </c>
      <c r="C91" s="12" t="n">
        <v>1</v>
      </c>
      <c r="D91" s="12" t="n">
        <v>61.8</v>
      </c>
      <c r="E91" s="12" t="n">
        <f aca="false">IFERROR(INDEX('Catalog'!$A:$A,MATCH($A91,'Catalog'!$B:$B,0)),IFERROR(INDEX('Catalog'!$A:$A,MATCH(TRIM(SUBSTITUTE($A91,CHAR(160)," ")),'Catalog'!$C:$C,0)),""))</f>
        <v>4413005</v>
      </c>
      <c r="F91" s="12" t="str">
        <f aca="false">IF($E91="","Unmatched","Matched")</f>
        <v>Matched</v>
      </c>
    </row>
    <row r="92" customFormat="false" ht="15" hidden="false" customHeight="true" outlineLevel="0" collapsed="false">
      <c r="A92" s="12" t="s">
        <v>412</v>
      </c>
      <c r="B92" s="12" t="n">
        <v>2025</v>
      </c>
      <c r="C92" s="12" t="n">
        <v>-2</v>
      </c>
      <c r="D92" s="12" t="n">
        <v>-193.5</v>
      </c>
      <c r="E92" s="12" t="n">
        <f aca="false">IFERROR(INDEX('Catalog'!$A:$A,MATCH($A92,'Catalog'!$B:$B,0)),IFERROR(INDEX('Catalog'!$A:$A,MATCH(TRIM(SUBSTITUTE($A92,CHAR(160)," ")),'Catalog'!$C:$C,0)),""))</f>
        <v>4413008</v>
      </c>
      <c r="F92" s="12" t="str">
        <f aca="false">IF($E92="","Unmatched","Matched")</f>
        <v>Matched</v>
      </c>
    </row>
    <row r="93" customFormat="false" ht="15" hidden="false" customHeight="true" outlineLevel="0" collapsed="false">
      <c r="A93" s="12" t="s">
        <v>413</v>
      </c>
      <c r="B93" s="12" t="n">
        <v>2025</v>
      </c>
      <c r="C93" s="12" t="n">
        <v>-2</v>
      </c>
      <c r="D93" s="12" t="n">
        <v>-193.5</v>
      </c>
      <c r="E93" s="12" t="n">
        <f aca="false">IFERROR(INDEX('Catalog'!$A:$A,MATCH($A93,'Catalog'!$B:$B,0)),IFERROR(INDEX('Catalog'!$A:$A,MATCH(TRIM(SUBSTITUTE($A93,CHAR(160)," ")),'Catalog'!$C:$C,0)),""))</f>
        <v>4413009</v>
      </c>
      <c r="F93" s="12" t="str">
        <f aca="false">IF($E93="","Unmatched","Matched")</f>
        <v>Matched</v>
      </c>
    </row>
    <row r="94" customFormat="false" ht="15" hidden="false" customHeight="true" outlineLevel="0" collapsed="false">
      <c r="A94" s="12" t="s">
        <v>418</v>
      </c>
      <c r="B94" s="12" t="n">
        <v>2025</v>
      </c>
      <c r="C94" s="12" t="n">
        <v>7</v>
      </c>
      <c r="D94" s="12" t="n">
        <v>773.4</v>
      </c>
      <c r="E94" s="12" t="n">
        <f aca="false">IFERROR(INDEX('Catalog'!$A:$A,MATCH($A94,'Catalog'!$B:$B,0)),IFERROR(INDEX('Catalog'!$A:$A,MATCH(TRIM(SUBSTITUTE($A94,CHAR(160)," ")),'Catalog'!$C:$C,0)),""))</f>
        <v>4413018</v>
      </c>
      <c r="F94" s="12" t="str">
        <f aca="false">IF($E94="","Unmatched","Matched")</f>
        <v>Matched</v>
      </c>
    </row>
    <row r="95" customFormat="false" ht="15" hidden="false" customHeight="true" outlineLevel="0" collapsed="false">
      <c r="A95" s="12" t="s">
        <v>419</v>
      </c>
      <c r="B95" s="12" t="n">
        <v>2025</v>
      </c>
      <c r="C95" s="12" t="n">
        <v>6</v>
      </c>
      <c r="D95" s="12" t="n">
        <v>662.9</v>
      </c>
      <c r="E95" s="12" t="n">
        <f aca="false">IFERROR(INDEX('Catalog'!$A:$A,MATCH($A95,'Catalog'!$B:$B,0)),IFERROR(INDEX('Catalog'!$A:$A,MATCH(TRIM(SUBSTITUTE($A95,CHAR(160)," ")),'Catalog'!$C:$C,0)),""))</f>
        <v>4413019</v>
      </c>
      <c r="F95" s="12" t="str">
        <f aca="false">IF($E95="","Unmatched","Matched")</f>
        <v>Matched</v>
      </c>
    </row>
    <row r="96" customFormat="false" ht="15" hidden="false" customHeight="true" outlineLevel="0" collapsed="false">
      <c r="A96" s="12" t="s">
        <v>420</v>
      </c>
      <c r="B96" s="12" t="n">
        <v>2025</v>
      </c>
      <c r="C96" s="12" t="n">
        <v>3</v>
      </c>
      <c r="D96" s="12" t="n">
        <v>331.5</v>
      </c>
      <c r="E96" s="12" t="n">
        <f aca="false">IFERROR(INDEX('Catalog'!$A:$A,MATCH($A96,'Catalog'!$B:$B,0)),IFERROR(INDEX('Catalog'!$A:$A,MATCH(TRIM(SUBSTITUTE($A96,CHAR(160)," ")),'Catalog'!$C:$C,0)),""))</f>
        <v>4413020</v>
      </c>
      <c r="F96" s="12" t="str">
        <f aca="false">IF($E96="","Unmatched","Matched")</f>
        <v>Matched</v>
      </c>
    </row>
    <row r="97" customFormat="false" ht="15" hidden="false" customHeight="true" outlineLevel="0" collapsed="false">
      <c r="A97" s="12" t="s">
        <v>421</v>
      </c>
      <c r="B97" s="12" t="n">
        <v>2025</v>
      </c>
      <c r="C97" s="12" t="n">
        <v>1</v>
      </c>
      <c r="D97" s="12" t="n">
        <v>110.5</v>
      </c>
      <c r="E97" s="12" t="n">
        <f aca="false">IFERROR(INDEX('Catalog'!$A:$A,MATCH($A97,'Catalog'!$B:$B,0)),IFERROR(INDEX('Catalog'!$A:$A,MATCH(TRIM(SUBSTITUTE($A97,CHAR(160)," ")),'Catalog'!$C:$C,0)),""))</f>
        <v>4413021</v>
      </c>
      <c r="F97" s="12" t="str">
        <f aca="false">IF($E97="","Unmatched","Matched")</f>
        <v>Matched</v>
      </c>
    </row>
    <row r="98" customFormat="false" ht="15" hidden="false" customHeight="true" outlineLevel="0" collapsed="false">
      <c r="A98" s="12" t="s">
        <v>543</v>
      </c>
      <c r="B98" s="12" t="n">
        <v>2025</v>
      </c>
      <c r="C98" s="12" t="n">
        <v>562</v>
      </c>
      <c r="D98" s="12" t="n">
        <v>7497.4</v>
      </c>
      <c r="E98" s="12" t="n">
        <f aca="false">IFERROR(INDEX('Catalog'!$A:$A,MATCH($A98,'Catalog'!$B:$B,0)),IFERROR(INDEX('Catalog'!$A:$A,MATCH(TRIM(SUBSTITUTE($A98,CHAR(160)," ")),'Catalog'!$C:$C,0)),""))</f>
        <v>4413033</v>
      </c>
      <c r="F98" s="12" t="str">
        <f aca="false">IF($E98="","Unmatched","Matched")</f>
        <v>Matched</v>
      </c>
    </row>
    <row r="99" customFormat="false" ht="15" hidden="false" customHeight="true" outlineLevel="0" collapsed="false">
      <c r="A99" s="12" t="s">
        <v>544</v>
      </c>
      <c r="B99" s="12" t="n">
        <v>2025</v>
      </c>
      <c r="C99" s="12" t="n">
        <v>45</v>
      </c>
      <c r="D99" s="12" t="n">
        <v>960.4</v>
      </c>
      <c r="E99" s="12" t="n">
        <f aca="false">IFERROR(INDEX('Catalog'!$A:$A,MATCH($A99,'Catalog'!$B:$B,0)),IFERROR(INDEX('Catalog'!$A:$A,MATCH(TRIM(SUBSTITUTE($A99,CHAR(160)," ")),'Catalog'!$C:$C,0)),""))</f>
        <v>4413034</v>
      </c>
      <c r="F99" s="12" t="str">
        <f aca="false">IF($E99="","Unmatched","Matched")</f>
        <v>Matched</v>
      </c>
    </row>
    <row r="100" customFormat="false" ht="15" hidden="false" customHeight="true" outlineLevel="0" collapsed="false">
      <c r="A100" s="12" t="s">
        <v>732</v>
      </c>
      <c r="B100" s="12" t="n">
        <v>2025</v>
      </c>
      <c r="C100" s="12" t="n">
        <v>201</v>
      </c>
      <c r="D100" s="12" t="n">
        <v>8140.5</v>
      </c>
      <c r="E100" s="12" t="n">
        <f aca="false">IFERROR(INDEX('Catalog'!$A:$A,MATCH($A100,'Catalog'!$B:$B,0)),IFERROR(INDEX('Catalog'!$A:$A,MATCH(TRIM(SUBSTITUTE($A100,CHAR(160)," ")),'Catalog'!$C:$C,0)),""))</f>
        <v>4413041</v>
      </c>
      <c r="F100" s="12" t="str">
        <f aca="false">IF($E100="","Unmatched","Matched")</f>
        <v>Matched</v>
      </c>
    </row>
    <row r="101" customFormat="false" ht="15" hidden="false" customHeight="true" outlineLevel="0" collapsed="false">
      <c r="A101" s="12" t="s">
        <v>733</v>
      </c>
      <c r="B101" s="12" t="n">
        <v>2025</v>
      </c>
      <c r="C101" s="12" t="n">
        <v>119</v>
      </c>
      <c r="D101" s="12" t="n">
        <v>4819.5</v>
      </c>
      <c r="E101" s="12" t="n">
        <f aca="false">IFERROR(INDEX('Catalog'!$A:$A,MATCH($A101,'Catalog'!$B:$B,0)),IFERROR(INDEX('Catalog'!$A:$A,MATCH(TRIM(SUBSTITUTE($A101,CHAR(160)," ")),'Catalog'!$C:$C,0)),""))</f>
        <v>4413042</v>
      </c>
      <c r="F101" s="12" t="str">
        <f aca="false">IF($E101="","Unmatched","Matched")</f>
        <v>Matched</v>
      </c>
    </row>
    <row r="102" customFormat="false" ht="15" hidden="false" customHeight="true" outlineLevel="0" collapsed="false">
      <c r="A102" s="12" t="s">
        <v>731</v>
      </c>
      <c r="B102" s="12" t="n">
        <v>2025</v>
      </c>
      <c r="C102" s="12" t="n">
        <v>188</v>
      </c>
      <c r="D102" s="12" t="n">
        <v>7622.7</v>
      </c>
      <c r="E102" s="12" t="n">
        <f aca="false">IFERROR(INDEX('Catalog'!$A:$A,MATCH($A102,'Catalog'!$B:$B,0)),IFERROR(INDEX('Catalog'!$A:$A,MATCH(TRIM(SUBSTITUTE($A102,CHAR(160)," ")),'Catalog'!$C:$C,0)),""))</f>
        <v>4413043</v>
      </c>
      <c r="F102" s="12" t="str">
        <f aca="false">IF($E102="","Unmatched","Matched")</f>
        <v>Matched</v>
      </c>
    </row>
    <row r="103" customFormat="false" ht="15" hidden="false" customHeight="true" outlineLevel="0" collapsed="false">
      <c r="A103" s="12" t="s">
        <v>734</v>
      </c>
      <c r="B103" s="12" t="n">
        <v>2025</v>
      </c>
      <c r="C103" s="12" t="n">
        <v>122</v>
      </c>
      <c r="D103" s="12" t="n">
        <v>4943.9</v>
      </c>
      <c r="E103" s="12" t="n">
        <f aca="false">IFERROR(INDEX('Catalog'!$A:$A,MATCH($A103,'Catalog'!$B:$B,0)),IFERROR(INDEX('Catalog'!$A:$A,MATCH(TRIM(SUBSTITUTE($A103,CHAR(160)," ")),'Catalog'!$C:$C,0)),""))</f>
        <v>4413044</v>
      </c>
      <c r="F103" s="12" t="str">
        <f aca="false">IF($E103="","Unmatched","Matched")</f>
        <v>Matched</v>
      </c>
    </row>
    <row r="104" customFormat="false" ht="15" hidden="false" customHeight="true" outlineLevel="0" collapsed="false">
      <c r="A104" s="12" t="s">
        <v>736</v>
      </c>
      <c r="B104" s="12" t="n">
        <v>2025</v>
      </c>
      <c r="C104" s="12" t="n">
        <v>59</v>
      </c>
      <c r="D104" s="12" t="n">
        <v>2389.5</v>
      </c>
      <c r="E104" s="12" t="n">
        <f aca="false">IFERROR(INDEX('Catalog'!$A:$A,MATCH($A104,'Catalog'!$B:$B,0)),IFERROR(INDEX('Catalog'!$A:$A,MATCH(TRIM(SUBSTITUTE($A104,CHAR(160)," ")),'Catalog'!$C:$C,0)),""))</f>
        <v>4413046</v>
      </c>
      <c r="F104" s="12" t="str">
        <f aca="false">IF($E104="","Unmatched","Matched")</f>
        <v>Matched</v>
      </c>
    </row>
    <row r="105" customFormat="false" ht="15" hidden="false" customHeight="true" outlineLevel="0" collapsed="false">
      <c r="A105" s="12" t="s">
        <v>744</v>
      </c>
      <c r="B105" s="12" t="n">
        <v>2025</v>
      </c>
      <c r="C105" s="12" t="n">
        <v>164</v>
      </c>
      <c r="D105" s="12" t="n">
        <v>4554.6</v>
      </c>
      <c r="E105" s="12" t="n">
        <f aca="false">IFERROR(INDEX('Catalog'!$A:$A,MATCH($A105,'Catalog'!$B:$B,0)),IFERROR(INDEX('Catalog'!$A:$A,MATCH(TRIM(SUBSTITUTE($A105,CHAR(160)," ")),'Catalog'!$C:$C,0)),""))</f>
        <v>4413047</v>
      </c>
      <c r="F105" s="12" t="str">
        <f aca="false">IF($E105="","Unmatched","Matched")</f>
        <v>Matched</v>
      </c>
    </row>
    <row r="106" customFormat="false" ht="15" hidden="false" customHeight="true" outlineLevel="0" collapsed="false">
      <c r="A106" s="12" t="s">
        <v>742</v>
      </c>
      <c r="B106" s="12" t="n">
        <v>2025</v>
      </c>
      <c r="C106" s="12" t="n">
        <v>261</v>
      </c>
      <c r="D106" s="12" t="n">
        <v>7257.2</v>
      </c>
      <c r="E106" s="12" t="n">
        <f aca="false">IFERROR(INDEX('Catalog'!$A:$A,MATCH($A106,'Catalog'!$B:$B,0)),IFERROR(INDEX('Catalog'!$A:$A,MATCH(TRIM(SUBSTITUTE($A106,CHAR(160)," ")),'Catalog'!$C:$C,0)),""))</f>
        <v>4413048</v>
      </c>
      <c r="F106" s="12" t="str">
        <f aca="false">IF($E106="","Unmatched","Matched")</f>
        <v>Matched</v>
      </c>
    </row>
    <row r="107" customFormat="false" ht="15" hidden="false" customHeight="true" outlineLevel="0" collapsed="false">
      <c r="A107" s="12" t="s">
        <v>743</v>
      </c>
      <c r="B107" s="12" t="n">
        <v>2025</v>
      </c>
      <c r="C107" s="12" t="n">
        <v>251</v>
      </c>
      <c r="D107" s="12" t="n">
        <v>6969.7</v>
      </c>
      <c r="E107" s="12" t="n">
        <f aca="false">IFERROR(INDEX('Catalog'!$A:$A,MATCH($A107,'Catalog'!$B:$B,0)),IFERROR(INDEX('Catalog'!$A:$A,MATCH(TRIM(SUBSTITUTE($A107,CHAR(160)," ")),'Catalog'!$C:$C,0)),""))</f>
        <v>4413049</v>
      </c>
      <c r="F107" s="12" t="str">
        <f aca="false">IF($E107="","Unmatched","Matched")</f>
        <v>Matched</v>
      </c>
    </row>
    <row r="108" customFormat="false" ht="15" hidden="false" customHeight="true" outlineLevel="0" collapsed="false">
      <c r="A108" s="12" t="s">
        <v>745</v>
      </c>
      <c r="B108" s="12" t="n">
        <v>2025</v>
      </c>
      <c r="C108" s="12" t="n">
        <v>147</v>
      </c>
      <c r="D108" s="12" t="n">
        <v>4086.6</v>
      </c>
      <c r="E108" s="12" t="n">
        <f aca="false">IFERROR(INDEX('Catalog'!$A:$A,MATCH($A108,'Catalog'!$B:$B,0)),IFERROR(INDEX('Catalog'!$A:$A,MATCH(TRIM(SUBSTITUTE($A108,CHAR(160)," ")),'Catalog'!$C:$C,0)),""))</f>
        <v>4413050</v>
      </c>
      <c r="F108" s="12" t="str">
        <f aca="false">IF($E108="","Unmatched","Matched")</f>
        <v>Matched</v>
      </c>
    </row>
    <row r="109" customFormat="false" ht="15" hidden="false" customHeight="true" outlineLevel="0" collapsed="false">
      <c r="A109" s="12" t="s">
        <v>747</v>
      </c>
      <c r="B109" s="12" t="n">
        <v>2025</v>
      </c>
      <c r="C109" s="12" t="n">
        <v>77</v>
      </c>
      <c r="D109" s="12" t="n">
        <v>2137.5</v>
      </c>
      <c r="E109" s="12" t="n">
        <f aca="false">IFERROR(INDEX('Catalog'!$A:$A,MATCH($A109,'Catalog'!$B:$B,0)),IFERROR(INDEX('Catalog'!$A:$A,MATCH(TRIM(SUBSTITUTE($A109,CHAR(160)," ")),'Catalog'!$C:$C,0)),""))</f>
        <v>4413051</v>
      </c>
      <c r="F109" s="12" t="str">
        <f aca="false">IF($E109="","Unmatched","Matched")</f>
        <v>Matched</v>
      </c>
    </row>
    <row r="110" customFormat="false" ht="15" hidden="false" customHeight="true" outlineLevel="0" collapsed="false">
      <c r="A110" s="12" t="s">
        <v>755</v>
      </c>
      <c r="B110" s="12" t="n">
        <v>2025</v>
      </c>
      <c r="C110" s="12" t="n">
        <v>180</v>
      </c>
      <c r="D110" s="12" t="n">
        <v>5004.7</v>
      </c>
      <c r="E110" s="12" t="n">
        <f aca="false">IFERROR(INDEX('Catalog'!$A:$A,MATCH($A110,'Catalog'!$B:$B,0)),IFERROR(INDEX('Catalog'!$A:$A,MATCH(TRIM(SUBSTITUTE($A110,CHAR(160)," ")),'Catalog'!$C:$C,0)),""))</f>
        <v>4413052</v>
      </c>
      <c r="F110" s="12" t="str">
        <f aca="false">IF($E110="","Unmatched","Matched")</f>
        <v>Matched</v>
      </c>
    </row>
    <row r="111" customFormat="false" ht="15" hidden="false" customHeight="true" outlineLevel="0" collapsed="false">
      <c r="A111" s="12" t="s">
        <v>753</v>
      </c>
      <c r="B111" s="12" t="n">
        <v>2025</v>
      </c>
      <c r="C111" s="12" t="n">
        <v>260</v>
      </c>
      <c r="D111" s="12" t="n">
        <v>7223.5</v>
      </c>
      <c r="E111" s="12" t="n">
        <f aca="false">IFERROR(INDEX('Catalog'!$A:$A,MATCH($A111,'Catalog'!$B:$B,0)),IFERROR(INDEX('Catalog'!$A:$A,MATCH(TRIM(SUBSTITUTE($A111,CHAR(160)," ")),'Catalog'!$C:$C,0)),""))</f>
        <v>4413053</v>
      </c>
      <c r="F111" s="12" t="str">
        <f aca="false">IF($E111="","Unmatched","Matched")</f>
        <v>Matched</v>
      </c>
    </row>
    <row r="112" customFormat="false" ht="15" hidden="false" customHeight="true" outlineLevel="0" collapsed="false">
      <c r="A112" s="12" t="s">
        <v>754</v>
      </c>
      <c r="B112" s="12" t="n">
        <v>2025</v>
      </c>
      <c r="C112" s="12" t="n">
        <v>327</v>
      </c>
      <c r="D112" s="12" t="n">
        <v>9089.4</v>
      </c>
      <c r="E112" s="12" t="n">
        <f aca="false">IFERROR(INDEX('Catalog'!$A:$A,MATCH($A112,'Catalog'!$B:$B,0)),IFERROR(INDEX('Catalog'!$A:$A,MATCH(TRIM(SUBSTITUTE($A112,CHAR(160)," ")),'Catalog'!$C:$C,0)),""))</f>
        <v>4413054</v>
      </c>
      <c r="F112" s="12" t="str">
        <f aca="false">IF($E112="","Unmatched","Matched")</f>
        <v>Matched</v>
      </c>
    </row>
    <row r="113" customFormat="false" ht="15" hidden="false" customHeight="true" outlineLevel="0" collapsed="false">
      <c r="A113" s="12" t="s">
        <v>756</v>
      </c>
      <c r="B113" s="12" t="n">
        <v>2025</v>
      </c>
      <c r="C113" s="12" t="n">
        <v>157</v>
      </c>
      <c r="D113" s="12" t="n">
        <v>4368.3</v>
      </c>
      <c r="E113" s="12" t="n">
        <f aca="false">IFERROR(INDEX('Catalog'!$A:$A,MATCH($A113,'Catalog'!$B:$B,0)),IFERROR(INDEX('Catalog'!$A:$A,MATCH(TRIM(SUBSTITUTE($A113,CHAR(160)," ")),'Catalog'!$C:$C,0)),""))</f>
        <v>4413055</v>
      </c>
      <c r="F113" s="12" t="str">
        <f aca="false">IF($E113="","Unmatched","Matched")</f>
        <v>Matched</v>
      </c>
    </row>
    <row r="114" customFormat="false" ht="15" hidden="false" customHeight="true" outlineLevel="0" collapsed="false">
      <c r="A114" s="12" t="s">
        <v>403</v>
      </c>
      <c r="B114" s="12" t="n">
        <v>2025</v>
      </c>
      <c r="C114" s="12" t="n">
        <v>22</v>
      </c>
      <c r="D114" s="12" t="n">
        <v>480.3</v>
      </c>
      <c r="E114" s="12" t="n">
        <f aca="false">IFERROR(INDEX('Catalog'!$A:$A,MATCH($A114,'Catalog'!$B:$B,0)),IFERROR(INDEX('Catalog'!$A:$A,MATCH(TRIM(SUBSTITUTE($A114,CHAR(160)," ")),'Catalog'!$C:$C,0)),""))</f>
        <v>4413056</v>
      </c>
      <c r="F114" s="12" t="str">
        <f aca="false">IF($E114="","Unmatched","Matched")</f>
        <v>Matched</v>
      </c>
    </row>
    <row r="115" customFormat="false" ht="15" hidden="false" customHeight="true" outlineLevel="0" collapsed="false">
      <c r="A115" s="12" t="s">
        <v>548</v>
      </c>
      <c r="B115" s="12" t="n">
        <v>2025</v>
      </c>
      <c r="C115" s="12" t="n">
        <v>84</v>
      </c>
      <c r="D115" s="12" t="n">
        <v>2425.3</v>
      </c>
      <c r="E115" s="12" t="n">
        <f aca="false">IFERROR(INDEX('Catalog'!$A:$A,MATCH($A115,'Catalog'!$B:$B,0)),IFERROR(INDEX('Catalog'!$A:$A,MATCH(TRIM(SUBSTITUTE($A115,CHAR(160)," ")),'Catalog'!$C:$C,0)),""))</f>
        <v>4413058</v>
      </c>
      <c r="F115" s="12" t="str">
        <f aca="false">IF($E115="","Unmatched","Matched")</f>
        <v>Matched</v>
      </c>
    </row>
    <row r="116" customFormat="false" ht="15" hidden="false" customHeight="true" outlineLevel="0" collapsed="false">
      <c r="A116" s="12" t="s">
        <v>553</v>
      </c>
      <c r="B116" s="12" t="n">
        <v>2025</v>
      </c>
      <c r="C116" s="12" t="n">
        <v>662</v>
      </c>
      <c r="D116" s="12" t="n">
        <v>8957.3</v>
      </c>
      <c r="E116" s="12" t="n">
        <f aca="false">IFERROR(INDEX('Catalog'!$A:$A,MATCH($A116,'Catalog'!$B:$B,0)),IFERROR(INDEX('Catalog'!$A:$A,MATCH(TRIM(SUBSTITUTE($A116,CHAR(160)," ")),'Catalog'!$C:$C,0)),""))</f>
        <v>4413059</v>
      </c>
      <c r="F116" s="12" t="str">
        <f aca="false">IF($E116="","Unmatched","Matched")</f>
        <v>Matched</v>
      </c>
    </row>
    <row r="117" customFormat="false" ht="15" hidden="false" customHeight="true" outlineLevel="0" collapsed="false">
      <c r="A117" s="12" t="s">
        <v>551</v>
      </c>
      <c r="B117" s="12" t="n">
        <v>2025</v>
      </c>
      <c r="C117" s="12" t="n">
        <v>336</v>
      </c>
      <c r="D117" s="12" t="n">
        <v>4548.4</v>
      </c>
      <c r="E117" s="12" t="n">
        <f aca="false">IFERROR(INDEX('Catalog'!$A:$A,MATCH($A117,'Catalog'!$B:$B,0)),IFERROR(INDEX('Catalog'!$A:$A,MATCH(TRIM(SUBSTITUTE($A117,CHAR(160)," ")),'Catalog'!$C:$C,0)),""))</f>
        <v>4413060</v>
      </c>
      <c r="F117" s="12" t="str">
        <f aca="false">IF($E117="","Unmatched","Matched")</f>
        <v>Matched</v>
      </c>
    </row>
    <row r="118" customFormat="false" ht="15" hidden="false" customHeight="true" outlineLevel="0" collapsed="false">
      <c r="A118" s="12" t="s">
        <v>552</v>
      </c>
      <c r="B118" s="12" t="n">
        <v>2025</v>
      </c>
      <c r="C118" s="12" t="n">
        <v>150</v>
      </c>
      <c r="D118" s="12" t="n">
        <v>2970.1</v>
      </c>
      <c r="E118" s="12" t="n">
        <f aca="false">IFERROR(INDEX('Catalog'!$A:$A,MATCH($A118,'Catalog'!$B:$B,0)),IFERROR(INDEX('Catalog'!$A:$A,MATCH(TRIM(SUBSTITUTE($A118,CHAR(160)," ")),'Catalog'!$C:$C,0)),""))</f>
        <v>4413061</v>
      </c>
      <c r="F118" s="12" t="str">
        <f aca="false">IF($E118="","Unmatched","Matched")</f>
        <v>Matched</v>
      </c>
    </row>
    <row r="119" customFormat="false" ht="15" hidden="false" customHeight="true" outlineLevel="0" collapsed="false">
      <c r="A119" s="12" t="s">
        <v>558</v>
      </c>
      <c r="B119" s="12" t="n">
        <v>2025</v>
      </c>
      <c r="C119" s="12" t="n">
        <v>88</v>
      </c>
      <c r="D119" s="12" t="n">
        <v>1149.1</v>
      </c>
      <c r="E119" s="12" t="n">
        <f aca="false">IFERROR(INDEX('Catalog'!$A:$A,MATCH($A119,'Catalog'!$B:$B,0)),IFERROR(INDEX('Catalog'!$A:$A,MATCH(TRIM(SUBSTITUTE($A119,CHAR(160)," ")),'Catalog'!$C:$C,0)),""))</f>
        <v>4413063</v>
      </c>
      <c r="F119" s="12" t="str">
        <f aca="false">IF($E119="","Unmatched","Matched")</f>
        <v>Matched</v>
      </c>
    </row>
    <row r="120" customFormat="false" ht="15" hidden="false" customHeight="true" outlineLevel="0" collapsed="false">
      <c r="A120" s="12" t="s">
        <v>562</v>
      </c>
      <c r="B120" s="12" t="n">
        <v>2025</v>
      </c>
      <c r="C120" s="12" t="n">
        <v>35</v>
      </c>
      <c r="D120" s="12" t="n">
        <v>658.2</v>
      </c>
      <c r="E120" s="12" t="n">
        <f aca="false">IFERROR(INDEX('Catalog'!$A:$A,MATCH($A120,'Catalog'!$B:$B,0)),IFERROR(INDEX('Catalog'!$A:$A,MATCH(TRIM(SUBSTITUTE($A120,CHAR(160)," ")),'Catalog'!$C:$C,0)),""))</f>
        <v>4413066</v>
      </c>
      <c r="F120" s="12" t="str">
        <f aca="false">IF($E120="","Unmatched","Matched")</f>
        <v>Matched</v>
      </c>
    </row>
    <row r="121" customFormat="false" ht="15" hidden="false" customHeight="true" outlineLevel="0" collapsed="false">
      <c r="A121" s="12" t="s">
        <v>89</v>
      </c>
      <c r="B121" s="12" t="n">
        <v>2025</v>
      </c>
      <c r="C121" s="12" t="n">
        <v>2</v>
      </c>
      <c r="D121" s="12" t="n">
        <v>229.3</v>
      </c>
      <c r="E121" s="12" t="n">
        <f aca="false">IFERROR(INDEX('Catalog'!$A:$A,MATCH($A121,'Catalog'!$B:$B,0)),IFERROR(INDEX('Catalog'!$A:$A,MATCH(TRIM(SUBSTITUTE($A121,CHAR(160)," ")),'Catalog'!$C:$C,0)),""))</f>
        <v>4413071</v>
      </c>
      <c r="F121" s="12" t="str">
        <f aca="false">IF($E121="","Unmatched","Matched")</f>
        <v>Matched</v>
      </c>
    </row>
    <row r="122" customFormat="false" ht="15" hidden="false" customHeight="true" outlineLevel="0" collapsed="false">
      <c r="A122" s="12" t="s">
        <v>87</v>
      </c>
      <c r="B122" s="12" t="n">
        <v>2025</v>
      </c>
      <c r="C122" s="12" t="n">
        <v>4</v>
      </c>
      <c r="D122" s="12" t="n">
        <v>458.7</v>
      </c>
      <c r="E122" s="12" t="n">
        <f aca="false">IFERROR(INDEX('Catalog'!$A:$A,MATCH($A122,'Catalog'!$B:$B,0)),IFERROR(INDEX('Catalog'!$A:$A,MATCH(TRIM(SUBSTITUTE($A122,CHAR(160)," ")),'Catalog'!$C:$C,0)),""))</f>
        <v>4413072</v>
      </c>
      <c r="F122" s="12" t="str">
        <f aca="false">IF($E122="","Unmatched","Matched")</f>
        <v>Matched</v>
      </c>
    </row>
    <row r="123" customFormat="false" ht="15" hidden="false" customHeight="true" outlineLevel="0" collapsed="false">
      <c r="A123" s="12" t="s">
        <v>88</v>
      </c>
      <c r="B123" s="12" t="n">
        <v>2025</v>
      </c>
      <c r="C123" s="12" t="n">
        <v>6</v>
      </c>
      <c r="D123" s="12" t="n">
        <v>688</v>
      </c>
      <c r="E123" s="12" t="n">
        <f aca="false">IFERROR(INDEX('Catalog'!$A:$A,MATCH($A123,'Catalog'!$B:$B,0)),IFERROR(INDEX('Catalog'!$A:$A,MATCH(TRIM(SUBSTITUTE($A123,CHAR(160)," ")),'Catalog'!$C:$C,0)),""))</f>
        <v>4413073</v>
      </c>
      <c r="F123" s="12" t="str">
        <f aca="false">IF($E123="","Unmatched","Matched")</f>
        <v>Matched</v>
      </c>
    </row>
    <row r="124" customFormat="false" ht="15" hidden="false" customHeight="true" outlineLevel="0" collapsed="false">
      <c r="A124" s="12" t="s">
        <v>86</v>
      </c>
      <c r="B124" s="12" t="n">
        <v>2025</v>
      </c>
      <c r="C124" s="12" t="n">
        <v>6</v>
      </c>
      <c r="D124" s="12" t="n">
        <v>688</v>
      </c>
      <c r="E124" s="12" t="n">
        <f aca="false">IFERROR(INDEX('Catalog'!$A:$A,MATCH($A124,'Catalog'!$B:$B,0)),IFERROR(INDEX('Catalog'!$A:$A,MATCH(TRIM(SUBSTITUTE($A124,CHAR(160)," ")),'Catalog'!$C:$C,0)),""))</f>
        <v>4413074</v>
      </c>
      <c r="F124" s="12" t="str">
        <f aca="false">IF($E124="","Unmatched","Matched")</f>
        <v>Matched</v>
      </c>
    </row>
    <row r="125" customFormat="false" ht="15" hidden="false" customHeight="true" outlineLevel="0" collapsed="false">
      <c r="A125" s="12" t="s">
        <v>92</v>
      </c>
      <c r="B125" s="12" t="n">
        <v>2025</v>
      </c>
      <c r="C125" s="12" t="n">
        <v>5</v>
      </c>
      <c r="D125" s="12" t="n">
        <v>628.5</v>
      </c>
      <c r="E125" s="12" t="n">
        <f aca="false">IFERROR(INDEX('Catalog'!$A:$A,MATCH($A125,'Catalog'!$B:$B,0)),IFERROR(INDEX('Catalog'!$A:$A,MATCH(TRIM(SUBSTITUTE($A125,CHAR(160)," ")),'Catalog'!$C:$C,0)),""))</f>
        <v>4413076</v>
      </c>
      <c r="F125" s="12" t="str">
        <f aca="false">IF($E125="","Unmatched","Matched")</f>
        <v>Matched</v>
      </c>
    </row>
    <row r="126" customFormat="false" ht="15" hidden="false" customHeight="true" outlineLevel="0" collapsed="false">
      <c r="A126" s="12" t="s">
        <v>94</v>
      </c>
      <c r="B126" s="12" t="n">
        <v>2025</v>
      </c>
      <c r="C126" s="12" t="n">
        <v>1</v>
      </c>
      <c r="D126" s="12" t="n">
        <v>125.7</v>
      </c>
      <c r="E126" s="12" t="n">
        <f aca="false">IFERROR(INDEX('Catalog'!$A:$A,MATCH($A126,'Catalog'!$B:$B,0)),IFERROR(INDEX('Catalog'!$A:$A,MATCH(TRIM(SUBSTITUTE($A126,CHAR(160)," ")),'Catalog'!$C:$C,0)),""))</f>
        <v>4413078</v>
      </c>
      <c r="F126" s="12" t="str">
        <f aca="false">IF($E126="","Unmatched","Matched")</f>
        <v>Matched</v>
      </c>
    </row>
    <row r="127" customFormat="false" ht="15" hidden="false" customHeight="true" outlineLevel="0" collapsed="false">
      <c r="A127" s="12" t="s">
        <v>95</v>
      </c>
      <c r="B127" s="12" t="n">
        <v>2025</v>
      </c>
      <c r="C127" s="12" t="n">
        <v>3</v>
      </c>
      <c r="D127" s="12" t="n">
        <v>377.1</v>
      </c>
      <c r="E127" s="12" t="n">
        <f aca="false">IFERROR(INDEX('Catalog'!$A:$A,MATCH($A127,'Catalog'!$B:$B,0)),IFERROR(INDEX('Catalog'!$A:$A,MATCH(TRIM(SUBSTITUTE($A127,CHAR(160)," ")),'Catalog'!$C:$C,0)),""))</f>
        <v>4413079</v>
      </c>
      <c r="F127" s="12" t="str">
        <f aca="false">IF($E127="","Unmatched","Matched")</f>
        <v>Matched</v>
      </c>
    </row>
    <row r="128" customFormat="false" ht="15" hidden="false" customHeight="true" outlineLevel="0" collapsed="false">
      <c r="A128" s="12" t="s">
        <v>98</v>
      </c>
      <c r="B128" s="12" t="n">
        <v>2025</v>
      </c>
      <c r="C128" s="12" t="n">
        <v>1</v>
      </c>
      <c r="D128" s="12" t="n">
        <v>163.2</v>
      </c>
      <c r="E128" s="12" t="n">
        <f aca="false">IFERROR(INDEX('Catalog'!$A:$A,MATCH($A128,'Catalog'!$B:$B,0)),IFERROR(INDEX('Catalog'!$A:$A,MATCH(TRIM(SUBSTITUTE($A128,CHAR(160)," ")),'Catalog'!$C:$C,0)),""))</f>
        <v>4413087</v>
      </c>
      <c r="F128" s="12" t="str">
        <f aca="false">IF($E128="","Unmatched","Matched")</f>
        <v>Matched</v>
      </c>
    </row>
    <row r="129" customFormat="false" ht="15" hidden="false" customHeight="true" outlineLevel="0" collapsed="false">
      <c r="A129" s="12" t="s">
        <v>99</v>
      </c>
      <c r="B129" s="12" t="n">
        <v>2025</v>
      </c>
      <c r="C129" s="12" t="n">
        <v>2</v>
      </c>
      <c r="D129" s="12" t="n">
        <v>326.4</v>
      </c>
      <c r="E129" s="12" t="n">
        <f aca="false">IFERROR(INDEX('Catalog'!$A:$A,MATCH($A129,'Catalog'!$B:$B,0)),IFERROR(INDEX('Catalog'!$A:$A,MATCH(TRIM(SUBSTITUTE($A129,CHAR(160)," ")),'Catalog'!$C:$C,0)),""))</f>
        <v>4413088</v>
      </c>
      <c r="F129" s="12" t="str">
        <f aca="false">IF($E129="","Unmatched","Matched")</f>
        <v>Matched</v>
      </c>
    </row>
    <row r="130" customFormat="false" ht="15" hidden="false" customHeight="true" outlineLevel="0" collapsed="false">
      <c r="A130" s="12" t="s">
        <v>119</v>
      </c>
      <c r="B130" s="12" t="n">
        <v>2025</v>
      </c>
      <c r="C130" s="12" t="n">
        <v>229</v>
      </c>
      <c r="D130" s="12" t="n">
        <v>6364.9</v>
      </c>
      <c r="E130" s="12" t="n">
        <f aca="false">IFERROR(INDEX('Catalog'!$A:$A,MATCH($A130,'Catalog'!$B:$B,0)),IFERROR(INDEX('Catalog'!$A:$A,MATCH(TRIM(SUBSTITUTE($A130,CHAR(160)," ")),'Catalog'!$C:$C,0)),""))</f>
        <v>4413092</v>
      </c>
      <c r="F130" s="12" t="str">
        <f aca="false">IF($E130="","Unmatched","Matched")</f>
        <v>Matched</v>
      </c>
    </row>
    <row r="131" customFormat="false" ht="15" hidden="false" customHeight="true" outlineLevel="0" collapsed="false">
      <c r="A131" s="12" t="s">
        <v>120</v>
      </c>
      <c r="B131" s="12" t="n">
        <v>2025</v>
      </c>
      <c r="C131" s="12" t="n">
        <v>223</v>
      </c>
      <c r="D131" s="12" t="n">
        <v>6200.3</v>
      </c>
      <c r="E131" s="12" t="n">
        <f aca="false">IFERROR(INDEX('Catalog'!$A:$A,MATCH($A131,'Catalog'!$B:$B,0)),IFERROR(INDEX('Catalog'!$A:$A,MATCH(TRIM(SUBSTITUTE($A131,CHAR(160)," ")),'Catalog'!$C:$C,0)),""))</f>
        <v>4413093</v>
      </c>
      <c r="F131" s="12" t="str">
        <f aca="false">IF($E131="","Unmatched","Matched")</f>
        <v>Matched</v>
      </c>
    </row>
    <row r="132" customFormat="false" ht="15" hidden="false" customHeight="true" outlineLevel="0" collapsed="false">
      <c r="A132" s="12" t="s">
        <v>121</v>
      </c>
      <c r="B132" s="12" t="n">
        <v>2025</v>
      </c>
      <c r="C132" s="12" t="n">
        <v>114</v>
      </c>
      <c r="D132" s="12" t="n">
        <v>3164.6</v>
      </c>
      <c r="E132" s="12" t="n">
        <f aca="false">IFERROR(INDEX('Catalog'!$A:$A,MATCH($A132,'Catalog'!$B:$B,0)),IFERROR(INDEX('Catalog'!$A:$A,MATCH(TRIM(SUBSTITUTE($A132,CHAR(160)," ")),'Catalog'!$C:$C,0)),""))</f>
        <v>4413094</v>
      </c>
      <c r="F132" s="12" t="str">
        <f aca="false">IF($E132="","Unmatched","Matched")</f>
        <v>Matched</v>
      </c>
    </row>
    <row r="133" customFormat="false" ht="15" hidden="false" customHeight="true" outlineLevel="0" collapsed="false">
      <c r="A133" s="12" t="s">
        <v>122</v>
      </c>
      <c r="B133" s="12" t="n">
        <v>2025</v>
      </c>
      <c r="C133" s="12" t="n">
        <v>147</v>
      </c>
      <c r="D133" s="12" t="n">
        <v>4100.5</v>
      </c>
      <c r="E133" s="12" t="n">
        <f aca="false">IFERROR(INDEX('Catalog'!$A:$A,MATCH($A133,'Catalog'!$B:$B,0)),IFERROR(INDEX('Catalog'!$A:$A,MATCH(TRIM(SUBSTITUTE($A133,CHAR(160)," ")),'Catalog'!$C:$C,0)),""))</f>
        <v>4413095</v>
      </c>
      <c r="F133" s="12" t="str">
        <f aca="false">IF($E133="","Unmatched","Matched")</f>
        <v>Matched</v>
      </c>
    </row>
    <row r="134" customFormat="false" ht="15" hidden="false" customHeight="true" outlineLevel="0" collapsed="false">
      <c r="A134" s="12" t="s">
        <v>123</v>
      </c>
      <c r="B134" s="12" t="n">
        <v>2025</v>
      </c>
      <c r="C134" s="12" t="n">
        <v>94</v>
      </c>
      <c r="D134" s="12" t="n">
        <v>2609.5</v>
      </c>
      <c r="E134" s="12" t="n">
        <f aca="false">IFERROR(INDEX('Catalog'!$A:$A,MATCH($A134,'Catalog'!$B:$B,0)),IFERROR(INDEX('Catalog'!$A:$A,MATCH(TRIM(SUBSTITUTE($A134,CHAR(160)," ")),'Catalog'!$C:$C,0)),""))</f>
        <v>4413096</v>
      </c>
      <c r="F134" s="12" t="str">
        <f aca="false">IF($E134="","Unmatched","Matched")</f>
        <v>Matched</v>
      </c>
    </row>
    <row r="135" customFormat="false" ht="15" hidden="false" customHeight="true" outlineLevel="0" collapsed="false">
      <c r="A135" s="12" t="s">
        <v>131</v>
      </c>
      <c r="B135" s="12" t="n">
        <v>2025</v>
      </c>
      <c r="C135" s="12" t="n">
        <v>154</v>
      </c>
      <c r="D135" s="12" t="n">
        <v>4279.1</v>
      </c>
      <c r="E135" s="12" t="n">
        <f aca="false">IFERROR(INDEX('Catalog'!$A:$A,MATCH($A135,'Catalog'!$B:$B,0)),IFERROR(INDEX('Catalog'!$A:$A,MATCH(TRIM(SUBSTITUTE($A135,CHAR(160)," ")),'Catalog'!$C:$C,0)),""))</f>
        <v>4413097</v>
      </c>
      <c r="F135" s="12" t="str">
        <f aca="false">IF($E135="","Unmatched","Matched")</f>
        <v>Matched</v>
      </c>
    </row>
    <row r="136" customFormat="false" ht="15" hidden="false" customHeight="true" outlineLevel="0" collapsed="false">
      <c r="A136" s="12" t="s">
        <v>129</v>
      </c>
      <c r="B136" s="12" t="n">
        <v>2025</v>
      </c>
      <c r="C136" s="12" t="n">
        <v>320</v>
      </c>
      <c r="D136" s="12" t="n">
        <v>8908.8</v>
      </c>
      <c r="E136" s="12" t="n">
        <f aca="false">IFERROR(INDEX('Catalog'!$A:$A,MATCH($A136,'Catalog'!$B:$B,0)),IFERROR(INDEX('Catalog'!$A:$A,MATCH(TRIM(SUBSTITUTE($A136,CHAR(160)," ")),'Catalog'!$C:$C,0)),""))</f>
        <v>4413098</v>
      </c>
      <c r="F136" s="12" t="str">
        <f aca="false">IF($E136="","Unmatched","Matched")</f>
        <v>Matched</v>
      </c>
    </row>
    <row r="137" customFormat="false" ht="15" hidden="false" customHeight="true" outlineLevel="0" collapsed="false">
      <c r="A137" s="12" t="s">
        <v>130</v>
      </c>
      <c r="B137" s="12" t="n">
        <v>2025</v>
      </c>
      <c r="C137" s="12" t="n">
        <v>287</v>
      </c>
      <c r="D137" s="12" t="n">
        <v>7983</v>
      </c>
      <c r="E137" s="12" t="n">
        <f aca="false">IFERROR(INDEX('Catalog'!$A:$A,MATCH($A137,'Catalog'!$B:$B,0)),IFERROR(INDEX('Catalog'!$A:$A,MATCH(TRIM(SUBSTITUTE($A137,CHAR(160)," ")),'Catalog'!$C:$C,0)),""))</f>
        <v>4413099</v>
      </c>
      <c r="F137" s="12" t="str">
        <f aca="false">IF($E137="","Unmatched","Matched")</f>
        <v>Matched</v>
      </c>
    </row>
    <row r="138" customFormat="false" ht="15" hidden="false" customHeight="true" outlineLevel="0" collapsed="false">
      <c r="A138" s="12" t="s">
        <v>132</v>
      </c>
      <c r="B138" s="12" t="n">
        <v>2025</v>
      </c>
      <c r="C138" s="12" t="n">
        <v>272</v>
      </c>
      <c r="D138" s="12" t="n">
        <v>7568.5</v>
      </c>
      <c r="E138" s="12" t="n">
        <f aca="false">IFERROR(INDEX('Catalog'!$A:$A,MATCH($A138,'Catalog'!$B:$B,0)),IFERROR(INDEX('Catalog'!$A:$A,MATCH(TRIM(SUBSTITUTE($A138,CHAR(160)," ")),'Catalog'!$C:$C,0)),""))</f>
        <v>4413100</v>
      </c>
      <c r="F138" s="12" t="str">
        <f aca="false">IF($E138="","Unmatched","Matched")</f>
        <v>Matched</v>
      </c>
    </row>
    <row r="139" customFormat="false" ht="15" hidden="false" customHeight="true" outlineLevel="0" collapsed="false">
      <c r="A139" s="12" t="s">
        <v>135</v>
      </c>
      <c r="B139" s="12" t="n">
        <v>2025</v>
      </c>
      <c r="C139" s="12" t="n">
        <v>86</v>
      </c>
      <c r="D139" s="12" t="n">
        <v>2882.6</v>
      </c>
      <c r="E139" s="12" t="n">
        <f aca="false">IFERROR(INDEX('Catalog'!$A:$A,MATCH($A139,'Catalog'!$B:$B,0)),IFERROR(INDEX('Catalog'!$A:$A,MATCH(TRIM(SUBSTITUTE($A139,CHAR(160)," ")),'Catalog'!$C:$C,0)),""))</f>
        <v>4413101</v>
      </c>
      <c r="F139" s="12" t="str">
        <f aca="false">IF($E139="","Unmatched","Matched")</f>
        <v>Matched</v>
      </c>
    </row>
    <row r="140" customFormat="false" ht="15" hidden="false" customHeight="true" outlineLevel="0" collapsed="false">
      <c r="A140" s="12" t="s">
        <v>133</v>
      </c>
      <c r="B140" s="12" t="n">
        <v>2025</v>
      </c>
      <c r="C140" s="12" t="n">
        <v>243</v>
      </c>
      <c r="D140" s="12" t="n">
        <v>8152.5</v>
      </c>
      <c r="E140" s="12" t="n">
        <f aca="false">IFERROR(INDEX('Catalog'!$A:$A,MATCH($A140,'Catalog'!$B:$B,0)),IFERROR(INDEX('Catalog'!$A:$A,MATCH(TRIM(SUBSTITUTE($A140,CHAR(160)," ")),'Catalog'!$C:$C,0)),""))</f>
        <v>4413102</v>
      </c>
      <c r="F140" s="12" t="str">
        <f aca="false">IF($E140="","Unmatched","Matched")</f>
        <v>Matched</v>
      </c>
    </row>
    <row r="141" customFormat="false" ht="15" hidden="false" customHeight="true" outlineLevel="0" collapsed="false">
      <c r="A141" s="12" t="s">
        <v>134</v>
      </c>
      <c r="B141" s="12" t="n">
        <v>2025</v>
      </c>
      <c r="C141" s="12" t="n">
        <v>205</v>
      </c>
      <c r="D141" s="12" t="n">
        <v>6872.7</v>
      </c>
      <c r="E141" s="12" t="n">
        <f aca="false">IFERROR(INDEX('Catalog'!$A:$A,MATCH($A141,'Catalog'!$B:$B,0)),IFERROR(INDEX('Catalog'!$A:$A,MATCH(TRIM(SUBSTITUTE($A141,CHAR(160)," ")),'Catalog'!$C:$C,0)),""))</f>
        <v>4413103</v>
      </c>
      <c r="F141" s="12" t="str">
        <f aca="false">IF($E141="","Unmatched","Matched")</f>
        <v>Matched</v>
      </c>
    </row>
    <row r="142" customFormat="false" ht="15" hidden="false" customHeight="true" outlineLevel="0" collapsed="false">
      <c r="A142" s="12" t="s">
        <v>136</v>
      </c>
      <c r="B142" s="12" t="n">
        <v>2025</v>
      </c>
      <c r="C142" s="12" t="n">
        <v>188</v>
      </c>
      <c r="D142" s="12" t="n">
        <v>6315.4</v>
      </c>
      <c r="E142" s="12" t="n">
        <f aca="false">IFERROR(INDEX('Catalog'!$A:$A,MATCH($A142,'Catalog'!$B:$B,0)),IFERROR(INDEX('Catalog'!$A:$A,MATCH(TRIM(SUBSTITUTE($A142,CHAR(160)," ")),'Catalog'!$C:$C,0)),""))</f>
        <v>4413104</v>
      </c>
      <c r="F142" s="12" t="str">
        <f aca="false">IF($E142="","Unmatched","Matched")</f>
        <v>Matched</v>
      </c>
    </row>
    <row r="143" customFormat="false" ht="15" hidden="false" customHeight="true" outlineLevel="0" collapsed="false">
      <c r="A143" s="12" t="s">
        <v>137</v>
      </c>
      <c r="B143" s="12" t="n">
        <v>2025</v>
      </c>
      <c r="C143" s="12" t="n">
        <v>131</v>
      </c>
      <c r="D143" s="12" t="n">
        <v>4412.7</v>
      </c>
      <c r="E143" s="12" t="n">
        <f aca="false">IFERROR(INDEX('Catalog'!$A:$A,MATCH($A143,'Catalog'!$B:$B,0)),IFERROR(INDEX('Catalog'!$A:$A,MATCH(TRIM(SUBSTITUTE($A143,CHAR(160)," ")),'Catalog'!$C:$C,0)),""))</f>
        <v>4413105</v>
      </c>
      <c r="F143" s="12" t="str">
        <f aca="false">IF($E143="","Unmatched","Matched")</f>
        <v>Matched</v>
      </c>
    </row>
    <row r="144" customFormat="false" ht="15" hidden="false" customHeight="true" outlineLevel="0" collapsed="false">
      <c r="A144" s="12" t="s">
        <v>145</v>
      </c>
      <c r="B144" s="12" t="n">
        <v>2025</v>
      </c>
      <c r="C144" s="12" t="n">
        <v>3</v>
      </c>
      <c r="D144" s="12" t="n">
        <v>157</v>
      </c>
      <c r="E144" s="12" t="n">
        <f aca="false">IFERROR(INDEX('Catalog'!$A:$A,MATCH($A144,'Catalog'!$B:$B,0)),IFERROR(INDEX('Catalog'!$A:$A,MATCH(TRIM(SUBSTITUTE($A144,CHAR(160)," ")),'Catalog'!$C:$C,0)),""))</f>
        <v>4413106</v>
      </c>
      <c r="F144" s="12" t="str">
        <f aca="false">IF($E144="","Unmatched","Matched")</f>
        <v>Matched</v>
      </c>
    </row>
    <row r="145" customFormat="false" ht="15" hidden="false" customHeight="true" outlineLevel="0" collapsed="false">
      <c r="A145" s="12" t="s">
        <v>143</v>
      </c>
      <c r="B145" s="12" t="n">
        <v>2025</v>
      </c>
      <c r="C145" s="12" t="n">
        <v>10</v>
      </c>
      <c r="D145" s="12" t="n">
        <v>523.6</v>
      </c>
      <c r="E145" s="12" t="n">
        <f aca="false">IFERROR(INDEX('Catalog'!$A:$A,MATCH($A145,'Catalog'!$B:$B,0)),IFERROR(INDEX('Catalog'!$A:$A,MATCH(TRIM(SUBSTITUTE($A145,CHAR(160)," ")),'Catalog'!$C:$C,0)),""))</f>
        <v>4413107</v>
      </c>
      <c r="F145" s="12" t="str">
        <f aca="false">IF($E145="","Unmatched","Matched")</f>
        <v>Matched</v>
      </c>
    </row>
    <row r="146" customFormat="false" ht="15" hidden="false" customHeight="true" outlineLevel="0" collapsed="false">
      <c r="A146" s="12" t="s">
        <v>144</v>
      </c>
      <c r="B146" s="12" t="n">
        <v>2025</v>
      </c>
      <c r="C146" s="12" t="n">
        <v>17</v>
      </c>
      <c r="D146" s="12" t="n">
        <v>890.1</v>
      </c>
      <c r="E146" s="12" t="n">
        <f aca="false">IFERROR(INDEX('Catalog'!$A:$A,MATCH($A146,'Catalog'!$B:$B,0)),IFERROR(INDEX('Catalog'!$A:$A,MATCH(TRIM(SUBSTITUTE($A146,CHAR(160)," ")),'Catalog'!$C:$C,0)),""))</f>
        <v>4413108</v>
      </c>
      <c r="F146" s="12" t="str">
        <f aca="false">IF($E146="","Unmatched","Matched")</f>
        <v>Matched</v>
      </c>
    </row>
    <row r="147" customFormat="false" ht="15" hidden="false" customHeight="true" outlineLevel="0" collapsed="false">
      <c r="A147" s="12" t="s">
        <v>146</v>
      </c>
      <c r="B147" s="12" t="n">
        <v>2025</v>
      </c>
      <c r="C147" s="12" t="n">
        <v>4</v>
      </c>
      <c r="D147" s="12" t="n">
        <v>209.4</v>
      </c>
      <c r="E147" s="12" t="n">
        <f aca="false">IFERROR(INDEX('Catalog'!$A:$A,MATCH($A147,'Catalog'!$B:$B,0)),IFERROR(INDEX('Catalog'!$A:$A,MATCH(TRIM(SUBSTITUTE($A147,CHAR(160)," ")),'Catalog'!$C:$C,0)),""))</f>
        <v>4413109</v>
      </c>
      <c r="F147" s="12" t="str">
        <f aca="false">IF($E147="","Unmatched","Matched")</f>
        <v>Matched</v>
      </c>
    </row>
    <row r="148" customFormat="false" ht="15" hidden="false" customHeight="true" outlineLevel="0" collapsed="false">
      <c r="A148" s="12" t="s">
        <v>147</v>
      </c>
      <c r="B148" s="12" t="n">
        <v>2025</v>
      </c>
      <c r="C148" s="12" t="n">
        <v>9</v>
      </c>
      <c r="D148" s="12" t="n">
        <v>471.2</v>
      </c>
      <c r="E148" s="12" t="n">
        <f aca="false">IFERROR(INDEX('Catalog'!$A:$A,MATCH($A148,'Catalog'!$B:$B,0)),IFERROR(INDEX('Catalog'!$A:$A,MATCH(TRIM(SUBSTITUTE($A148,CHAR(160)," ")),'Catalog'!$C:$C,0)),""))</f>
        <v>4413110</v>
      </c>
      <c r="F148" s="12" t="str">
        <f aca="false">IF($E148="","Unmatched","Matched")</f>
        <v>Matched</v>
      </c>
    </row>
    <row r="149" customFormat="false" ht="15" hidden="false" customHeight="true" outlineLevel="0" collapsed="false">
      <c r="A149" s="12" t="s">
        <v>796</v>
      </c>
      <c r="B149" s="12" t="n">
        <v>2025</v>
      </c>
      <c r="C149" s="12" t="n">
        <v>25</v>
      </c>
      <c r="D149" s="12" t="n">
        <v>760</v>
      </c>
      <c r="E149" s="12" t="n">
        <f aca="false">IFERROR(INDEX('Catalog'!$A:$A,MATCH($A149,'Catalog'!$B:$B,0)),IFERROR(INDEX('Catalog'!$A:$A,MATCH(TRIM(SUBSTITUTE($A149,CHAR(160)," ")),'Catalog'!$C:$C,0)),""))</f>
        <v>4413112</v>
      </c>
      <c r="F149" s="12" t="str">
        <f aca="false">IF($E149="","Unmatched","Matched")</f>
        <v>Matched</v>
      </c>
    </row>
    <row r="150" customFormat="false" ht="15" hidden="false" customHeight="true" outlineLevel="0" collapsed="false">
      <c r="A150" s="12" t="s">
        <v>797</v>
      </c>
      <c r="B150" s="12" t="n">
        <v>2025</v>
      </c>
      <c r="C150" s="12" t="n">
        <v>20</v>
      </c>
      <c r="D150" s="12" t="n">
        <v>610</v>
      </c>
      <c r="E150" s="12" t="n">
        <f aca="false">IFERROR(INDEX('Catalog'!$A:$A,MATCH($A150,'Catalog'!$B:$B,0)),IFERROR(INDEX('Catalog'!$A:$A,MATCH(TRIM(SUBSTITUTE($A150,CHAR(160)," ")),'Catalog'!$C:$C,0)),""))</f>
        <v>4413113</v>
      </c>
      <c r="F150" s="12" t="str">
        <f aca="false">IF($E150="","Unmatched","Matched")</f>
        <v>Matched</v>
      </c>
    </row>
    <row r="151" customFormat="false" ht="15" hidden="false" customHeight="true" outlineLevel="0" collapsed="false">
      <c r="A151" s="12" t="s">
        <v>799</v>
      </c>
      <c r="B151" s="12" t="n">
        <v>2025</v>
      </c>
      <c r="C151" s="12" t="n">
        <v>17</v>
      </c>
      <c r="D151" s="12" t="n">
        <v>518.5</v>
      </c>
      <c r="E151" s="12" t="n">
        <f aca="false">IFERROR(INDEX('Catalog'!$A:$A,MATCH($A151,'Catalog'!$B:$B,0)),IFERROR(INDEX('Catalog'!$A:$A,MATCH(TRIM(SUBSTITUTE($A151,CHAR(160)," ")),'Catalog'!$C:$C,0)),""))</f>
        <v>4413114</v>
      </c>
      <c r="F151" s="12" t="str">
        <f aca="false">IF($E151="","Unmatched","Matched")</f>
        <v>Matched</v>
      </c>
    </row>
    <row r="152" customFormat="false" ht="15" hidden="false" customHeight="true" outlineLevel="0" collapsed="false">
      <c r="A152" s="12" t="s">
        <v>376</v>
      </c>
      <c r="B152" s="12" t="n">
        <v>2025</v>
      </c>
      <c r="C152" s="12" t="n">
        <v>17</v>
      </c>
      <c r="D152" s="12" t="n">
        <v>2399.6</v>
      </c>
      <c r="E152" s="12" t="n">
        <f aca="false">IFERROR(INDEX('Catalog'!$A:$A,MATCH($A152,'Catalog'!$B:$B,0)),IFERROR(INDEX('Catalog'!$A:$A,MATCH(TRIM(SUBSTITUTE($A152,CHAR(160)," ")),'Catalog'!$C:$C,0)),""))</f>
        <v>4413126</v>
      </c>
      <c r="F152" s="12" t="str">
        <f aca="false">IF($E152="","Unmatched","Matched")</f>
        <v>Matched</v>
      </c>
    </row>
    <row r="153" customFormat="false" ht="15" hidden="false" customHeight="true" outlineLevel="0" collapsed="false">
      <c r="A153" s="12" t="s">
        <v>374</v>
      </c>
      <c r="B153" s="12" t="n">
        <v>2025</v>
      </c>
      <c r="C153" s="12" t="n">
        <v>33</v>
      </c>
      <c r="D153" s="12" t="n">
        <v>4658</v>
      </c>
      <c r="E153" s="12" t="n">
        <f aca="false">IFERROR(INDEX('Catalog'!$A:$A,MATCH($A153,'Catalog'!$B:$B,0)),IFERROR(INDEX('Catalog'!$A:$A,MATCH(TRIM(SUBSTITUTE($A153,CHAR(160)," ")),'Catalog'!$C:$C,0)),""))</f>
        <v>4413127</v>
      </c>
      <c r="F153" s="12" t="str">
        <f aca="false">IF($E153="","Unmatched","Matched")</f>
        <v>Matched</v>
      </c>
    </row>
    <row r="154" customFormat="false" ht="15" hidden="false" customHeight="true" outlineLevel="0" collapsed="false">
      <c r="A154" s="12" t="s">
        <v>375</v>
      </c>
      <c r="B154" s="12" t="n">
        <v>2025</v>
      </c>
      <c r="C154" s="12" t="n">
        <v>32</v>
      </c>
      <c r="D154" s="12" t="n">
        <v>4516.8</v>
      </c>
      <c r="E154" s="12" t="n">
        <f aca="false">IFERROR(INDEX('Catalog'!$A:$A,MATCH($A154,'Catalog'!$B:$B,0)),IFERROR(INDEX('Catalog'!$A:$A,MATCH(TRIM(SUBSTITUTE($A154,CHAR(160)," ")),'Catalog'!$C:$C,0)),""))</f>
        <v>4413128</v>
      </c>
      <c r="F154" s="12" t="str">
        <f aca="false">IF($E154="","Unmatched","Matched")</f>
        <v>Matched</v>
      </c>
    </row>
    <row r="155" customFormat="false" ht="15" hidden="false" customHeight="true" outlineLevel="0" collapsed="false">
      <c r="A155" s="12" t="s">
        <v>377</v>
      </c>
      <c r="B155" s="12" t="n">
        <v>2025</v>
      </c>
      <c r="C155" s="12" t="n">
        <v>22</v>
      </c>
      <c r="D155" s="12" t="n">
        <v>3105.3</v>
      </c>
      <c r="E155" s="12" t="n">
        <f aca="false">IFERROR(INDEX('Catalog'!$A:$A,MATCH($A155,'Catalog'!$B:$B,0)),IFERROR(INDEX('Catalog'!$A:$A,MATCH(TRIM(SUBSTITUTE($A155,CHAR(160)," ")),'Catalog'!$C:$C,0)),""))</f>
        <v>4413129</v>
      </c>
      <c r="F155" s="12" t="str">
        <f aca="false">IF($E155="","Unmatched","Matched")</f>
        <v>Matched</v>
      </c>
    </row>
    <row r="156" customFormat="false" ht="15" hidden="false" customHeight="true" outlineLevel="0" collapsed="false">
      <c r="A156" s="12" t="s">
        <v>373</v>
      </c>
      <c r="B156" s="12" t="n">
        <v>2025</v>
      </c>
      <c r="C156" s="12" t="n">
        <v>8</v>
      </c>
      <c r="D156" s="12" t="n">
        <v>887.3</v>
      </c>
      <c r="E156" s="12" t="n">
        <f aca="false">IFERROR(INDEX('Catalog'!$A:$A,MATCH($A156,'Catalog'!$B:$B,0)),IFERROR(INDEX('Catalog'!$A:$A,MATCH(TRIM(SUBSTITUTE($A156,CHAR(160)," ")),'Catalog'!$C:$C,0)),""))</f>
        <v>4413130</v>
      </c>
      <c r="F156" s="12" t="str">
        <f aca="false">IF($E156="","Unmatched","Matched")</f>
        <v>Matched</v>
      </c>
    </row>
    <row r="157" customFormat="false" ht="15" hidden="false" customHeight="true" outlineLevel="0" collapsed="false">
      <c r="A157" s="12" t="s">
        <v>378</v>
      </c>
      <c r="B157" s="12" t="n">
        <v>2025</v>
      </c>
      <c r="C157" s="12" t="n">
        <v>3</v>
      </c>
      <c r="D157" s="12" t="n">
        <v>461.8</v>
      </c>
      <c r="E157" s="12" t="n">
        <f aca="false">IFERROR(INDEX('Catalog'!$A:$A,MATCH($A157,'Catalog'!$B:$B,0)),IFERROR(INDEX('Catalog'!$A:$A,MATCH(TRIM(SUBSTITUTE($A157,CHAR(160)," ")),'Catalog'!$C:$C,0)),""))</f>
        <v>4413132</v>
      </c>
      <c r="F157" s="12" t="str">
        <f aca="false">IF($E157="","Unmatched","Matched")</f>
        <v>Matched</v>
      </c>
    </row>
    <row r="158" customFormat="false" ht="15" hidden="false" customHeight="true" outlineLevel="0" collapsed="false">
      <c r="A158" s="12" t="s">
        <v>379</v>
      </c>
      <c r="B158" s="12" t="n">
        <v>2025</v>
      </c>
      <c r="C158" s="12" t="n">
        <v>5</v>
      </c>
      <c r="D158" s="12" t="n">
        <v>882.2</v>
      </c>
      <c r="E158" s="12" t="n">
        <f aca="false">IFERROR(INDEX('Catalog'!$A:$A,MATCH($A158,'Catalog'!$B:$B,0)),IFERROR(INDEX('Catalog'!$A:$A,MATCH(TRIM(SUBSTITUTE($A158,CHAR(160)," ")),'Catalog'!$C:$C,0)),""))</f>
        <v>4413133</v>
      </c>
      <c r="F158" s="12" t="str">
        <f aca="false">IF($E158="","Unmatched","Matched")</f>
        <v>Matched</v>
      </c>
    </row>
    <row r="159" customFormat="false" ht="15" hidden="false" customHeight="true" outlineLevel="0" collapsed="false">
      <c r="A159" s="12" t="s">
        <v>519</v>
      </c>
      <c r="B159" s="12" t="n">
        <v>2025</v>
      </c>
      <c r="C159" s="12" t="n">
        <v>319</v>
      </c>
      <c r="D159" s="12" t="n">
        <v>16783.9</v>
      </c>
      <c r="E159" s="12" t="n">
        <f aca="false">IFERROR(INDEX('Catalog'!$A:$A,MATCH($A159,'Catalog'!$B:$B,0)),IFERROR(INDEX('Catalog'!$A:$A,MATCH(TRIM(SUBSTITUTE($A159,CHAR(160)," ")),'Catalog'!$C:$C,0)),""))</f>
        <v>4413135</v>
      </c>
      <c r="F159" s="12" t="str">
        <f aca="false">IF($E159="","Unmatched","Matched")</f>
        <v>Matched</v>
      </c>
    </row>
    <row r="160" customFormat="false" ht="15" hidden="false" customHeight="true" outlineLevel="0" collapsed="false">
      <c r="A160" s="12" t="s">
        <v>520</v>
      </c>
      <c r="B160" s="12" t="n">
        <v>2025</v>
      </c>
      <c r="C160" s="12" t="n">
        <v>193</v>
      </c>
      <c r="D160" s="12" t="n">
        <v>10096.7</v>
      </c>
      <c r="E160" s="12" t="n">
        <f aca="false">IFERROR(INDEX('Catalog'!$A:$A,MATCH($A160,'Catalog'!$B:$B,0)),IFERROR(INDEX('Catalog'!$A:$A,MATCH(TRIM(SUBSTITUTE($A160,CHAR(160)," ")),'Catalog'!$C:$C,0)),""))</f>
        <v>4413136</v>
      </c>
      <c r="F160" s="12" t="str">
        <f aca="false">IF($E160="","Unmatched","Matched")</f>
        <v>Matched</v>
      </c>
    </row>
    <row r="161" customFormat="false" ht="15" hidden="false" customHeight="true" outlineLevel="0" collapsed="false">
      <c r="A161" s="12" t="s">
        <v>521</v>
      </c>
      <c r="B161" s="12" t="n">
        <v>2025</v>
      </c>
      <c r="C161" s="12" t="n">
        <v>119</v>
      </c>
      <c r="D161" s="12" t="n">
        <v>6241.5</v>
      </c>
      <c r="E161" s="12" t="n">
        <f aca="false">IFERROR(INDEX('Catalog'!$A:$A,MATCH($A161,'Catalog'!$B:$B,0)),IFERROR(INDEX('Catalog'!$A:$A,MATCH(TRIM(SUBSTITUTE($A161,CHAR(160)," ")),'Catalog'!$C:$C,0)),""))</f>
        <v>4413137</v>
      </c>
      <c r="F161" s="12" t="str">
        <f aca="false">IF($E161="","Unmatched","Matched")</f>
        <v>Matched</v>
      </c>
    </row>
    <row r="162" customFormat="false" ht="15" hidden="false" customHeight="true" outlineLevel="0" collapsed="false">
      <c r="A162" s="12" t="s">
        <v>522</v>
      </c>
      <c r="B162" s="12" t="n">
        <v>2025</v>
      </c>
      <c r="C162" s="12" t="n">
        <v>158</v>
      </c>
      <c r="D162" s="12" t="n">
        <v>8287.1</v>
      </c>
      <c r="E162" s="12" t="n">
        <f aca="false">IFERROR(INDEX('Catalog'!$A:$A,MATCH($A162,'Catalog'!$B:$B,0)),IFERROR(INDEX('Catalog'!$A:$A,MATCH(TRIM(SUBSTITUTE($A162,CHAR(160)," ")),'Catalog'!$C:$C,0)),""))</f>
        <v>4413138</v>
      </c>
      <c r="F162" s="12" t="str">
        <f aca="false">IF($E162="","Unmatched","Matched")</f>
        <v>Matched</v>
      </c>
    </row>
    <row r="163" customFormat="false" ht="15" hidden="false" customHeight="true" outlineLevel="0" collapsed="false">
      <c r="A163" s="12" t="s">
        <v>479</v>
      </c>
      <c r="B163" s="12" t="n">
        <v>2025</v>
      </c>
      <c r="C163" s="12" t="n">
        <v>83</v>
      </c>
      <c r="D163" s="12" t="n">
        <v>2316</v>
      </c>
      <c r="E163" s="12" t="n">
        <f aca="false">IFERROR(INDEX('Catalog'!$A:$A,MATCH($A163,'Catalog'!$B:$B,0)),IFERROR(INDEX('Catalog'!$A:$A,MATCH(TRIM(SUBSTITUTE($A163,CHAR(160)," ")),'Catalog'!$C:$C,0)),""))</f>
        <v>4413139</v>
      </c>
      <c r="F163" s="12" t="str">
        <f aca="false">IF($E163="","Unmatched","Matched")</f>
        <v>Matched</v>
      </c>
    </row>
    <row r="164" customFormat="false" ht="15" hidden="false" customHeight="true" outlineLevel="0" collapsed="false">
      <c r="A164" s="12" t="s">
        <v>480</v>
      </c>
      <c r="B164" s="12" t="n">
        <v>2025</v>
      </c>
      <c r="C164" s="12" t="n">
        <v>145</v>
      </c>
      <c r="D164" s="12" t="n">
        <v>4031.2</v>
      </c>
      <c r="E164" s="12" t="n">
        <f aca="false">IFERROR(INDEX('Catalog'!$A:$A,MATCH($A164,'Catalog'!$B:$B,0)),IFERROR(INDEX('Catalog'!$A:$A,MATCH(TRIM(SUBSTITUTE($A164,CHAR(160)," ")),'Catalog'!$C:$C,0)),""))</f>
        <v>4413140</v>
      </c>
      <c r="F164" s="12" t="str">
        <f aca="false">IF($E164="","Unmatched","Matched")</f>
        <v>Matched</v>
      </c>
    </row>
    <row r="165" customFormat="false" ht="15" hidden="false" customHeight="true" outlineLevel="0" collapsed="false">
      <c r="A165" s="12" t="s">
        <v>481</v>
      </c>
      <c r="B165" s="12" t="n">
        <v>2025</v>
      </c>
      <c r="C165" s="12" t="n">
        <v>72</v>
      </c>
      <c r="D165" s="12" t="n">
        <v>1998.7</v>
      </c>
      <c r="E165" s="12" t="n">
        <f aca="false">IFERROR(INDEX('Catalog'!$A:$A,MATCH($A165,'Catalog'!$B:$B,0)),IFERROR(INDEX('Catalog'!$A:$A,MATCH(TRIM(SUBSTITUTE($A165,CHAR(160)," ")),'Catalog'!$C:$C,0)),""))</f>
        <v>4413141</v>
      </c>
      <c r="F165" s="12" t="str">
        <f aca="false">IF($E165="","Unmatched","Matched")</f>
        <v>Matched</v>
      </c>
    </row>
    <row r="166" customFormat="false" ht="15" hidden="false" customHeight="true" outlineLevel="0" collapsed="false">
      <c r="A166" s="12" t="s">
        <v>482</v>
      </c>
      <c r="B166" s="12" t="n">
        <v>2025</v>
      </c>
      <c r="C166" s="12" t="n">
        <v>34</v>
      </c>
      <c r="D166" s="12" t="n">
        <v>945.8</v>
      </c>
      <c r="E166" s="12" t="n">
        <f aca="false">IFERROR(INDEX('Catalog'!$A:$A,MATCH($A166,'Catalog'!$B:$B,0)),IFERROR(INDEX('Catalog'!$A:$A,MATCH(TRIM(SUBSTITUTE($A166,CHAR(160)," ")),'Catalog'!$C:$C,0)),""))</f>
        <v>4413142</v>
      </c>
      <c r="F166" s="12" t="str">
        <f aca="false">IF($E166="","Unmatched","Matched")</f>
        <v>Matched</v>
      </c>
    </row>
    <row r="167" customFormat="false" ht="15" hidden="false" customHeight="true" outlineLevel="0" collapsed="false">
      <c r="A167" s="12" t="s">
        <v>365</v>
      </c>
      <c r="B167" s="12" t="n">
        <v>2025</v>
      </c>
      <c r="C167" s="12" t="n">
        <v>201</v>
      </c>
      <c r="D167" s="12" t="n">
        <v>2183.4</v>
      </c>
      <c r="E167" s="12" t="n">
        <f aca="false">IFERROR(INDEX('Catalog'!$A:$A,MATCH($A167,'Catalog'!$B:$B,0)),IFERROR(INDEX('Catalog'!$A:$A,MATCH(TRIM(SUBSTITUTE($A167,CHAR(160)," ")),'Catalog'!$C:$C,0)),""))</f>
        <v>4413149</v>
      </c>
      <c r="F167" s="12" t="str">
        <f aca="false">IF($E167="","Unmatched","Matched")</f>
        <v>Matched</v>
      </c>
    </row>
    <row r="168" customFormat="false" ht="15" hidden="false" customHeight="true" outlineLevel="0" collapsed="false">
      <c r="A168" s="12" t="s">
        <v>574</v>
      </c>
      <c r="B168" s="12" t="n">
        <v>2025</v>
      </c>
      <c r="C168" s="12" t="n">
        <v>111</v>
      </c>
      <c r="D168" s="12" t="n">
        <v>2961.7</v>
      </c>
      <c r="E168" s="12" t="n">
        <f aca="false">IFERROR(INDEX('Catalog'!$A:$A,MATCH($A168,'Catalog'!$B:$B,0)),IFERROR(INDEX('Catalog'!$A:$A,MATCH(TRIM(SUBSTITUTE($A168,CHAR(160)," ")),'Catalog'!$C:$C,0)),""))</f>
        <v>4413150</v>
      </c>
      <c r="F168" s="12" t="str">
        <f aca="false">IF($E168="","Unmatched","Matched")</f>
        <v>Matched</v>
      </c>
    </row>
    <row r="169" customFormat="false" ht="15" hidden="false" customHeight="true" outlineLevel="0" collapsed="false">
      <c r="A169" s="12" t="s">
        <v>423</v>
      </c>
      <c r="B169" s="12" t="n">
        <v>2025</v>
      </c>
      <c r="C169" s="12" t="n">
        <v>3</v>
      </c>
      <c r="D169" s="12" t="n">
        <v>209.8</v>
      </c>
      <c r="E169" s="12" t="n">
        <f aca="false">IFERROR(INDEX('Catalog'!$A:$A,MATCH($A169,'Catalog'!$B:$B,0)),IFERROR(INDEX('Catalog'!$A:$A,MATCH(TRIM(SUBSTITUTE($A169,CHAR(160)," ")),'Catalog'!$C:$C,0)),""))</f>
        <v>4413153</v>
      </c>
      <c r="F169" s="12" t="str">
        <f aca="false">IF($E169="","Unmatched","Matched")</f>
        <v>Matched</v>
      </c>
    </row>
    <row r="170" customFormat="false" ht="15" hidden="false" customHeight="true" outlineLevel="0" collapsed="false">
      <c r="A170" s="12" t="s">
        <v>424</v>
      </c>
      <c r="B170" s="12" t="n">
        <v>2025</v>
      </c>
      <c r="C170" s="12" t="n">
        <v>5</v>
      </c>
      <c r="D170" s="12" t="n">
        <v>294.7</v>
      </c>
      <c r="E170" s="12" t="n">
        <f aca="false">IFERROR(INDEX('Catalog'!$A:$A,MATCH($A170,'Catalog'!$B:$B,0)),IFERROR(INDEX('Catalog'!$A:$A,MATCH(TRIM(SUBSTITUTE($A170,CHAR(160)," ")),'Catalog'!$C:$C,0)),""))</f>
        <v>4413154</v>
      </c>
      <c r="F170" s="12" t="str">
        <f aca="false">IF($E170="","Unmatched","Matched")</f>
        <v>Matched</v>
      </c>
    </row>
    <row r="171" customFormat="false" ht="15" hidden="false" customHeight="true" outlineLevel="0" collapsed="false">
      <c r="A171" s="12" t="s">
        <v>425</v>
      </c>
      <c r="B171" s="12" t="n">
        <v>2025</v>
      </c>
      <c r="C171" s="12" t="n">
        <v>13</v>
      </c>
      <c r="D171" s="12" t="n">
        <v>909.3</v>
      </c>
      <c r="E171" s="12" t="n">
        <f aca="false">IFERROR(INDEX('Catalog'!$A:$A,MATCH($A171,'Catalog'!$B:$B,0)),IFERROR(INDEX('Catalog'!$A:$A,MATCH(TRIM(SUBSTITUTE($A171,CHAR(160)," ")),'Catalog'!$C:$C,0)),""))</f>
        <v>4413155</v>
      </c>
      <c r="F171" s="12" t="str">
        <f aca="false">IF($E171="","Unmatched","Matched")</f>
        <v>Matched</v>
      </c>
    </row>
    <row r="172" customFormat="false" ht="15" hidden="false" customHeight="true" outlineLevel="0" collapsed="false">
      <c r="A172" s="12" t="s">
        <v>426</v>
      </c>
      <c r="B172" s="12" t="n">
        <v>2025</v>
      </c>
      <c r="C172" s="12" t="n">
        <v>26</v>
      </c>
      <c r="D172" s="12" t="n">
        <v>1818.7</v>
      </c>
      <c r="E172" s="12" t="n">
        <f aca="false">IFERROR(INDEX('Catalog'!$A:$A,MATCH($A172,'Catalog'!$B:$B,0)),IFERROR(INDEX('Catalog'!$A:$A,MATCH(TRIM(SUBSTITUTE($A172,CHAR(160)," ")),'Catalog'!$C:$C,0)),""))</f>
        <v>4413156</v>
      </c>
      <c r="F172" s="12" t="str">
        <f aca="false">IF($E172="","Unmatched","Matched")</f>
        <v>Matched</v>
      </c>
    </row>
    <row r="173" customFormat="false" ht="15" hidden="false" customHeight="true" outlineLevel="0" collapsed="false">
      <c r="A173" s="12" t="s">
        <v>427</v>
      </c>
      <c r="B173" s="12" t="n">
        <v>2025</v>
      </c>
      <c r="C173" s="12" t="n">
        <v>21</v>
      </c>
      <c r="D173" s="12" t="n">
        <v>1469</v>
      </c>
      <c r="E173" s="12" t="n">
        <f aca="false">IFERROR(INDEX('Catalog'!$A:$A,MATCH($A173,'Catalog'!$B:$B,0)),IFERROR(INDEX('Catalog'!$A:$A,MATCH(TRIM(SUBSTITUTE($A173,CHAR(160)," ")),'Catalog'!$C:$C,0)),""))</f>
        <v>4413157</v>
      </c>
      <c r="F173" s="12" t="str">
        <f aca="false">IF($E173="","Unmatched","Matched")</f>
        <v>Matched</v>
      </c>
    </row>
    <row r="174" customFormat="false" ht="15" hidden="false" customHeight="true" outlineLevel="0" collapsed="false">
      <c r="A174" s="12" t="s">
        <v>428</v>
      </c>
      <c r="B174" s="12" t="n">
        <v>2025</v>
      </c>
      <c r="C174" s="12" t="n">
        <v>15</v>
      </c>
      <c r="D174" s="12" t="n">
        <v>1049.2</v>
      </c>
      <c r="E174" s="12" t="n">
        <f aca="false">IFERROR(INDEX('Catalog'!$A:$A,MATCH($A174,'Catalog'!$B:$B,0)),IFERROR(INDEX('Catalog'!$A:$A,MATCH(TRIM(SUBSTITUTE($A174,CHAR(160)," ")),'Catalog'!$C:$C,0)),""))</f>
        <v>4413158</v>
      </c>
      <c r="F174" s="12" t="str">
        <f aca="false">IF($E174="","Unmatched","Matched")</f>
        <v>Matched</v>
      </c>
    </row>
    <row r="175" customFormat="false" ht="15" hidden="false" customHeight="true" outlineLevel="0" collapsed="false">
      <c r="A175" s="12" t="s">
        <v>738</v>
      </c>
      <c r="B175" s="12" t="n">
        <v>2025</v>
      </c>
      <c r="C175" s="12" t="n">
        <v>151</v>
      </c>
      <c r="D175" s="12" t="n">
        <v>8653.8</v>
      </c>
      <c r="E175" s="12" t="n">
        <f aca="false">IFERROR(INDEX('Catalog'!$A:$A,MATCH($A175,'Catalog'!$B:$B,0)),IFERROR(INDEX('Catalog'!$A:$A,MATCH(TRIM(SUBSTITUTE($A175,CHAR(160)," ")),'Catalog'!$C:$C,0)),""))</f>
        <v>4413160</v>
      </c>
      <c r="F175" s="12" t="str">
        <f aca="false">IF($E175="","Unmatched","Matched")</f>
        <v>Matched</v>
      </c>
    </row>
    <row r="176" customFormat="false" ht="15" hidden="false" customHeight="true" outlineLevel="0" collapsed="false">
      <c r="A176" s="12" t="s">
        <v>737</v>
      </c>
      <c r="B176" s="12" t="n">
        <v>2025</v>
      </c>
      <c r="C176" s="12" t="n">
        <v>152</v>
      </c>
      <c r="D176" s="12" t="n">
        <v>8711.1</v>
      </c>
      <c r="E176" s="12" t="n">
        <f aca="false">IFERROR(INDEX('Catalog'!$A:$A,MATCH($A176,'Catalog'!$B:$B,0)),IFERROR(INDEX('Catalog'!$A:$A,MATCH(TRIM(SUBSTITUTE($A176,CHAR(160)," ")),'Catalog'!$C:$C,0)),""))</f>
        <v>4413161</v>
      </c>
      <c r="F176" s="12" t="str">
        <f aca="false">IF($E176="","Unmatched","Matched")</f>
        <v>Matched</v>
      </c>
    </row>
    <row r="177" customFormat="false" ht="15" hidden="false" customHeight="true" outlineLevel="0" collapsed="false">
      <c r="A177" s="12" t="s">
        <v>740</v>
      </c>
      <c r="B177" s="12" t="n">
        <v>2025</v>
      </c>
      <c r="C177" s="12" t="n">
        <v>116</v>
      </c>
      <c r="D177" s="12" t="n">
        <v>6647.9</v>
      </c>
      <c r="E177" s="12" t="n">
        <f aca="false">IFERROR(INDEX('Catalog'!$A:$A,MATCH($A177,'Catalog'!$B:$B,0)),IFERROR(INDEX('Catalog'!$A:$A,MATCH(TRIM(SUBSTITUTE($A177,CHAR(160)," ")),'Catalog'!$C:$C,0)),""))</f>
        <v>4413162</v>
      </c>
      <c r="F177" s="12" t="str">
        <f aca="false">IF($E177="","Unmatched","Matched")</f>
        <v>Matched</v>
      </c>
    </row>
    <row r="178" customFormat="false" ht="15" hidden="false" customHeight="true" outlineLevel="0" collapsed="false">
      <c r="A178" s="12" t="s">
        <v>166</v>
      </c>
      <c r="B178" s="12" t="n">
        <v>2025</v>
      </c>
      <c r="C178" s="12" t="n">
        <v>3</v>
      </c>
      <c r="D178" s="12" t="n">
        <v>264.6</v>
      </c>
      <c r="E178" s="12" t="n">
        <f aca="false">IFERROR(INDEX('Catalog'!$A:$A,MATCH($A178,'Catalog'!$B:$B,0)),IFERROR(INDEX('Catalog'!$A:$A,MATCH(TRIM(SUBSTITUTE($A178,CHAR(160)," ")),'Catalog'!$C:$C,0)),""))</f>
        <v>4413170</v>
      </c>
      <c r="F178" s="12" t="str">
        <f aca="false">IF($E178="","Unmatched","Matched")</f>
        <v>Matched</v>
      </c>
    </row>
    <row r="179" customFormat="false" ht="15" hidden="false" customHeight="true" outlineLevel="0" collapsed="false">
      <c r="A179" s="12" t="s">
        <v>165</v>
      </c>
      <c r="B179" s="12" t="n">
        <v>2025</v>
      </c>
      <c r="C179" s="12" t="n">
        <v>-1</v>
      </c>
      <c r="D179" s="12" t="n">
        <v>-88.2</v>
      </c>
      <c r="E179" s="12" t="n">
        <f aca="false">IFERROR(INDEX('Catalog'!$A:$A,MATCH($A179,'Catalog'!$B:$B,0)),IFERROR(INDEX('Catalog'!$A:$A,MATCH(TRIM(SUBSTITUTE($A179,CHAR(160)," ")),'Catalog'!$C:$C,0)),""))</f>
        <v>4413171</v>
      </c>
      <c r="F179" s="12" t="str">
        <f aca="false">IF($E179="","Unmatched","Matched")</f>
        <v>Matched</v>
      </c>
    </row>
    <row r="180" customFormat="false" ht="15" hidden="false" customHeight="true" outlineLevel="0" collapsed="false">
      <c r="A180" s="12" t="s">
        <v>805</v>
      </c>
      <c r="B180" s="12" t="n">
        <v>2025</v>
      </c>
      <c r="C180" s="12" t="n">
        <v>-2</v>
      </c>
      <c r="D180" s="12" t="n">
        <v>-194.1</v>
      </c>
      <c r="E180" s="12" t="n">
        <f aca="false">IFERROR(INDEX('Catalog'!$A:$A,MATCH($A180,'Catalog'!$B:$B,0)),IFERROR(INDEX('Catalog'!$A:$A,MATCH(TRIM(SUBSTITUTE($A180,CHAR(160)," ")),'Catalog'!$C:$C,0)),""))</f>
        <v>4413178</v>
      </c>
      <c r="F180" s="12" t="str">
        <f aca="false">IF($E180="","Unmatched","Matched")</f>
        <v>Matched</v>
      </c>
    </row>
    <row r="181" customFormat="false" ht="15" hidden="false" customHeight="true" outlineLevel="0" collapsed="false">
      <c r="A181" s="12" t="s">
        <v>804</v>
      </c>
      <c r="B181" s="12" t="n">
        <v>2025</v>
      </c>
      <c r="C181" s="12" t="n">
        <v>2</v>
      </c>
      <c r="D181" s="12" t="n">
        <v>194.1</v>
      </c>
      <c r="E181" s="12" t="n">
        <f aca="false">IFERROR(INDEX('Catalog'!$A:$A,MATCH($A181,'Catalog'!$B:$B,0)),IFERROR(INDEX('Catalog'!$A:$A,MATCH(TRIM(SUBSTITUTE($A181,CHAR(160)," ")),'Catalog'!$C:$C,0)),""))</f>
        <v>4413180</v>
      </c>
      <c r="F181" s="12" t="str">
        <f aca="false">IF($E181="","Unmatched","Matched")</f>
        <v>Matched</v>
      </c>
    </row>
    <row r="182" customFormat="false" ht="15" hidden="false" customHeight="true" outlineLevel="0" collapsed="false">
      <c r="A182" s="12" t="s">
        <v>162</v>
      </c>
      <c r="B182" s="12" t="n">
        <v>2025</v>
      </c>
      <c r="C182" s="12" t="n">
        <v>9</v>
      </c>
      <c r="D182" s="12" t="n">
        <v>873.3</v>
      </c>
      <c r="E182" s="12" t="n">
        <f aca="false">IFERROR(INDEX('Catalog'!$A:$A,MATCH($A182,'Catalog'!$B:$B,0)),IFERROR(INDEX('Catalog'!$A:$A,MATCH(TRIM(SUBSTITUTE($A182,CHAR(160)," ")),'Catalog'!$C:$C,0)),""))</f>
        <v>4413183</v>
      </c>
      <c r="F182" s="12" t="str">
        <f aca="false">IF($E182="","Unmatched","Matched")</f>
        <v>Matched</v>
      </c>
    </row>
    <row r="183" customFormat="false" ht="15" hidden="false" customHeight="true" outlineLevel="0" collapsed="false">
      <c r="A183" s="12" t="s">
        <v>161</v>
      </c>
      <c r="B183" s="12" t="n">
        <v>2025</v>
      </c>
      <c r="C183" s="12" t="n">
        <v>14</v>
      </c>
      <c r="D183" s="12" t="n">
        <v>1358.5</v>
      </c>
      <c r="E183" s="12" t="n">
        <f aca="false">IFERROR(INDEX('Catalog'!$A:$A,MATCH($A183,'Catalog'!$B:$B,0)),IFERROR(INDEX('Catalog'!$A:$A,MATCH(TRIM(SUBSTITUTE($A183,CHAR(160)," ")),'Catalog'!$C:$C,0)),""))</f>
        <v>4413184</v>
      </c>
      <c r="F183" s="12" t="str">
        <f aca="false">IF($E183="","Unmatched","Matched")</f>
        <v>Matched</v>
      </c>
    </row>
    <row r="184" customFormat="false" ht="15" hidden="false" customHeight="true" outlineLevel="0" collapsed="false">
      <c r="A184" s="12" t="s">
        <v>163</v>
      </c>
      <c r="B184" s="12" t="n">
        <v>2025</v>
      </c>
      <c r="C184" s="12" t="n">
        <v>19</v>
      </c>
      <c r="D184" s="12" t="n">
        <v>1843.5</v>
      </c>
      <c r="E184" s="12" t="n">
        <f aca="false">IFERROR(INDEX('Catalog'!$A:$A,MATCH($A184,'Catalog'!$B:$B,0)),IFERROR(INDEX('Catalog'!$A:$A,MATCH(TRIM(SUBSTITUTE($A184,CHAR(160)," ")),'Catalog'!$C:$C,0)),""))</f>
        <v>4413185</v>
      </c>
      <c r="F184" s="12" t="str">
        <f aca="false">IF($E184="","Unmatched","Matched")</f>
        <v>Matched</v>
      </c>
    </row>
    <row r="185" customFormat="false" ht="15" hidden="false" customHeight="true" outlineLevel="0" collapsed="false">
      <c r="A185" s="12" t="s">
        <v>393</v>
      </c>
      <c r="B185" s="12" t="n">
        <v>2025</v>
      </c>
      <c r="C185" s="12" t="n">
        <v>2</v>
      </c>
      <c r="D185" s="12" t="n">
        <v>352.9</v>
      </c>
      <c r="E185" s="12" t="n">
        <f aca="false">IFERROR(INDEX('Catalog'!$A:$A,MATCH($A185,'Catalog'!$B:$B,0)),IFERROR(INDEX('Catalog'!$A:$A,MATCH(TRIM(SUBSTITUTE($A185,CHAR(160)," ")),'Catalog'!$C:$C,0)),""))</f>
        <v>4413195</v>
      </c>
      <c r="F185" s="12" t="str">
        <f aca="false">IF($E185="","Unmatched","Matched")</f>
        <v>Matched</v>
      </c>
    </row>
    <row r="186" customFormat="false" ht="15" hidden="false" customHeight="true" outlineLevel="0" collapsed="false">
      <c r="A186" s="12" t="s">
        <v>392</v>
      </c>
      <c r="B186" s="12" t="n">
        <v>2025</v>
      </c>
      <c r="C186" s="12" t="n">
        <v>6</v>
      </c>
      <c r="D186" s="12" t="n">
        <v>1058.7</v>
      </c>
      <c r="E186" s="12" t="n">
        <f aca="false">IFERROR(INDEX('Catalog'!$A:$A,MATCH($A186,'Catalog'!$B:$B,0)),IFERROR(INDEX('Catalog'!$A:$A,MATCH(TRIM(SUBSTITUTE($A186,CHAR(160)," ")),'Catalog'!$C:$C,0)),""))</f>
        <v>4413196</v>
      </c>
      <c r="F186" s="12" t="str">
        <f aca="false">IF($E186="","Unmatched","Matched")</f>
        <v>Matched</v>
      </c>
    </row>
    <row r="187" customFormat="false" ht="15" hidden="false" customHeight="true" outlineLevel="0" collapsed="false">
      <c r="A187" s="12" t="s">
        <v>391</v>
      </c>
      <c r="B187" s="12" t="n">
        <v>2025</v>
      </c>
      <c r="C187" s="12" t="n">
        <v>13</v>
      </c>
      <c r="D187" s="12" t="n">
        <v>2293.8</v>
      </c>
      <c r="E187" s="12" t="n">
        <f aca="false">IFERROR(INDEX('Catalog'!$A:$A,MATCH($A187,'Catalog'!$B:$B,0)),IFERROR(INDEX('Catalog'!$A:$A,MATCH(TRIM(SUBSTITUTE($A187,CHAR(160)," ")),'Catalog'!$C:$C,0)),""))</f>
        <v>4413197</v>
      </c>
      <c r="F187" s="12" t="str">
        <f aca="false">IF($E187="","Unmatched","Matched")</f>
        <v>Matched</v>
      </c>
    </row>
    <row r="188" customFormat="false" ht="15" hidden="false" customHeight="true" outlineLevel="0" collapsed="false">
      <c r="A188" s="12" t="s">
        <v>394</v>
      </c>
      <c r="B188" s="12" t="n">
        <v>2025</v>
      </c>
      <c r="C188" s="12" t="n">
        <v>8</v>
      </c>
      <c r="D188" s="12" t="n">
        <v>1411.5</v>
      </c>
      <c r="E188" s="12" t="n">
        <f aca="false">IFERROR(INDEX('Catalog'!$A:$A,MATCH($A188,'Catalog'!$B:$B,0)),IFERROR(INDEX('Catalog'!$A:$A,MATCH(TRIM(SUBSTITUTE($A188,CHAR(160)," ")),'Catalog'!$C:$C,0)),""))</f>
        <v>4413198</v>
      </c>
      <c r="F188" s="12" t="str">
        <f aca="false">IF($E188="","Unmatched","Matched")</f>
        <v>Matched</v>
      </c>
    </row>
    <row r="189" customFormat="false" ht="15" hidden="false" customHeight="true" outlineLevel="0" collapsed="false">
      <c r="A189" s="12" t="s">
        <v>395</v>
      </c>
      <c r="B189" s="12" t="n">
        <v>2025</v>
      </c>
      <c r="C189" s="12" t="n">
        <v>4</v>
      </c>
      <c r="D189" s="12" t="n">
        <v>705.8</v>
      </c>
      <c r="E189" s="12" t="n">
        <f aca="false">IFERROR(INDEX('Catalog'!$A:$A,MATCH($A189,'Catalog'!$B:$B,0)),IFERROR(INDEX('Catalog'!$A:$A,MATCH(TRIM(SUBSTITUTE($A189,CHAR(160)," ")),'Catalog'!$C:$C,0)),""))</f>
        <v>4413204</v>
      </c>
      <c r="F189" s="12" t="str">
        <f aca="false">IF($E189="","Unmatched","Matched")</f>
        <v>Matched</v>
      </c>
    </row>
    <row r="190" customFormat="false" ht="15" hidden="false" customHeight="true" outlineLevel="0" collapsed="false">
      <c r="A190" s="12" t="s">
        <v>510</v>
      </c>
      <c r="B190" s="12" t="n">
        <v>2025</v>
      </c>
      <c r="C190" s="12" t="n">
        <v>-1</v>
      </c>
      <c r="D190" s="12" t="n">
        <v>-88.2</v>
      </c>
      <c r="E190" s="12" t="n">
        <f aca="false">IFERROR(INDEX('Catalog'!$A:$A,MATCH($A190,'Catalog'!$B:$B,0)),IFERROR(INDEX('Catalog'!$A:$A,MATCH(TRIM(SUBSTITUTE($A190,CHAR(160)," ")),'Catalog'!$C:$C,0)),""))</f>
        <v>4413210</v>
      </c>
      <c r="F190" s="12" t="str">
        <f aca="false">IF($E190="","Unmatched","Matched")</f>
        <v>Matched</v>
      </c>
    </row>
    <row r="191" customFormat="false" ht="15" hidden="false" customHeight="true" outlineLevel="0" collapsed="false">
      <c r="A191" s="12" t="s">
        <v>508</v>
      </c>
      <c r="B191" s="12" t="n">
        <v>2025</v>
      </c>
      <c r="C191" s="12" t="n">
        <v>-3</v>
      </c>
      <c r="D191" s="12" t="n">
        <v>-302.4</v>
      </c>
      <c r="E191" s="12" t="n">
        <f aca="false">IFERROR(INDEX('Catalog'!$A:$A,MATCH($A191,'Catalog'!$B:$B,0)),IFERROR(INDEX('Catalog'!$A:$A,MATCH(TRIM(SUBSTITUTE($A191,CHAR(160)," ")),'Catalog'!$C:$C,0)),""))</f>
        <v>4413212</v>
      </c>
      <c r="F191" s="12" t="str">
        <f aca="false">IF($E191="","Unmatched","Matched")</f>
        <v>Matched</v>
      </c>
    </row>
    <row r="192" customFormat="false" ht="15" hidden="false" customHeight="true" outlineLevel="0" collapsed="false">
      <c r="A192" s="12" t="s">
        <v>766</v>
      </c>
      <c r="B192" s="12" t="n">
        <v>2025</v>
      </c>
      <c r="C192" s="12" t="n">
        <v>-1</v>
      </c>
      <c r="D192" s="12" t="n">
        <v>-69.8</v>
      </c>
      <c r="E192" s="12" t="n">
        <f aca="false">IFERROR(INDEX('Catalog'!$A:$A,MATCH($A192,'Catalog'!$B:$B,0)),IFERROR(INDEX('Catalog'!$A:$A,MATCH(TRIM(SUBSTITUTE($A192,CHAR(160)," ")),'Catalog'!$C:$C,0)),""))</f>
        <v>4413216</v>
      </c>
      <c r="F192" s="12" t="str">
        <f aca="false">IF($E192="","Unmatched","Matched")</f>
        <v>Matched</v>
      </c>
    </row>
    <row r="193" customFormat="false" ht="15" hidden="false" customHeight="true" outlineLevel="0" collapsed="false">
      <c r="A193" s="12" t="s">
        <v>765</v>
      </c>
      <c r="B193" s="12" t="n">
        <v>2025</v>
      </c>
      <c r="C193" s="12" t="n">
        <v>-4</v>
      </c>
      <c r="D193" s="12" t="n">
        <v>-246.9</v>
      </c>
      <c r="E193" s="12" t="n">
        <f aca="false">IFERROR(INDEX('Catalog'!$A:$A,MATCH($A193,'Catalog'!$B:$B,0)),IFERROR(INDEX('Catalog'!$A:$A,MATCH(TRIM(SUBSTITUTE($A193,CHAR(160)," ")),'Catalog'!$C:$C,0)),""))</f>
        <v>4413217</v>
      </c>
      <c r="F193" s="12" t="str">
        <f aca="false">IF($E193="","Unmatched","Matched")</f>
        <v>Matched</v>
      </c>
    </row>
    <row r="194" customFormat="false" ht="15" hidden="false" customHeight="true" outlineLevel="0" collapsed="false">
      <c r="A194" s="12" t="s">
        <v>768</v>
      </c>
      <c r="B194" s="12" t="n">
        <v>2025</v>
      </c>
      <c r="C194" s="12" t="n">
        <v>-2</v>
      </c>
      <c r="D194" s="12" t="n">
        <v>-131.5</v>
      </c>
      <c r="E194" s="12" t="n">
        <f aca="false">IFERROR(INDEX('Catalog'!$A:$A,MATCH($A194,'Catalog'!$B:$B,0)),IFERROR(INDEX('Catalog'!$A:$A,MATCH(TRIM(SUBSTITUTE($A194,CHAR(160)," ")),'Catalog'!$C:$C,0)),""))</f>
        <v>4413218</v>
      </c>
      <c r="F194" s="12" t="str">
        <f aca="false">IF($E194="","Unmatched","Matched")</f>
        <v>Matched</v>
      </c>
    </row>
    <row r="195" customFormat="false" ht="15" hidden="false" customHeight="true" outlineLevel="0" collapsed="false">
      <c r="A195" s="12" t="s">
        <v>408</v>
      </c>
      <c r="B195" s="12" t="n">
        <v>2025</v>
      </c>
      <c r="C195" s="12" t="n">
        <v>5</v>
      </c>
      <c r="D195" s="12" t="n">
        <v>218.5</v>
      </c>
      <c r="E195" s="12" t="n">
        <f aca="false">IFERROR(INDEX('Catalog'!$A:$A,MATCH($A195,'Catalog'!$B:$B,0)),IFERROR(INDEX('Catalog'!$A:$A,MATCH(TRIM(SUBSTITUTE($A195,CHAR(160)," ")),'Catalog'!$C:$C,0)),""))</f>
        <v>4413277</v>
      </c>
      <c r="F195" s="12" t="str">
        <f aca="false">IF($E195="","Unmatched","Matched")</f>
        <v>Matched</v>
      </c>
    </row>
    <row r="196" customFormat="false" ht="15" hidden="false" customHeight="true" outlineLevel="0" collapsed="false">
      <c r="A196" s="12" t="s">
        <v>409</v>
      </c>
      <c r="B196" s="12" t="n">
        <v>2025</v>
      </c>
      <c r="C196" s="12" t="n">
        <v>-4</v>
      </c>
      <c r="D196" s="12" t="n">
        <v>-252.2</v>
      </c>
      <c r="E196" s="12" t="n">
        <f aca="false">IFERROR(INDEX('Catalog'!$A:$A,MATCH($A196,'Catalog'!$B:$B,0)),IFERROR(INDEX('Catalog'!$A:$A,MATCH(TRIM(SUBSTITUTE($A196,CHAR(160)," ")),'Catalog'!$C:$C,0)),""))</f>
        <v>4413278</v>
      </c>
      <c r="F196" s="12" t="str">
        <f aca="false">IF($E196="","Unmatched","Matched")</f>
        <v>Matched</v>
      </c>
    </row>
    <row r="197" customFormat="false" ht="15" hidden="false" customHeight="true" outlineLevel="0" collapsed="false">
      <c r="A197" s="12" t="s">
        <v>107</v>
      </c>
      <c r="B197" s="12" t="n">
        <v>2025</v>
      </c>
      <c r="C197" s="12" t="n">
        <v>-1</v>
      </c>
      <c r="D197" s="12" t="n">
        <v>-271</v>
      </c>
      <c r="E197" s="12" t="n">
        <f aca="false">IFERROR(INDEX('Catalog'!$A:$A,MATCH($A197,'Catalog'!$B:$B,0)),IFERROR(INDEX('Catalog'!$A:$A,MATCH(TRIM(SUBSTITUTE($A197,CHAR(160)," ")),'Catalog'!$C:$C,0)),""))</f>
        <v>4413279</v>
      </c>
      <c r="F197" s="12" t="str">
        <f aca="false">IF($E197="","Unmatched","Matched")</f>
        <v>Matched</v>
      </c>
    </row>
    <row r="198" customFormat="false" ht="15" hidden="false" customHeight="true" outlineLevel="0" collapsed="false">
      <c r="A198" s="12" t="s">
        <v>109</v>
      </c>
      <c r="B198" s="12" t="n">
        <v>2025</v>
      </c>
      <c r="C198" s="12" t="n">
        <v>-2</v>
      </c>
      <c r="D198" s="12" t="n">
        <v>-393.5</v>
      </c>
      <c r="E198" s="12" t="n">
        <f aca="false">IFERROR(INDEX('Catalog'!$A:$A,MATCH($A198,'Catalog'!$B:$B,0)),IFERROR(INDEX('Catalog'!$A:$A,MATCH(TRIM(SUBSTITUTE($A198,CHAR(160)," ")),'Catalog'!$C:$C,0)),""))</f>
        <v>4413281</v>
      </c>
      <c r="F198" s="12" t="str">
        <f aca="false">IF($E198="","Unmatched","Matched")</f>
        <v>Matched</v>
      </c>
    </row>
    <row r="199" customFormat="false" ht="15" hidden="false" customHeight="true" outlineLevel="0" collapsed="false">
      <c r="A199" s="12" t="s">
        <v>111</v>
      </c>
      <c r="B199" s="12" t="n">
        <v>2025</v>
      </c>
      <c r="C199" s="12" t="n">
        <v>4</v>
      </c>
      <c r="D199" s="12" t="n">
        <v>787</v>
      </c>
      <c r="E199" s="12" t="n">
        <f aca="false">IFERROR(INDEX('Catalog'!$A:$A,MATCH($A199,'Catalog'!$B:$B,0)),IFERROR(INDEX('Catalog'!$A:$A,MATCH(TRIM(SUBSTITUTE($A199,CHAR(160)," ")),'Catalog'!$C:$C,0)),""))</f>
        <v>4413283</v>
      </c>
      <c r="F199" s="12" t="str">
        <f aca="false">IF($E199="","Unmatched","Matched")</f>
        <v>Matched</v>
      </c>
    </row>
    <row r="200" customFormat="false" ht="15" hidden="false" customHeight="true" outlineLevel="0" collapsed="false">
      <c r="A200" s="12" t="s">
        <v>570</v>
      </c>
      <c r="B200" s="12" t="n">
        <v>2025</v>
      </c>
      <c r="C200" s="12" t="n">
        <v>79</v>
      </c>
      <c r="D200" s="12" t="n">
        <v>2285.5</v>
      </c>
      <c r="E200" s="12" t="n">
        <f aca="false">IFERROR(INDEX('Catalog'!$A:$A,MATCH($A200,'Catalog'!$B:$B,0)),IFERROR(INDEX('Catalog'!$A:$A,MATCH(TRIM(SUBSTITUTE($A200,CHAR(160)," ")),'Catalog'!$C:$C,0)),""))</f>
        <v>4413307</v>
      </c>
      <c r="F200" s="12" t="str">
        <f aca="false">IF($E200="","Unmatched","Matched")</f>
        <v>Matched</v>
      </c>
    </row>
    <row r="201" customFormat="false" ht="15" hidden="false" customHeight="true" outlineLevel="0" collapsed="false">
      <c r="A201" s="12" t="s">
        <v>149</v>
      </c>
      <c r="B201" s="12" t="n">
        <v>2025</v>
      </c>
      <c r="C201" s="12" t="n">
        <v>3</v>
      </c>
      <c r="D201" s="12" t="n">
        <v>270.3</v>
      </c>
      <c r="E201" s="12" t="n">
        <f aca="false">IFERROR(INDEX('Catalog'!$A:$A,MATCH($A201,'Catalog'!$B:$B,0)),IFERROR(INDEX('Catalog'!$A:$A,MATCH(TRIM(SUBSTITUTE($A201,CHAR(160)," ")),'Catalog'!$C:$C,0)),""))</f>
        <v>4413328</v>
      </c>
      <c r="F201" s="12" t="str">
        <f aca="false">IF($E201="","Unmatched","Matched")</f>
        <v>Matched</v>
      </c>
    </row>
    <row r="202" customFormat="false" ht="15" hidden="false" customHeight="true" outlineLevel="0" collapsed="false">
      <c r="A202" s="12" t="s">
        <v>557</v>
      </c>
      <c r="B202" s="12" t="n">
        <v>2025</v>
      </c>
      <c r="C202" s="12" t="n">
        <v>28</v>
      </c>
      <c r="D202" s="12" t="n">
        <v>1223.6</v>
      </c>
      <c r="E202" s="12" t="n">
        <f aca="false">IFERROR(INDEX('Catalog'!$A:$A,MATCH($A202,'Catalog'!$B:$B,0)),IFERROR(INDEX('Catalog'!$A:$A,MATCH(TRIM(SUBSTITUTE($A202,CHAR(160)," ")),'Catalog'!$C:$C,0)),""))</f>
        <v>4413340</v>
      </c>
      <c r="F202" s="12" t="str">
        <f aca="false">IF($E202="","Unmatched","Matched")</f>
        <v>Matched</v>
      </c>
    </row>
    <row r="203" customFormat="false" ht="15" hidden="false" customHeight="true" outlineLevel="0" collapsed="false">
      <c r="A203" s="12" t="s">
        <v>360</v>
      </c>
      <c r="B203" s="12" t="n">
        <v>2025</v>
      </c>
      <c r="C203" s="12" t="n">
        <v>185</v>
      </c>
      <c r="D203" s="12" t="n">
        <v>6186.6</v>
      </c>
      <c r="E203" s="12" t="n">
        <f aca="false">IFERROR(INDEX('Catalog'!$A:$A,MATCH($A203,'Catalog'!$B:$B,0)),IFERROR(INDEX('Catalog'!$A:$A,MATCH(TRIM(SUBSTITUTE($A203,CHAR(160)," ")),'Catalog'!$C:$C,0)),""))</f>
        <v>4414000</v>
      </c>
      <c r="F203" s="12" t="str">
        <f aca="false">IF($E203="","Unmatched","Matched")</f>
        <v>Matched</v>
      </c>
    </row>
    <row r="204" customFormat="false" ht="15" hidden="false" customHeight="true" outlineLevel="0" collapsed="false">
      <c r="A204" s="12" t="s">
        <v>614</v>
      </c>
      <c r="B204" s="12" t="n">
        <v>2025</v>
      </c>
      <c r="C204" s="12" t="n">
        <v>56</v>
      </c>
      <c r="D204" s="12" t="n">
        <v>4869.9</v>
      </c>
      <c r="E204" s="12" t="n">
        <f aca="false">IFERROR(INDEX('Catalog'!$A:$A,MATCH($A204,'Catalog'!$B:$B,0)),IFERROR(INDEX('Catalog'!$A:$A,MATCH(TRIM(SUBSTITUTE($A204,CHAR(160)," ")),'Catalog'!$C:$C,0)),""))</f>
        <v>4415000</v>
      </c>
      <c r="F204" s="12" t="str">
        <f aca="false">IF($E204="","Unmatched","Matched")</f>
        <v>Matched</v>
      </c>
    </row>
    <row r="205" customFormat="false" ht="15" hidden="false" customHeight="true" outlineLevel="0" collapsed="false">
      <c r="A205" s="12" t="s">
        <v>615</v>
      </c>
      <c r="B205" s="12" t="n">
        <v>2025</v>
      </c>
      <c r="C205" s="12" t="n">
        <v>53</v>
      </c>
      <c r="D205" s="12" t="n">
        <v>4674.6</v>
      </c>
      <c r="E205" s="12" t="n">
        <f aca="false">IFERROR(INDEX('Catalog'!$A:$A,MATCH($A205,'Catalog'!$B:$B,0)),IFERROR(INDEX('Catalog'!$A:$A,MATCH(TRIM(SUBSTITUTE($A205,CHAR(160)," ")),'Catalog'!$C:$C,0)),""))</f>
        <v>4415001</v>
      </c>
      <c r="F205" s="12" t="str">
        <f aca="false">IF($E205="","Unmatched","Matched")</f>
        <v>Matched</v>
      </c>
    </row>
    <row r="206" customFormat="false" ht="15" hidden="false" customHeight="true" outlineLevel="0" collapsed="false">
      <c r="A206" s="12" t="s">
        <v>616</v>
      </c>
      <c r="B206" s="12" t="n">
        <v>2025</v>
      </c>
      <c r="C206" s="12" t="n">
        <v>49</v>
      </c>
      <c r="D206" s="12" t="n">
        <v>4321.8</v>
      </c>
      <c r="E206" s="12" t="n">
        <f aca="false">IFERROR(INDEX('Catalog'!$A:$A,MATCH($A206,'Catalog'!$B:$B,0)),IFERROR(INDEX('Catalog'!$A:$A,MATCH(TRIM(SUBSTITUTE($A206,CHAR(160)," ")),'Catalog'!$C:$C,0)),""))</f>
        <v>4415002</v>
      </c>
      <c r="F206" s="12" t="str">
        <f aca="false">IF($E206="","Unmatched","Matched")</f>
        <v>Matched</v>
      </c>
    </row>
    <row r="207" customFormat="false" ht="15" hidden="false" customHeight="true" outlineLevel="0" collapsed="false">
      <c r="A207" s="12" t="s">
        <v>617</v>
      </c>
      <c r="B207" s="12" t="n">
        <v>2025</v>
      </c>
      <c r="C207" s="12" t="n">
        <v>27</v>
      </c>
      <c r="D207" s="12" t="n">
        <v>2375.1</v>
      </c>
      <c r="E207" s="12" t="n">
        <f aca="false">IFERROR(INDEX('Catalog'!$A:$A,MATCH($A207,'Catalog'!$B:$B,0)),IFERROR(INDEX('Catalog'!$A:$A,MATCH(TRIM(SUBSTITUTE($A207,CHAR(160)," ")),'Catalog'!$C:$C,0)),""))</f>
        <v>4415003</v>
      </c>
      <c r="F207" s="12" t="str">
        <f aca="false">IF($E207="","Unmatched","Matched")</f>
        <v>Matched</v>
      </c>
    </row>
    <row r="208" customFormat="false" ht="15" hidden="false" customHeight="true" outlineLevel="0" collapsed="false">
      <c r="A208" s="12" t="s">
        <v>619</v>
      </c>
      <c r="B208" s="12" t="n">
        <v>2025</v>
      </c>
      <c r="C208" s="12" t="n">
        <v>-1</v>
      </c>
      <c r="D208" s="12" t="n">
        <v>-88.2</v>
      </c>
      <c r="E208" s="12" t="n">
        <f aca="false">IFERROR(INDEX('Catalog'!$A:$A,MATCH($A208,'Catalog'!$B:$B,0)),IFERROR(INDEX('Catalog'!$A:$A,MATCH(TRIM(SUBSTITUTE($A208,CHAR(160)," ")),'Catalog'!$C:$C,0)),""))</f>
        <v>4415004</v>
      </c>
      <c r="F208" s="12" t="str">
        <f aca="false">IF($E208="","Unmatched","Matched")</f>
        <v>Matched</v>
      </c>
    </row>
    <row r="209" customFormat="false" ht="15" hidden="false" customHeight="true" outlineLevel="0" collapsed="false">
      <c r="A209" s="12" t="s">
        <v>642</v>
      </c>
      <c r="B209" s="12" t="n">
        <v>2025</v>
      </c>
      <c r="C209" s="12" t="n">
        <v>46</v>
      </c>
      <c r="D209" s="12" t="n">
        <v>4019.4</v>
      </c>
      <c r="E209" s="12" t="n">
        <f aca="false">IFERROR(INDEX('Catalog'!$A:$A,MATCH($A209,'Catalog'!$B:$B,0)),IFERROR(INDEX('Catalog'!$A:$A,MATCH(TRIM(SUBSTITUTE($A209,CHAR(160)," ")),'Catalog'!$C:$C,0)),""))</f>
        <v>4415005</v>
      </c>
      <c r="F209" s="12" t="str">
        <f aca="false">IF($E209="","Unmatched","Matched")</f>
        <v>Matched</v>
      </c>
    </row>
    <row r="210" customFormat="false" ht="15" hidden="false" customHeight="true" outlineLevel="0" collapsed="false">
      <c r="A210" s="12" t="s">
        <v>643</v>
      </c>
      <c r="B210" s="12" t="n">
        <v>2025</v>
      </c>
      <c r="C210" s="12" t="n">
        <v>63</v>
      </c>
      <c r="D210" s="12" t="n">
        <v>5556.6</v>
      </c>
      <c r="E210" s="12" t="n">
        <f aca="false">IFERROR(INDEX('Catalog'!$A:$A,MATCH($A210,'Catalog'!$B:$B,0)),IFERROR(INDEX('Catalog'!$A:$A,MATCH(TRIM(SUBSTITUTE($A210,CHAR(160)," ")),'Catalog'!$C:$C,0)),""))</f>
        <v>4415006</v>
      </c>
      <c r="F210" s="12" t="str">
        <f aca="false">IF($E210="","Unmatched","Matched")</f>
        <v>Matched</v>
      </c>
    </row>
    <row r="211" customFormat="false" ht="15" hidden="false" customHeight="true" outlineLevel="0" collapsed="false">
      <c r="A211" s="12" t="s">
        <v>644</v>
      </c>
      <c r="B211" s="12" t="n">
        <v>2025</v>
      </c>
      <c r="C211" s="12" t="n">
        <v>80</v>
      </c>
      <c r="D211" s="12" t="n">
        <v>7018.2</v>
      </c>
      <c r="E211" s="12" t="n">
        <f aca="false">IFERROR(INDEX('Catalog'!$A:$A,MATCH($A211,'Catalog'!$B:$B,0)),IFERROR(INDEX('Catalog'!$A:$A,MATCH(TRIM(SUBSTITUTE($A211,CHAR(160)," ")),'Catalog'!$C:$C,0)),""))</f>
        <v>4415007</v>
      </c>
      <c r="F211" s="12" t="str">
        <f aca="false">IF($E211="","Unmatched","Matched")</f>
        <v>Matched</v>
      </c>
    </row>
    <row r="212" customFormat="false" ht="15" hidden="false" customHeight="true" outlineLevel="0" collapsed="false">
      <c r="A212" s="12" t="s">
        <v>645</v>
      </c>
      <c r="B212" s="12" t="n">
        <v>2025</v>
      </c>
      <c r="C212" s="12" t="n">
        <v>18</v>
      </c>
      <c r="D212" s="12" t="n">
        <v>1549.8</v>
      </c>
      <c r="E212" s="12" t="n">
        <f aca="false">IFERROR(INDEX('Catalog'!$A:$A,MATCH($A212,'Catalog'!$B:$B,0)),IFERROR(INDEX('Catalog'!$A:$A,MATCH(TRIM(SUBSTITUTE($A212,CHAR(160)," ")),'Catalog'!$C:$C,0)),""))</f>
        <v>4415008</v>
      </c>
      <c r="F212" s="12" t="str">
        <f aca="false">IF($E212="","Unmatched","Matched")</f>
        <v>Matched</v>
      </c>
    </row>
    <row r="213" customFormat="false" ht="15" hidden="false" customHeight="true" outlineLevel="0" collapsed="false">
      <c r="A213" s="12" t="s">
        <v>809</v>
      </c>
      <c r="B213" s="12" t="n">
        <v>2025</v>
      </c>
      <c r="C213" s="12" t="n">
        <v>23</v>
      </c>
      <c r="D213" s="12" t="n">
        <v>788.2</v>
      </c>
      <c r="E213" s="12" t="n">
        <f aca="false">IFERROR(INDEX('Catalog'!$A:$A,MATCH($A213,'Catalog'!$B:$B,0)),IFERROR(INDEX('Catalog'!$A:$A,MATCH(TRIM(SUBSTITUTE($A213,CHAR(160)," ")),'Catalog'!$C:$C,0)),""))</f>
        <v>4415026</v>
      </c>
      <c r="F213" s="12" t="str">
        <f aca="false">IF($E213="","Unmatched","Matched")</f>
        <v>Matched</v>
      </c>
    </row>
    <row r="214" customFormat="false" ht="15" hidden="false" customHeight="true" outlineLevel="0" collapsed="false">
      <c r="A214" s="12" t="s">
        <v>810</v>
      </c>
      <c r="B214" s="12" t="n">
        <v>2025</v>
      </c>
      <c r="C214" s="12" t="n">
        <v>24</v>
      </c>
      <c r="D214" s="12" t="n">
        <v>822.5</v>
      </c>
      <c r="E214" s="12" t="n">
        <f aca="false">IFERROR(INDEX('Catalog'!$A:$A,MATCH($A214,'Catalog'!$B:$B,0)),IFERROR(INDEX('Catalog'!$A:$A,MATCH(TRIM(SUBSTITUTE($A214,CHAR(160)," ")),'Catalog'!$C:$C,0)),""))</f>
        <v>4415027</v>
      </c>
      <c r="F214" s="12" t="str">
        <f aca="false">IF($E214="","Unmatched","Matched")</f>
        <v>Matched</v>
      </c>
    </row>
    <row r="215" customFormat="false" ht="15" hidden="false" customHeight="true" outlineLevel="0" collapsed="false">
      <c r="A215" s="12" t="s">
        <v>648</v>
      </c>
      <c r="B215" s="12" t="n">
        <v>2025</v>
      </c>
      <c r="C215" s="12" t="n">
        <v>47</v>
      </c>
      <c r="D215" s="12" t="n">
        <v>1130.8</v>
      </c>
      <c r="E215" s="12" t="n">
        <f aca="false">IFERROR(INDEX('Catalog'!$A:$A,MATCH($A215,'Catalog'!$B:$B,0)),IFERROR(INDEX('Catalog'!$A:$A,MATCH(TRIM(SUBSTITUTE($A215,CHAR(160)," ")),'Catalog'!$C:$C,0)),""))</f>
        <v>4415028</v>
      </c>
      <c r="F215" s="12" t="str">
        <f aca="false">IF($E215="","Unmatched","Matched")</f>
        <v>Matched</v>
      </c>
    </row>
    <row r="216" customFormat="false" ht="15" hidden="false" customHeight="true" outlineLevel="0" collapsed="false">
      <c r="A216" s="12" t="s">
        <v>673</v>
      </c>
      <c r="B216" s="12" t="n">
        <v>2025</v>
      </c>
      <c r="C216" s="12" t="n">
        <v>-2</v>
      </c>
      <c r="D216" s="12" t="n">
        <v>-132.3</v>
      </c>
      <c r="E216" s="12" t="n">
        <f aca="false">IFERROR(INDEX('Catalog'!$A:$A,MATCH($A216,'Catalog'!$B:$B,0)),IFERROR(INDEX('Catalog'!$A:$A,MATCH(TRIM(SUBSTITUTE($A216,CHAR(160)," ")),'Catalog'!$C:$C,0)),""))</f>
        <v>4415067</v>
      </c>
      <c r="F216" s="12" t="str">
        <f aca="false">IF($E216="","Unmatched","Matched")</f>
        <v>Matched</v>
      </c>
    </row>
    <row r="217" customFormat="false" ht="15" hidden="false" customHeight="true" outlineLevel="0" collapsed="false">
      <c r="A217" s="12" t="s">
        <v>676</v>
      </c>
      <c r="B217" s="12" t="n">
        <v>2025</v>
      </c>
      <c r="C217" s="12" t="n">
        <v>159</v>
      </c>
      <c r="D217" s="12" t="n">
        <v>10043</v>
      </c>
      <c r="E217" s="12" t="n">
        <f aca="false">IFERROR(INDEX('Catalog'!$A:$A,MATCH($A217,'Catalog'!$B:$B,0)),IFERROR(INDEX('Catalog'!$A:$A,MATCH(TRIM(SUBSTITUTE($A217,CHAR(160)," ")),'Catalog'!$C:$C,0)),""))</f>
        <v>4415072</v>
      </c>
      <c r="F217" s="12" t="str">
        <f aca="false">IF($E217="","Unmatched","Matched")</f>
        <v>Matched</v>
      </c>
    </row>
    <row r="218" customFormat="false" ht="15" hidden="false" customHeight="true" outlineLevel="0" collapsed="false">
      <c r="A218" s="12" t="s">
        <v>675</v>
      </c>
      <c r="B218" s="12" t="n">
        <v>2025</v>
      </c>
      <c r="C218" s="12" t="n">
        <v>31</v>
      </c>
      <c r="D218" s="12" t="n">
        <v>1959.2</v>
      </c>
      <c r="E218" s="12" t="n">
        <f aca="false">IFERROR(INDEX('Catalog'!$A:$A,MATCH($A218,'Catalog'!$B:$B,0)),IFERROR(INDEX('Catalog'!$A:$A,MATCH(TRIM(SUBSTITUTE($A218,CHAR(160)," ")),'Catalog'!$C:$C,0)),""))</f>
        <v>4415073</v>
      </c>
      <c r="F218" s="12" t="str">
        <f aca="false">IF($E218="","Unmatched","Matched")</f>
        <v>Matched</v>
      </c>
    </row>
    <row r="219" customFormat="false" ht="15" hidden="false" customHeight="true" outlineLevel="0" collapsed="false">
      <c r="A219" s="12" t="s">
        <v>577</v>
      </c>
      <c r="B219" s="12" t="n">
        <v>2025</v>
      </c>
      <c r="C219" s="12" t="n">
        <v>69</v>
      </c>
      <c r="D219" s="12" t="n">
        <v>564.4</v>
      </c>
      <c r="E219" s="12" t="n">
        <f aca="false">IFERROR(INDEX('Catalog'!$A:$A,MATCH($A219,'Catalog'!$B:$B,0)),IFERROR(INDEX('Catalog'!$A:$A,MATCH(TRIM(SUBSTITUTE($A219,CHAR(160)," ")),'Catalog'!$C:$C,0)),""))</f>
        <v>4415080</v>
      </c>
      <c r="F219" s="12" t="str">
        <f aca="false">IF($E219="","Unmatched","Matched")</f>
        <v>Matched</v>
      </c>
    </row>
    <row r="220" customFormat="false" ht="15" hidden="false" customHeight="true" outlineLevel="0" collapsed="false">
      <c r="A220" s="12" t="s">
        <v>636</v>
      </c>
      <c r="B220" s="12" t="n">
        <v>2025</v>
      </c>
      <c r="C220" s="12" t="n">
        <v>-2</v>
      </c>
      <c r="D220" s="12" t="n">
        <v>-194.1</v>
      </c>
      <c r="E220" s="12" t="n">
        <f aca="false">IFERROR(INDEX('Catalog'!$A:$A,MATCH($A220,'Catalog'!$B:$B,0)),IFERROR(INDEX('Catalog'!$A:$A,MATCH(TRIM(SUBSTITUTE($A220,CHAR(160)," ")),'Catalog'!$C:$C,0)),""))</f>
        <v>4415089</v>
      </c>
      <c r="F220" s="12" t="str">
        <f aca="false">IF($E220="","Unmatched","Matched")</f>
        <v>Matched</v>
      </c>
    </row>
    <row r="221" customFormat="false" ht="15" hidden="false" customHeight="true" outlineLevel="0" collapsed="false">
      <c r="A221" s="12" t="s">
        <v>618</v>
      </c>
      <c r="B221" s="12" t="n">
        <v>2025</v>
      </c>
      <c r="C221" s="12" t="n">
        <v>-1</v>
      </c>
      <c r="D221" s="12" t="n">
        <v>-166.6</v>
      </c>
      <c r="E221" s="12" t="n">
        <f aca="false">IFERROR(INDEX('Catalog'!$A:$A,MATCH($A221,'Catalog'!$B:$B,0)),IFERROR(INDEX('Catalog'!$A:$A,MATCH(TRIM(SUBSTITUTE($A221,CHAR(160)," ")),'Catalog'!$C:$C,0)),""))</f>
        <v>4415142</v>
      </c>
      <c r="F221" s="12" t="str">
        <f aca="false">IF($E221="","Unmatched","Matched")</f>
        <v>Matched</v>
      </c>
    </row>
    <row r="222" customFormat="false" ht="15" hidden="false" customHeight="true" outlineLevel="0" collapsed="false">
      <c r="A222" s="12" t="s">
        <v>533</v>
      </c>
      <c r="B222" s="12" t="n">
        <v>2025</v>
      </c>
      <c r="C222" s="12" t="n">
        <v>85</v>
      </c>
      <c r="D222" s="12" t="n">
        <v>7447.2</v>
      </c>
      <c r="E222" s="12" t="n">
        <f aca="false">IFERROR(INDEX('Catalog'!$A:$A,MATCH($A222,'Catalog'!$B:$B,0)),IFERROR(INDEX('Catalog'!$A:$A,MATCH(TRIM(SUBSTITUTE($A222,CHAR(160)," ")),'Catalog'!$C:$C,0)),""))</f>
        <v>4416000</v>
      </c>
      <c r="F222" s="12" t="str">
        <f aca="false">IF($E222="","Unmatched","Matched")</f>
        <v>Matched</v>
      </c>
    </row>
    <row r="223" customFormat="false" ht="15" hidden="false" customHeight="true" outlineLevel="0" collapsed="false">
      <c r="A223" s="12" t="s">
        <v>534</v>
      </c>
      <c r="B223" s="12" t="n">
        <v>2025</v>
      </c>
      <c r="C223" s="12" t="n">
        <v>96</v>
      </c>
      <c r="D223" s="12" t="n">
        <v>8409.2</v>
      </c>
      <c r="E223" s="12" t="n">
        <f aca="false">IFERROR(INDEX('Catalog'!$A:$A,MATCH($A223,'Catalog'!$B:$B,0)),IFERROR(INDEX('Catalog'!$A:$A,MATCH(TRIM(SUBSTITUTE($A223,CHAR(160)," ")),'Catalog'!$C:$C,0)),""))</f>
        <v>4416001</v>
      </c>
      <c r="F223" s="12" t="str">
        <f aca="false">IF($E223="","Unmatched","Matched")</f>
        <v>Matched</v>
      </c>
    </row>
    <row r="224" customFormat="false" ht="15" hidden="false" customHeight="true" outlineLevel="0" collapsed="false">
      <c r="A224" s="12" t="s">
        <v>535</v>
      </c>
      <c r="B224" s="12" t="n">
        <v>2025</v>
      </c>
      <c r="C224" s="12" t="n">
        <v>30</v>
      </c>
      <c r="D224" s="12" t="n">
        <v>2588.2</v>
      </c>
      <c r="E224" s="12" t="n">
        <f aca="false">IFERROR(INDEX('Catalog'!$A:$A,MATCH($A224,'Catalog'!$B:$B,0)),IFERROR(INDEX('Catalog'!$A:$A,MATCH(TRIM(SUBSTITUTE($A224,CHAR(160)," ")),'Catalog'!$C:$C,0)),""))</f>
        <v>4416002</v>
      </c>
      <c r="F224" s="12" t="str">
        <f aca="false">IF($E224="","Unmatched","Matched")</f>
        <v>Matched</v>
      </c>
    </row>
    <row r="225" customFormat="false" ht="15" hidden="false" customHeight="true" outlineLevel="0" collapsed="false">
      <c r="A225" s="12" t="s">
        <v>537</v>
      </c>
      <c r="B225" s="12" t="n">
        <v>2025</v>
      </c>
      <c r="C225" s="12" t="n">
        <v>94</v>
      </c>
      <c r="D225" s="12" t="n">
        <v>5124.9</v>
      </c>
      <c r="E225" s="12" t="n">
        <f aca="false">IFERROR(INDEX('Catalog'!$A:$A,MATCH($A225,'Catalog'!$B:$B,0)),IFERROR(INDEX('Catalog'!$A:$A,MATCH(TRIM(SUBSTITUTE($A225,CHAR(160)," ")),'Catalog'!$C:$C,0)),""))</f>
        <v>4416003</v>
      </c>
      <c r="F225" s="12" t="str">
        <f aca="false">IF($E225="","Unmatched","Matched")</f>
        <v>Matched</v>
      </c>
    </row>
    <row r="226" customFormat="false" ht="15" hidden="false" customHeight="true" outlineLevel="0" collapsed="false">
      <c r="A226" s="12" t="s">
        <v>538</v>
      </c>
      <c r="B226" s="12" t="n">
        <v>2025</v>
      </c>
      <c r="C226" s="12" t="n">
        <v>118</v>
      </c>
      <c r="D226" s="12" t="n">
        <v>6456.7</v>
      </c>
      <c r="E226" s="12" t="n">
        <f aca="false">IFERROR(INDEX('Catalog'!$A:$A,MATCH($A226,'Catalog'!$B:$B,0)),IFERROR(INDEX('Catalog'!$A:$A,MATCH(TRIM(SUBSTITUTE($A226,CHAR(160)," ")),'Catalog'!$C:$C,0)),""))</f>
        <v>4416005</v>
      </c>
      <c r="F226" s="12" t="str">
        <f aca="false">IF($E226="","Unmatched","Matched")</f>
        <v>Matched</v>
      </c>
    </row>
    <row r="227" customFormat="false" ht="15" hidden="false" customHeight="true" outlineLevel="0" collapsed="false">
      <c r="A227" s="12" t="s">
        <v>575</v>
      </c>
      <c r="B227" s="12" t="n">
        <v>2025</v>
      </c>
      <c r="C227" s="12" t="n">
        <v>196</v>
      </c>
      <c r="D227" s="12" t="n">
        <v>4287.3</v>
      </c>
      <c r="E227" s="12" t="n">
        <f aca="false">IFERROR(INDEX('Catalog'!$A:$A,MATCH($A227,'Catalog'!$B:$B,0)),IFERROR(INDEX('Catalog'!$A:$A,MATCH(TRIM(SUBSTITUTE($A227,CHAR(160)," ")),'Catalog'!$C:$C,0)),""))</f>
        <v>4417000</v>
      </c>
      <c r="F227" s="12" t="str">
        <f aca="false">IF($E227="","Unmatched","Matched")</f>
        <v>Matched</v>
      </c>
    </row>
    <row r="228" customFormat="false" ht="15" hidden="false" customHeight="true" outlineLevel="0" collapsed="false">
      <c r="A228" s="12" t="s">
        <v>686</v>
      </c>
      <c r="B228" s="12" t="n">
        <v>2025</v>
      </c>
      <c r="C228" s="12" t="n">
        <v>120</v>
      </c>
      <c r="D228" s="12" t="n">
        <v>3782.7</v>
      </c>
      <c r="E228" s="12" t="n">
        <f aca="false">IFERROR(INDEX('Catalog'!$A:$A,MATCH($A228,'Catalog'!$B:$B,0)),IFERROR(INDEX('Catalog'!$A:$A,MATCH(TRIM(SUBSTITUTE($A228,CHAR(160)," ")),'Catalog'!$C:$C,0)),""))</f>
        <v>4418000</v>
      </c>
      <c r="F228" s="12" t="str">
        <f aca="false">IF($E228="","Unmatched","Matched")</f>
        <v>Matched</v>
      </c>
    </row>
    <row r="229" customFormat="false" ht="15" hidden="false" customHeight="true" outlineLevel="0" collapsed="false">
      <c r="A229" s="12" t="s">
        <v>687</v>
      </c>
      <c r="B229" s="12" t="n">
        <v>2025</v>
      </c>
      <c r="C229" s="12" t="n">
        <v>127</v>
      </c>
      <c r="D229" s="12" t="n">
        <v>4110.2</v>
      </c>
      <c r="E229" s="12" t="n">
        <f aca="false">IFERROR(INDEX('Catalog'!$A:$A,MATCH($A229,'Catalog'!$B:$B,0)),IFERROR(INDEX('Catalog'!$A:$A,MATCH(TRIM(SUBSTITUTE($A229,CHAR(160)," ")),'Catalog'!$C:$C,0)),""))</f>
        <v>4418001</v>
      </c>
      <c r="F229" s="12" t="str">
        <f aca="false">IF($E229="","Unmatched","Matched")</f>
        <v>Matched</v>
      </c>
    </row>
    <row r="230" customFormat="false" ht="15" hidden="false" customHeight="true" outlineLevel="0" collapsed="false">
      <c r="A230" s="12" t="s">
        <v>688</v>
      </c>
      <c r="B230" s="12" t="n">
        <v>2025</v>
      </c>
      <c r="C230" s="12" t="n">
        <v>52</v>
      </c>
      <c r="D230" s="12" t="n">
        <v>1680.1</v>
      </c>
      <c r="E230" s="12" t="n">
        <f aca="false">IFERROR(INDEX('Catalog'!$A:$A,MATCH($A230,'Catalog'!$B:$B,0)),IFERROR(INDEX('Catalog'!$A:$A,MATCH(TRIM(SUBSTITUTE($A230,CHAR(160)," ")),'Catalog'!$C:$C,0)),""))</f>
        <v>4418002</v>
      </c>
      <c r="F230" s="12" t="str">
        <f aca="false">IF($E230="","Unmatched","Matched")</f>
        <v>Matched</v>
      </c>
    </row>
    <row r="231" customFormat="false" ht="15" hidden="false" customHeight="true" outlineLevel="0" collapsed="false">
      <c r="A231" s="12" t="s">
        <v>689</v>
      </c>
      <c r="B231" s="12" t="n">
        <v>2025</v>
      </c>
      <c r="C231" s="12" t="n">
        <v>88</v>
      </c>
      <c r="D231" s="12" t="n">
        <v>2784.8</v>
      </c>
      <c r="E231" s="12" t="n">
        <f aca="false">IFERROR(INDEX('Catalog'!$A:$A,MATCH($A231,'Catalog'!$B:$B,0)),IFERROR(INDEX('Catalog'!$A:$A,MATCH(TRIM(SUBSTITUTE($A231,CHAR(160)," ")),'Catalog'!$C:$C,0)),""))</f>
        <v>4418003</v>
      </c>
      <c r="F231" s="12" t="str">
        <f aca="false">IF($E231="","Unmatched","Matched")</f>
        <v>Matched</v>
      </c>
    </row>
    <row r="232" customFormat="false" ht="15" hidden="false" customHeight="true" outlineLevel="0" collapsed="false">
      <c r="A232" s="12" t="s">
        <v>573</v>
      </c>
      <c r="B232" s="12" t="n">
        <v>2025</v>
      </c>
      <c r="C232" s="12" t="n">
        <v>928</v>
      </c>
      <c r="D232" s="12" t="n">
        <v>12205.1</v>
      </c>
      <c r="E232" s="12" t="n">
        <f aca="false">IFERROR(INDEX('Catalog'!$A:$A,MATCH($A232,'Catalog'!$B:$B,0)),IFERROR(INDEX('Catalog'!$A:$A,MATCH(TRIM(SUBSTITUTE($A232,CHAR(160)," ")),'Catalog'!$C:$C,0)),""))</f>
        <v>4419006</v>
      </c>
      <c r="F232" s="12" t="str">
        <f aca="false">IF($E232="","Unmatched","Matched")</f>
        <v>Matched</v>
      </c>
    </row>
    <row r="233" customFormat="false" ht="15" hidden="false" customHeight="true" outlineLevel="0" collapsed="false">
      <c r="A233" s="12" t="s">
        <v>774</v>
      </c>
      <c r="B233" s="12" t="n">
        <v>2025</v>
      </c>
      <c r="C233" s="12" t="n">
        <v>330</v>
      </c>
      <c r="D233" s="12" t="n">
        <v>3524.3</v>
      </c>
      <c r="E233" s="12" t="n">
        <f aca="false">IFERROR(INDEX('Catalog'!$A:$A,MATCH($A233,'Catalog'!$B:$B,0)),IFERROR(INDEX('Catalog'!$A:$A,MATCH(TRIM(SUBSTITUTE($A233,CHAR(160)," ")),'Catalog'!$C:$C,0)),""))</f>
        <v>4420000</v>
      </c>
      <c r="F233" s="12" t="str">
        <f aca="false">IF($E233="","Unmatched","Matched")</f>
        <v>Matched</v>
      </c>
    </row>
    <row r="234" customFormat="false" ht="15" hidden="false" customHeight="true" outlineLevel="0" collapsed="false">
      <c r="A234" s="12" t="s">
        <v>776</v>
      </c>
      <c r="B234" s="12" t="n">
        <v>2025</v>
      </c>
      <c r="C234" s="12" t="n">
        <v>54</v>
      </c>
      <c r="D234" s="12" t="n">
        <v>576.7</v>
      </c>
      <c r="E234" s="12" t="n">
        <f aca="false">IFERROR(INDEX('Catalog'!$A:$A,MATCH($A234,'Catalog'!$B:$B,0)),IFERROR(INDEX('Catalog'!$A:$A,MATCH(TRIM(SUBSTITUTE($A234,CHAR(160)," ")),'Catalog'!$C:$C,0)),""))</f>
        <v>4420001</v>
      </c>
      <c r="F234" s="12" t="str">
        <f aca="false">IF($E234="","Unmatched","Matched")</f>
        <v>Matched</v>
      </c>
    </row>
    <row r="235" customFormat="false" ht="15" hidden="false" customHeight="true" outlineLevel="0" collapsed="false">
      <c r="A235" s="12" t="s">
        <v>777</v>
      </c>
      <c r="B235" s="12" t="n">
        <v>2025</v>
      </c>
      <c r="C235" s="12" t="n">
        <v>234</v>
      </c>
      <c r="D235" s="12" t="n">
        <v>3171.8</v>
      </c>
      <c r="E235" s="12" t="n">
        <f aca="false">IFERROR(INDEX('Catalog'!$A:$A,MATCH($A235,'Catalog'!$B:$B,0)),IFERROR(INDEX('Catalog'!$A:$A,MATCH(TRIM(SUBSTITUTE($A235,CHAR(160)," ")),'Catalog'!$C:$C,0)),""))</f>
        <v>4420002</v>
      </c>
      <c r="F235" s="12" t="str">
        <f aca="false">IF($E235="","Unmatched","Matched")</f>
        <v>Matched</v>
      </c>
    </row>
    <row r="236" customFormat="false" ht="15" hidden="false" customHeight="true" outlineLevel="0" collapsed="false">
      <c r="A236" s="12" t="s">
        <v>778</v>
      </c>
      <c r="B236" s="12" t="n">
        <v>2025</v>
      </c>
      <c r="C236" s="12" t="n">
        <v>168</v>
      </c>
      <c r="D236" s="12" t="n">
        <v>2246.9</v>
      </c>
      <c r="E236" s="12" t="n">
        <f aca="false">IFERROR(INDEX('Catalog'!$A:$A,MATCH($A236,'Catalog'!$B:$B,0)),IFERROR(INDEX('Catalog'!$A:$A,MATCH(TRIM(SUBSTITUTE($A236,CHAR(160)," ")),'Catalog'!$C:$C,0)),""))</f>
        <v>4420003</v>
      </c>
      <c r="F236" s="12" t="str">
        <f aca="false">IF($E236="","Unmatched","Matched")</f>
        <v>Matched</v>
      </c>
    </row>
    <row r="237" customFormat="false" ht="15" hidden="false" customHeight="true" outlineLevel="0" collapsed="false">
      <c r="A237" s="12" t="s">
        <v>781</v>
      </c>
      <c r="B237" s="12" t="n">
        <v>2025</v>
      </c>
      <c r="C237" s="12" t="n">
        <v>4</v>
      </c>
      <c r="D237" s="12" t="n">
        <v>157.4</v>
      </c>
      <c r="E237" s="12" t="n">
        <f aca="false">IFERROR(INDEX('Catalog'!$A:$A,MATCH($A237,'Catalog'!$B:$B,0)),IFERROR(INDEX('Catalog'!$A:$A,MATCH(TRIM(SUBSTITUTE($A237,CHAR(160)," ")),'Catalog'!$C:$C,0)),""))</f>
        <v>4420004</v>
      </c>
      <c r="F237" s="12" t="str">
        <f aca="false">IF($E237="","Unmatched","Matched")</f>
        <v>Matched</v>
      </c>
    </row>
    <row r="238" customFormat="false" ht="15" hidden="false" customHeight="true" outlineLevel="0" collapsed="false">
      <c r="A238" s="12" t="s">
        <v>788</v>
      </c>
      <c r="B238" s="12" t="n">
        <v>2025</v>
      </c>
      <c r="C238" s="12" t="n">
        <v>4</v>
      </c>
      <c r="D238" s="12" t="n">
        <v>157.3</v>
      </c>
      <c r="E238" s="12" t="n">
        <f aca="false">IFERROR(INDEX('Catalog'!$A:$A,MATCH($A238,'Catalog'!$B:$B,0)),IFERROR(INDEX('Catalog'!$A:$A,MATCH(TRIM(SUBSTITUTE($A238,CHAR(160)," ")),'Catalog'!$C:$C,0)),""))</f>
        <v>4420005</v>
      </c>
      <c r="F238" s="12" t="str">
        <f aca="false">IF($E238="","Unmatched","Matched")</f>
        <v>Matched</v>
      </c>
    </row>
    <row r="239" customFormat="false" ht="15" hidden="false" customHeight="true" outlineLevel="0" collapsed="false">
      <c r="A239" s="12" t="s">
        <v>782</v>
      </c>
      <c r="B239" s="12" t="n">
        <v>2025</v>
      </c>
      <c r="C239" s="12" t="n">
        <v>1</v>
      </c>
      <c r="D239" s="12" t="n">
        <v>39.3</v>
      </c>
      <c r="E239" s="12" t="n">
        <f aca="false">IFERROR(INDEX('Catalog'!$A:$A,MATCH($A239,'Catalog'!$B:$B,0)),IFERROR(INDEX('Catalog'!$A:$A,MATCH(TRIM(SUBSTITUTE($A239,CHAR(160)," ")),'Catalog'!$C:$C,0)),""))</f>
        <v>4420006</v>
      </c>
      <c r="F239" s="12" t="str">
        <f aca="false">IF($E239="","Unmatched","Matched")</f>
        <v>Matched</v>
      </c>
    </row>
    <row r="240" customFormat="false" ht="15" hidden="false" customHeight="true" outlineLevel="0" collapsed="false">
      <c r="A240" s="12" t="s">
        <v>779</v>
      </c>
      <c r="B240" s="12" t="n">
        <v>2025</v>
      </c>
      <c r="C240" s="12" t="n">
        <v>-1</v>
      </c>
      <c r="D240" s="12" t="n">
        <v>-47.3</v>
      </c>
      <c r="E240" s="12" t="n">
        <f aca="false">IFERROR(INDEX('Catalog'!$A:$A,MATCH($A240,'Catalog'!$B:$B,0)),IFERROR(INDEX('Catalog'!$A:$A,MATCH(TRIM(SUBSTITUTE($A240,CHAR(160)," ")),'Catalog'!$C:$C,0)),""))</f>
        <v>4420007</v>
      </c>
      <c r="F240" s="12" t="str">
        <f aca="false">IF($E240="","Unmatched","Matched")</f>
        <v>Matched</v>
      </c>
    </row>
    <row r="241" customFormat="false" ht="15" hidden="false" customHeight="true" outlineLevel="0" collapsed="false">
      <c r="A241" s="12" t="s">
        <v>783</v>
      </c>
      <c r="B241" s="12" t="n">
        <v>2025</v>
      </c>
      <c r="C241" s="12" t="n">
        <v>4</v>
      </c>
      <c r="D241" s="12" t="n">
        <v>157.3</v>
      </c>
      <c r="E241" s="12" t="n">
        <f aca="false">IFERROR(INDEX('Catalog'!$A:$A,MATCH($A241,'Catalog'!$B:$B,0)),IFERROR(INDEX('Catalog'!$A:$A,MATCH(TRIM(SUBSTITUTE($A241,CHAR(160)," ")),'Catalog'!$C:$C,0)),""))</f>
        <v>4420008</v>
      </c>
      <c r="F241" s="12" t="str">
        <f aca="false">IF($E241="","Unmatched","Matched")</f>
        <v>Matched</v>
      </c>
    </row>
    <row r="242" customFormat="false" ht="15" hidden="false" customHeight="true" outlineLevel="0" collapsed="false">
      <c r="A242" s="12" t="s">
        <v>787</v>
      </c>
      <c r="B242" s="12" t="n">
        <v>2025</v>
      </c>
      <c r="C242" s="12" t="n">
        <v>2</v>
      </c>
      <c r="D242" s="12" t="n">
        <v>78.7</v>
      </c>
      <c r="E242" s="12" t="n">
        <f aca="false">IFERROR(INDEX('Catalog'!$A:$A,MATCH($A242,'Catalog'!$B:$B,0)),IFERROR(INDEX('Catalog'!$A:$A,MATCH(TRIM(SUBSTITUTE($A242,CHAR(160)," ")),'Catalog'!$C:$C,0)),""))</f>
        <v>4420010</v>
      </c>
      <c r="F242" s="12" t="str">
        <f aca="false">IF($E242="","Unmatched","Matched")</f>
        <v>Matched</v>
      </c>
    </row>
    <row r="243" customFormat="false" ht="15" hidden="false" customHeight="true" outlineLevel="0" collapsed="false">
      <c r="A243" s="12" t="s">
        <v>790</v>
      </c>
      <c r="B243" s="12" t="n">
        <v>2025</v>
      </c>
      <c r="C243" s="12" t="n">
        <v>2</v>
      </c>
      <c r="D243" s="12" t="n">
        <v>78.7</v>
      </c>
      <c r="E243" s="12" t="n">
        <f aca="false">IFERROR(INDEX('Catalog'!$A:$A,MATCH($A243,'Catalog'!$B:$B,0)),IFERROR(INDEX('Catalog'!$A:$A,MATCH(TRIM(SUBSTITUTE($A243,CHAR(160)," ")),'Catalog'!$C:$C,0)),""))</f>
        <v>4420011</v>
      </c>
      <c r="F243" s="12" t="str">
        <f aca="false">IF($E243="","Unmatched","Matched")</f>
        <v>Matched</v>
      </c>
    </row>
    <row r="244" customFormat="false" ht="15" hidden="false" customHeight="true" outlineLevel="0" collapsed="false">
      <c r="A244" s="12" t="s">
        <v>780</v>
      </c>
      <c r="B244" s="12" t="n">
        <v>2025</v>
      </c>
      <c r="C244" s="12" t="n">
        <v>-1</v>
      </c>
      <c r="D244" s="12" t="n">
        <v>-55.2</v>
      </c>
      <c r="E244" s="12" t="n">
        <f aca="false">IFERROR(INDEX('Catalog'!$A:$A,MATCH($A244,'Catalog'!$B:$B,0)),IFERROR(INDEX('Catalog'!$A:$A,MATCH(TRIM(SUBSTITUTE($A244,CHAR(160)," ")),'Catalog'!$C:$C,0)),""))</f>
        <v>4420012</v>
      </c>
      <c r="F244" s="12" t="str">
        <f aca="false">IF($E244="","Unmatched","Matched")</f>
        <v>Matched</v>
      </c>
    </row>
    <row r="245" customFormat="false" ht="15" hidden="false" customHeight="true" outlineLevel="0" collapsed="false">
      <c r="A245" s="12" t="s">
        <v>786</v>
      </c>
      <c r="B245" s="12" t="n">
        <v>2025</v>
      </c>
      <c r="C245" s="12" t="n">
        <v>1</v>
      </c>
      <c r="D245" s="12" t="n">
        <v>39.3</v>
      </c>
      <c r="E245" s="12" t="n">
        <f aca="false">IFERROR(INDEX('Catalog'!$A:$A,MATCH($A245,'Catalog'!$B:$B,0)),IFERROR(INDEX('Catalog'!$A:$A,MATCH(TRIM(SUBSTITUTE($A245,CHAR(160)," ")),'Catalog'!$C:$C,0)),""))</f>
        <v>4420013</v>
      </c>
      <c r="F245" s="12" t="str">
        <f aca="false">IF($E245="","Unmatched","Matched")</f>
        <v>Matched</v>
      </c>
    </row>
    <row r="246" customFormat="false" ht="15" hidden="false" customHeight="true" outlineLevel="0" collapsed="false">
      <c r="A246" s="12" t="s">
        <v>84</v>
      </c>
      <c r="B246" s="12" t="n">
        <v>2025</v>
      </c>
      <c r="C246" s="12" t="n">
        <v>56</v>
      </c>
      <c r="D246" s="12" t="n">
        <v>2715.5</v>
      </c>
      <c r="E246" s="12" t="n">
        <f aca="false">IFERROR(INDEX('Catalog'!$A:$A,MATCH($A246,'Catalog'!$B:$B,0)),IFERROR(INDEX('Catalog'!$A:$A,MATCH(TRIM(SUBSTITUTE($A246,CHAR(160)," ")),'Catalog'!$C:$C,0)),""))</f>
        <v>4420016</v>
      </c>
      <c r="F246" s="12" t="str">
        <f aca="false">IF($E246="","Unmatched","Matched")</f>
        <v>Matched</v>
      </c>
    </row>
    <row r="247" customFormat="false" ht="15" hidden="false" customHeight="true" outlineLevel="0" collapsed="false">
      <c r="A247" s="12" t="s">
        <v>505</v>
      </c>
      <c r="B247" s="12" t="n">
        <v>2025</v>
      </c>
      <c r="C247" s="12" t="n">
        <v>1</v>
      </c>
      <c r="D247" s="12" t="n">
        <v>105.9</v>
      </c>
      <c r="E247" s="12" t="n">
        <f aca="false">IFERROR(INDEX('Catalog'!$A:$A,MATCH($A247,'Catalog'!$B:$B,0)),IFERROR(INDEX('Catalog'!$A:$A,MATCH(TRIM(SUBSTITUTE($A247,CHAR(160)," ")),'Catalog'!$C:$C,0)),""))</f>
        <v>4420018</v>
      </c>
      <c r="F247" s="12" t="str">
        <f aca="false">IF($E247="","Unmatched","Matched")</f>
        <v>Matched</v>
      </c>
    </row>
    <row r="248" customFormat="false" ht="15" hidden="false" customHeight="true" outlineLevel="0" collapsed="false">
      <c r="A248" s="12" t="s">
        <v>506</v>
      </c>
      <c r="B248" s="12" t="n">
        <v>2025</v>
      </c>
      <c r="C248" s="12" t="n">
        <v>-3</v>
      </c>
      <c r="D248" s="12" t="n">
        <v>-158.7</v>
      </c>
      <c r="E248" s="12" t="n">
        <f aca="false">IFERROR(INDEX('Catalog'!$A:$A,MATCH($A248,'Catalog'!$B:$B,0)),IFERROR(INDEX('Catalog'!$A:$A,MATCH(TRIM(SUBSTITUTE($A248,CHAR(160)," ")),'Catalog'!$C:$C,0)),""))</f>
        <v>4420019</v>
      </c>
      <c r="F248" s="12" t="str">
        <f aca="false">IF($E248="","Unmatched","Matched")</f>
        <v>Matched</v>
      </c>
    </row>
    <row r="249" customFormat="false" ht="15" hidden="false" customHeight="true" outlineLevel="0" collapsed="false">
      <c r="A249" s="12" t="s">
        <v>507</v>
      </c>
      <c r="B249" s="12" t="n">
        <v>2025</v>
      </c>
      <c r="C249" s="12" t="n">
        <v>-3</v>
      </c>
      <c r="D249" s="12" t="n">
        <v>-158.7</v>
      </c>
      <c r="E249" s="12" t="n">
        <f aca="false">IFERROR(INDEX('Catalog'!$A:$A,MATCH($A249,'Catalog'!$B:$B,0)),IFERROR(INDEX('Catalog'!$A:$A,MATCH(TRIM(SUBSTITUTE($A249,CHAR(160)," ")),'Catalog'!$C:$C,0)),""))</f>
        <v>4420020</v>
      </c>
      <c r="F249" s="12" t="str">
        <f aca="false">IF($E249="","Unmatched","Matched")</f>
        <v>Matched</v>
      </c>
    </row>
    <row r="250" customFormat="false" ht="15" hidden="false" customHeight="true" outlineLevel="0" collapsed="false">
      <c r="A250" s="12" t="s">
        <v>404</v>
      </c>
      <c r="B250" s="12" t="n">
        <v>2025</v>
      </c>
      <c r="C250" s="12" t="n">
        <v>87</v>
      </c>
      <c r="D250" s="12" t="n">
        <v>1870.3</v>
      </c>
      <c r="E250" s="12" t="n">
        <f aca="false">IFERROR(INDEX('Catalog'!$A:$A,MATCH($A250,'Catalog'!$B:$B,0)),IFERROR(INDEX('Catalog'!$A:$A,MATCH(TRIM(SUBSTITUTE($A250,CHAR(160)," ")),'Catalog'!$C:$C,0)),""))</f>
        <v>4420022</v>
      </c>
      <c r="F250" s="12" t="str">
        <f aca="false">IF($E250="","Unmatched","Matched")</f>
        <v>Matched</v>
      </c>
    </row>
    <row r="251" customFormat="false" ht="15" hidden="false" customHeight="true" outlineLevel="0" collapsed="false">
      <c r="A251" s="12" t="s">
        <v>405</v>
      </c>
      <c r="B251" s="12" t="n">
        <v>2025</v>
      </c>
      <c r="C251" s="12" t="n">
        <v>4</v>
      </c>
      <c r="D251" s="12" t="n">
        <v>43.8</v>
      </c>
      <c r="E251" s="12" t="n">
        <f aca="false">IFERROR(INDEX('Catalog'!$A:$A,MATCH($A251,'Catalog'!$B:$B,0)),IFERROR(INDEX('Catalog'!$A:$A,MATCH(TRIM(SUBSTITUTE($A251,CHAR(160)," ")),'Catalog'!$C:$C,0)),""))</f>
        <v>4420023</v>
      </c>
      <c r="F251" s="12" t="str">
        <f aca="false">IF($E251="","Unmatched","Matched")</f>
        <v>Matched</v>
      </c>
    </row>
    <row r="252" customFormat="false" ht="15" hidden="false" customHeight="true" outlineLevel="0" collapsed="false">
      <c r="A252" s="12" t="s">
        <v>411</v>
      </c>
      <c r="B252" s="12" t="n">
        <v>2025</v>
      </c>
      <c r="C252" s="12" t="n">
        <v>57</v>
      </c>
      <c r="D252" s="12" t="n">
        <v>1110.8</v>
      </c>
      <c r="E252" s="12" t="n">
        <f aca="false">IFERROR(INDEX('Catalog'!$A:$A,MATCH($A252,'Catalog'!$B:$B,0)),IFERROR(INDEX('Catalog'!$A:$A,MATCH(TRIM(SUBSTITUTE($A252,CHAR(160)," ")),'Catalog'!$C:$C,0)),""))</f>
        <v>4420024</v>
      </c>
      <c r="F252" s="12" t="str">
        <f aca="false">IF($E252="","Unmatched","Matched")</f>
        <v>Matched</v>
      </c>
    </row>
    <row r="253" customFormat="false" ht="15" hidden="false" customHeight="true" outlineLevel="0" collapsed="false">
      <c r="A253" s="12" t="s">
        <v>406</v>
      </c>
      <c r="B253" s="12" t="n">
        <v>2025</v>
      </c>
      <c r="C253" s="12" t="n">
        <v>41</v>
      </c>
      <c r="D253" s="12" t="n">
        <v>869.5</v>
      </c>
      <c r="E253" s="12" t="n">
        <f aca="false">IFERROR(INDEX('Catalog'!$A:$A,MATCH($A253,'Catalog'!$B:$B,0)),IFERROR(INDEX('Catalog'!$A:$A,MATCH(TRIM(SUBSTITUTE($A253,CHAR(160)," ")),'Catalog'!$C:$C,0)),""))</f>
        <v>4420025</v>
      </c>
      <c r="F253" s="12" t="str">
        <f aca="false">IF($E253="","Unmatched","Matched")</f>
        <v>Matched</v>
      </c>
    </row>
    <row r="254" customFormat="false" ht="15" hidden="false" customHeight="true" outlineLevel="0" collapsed="false">
      <c r="A254" s="12" t="s">
        <v>556</v>
      </c>
      <c r="B254" s="12" t="n">
        <v>2025</v>
      </c>
      <c r="C254" s="12" t="n">
        <v>885</v>
      </c>
      <c r="D254" s="12" t="n">
        <v>14918.9</v>
      </c>
      <c r="E254" s="12" t="n">
        <f aca="false">IFERROR(INDEX('Catalog'!$A:$A,MATCH($A254,'Catalog'!$B:$B,0)),IFERROR(INDEX('Catalog'!$A:$A,MATCH(TRIM(SUBSTITUTE($A254,CHAR(160)," ")),'Catalog'!$C:$C,0)),""))</f>
        <v>4421000</v>
      </c>
      <c r="F254" s="12" t="str">
        <f aca="false">IF($E254="","Unmatched","Matched")</f>
        <v>Matched</v>
      </c>
    </row>
    <row r="255" customFormat="false" ht="15" hidden="false" customHeight="true" outlineLevel="0" collapsed="false">
      <c r="A255" s="12" t="s">
        <v>547</v>
      </c>
      <c r="B255" s="12" t="n">
        <v>2025</v>
      </c>
      <c r="C255" s="12" t="n">
        <v>59</v>
      </c>
      <c r="D255" s="12" t="n">
        <v>3304</v>
      </c>
      <c r="E255" s="12" t="n">
        <f aca="false">IFERROR(INDEX('Catalog'!$A:$A,MATCH($A255,'Catalog'!$B:$B,0)),IFERROR(INDEX('Catalog'!$A:$A,MATCH(TRIM(SUBSTITUTE($A255,CHAR(160)," ")),'Catalog'!$C:$C,0)),""))</f>
        <v>4421001</v>
      </c>
      <c r="F255" s="12" t="str">
        <f aca="false">IF($E255="","Unmatched","Matched")</f>
        <v>Matched</v>
      </c>
    </row>
    <row r="256" customFormat="false" ht="15" hidden="false" customHeight="true" outlineLevel="0" collapsed="false">
      <c r="A256" s="12" t="s">
        <v>838</v>
      </c>
      <c r="B256" s="12" t="n">
        <v>2025</v>
      </c>
      <c r="C256" s="12" t="n">
        <v>134</v>
      </c>
      <c r="D256" s="12" t="n">
        <v>2363.5</v>
      </c>
      <c r="E256" s="12" t="n">
        <f aca="false">IFERROR(INDEX('Catalog'!$A:$A,MATCH($A256,'Catalog'!$B:$B,0)),IFERROR(INDEX('Catalog'!$A:$A,MATCH(TRIM(SUBSTITUTE($A256,CHAR(160)," ")),'Catalog'!$C:$C,0)),""))</f>
        <v>4422000</v>
      </c>
      <c r="F256" s="12" t="str">
        <f aca="false">IF($E256="","Unmatched","Matched")</f>
        <v>Matched</v>
      </c>
    </row>
    <row r="257" customFormat="false" ht="15" hidden="false" customHeight="true" outlineLevel="0" collapsed="false">
      <c r="A257" s="12" t="s">
        <v>399</v>
      </c>
      <c r="B257" s="12" t="n">
        <v>2025</v>
      </c>
      <c r="C257" s="12" t="n">
        <v>5</v>
      </c>
      <c r="D257" s="12" t="n">
        <v>936.5</v>
      </c>
      <c r="E257" s="12" t="n">
        <f aca="false">IFERROR(INDEX('Catalog'!$A:$A,MATCH($A257,'Catalog'!$B:$B,0)),IFERROR(INDEX('Catalog'!$A:$A,MATCH(TRIM(SUBSTITUTE($A257,CHAR(160)," ")),'Catalog'!$C:$C,0)),""))</f>
        <v>4422005</v>
      </c>
      <c r="F257" s="12" t="str">
        <f aca="false">IF($E257="","Unmatched","Matched")</f>
        <v>Matched</v>
      </c>
    </row>
    <row r="258" customFormat="false" ht="15" hidden="false" customHeight="true" outlineLevel="0" collapsed="false">
      <c r="A258" s="12" t="s">
        <v>398</v>
      </c>
      <c r="B258" s="12" t="n">
        <v>2025</v>
      </c>
      <c r="C258" s="12" t="n">
        <v>2</v>
      </c>
      <c r="D258" s="12" t="n">
        <v>374.6</v>
      </c>
      <c r="E258" s="12" t="n">
        <f aca="false">IFERROR(INDEX('Catalog'!$A:$A,MATCH($A258,'Catalog'!$B:$B,0)),IFERROR(INDEX('Catalog'!$A:$A,MATCH(TRIM(SUBSTITUTE($A258,CHAR(160)," ")),'Catalog'!$C:$C,0)),""))</f>
        <v>4422006</v>
      </c>
      <c r="F258" s="12" t="str">
        <f aca="false">IF($E258="","Unmatched","Matched")</f>
        <v>Matched</v>
      </c>
    </row>
    <row r="259" customFormat="false" ht="15" hidden="false" customHeight="true" outlineLevel="0" collapsed="false">
      <c r="A259" s="12" t="s">
        <v>620</v>
      </c>
      <c r="B259" s="12" t="n">
        <v>2025</v>
      </c>
      <c r="C259" s="12" t="n">
        <v>367</v>
      </c>
      <c r="D259" s="12" t="n">
        <v>26702.9</v>
      </c>
      <c r="E259" s="12" t="n">
        <f aca="false">IFERROR(INDEX('Catalog'!$A:$A,MATCH($A259,'Catalog'!$B:$B,0)),IFERROR(INDEX('Catalog'!$A:$A,MATCH(TRIM(SUBSTITUTE($A259,CHAR(160)," ")),'Catalog'!$C:$C,0)),""))</f>
        <v>4415158</v>
      </c>
      <c r="F259" s="12" t="str">
        <f aca="false">IF($E259="","Unmatched","Matched")</f>
        <v>Matched</v>
      </c>
    </row>
    <row r="260" customFormat="false" ht="15" hidden="false" customHeight="true" outlineLevel="0" collapsed="false">
      <c r="A260" s="12" t="s">
        <v>631</v>
      </c>
      <c r="B260" s="12" t="n">
        <v>2025</v>
      </c>
      <c r="C260" s="12" t="n">
        <v>43</v>
      </c>
      <c r="D260" s="12" t="n">
        <v>4740.9</v>
      </c>
      <c r="E260" s="12" t="n">
        <f aca="false">IFERROR(INDEX('Catalog'!$A:$A,MATCH($A260,'Catalog'!$B:$B,0)),IFERROR(INDEX('Catalog'!$A:$A,MATCH(TRIM(SUBSTITUTE($A260,CHAR(160)," ")),'Catalog'!$C:$C,0)),""))</f>
        <v>4415159</v>
      </c>
      <c r="F260" s="12" t="str">
        <f aca="false">IF($E260="","Unmatched","Matched")</f>
        <v>Matched</v>
      </c>
    </row>
    <row r="261" customFormat="false" ht="15" hidden="false" customHeight="true" outlineLevel="0" collapsed="false">
      <c r="A261" s="12" t="s">
        <v>207</v>
      </c>
      <c r="B261" s="12" t="n">
        <v>2025</v>
      </c>
      <c r="C261" s="12" t="n">
        <v>141</v>
      </c>
      <c r="D261" s="12" t="n">
        <v>8026.5</v>
      </c>
      <c r="E261" s="12" t="n">
        <f aca="false">IFERROR(INDEX('Catalog'!$A:$A,MATCH($A261,'Catalog'!$B:$B,0)),IFERROR(INDEX('Catalog'!$A:$A,MATCH(TRIM(SUBSTITUTE($A261,CHAR(160)," ")),'Catalog'!$C:$C,0)),""))</f>
        <v>4403028</v>
      </c>
      <c r="F261" s="12" t="str">
        <f aca="false">IF($E261="","Unmatched","Matched")</f>
        <v>Matched</v>
      </c>
    </row>
    <row r="262" customFormat="false" ht="15" hidden="false" customHeight="true" outlineLevel="0" collapsed="false">
      <c r="A262" s="12" t="s">
        <v>208</v>
      </c>
      <c r="B262" s="12" t="n">
        <v>2025</v>
      </c>
      <c r="C262" s="12" t="n">
        <v>247</v>
      </c>
      <c r="D262" s="12" t="n">
        <v>14036.9</v>
      </c>
      <c r="E262" s="12" t="n">
        <f aca="false">IFERROR(INDEX('Catalog'!$A:$A,MATCH($A262,'Catalog'!$B:$B,0)),IFERROR(INDEX('Catalog'!$A:$A,MATCH(TRIM(SUBSTITUTE($A262,CHAR(160)," ")),'Catalog'!$C:$C,0)),""))</f>
        <v>4403029</v>
      </c>
      <c r="F262" s="12" t="str">
        <f aca="false">IF($E262="","Unmatched","Matched")</f>
        <v>Matched</v>
      </c>
    </row>
    <row r="263" customFormat="false" ht="15" hidden="false" customHeight="true" outlineLevel="0" collapsed="false">
      <c r="A263" s="12" t="s">
        <v>209</v>
      </c>
      <c r="B263" s="12" t="n">
        <v>2025</v>
      </c>
      <c r="C263" s="12" t="n">
        <v>149</v>
      </c>
      <c r="D263" s="12" t="n">
        <v>8467.7</v>
      </c>
      <c r="E263" s="12" t="n">
        <f aca="false">IFERROR(INDEX('Catalog'!$A:$A,MATCH($A263,'Catalog'!$B:$B,0)),IFERROR(INDEX('Catalog'!$A:$A,MATCH(TRIM(SUBSTITUTE($A263,CHAR(160)," ")),'Catalog'!$C:$C,0)),""))</f>
        <v>4403030</v>
      </c>
      <c r="F263" s="12" t="str">
        <f aca="false">IF($E263="","Unmatched","Matched")</f>
        <v>Matched</v>
      </c>
    </row>
    <row r="264" customFormat="false" ht="15" hidden="false" customHeight="true" outlineLevel="0" collapsed="false">
      <c r="A264" s="12" t="s">
        <v>237</v>
      </c>
      <c r="B264" s="12" t="n">
        <v>2025</v>
      </c>
      <c r="C264" s="12" t="n">
        <v>18</v>
      </c>
      <c r="D264" s="12" t="n">
        <v>1603.4</v>
      </c>
      <c r="E264" s="12" t="n">
        <f aca="false">IFERROR(INDEX('Catalog'!$A:$A,MATCH($A264,'Catalog'!$B:$B,0)),IFERROR(INDEX('Catalog'!$A:$A,MATCH(TRIM(SUBSTITUTE($A264,CHAR(160)," ")),'Catalog'!$C:$C,0)),""))</f>
        <v>4408219</v>
      </c>
      <c r="F264" s="12" t="str">
        <f aca="false">IF($E264="","Unmatched","Matched")</f>
        <v>Matched</v>
      </c>
    </row>
    <row r="265" customFormat="false" ht="15" hidden="false" customHeight="true" outlineLevel="0" collapsed="false">
      <c r="A265" s="12" t="s">
        <v>236</v>
      </c>
      <c r="B265" s="12" t="n">
        <v>2025</v>
      </c>
      <c r="C265" s="12" t="n">
        <v>78</v>
      </c>
      <c r="D265" s="12" t="n">
        <v>7740</v>
      </c>
      <c r="E265" s="12" t="n">
        <f aca="false">IFERROR(INDEX('Catalog'!$A:$A,MATCH($A265,'Catalog'!$B:$B,0)),IFERROR(INDEX('Catalog'!$A:$A,MATCH(TRIM(SUBSTITUTE($A265,CHAR(160)," ")),'Catalog'!$C:$C,0)),""))</f>
        <v>4408220</v>
      </c>
      <c r="F265" s="12" t="str">
        <f aca="false">IF($E265="","Unmatched","Matched")</f>
        <v>Matched</v>
      </c>
    </row>
    <row r="266" customFormat="false" ht="15" hidden="false" customHeight="true" outlineLevel="0" collapsed="false">
      <c r="A266" s="12" t="s">
        <v>235</v>
      </c>
      <c r="B266" s="12" t="n">
        <v>2025</v>
      </c>
      <c r="C266" s="12" t="n">
        <v>146</v>
      </c>
      <c r="D266" s="12" t="n">
        <v>14487.6</v>
      </c>
      <c r="E266" s="12" t="n">
        <f aca="false">IFERROR(INDEX('Catalog'!$A:$A,MATCH($A266,'Catalog'!$B:$B,0)),IFERROR(INDEX('Catalog'!$A:$A,MATCH(TRIM(SUBSTITUTE($A266,CHAR(160)," ")),'Catalog'!$C:$C,0)),""))</f>
        <v>4408221</v>
      </c>
      <c r="F266" s="12" t="str">
        <f aca="false">IF($E266="","Unmatched","Matched")</f>
        <v>Matched</v>
      </c>
    </row>
    <row r="267" customFormat="false" ht="15" hidden="false" customHeight="true" outlineLevel="0" collapsed="false">
      <c r="A267" s="12" t="s">
        <v>238</v>
      </c>
      <c r="B267" s="12" t="n">
        <v>2025</v>
      </c>
      <c r="C267" s="12" t="n">
        <v>97</v>
      </c>
      <c r="D267" s="12" t="n">
        <v>9625.3</v>
      </c>
      <c r="E267" s="12" t="n">
        <f aca="false">IFERROR(INDEX('Catalog'!$A:$A,MATCH($A267,'Catalog'!$B:$B,0)),IFERROR(INDEX('Catalog'!$A:$A,MATCH(TRIM(SUBSTITUTE($A267,CHAR(160)," ")),'Catalog'!$C:$C,0)),""))</f>
        <v>4408222</v>
      </c>
      <c r="F267" s="12" t="str">
        <f aca="false">IF($E267="","Unmatched","Matched")</f>
        <v>Matched</v>
      </c>
    </row>
    <row r="268" customFormat="false" ht="15" hidden="false" customHeight="true" outlineLevel="0" collapsed="false">
      <c r="A268" s="12" t="s">
        <v>239</v>
      </c>
      <c r="B268" s="12" t="n">
        <v>2025</v>
      </c>
      <c r="C268" s="12" t="n">
        <v>60</v>
      </c>
      <c r="D268" s="12" t="n">
        <v>5953.8</v>
      </c>
      <c r="E268" s="12" t="n">
        <f aca="false">IFERROR(INDEX('Catalog'!$A:$A,MATCH($A268,'Catalog'!$B:$B,0)),IFERROR(INDEX('Catalog'!$A:$A,MATCH(TRIM(SUBSTITUTE($A268,CHAR(160)," ")),'Catalog'!$C:$C,0)),""))</f>
        <v>4408223</v>
      </c>
      <c r="F268" s="12" t="str">
        <f aca="false">IF($E268="","Unmatched","Matched")</f>
        <v>Matched</v>
      </c>
    </row>
    <row r="269" customFormat="false" ht="15" hidden="false" customHeight="true" outlineLevel="0" collapsed="false">
      <c r="A269" s="12" t="s">
        <v>307</v>
      </c>
      <c r="B269" s="12" t="n">
        <v>2025</v>
      </c>
      <c r="C269" s="12" t="n">
        <v>4</v>
      </c>
      <c r="D269" s="12" t="n">
        <v>435.7</v>
      </c>
      <c r="E269" s="12" t="n">
        <f aca="false">IFERROR(INDEX('Catalog'!$A:$A,MATCH($A269,'Catalog'!$B:$B,0)),IFERROR(INDEX('Catalog'!$A:$A,MATCH(TRIM(SUBSTITUTE($A269,CHAR(160)," ")),'Catalog'!$C:$C,0)),""))</f>
        <v>4408230</v>
      </c>
      <c r="F269" s="12" t="str">
        <f aca="false">IF($E269="","Unmatched","Matched")</f>
        <v>Matched</v>
      </c>
    </row>
    <row r="270" customFormat="false" ht="15" hidden="false" customHeight="true" outlineLevel="0" collapsed="false">
      <c r="A270" s="12" t="s">
        <v>308</v>
      </c>
      <c r="B270" s="12" t="n">
        <v>2025</v>
      </c>
      <c r="C270" s="12" t="n">
        <v>3</v>
      </c>
      <c r="D270" s="12" t="n">
        <v>326.8</v>
      </c>
      <c r="E270" s="12" t="n">
        <f aca="false">IFERROR(INDEX('Catalog'!$A:$A,MATCH($A270,'Catalog'!$B:$B,0)),IFERROR(INDEX('Catalog'!$A:$A,MATCH(TRIM(SUBSTITUTE($A270,CHAR(160)," ")),'Catalog'!$C:$C,0)),""))</f>
        <v>4408231</v>
      </c>
      <c r="F270" s="12" t="str">
        <f aca="false">IF($E270="","Unmatched","Matched")</f>
        <v>Matched</v>
      </c>
    </row>
    <row r="271" customFormat="false" ht="15" hidden="false" customHeight="true" outlineLevel="0" collapsed="false">
      <c r="A271" s="12" t="s">
        <v>231</v>
      </c>
      <c r="B271" s="12" t="n">
        <v>2025</v>
      </c>
      <c r="C271" s="12" t="n">
        <v>-3</v>
      </c>
      <c r="D271" s="12" t="n">
        <v>-297.7</v>
      </c>
      <c r="E271" s="12" t="n">
        <f aca="false">IFERROR(INDEX('Catalog'!$A:$A,MATCH($A271,'Catalog'!$B:$B,0)),IFERROR(INDEX('Catalog'!$A:$A,MATCH(TRIM(SUBSTITUTE($A271,CHAR(160)," ")),'Catalog'!$C:$C,0)),""))</f>
        <v>4408234</v>
      </c>
      <c r="F271" s="12" t="str">
        <f aca="false">IF($E271="","Unmatched","Matched")</f>
        <v>Matched</v>
      </c>
    </row>
    <row r="272" customFormat="false" ht="15" hidden="false" customHeight="true" outlineLevel="0" collapsed="false">
      <c r="A272" s="12" t="s">
        <v>232</v>
      </c>
      <c r="B272" s="12" t="n">
        <v>2025</v>
      </c>
      <c r="C272" s="12" t="n">
        <v>-1</v>
      </c>
      <c r="D272" s="12" t="n">
        <v>-99.2</v>
      </c>
      <c r="E272" s="12" t="n">
        <f aca="false">IFERROR(INDEX('Catalog'!$A:$A,MATCH($A272,'Catalog'!$B:$B,0)),IFERROR(INDEX('Catalog'!$A:$A,MATCH(TRIM(SUBSTITUTE($A272,CHAR(160)," ")),'Catalog'!$C:$C,0)),""))</f>
        <v>4408235</v>
      </c>
      <c r="F272" s="12" t="str">
        <f aca="false">IF($E272="","Unmatched","Matched")</f>
        <v>Matched</v>
      </c>
    </row>
    <row r="273" customFormat="false" ht="15" hidden="false" customHeight="true" outlineLevel="0" collapsed="false">
      <c r="A273" s="12" t="s">
        <v>233</v>
      </c>
      <c r="B273" s="12" t="n">
        <v>2025</v>
      </c>
      <c r="C273" s="12" t="n">
        <v>-1</v>
      </c>
      <c r="D273" s="12" t="n">
        <v>-99.2</v>
      </c>
      <c r="E273" s="12" t="n">
        <f aca="false">IFERROR(INDEX('Catalog'!$A:$A,MATCH($A273,'Catalog'!$B:$B,0)),IFERROR(INDEX('Catalog'!$A:$A,MATCH(TRIM(SUBSTITUTE($A273,CHAR(160)," ")),'Catalog'!$C:$C,0)),""))</f>
        <v>4408236</v>
      </c>
      <c r="F273" s="12" t="str">
        <f aca="false">IF($E273="","Unmatched","Matched")</f>
        <v>Matched</v>
      </c>
    </row>
    <row r="274" customFormat="false" ht="15" hidden="false" customHeight="true" outlineLevel="0" collapsed="false">
      <c r="A274" s="12" t="s">
        <v>343</v>
      </c>
      <c r="B274" s="12" t="n">
        <v>2025</v>
      </c>
      <c r="C274" s="12" t="n">
        <v>218</v>
      </c>
      <c r="D274" s="12" t="n">
        <v>3357.2</v>
      </c>
      <c r="E274" s="12" t="n">
        <f aca="false">IFERROR(INDEX('Catalog'!$A:$A,MATCH($A274,'Catalog'!$B:$B,0)),IFERROR(INDEX('Catalog'!$A:$A,MATCH(TRIM(SUBSTITUTE($A274,CHAR(160)," ")),'Catalog'!$C:$C,0)),""))</f>
        <v>4409011</v>
      </c>
      <c r="F274" s="12" t="str">
        <f aca="false">IF($E274="","Unmatched","Matched")</f>
        <v>Matched</v>
      </c>
    </row>
    <row r="275" customFormat="false" ht="15" hidden="false" customHeight="true" outlineLevel="0" collapsed="false">
      <c r="A275" s="12" t="s">
        <v>344</v>
      </c>
      <c r="B275" s="12" t="n">
        <v>2025</v>
      </c>
      <c r="C275" s="12" t="n">
        <v>282</v>
      </c>
      <c r="D275" s="12" t="n">
        <v>4342.8</v>
      </c>
      <c r="E275" s="12" t="n">
        <f aca="false">IFERROR(INDEX('Catalog'!$A:$A,MATCH($A275,'Catalog'!$B:$B,0)),IFERROR(INDEX('Catalog'!$A:$A,MATCH(TRIM(SUBSTITUTE($A275,CHAR(160)," ")),'Catalog'!$C:$C,0)),""))</f>
        <v>4409013</v>
      </c>
      <c r="F275" s="12" t="str">
        <f aca="false">IF($E275="","Unmatched","Matched")</f>
        <v>Matched</v>
      </c>
    </row>
    <row r="276" customFormat="false" ht="15" hidden="false" customHeight="true" outlineLevel="0" collapsed="false">
      <c r="A276" s="12" t="s">
        <v>354</v>
      </c>
      <c r="B276" s="12" t="n">
        <v>2025</v>
      </c>
      <c r="C276" s="12" t="n">
        <v>256</v>
      </c>
      <c r="D276" s="12" t="n">
        <v>11284.4</v>
      </c>
      <c r="E276" s="12" t="n">
        <f aca="false">IFERROR(INDEX('Catalog'!$A:$A,MATCH($A276,'Catalog'!$B:$B,0)),IFERROR(INDEX('Catalog'!$A:$A,MATCH(TRIM(SUBSTITUTE($A276,CHAR(160)," ")),'Catalog'!$C:$C,0)),""))</f>
        <v>4409014</v>
      </c>
      <c r="F276" s="12" t="str">
        <f aca="false">IF($E276="","Unmatched","Matched")</f>
        <v>Matched</v>
      </c>
    </row>
    <row r="277" customFormat="false" ht="15" hidden="false" customHeight="true" outlineLevel="0" collapsed="false">
      <c r="A277" s="12" t="s">
        <v>353</v>
      </c>
      <c r="B277" s="12" t="n">
        <v>2025</v>
      </c>
      <c r="C277" s="12" t="n">
        <v>-1</v>
      </c>
      <c r="D277" s="12" t="n">
        <v>-63.1</v>
      </c>
      <c r="E277" s="12" t="n">
        <f aca="false">IFERROR(INDEX('Catalog'!$A:$A,MATCH($A277,'Catalog'!$B:$B,0)),IFERROR(INDEX('Catalog'!$A:$A,MATCH(TRIM(SUBSTITUTE($A277,CHAR(160)," ")),'Catalog'!$C:$C,0)),""))</f>
        <v>4409016</v>
      </c>
      <c r="F277" s="12" t="str">
        <f aca="false">IF($E277="","Unmatched","Matched")</f>
        <v>Matched</v>
      </c>
    </row>
    <row r="278" customFormat="false" ht="15" hidden="false" customHeight="true" outlineLevel="0" collapsed="false">
      <c r="A278" s="12" t="s">
        <v>536</v>
      </c>
      <c r="B278" s="12" t="n">
        <v>2025</v>
      </c>
      <c r="C278" s="12" t="n">
        <v>84</v>
      </c>
      <c r="D278" s="12" t="n">
        <v>7310.5</v>
      </c>
      <c r="E278" s="12" t="n">
        <f aca="false">IFERROR(INDEX('Catalog'!$A:$A,MATCH($A278,'Catalog'!$B:$B,0)),IFERROR(INDEX('Catalog'!$A:$A,MATCH(TRIM(SUBSTITUTE($A278,CHAR(160)," ")),'Catalog'!$C:$C,0)),""))</f>
        <v>4411016</v>
      </c>
      <c r="F278" s="12" t="str">
        <f aca="false">IF($E278="","Unmatched","Matched")</f>
        <v>Matched</v>
      </c>
    </row>
    <row r="279" customFormat="false" ht="15" hidden="false" customHeight="true" outlineLevel="0" collapsed="false">
      <c r="A279" s="12" t="s">
        <v>415</v>
      </c>
      <c r="B279" s="12" t="n">
        <v>2025</v>
      </c>
      <c r="C279" s="12" t="n">
        <v>187</v>
      </c>
      <c r="D279" s="12" t="n">
        <v>12070.4</v>
      </c>
      <c r="E279" s="12" t="n">
        <f aca="false">IFERROR(INDEX('Catalog'!$A:$A,MATCH($A279,'Catalog'!$B:$B,0)),IFERROR(INDEX('Catalog'!$A:$A,MATCH(TRIM(SUBSTITUTE($A279,CHAR(160)," ")),'Catalog'!$C:$C,0)),""))</f>
        <v>4413348</v>
      </c>
      <c r="F279" s="12" t="str">
        <f aca="false">IF($E279="","Unmatched","Matched")</f>
        <v>Matched</v>
      </c>
    </row>
    <row r="280" customFormat="false" ht="15" hidden="false" customHeight="true" outlineLevel="0" collapsed="false">
      <c r="A280" s="12" t="s">
        <v>494</v>
      </c>
      <c r="B280" s="12" t="n">
        <v>2025</v>
      </c>
      <c r="C280" s="12" t="n">
        <v>121</v>
      </c>
      <c r="D280" s="12" t="n">
        <v>3355</v>
      </c>
      <c r="E280" s="12" t="n">
        <f aca="false">IFERROR(INDEX('Catalog'!$A:$A,MATCH($A280,'Catalog'!$B:$B,0)),IFERROR(INDEX('Catalog'!$A:$A,MATCH(TRIM(SUBSTITUTE($A280,CHAR(160)," ")),'Catalog'!$C:$C,0)),""))</f>
        <v>4413364</v>
      </c>
      <c r="F280" s="12" t="str">
        <f aca="false">IF($E280="","Unmatched","Matched")</f>
        <v>Matched</v>
      </c>
    </row>
    <row r="281" customFormat="false" ht="15" hidden="false" customHeight="true" outlineLevel="0" collapsed="false">
      <c r="A281" s="12" t="s">
        <v>493</v>
      </c>
      <c r="B281" s="12" t="n">
        <v>2025</v>
      </c>
      <c r="C281" s="12" t="n">
        <v>107</v>
      </c>
      <c r="D281" s="12" t="n">
        <v>2970.4</v>
      </c>
      <c r="E281" s="12" t="n">
        <f aca="false">IFERROR(INDEX('Catalog'!$A:$A,MATCH($A281,'Catalog'!$B:$B,0)),IFERROR(INDEX('Catalog'!$A:$A,MATCH(TRIM(SUBSTITUTE($A281,CHAR(160)," ")),'Catalog'!$C:$C,0)),""))</f>
        <v>4413365</v>
      </c>
      <c r="F281" s="12" t="str">
        <f aca="false">IF($E281="","Unmatched","Matched")</f>
        <v>Matched</v>
      </c>
    </row>
    <row r="282" customFormat="false" ht="15" hidden="false" customHeight="true" outlineLevel="0" collapsed="false">
      <c r="A282" s="12" t="s">
        <v>495</v>
      </c>
      <c r="B282" s="12" t="n">
        <v>2025</v>
      </c>
      <c r="C282" s="12" t="n">
        <v>109</v>
      </c>
      <c r="D282" s="12" t="n">
        <v>3023.9</v>
      </c>
      <c r="E282" s="12" t="n">
        <f aca="false">IFERROR(INDEX('Catalog'!$A:$A,MATCH($A282,'Catalog'!$B:$B,0)),IFERROR(INDEX('Catalog'!$A:$A,MATCH(TRIM(SUBSTITUTE($A282,CHAR(160)," ")),'Catalog'!$C:$C,0)),""))</f>
        <v>4413366</v>
      </c>
      <c r="F282" s="12" t="str">
        <f aca="false">IF($E282="","Unmatched","Matched")</f>
        <v>Matched</v>
      </c>
    </row>
    <row r="283" customFormat="false" ht="15" hidden="false" customHeight="true" outlineLevel="0" collapsed="false">
      <c r="A283" s="12" t="s">
        <v>496</v>
      </c>
      <c r="B283" s="12" t="n">
        <v>2025</v>
      </c>
      <c r="C283" s="12" t="n">
        <v>47</v>
      </c>
      <c r="D283" s="12" t="n">
        <v>1302.7</v>
      </c>
      <c r="E283" s="12" t="n">
        <f aca="false">IFERROR(INDEX('Catalog'!$A:$A,MATCH($A283,'Catalog'!$B:$B,0)),IFERROR(INDEX('Catalog'!$A:$A,MATCH(TRIM(SUBSTITUTE($A283,CHAR(160)," ")),'Catalog'!$C:$C,0)),""))</f>
        <v>4413367</v>
      </c>
      <c r="F283" s="12" t="str">
        <f aca="false">IF($E283="","Unmatched","Matched")</f>
        <v>Matched</v>
      </c>
    </row>
    <row r="284" customFormat="false" ht="15" hidden="false" customHeight="true" outlineLevel="0" collapsed="false">
      <c r="A284" s="12" t="s">
        <v>497</v>
      </c>
      <c r="B284" s="12" t="n">
        <v>2025</v>
      </c>
      <c r="C284" s="12" t="n">
        <v>44</v>
      </c>
      <c r="D284" s="12" t="n">
        <v>1221.4</v>
      </c>
      <c r="E284" s="12" t="n">
        <f aca="false">IFERROR(INDEX('Catalog'!$A:$A,MATCH($A284,'Catalog'!$B:$B,0)),IFERROR(INDEX('Catalog'!$A:$A,MATCH(TRIM(SUBSTITUTE($A284,CHAR(160)," ")),'Catalog'!$C:$C,0)),""))</f>
        <v>4413368</v>
      </c>
      <c r="F284" s="12" t="str">
        <f aca="false">IF($E284="","Unmatched","Matched")</f>
        <v>Matched</v>
      </c>
    </row>
    <row r="285" customFormat="false" ht="15" hidden="false" customHeight="true" outlineLevel="0" collapsed="false">
      <c r="A285" s="12" t="s">
        <v>560</v>
      </c>
      <c r="B285" s="12" t="n">
        <v>2025</v>
      </c>
      <c r="C285" s="12" t="n">
        <v>142</v>
      </c>
      <c r="D285" s="12" t="n">
        <v>5326.8</v>
      </c>
      <c r="E285" s="12" t="n">
        <f aca="false">IFERROR(INDEX('Catalog'!$A:$A,MATCH($A285,'Catalog'!$B:$B,0)),IFERROR(INDEX('Catalog'!$A:$A,MATCH(TRIM(SUBSTITUTE($A285,CHAR(160)," ")),'Catalog'!$C:$C,0)),""))</f>
        <v>4413370</v>
      </c>
      <c r="F285" s="12" t="str">
        <f aca="false">IF($E285="","Unmatched","Matched")</f>
        <v>Matched</v>
      </c>
    </row>
    <row r="286" customFormat="false" ht="15" hidden="false" customHeight="true" outlineLevel="0" collapsed="false">
      <c r="A286" s="12" t="s">
        <v>561</v>
      </c>
      <c r="B286" s="12" t="n">
        <v>2025</v>
      </c>
      <c r="C286" s="12" t="n">
        <v>17</v>
      </c>
      <c r="D286" s="12" t="n">
        <v>467.8</v>
      </c>
      <c r="E286" s="12" t="n">
        <f aca="false">IFERROR(INDEX('Catalog'!$A:$A,MATCH($A286,'Catalog'!$B:$B,0)),IFERROR(INDEX('Catalog'!$A:$A,MATCH(TRIM(SUBSTITUTE($A286,CHAR(160)," ")),'Catalog'!$C:$C,0)),""))</f>
        <v>4413371</v>
      </c>
      <c r="F286" s="12" t="str">
        <f aca="false">IF($E286="","Unmatched","Matched")</f>
        <v>Matched</v>
      </c>
    </row>
    <row r="287" customFormat="false" ht="15" hidden="false" customHeight="true" outlineLevel="0" collapsed="false">
      <c r="A287" s="12" t="s">
        <v>414</v>
      </c>
      <c r="B287" s="12" t="n">
        <v>2025</v>
      </c>
      <c r="C287" s="12" t="n">
        <v>99</v>
      </c>
      <c r="D287" s="12" t="n">
        <v>6382</v>
      </c>
      <c r="E287" s="12" t="n">
        <f aca="false">IFERROR(INDEX('Catalog'!$A:$A,MATCH($A287,'Catalog'!$B:$B,0)),IFERROR(INDEX('Catalog'!$A:$A,MATCH(TRIM(SUBSTITUTE($A287,CHAR(160)," ")),'Catalog'!$C:$C,0)),""))</f>
        <v>4413372</v>
      </c>
      <c r="F287" s="12" t="str">
        <f aca="false">IF($E287="","Unmatched","Matched")</f>
        <v>Matched</v>
      </c>
    </row>
    <row r="288" customFormat="false" ht="15" hidden="false" customHeight="true" outlineLevel="0" collapsed="false">
      <c r="A288" s="12" t="s">
        <v>607</v>
      </c>
      <c r="B288" s="12" t="n">
        <v>2025</v>
      </c>
      <c r="C288" s="12" t="n">
        <v>470</v>
      </c>
      <c r="D288" s="12" t="n">
        <v>7238</v>
      </c>
      <c r="E288" s="12" t="n">
        <f aca="false">IFERROR(INDEX('Catalog'!$A:$A,MATCH($A288,'Catalog'!$B:$B,0)),IFERROR(INDEX('Catalog'!$A:$A,MATCH(TRIM(SUBSTITUTE($A288,CHAR(160)," ")),'Catalog'!$C:$C,0)),""))</f>
        <v>4415160</v>
      </c>
      <c r="F288" s="12" t="str">
        <f aca="false">IF($E288="","Unmatched","Matched")</f>
        <v>Matched</v>
      </c>
    </row>
    <row r="289" customFormat="false" ht="15" hidden="false" customHeight="true" outlineLevel="0" collapsed="false">
      <c r="A289" s="12" t="s">
        <v>606</v>
      </c>
      <c r="B289" s="12" t="n">
        <v>2025</v>
      </c>
      <c r="C289" s="12" t="n">
        <v>577</v>
      </c>
      <c r="D289" s="12" t="n">
        <v>8885.8</v>
      </c>
      <c r="E289" s="12" t="n">
        <f aca="false">IFERROR(INDEX('Catalog'!$A:$A,MATCH($A289,'Catalog'!$B:$B,0)),IFERROR(INDEX('Catalog'!$A:$A,MATCH(TRIM(SUBSTITUTE($A289,CHAR(160)," ")),'Catalog'!$C:$C,0)),""))</f>
        <v>4415161</v>
      </c>
      <c r="F289" s="12" t="str">
        <f aca="false">IF($E289="","Unmatched","Matched")</f>
        <v>Matched</v>
      </c>
    </row>
    <row r="290" customFormat="false" ht="15" hidden="false" customHeight="true" outlineLevel="0" collapsed="false">
      <c r="A290" s="12" t="s">
        <v>605</v>
      </c>
      <c r="B290" s="12" t="n">
        <v>2025</v>
      </c>
      <c r="C290" s="12" t="n">
        <v>596</v>
      </c>
      <c r="D290" s="12" t="n">
        <v>9178.4</v>
      </c>
      <c r="E290" s="12" t="n">
        <f aca="false">IFERROR(INDEX('Catalog'!$A:$A,MATCH($A290,'Catalog'!$B:$B,0)),IFERROR(INDEX('Catalog'!$A:$A,MATCH(TRIM(SUBSTITUTE($A290,CHAR(160)," ")),'Catalog'!$C:$C,0)),""))</f>
        <v>4415162</v>
      </c>
      <c r="F290" s="12" t="str">
        <f aca="false">IF($E290="","Unmatched","Matched")</f>
        <v>Matched</v>
      </c>
    </row>
    <row r="291" customFormat="false" ht="15" hidden="false" customHeight="true" outlineLevel="0" collapsed="false">
      <c r="A291" s="12" t="s">
        <v>608</v>
      </c>
      <c r="B291" s="12" t="n">
        <v>2025</v>
      </c>
      <c r="C291" s="12" t="n">
        <v>249</v>
      </c>
      <c r="D291" s="12" t="n">
        <v>3834.6</v>
      </c>
      <c r="E291" s="12" t="n">
        <f aca="false">IFERROR(INDEX('Catalog'!$A:$A,MATCH($A291,'Catalog'!$B:$B,0)),IFERROR(INDEX('Catalog'!$A:$A,MATCH(TRIM(SUBSTITUTE($A291,CHAR(160)," ")),'Catalog'!$C:$C,0)),""))</f>
        <v>4415163</v>
      </c>
      <c r="F291" s="12" t="str">
        <f aca="false">IF($E291="","Unmatched","Matched")</f>
        <v>Matched</v>
      </c>
    </row>
    <row r="292" customFormat="false" ht="15" hidden="false" customHeight="true" outlineLevel="0" collapsed="false">
      <c r="A292" s="12" t="s">
        <v>559</v>
      </c>
      <c r="B292" s="12" t="n">
        <v>2025</v>
      </c>
      <c r="C292" s="12" t="n">
        <v>98</v>
      </c>
      <c r="D292" s="12" t="n">
        <v>3049.7</v>
      </c>
      <c r="E292" s="12" t="n">
        <f aca="false">IFERROR(INDEX('Catalog'!$A:$A,MATCH($A292,'Catalog'!$B:$B,0)),IFERROR(INDEX('Catalog'!$A:$A,MATCH(TRIM(SUBSTITUTE($A292,CHAR(160)," ")),'Catalog'!$C:$C,0)),""))</f>
        <v>4421003</v>
      </c>
      <c r="F292" s="12" t="str">
        <f aca="false">IF($E292="","Unmatched","Matched")</f>
        <v>Matched</v>
      </c>
    </row>
    <row r="293" customFormat="false" ht="15" hidden="false" customHeight="true" outlineLevel="0" collapsed="false">
      <c r="A293" s="12" t="s">
        <v>839</v>
      </c>
      <c r="B293" s="12" t="n">
        <v>2025</v>
      </c>
      <c r="C293" s="12" t="n">
        <v>797</v>
      </c>
      <c r="D293" s="12" t="n">
        <v>8758.2</v>
      </c>
      <c r="E293" s="12" t="n">
        <f aca="false">IFERROR(INDEX('Catalog'!$A:$A,MATCH($A293,'Catalog'!$B:$B,0)),IFERROR(INDEX('Catalog'!$A:$A,MATCH(TRIM(SUBSTITUTE($A293,CHAR(160)," ")),'Catalog'!$C:$C,0)),""))</f>
        <v>4422023</v>
      </c>
      <c r="F293" s="12" t="str">
        <f aca="false">IF($E293="","Unmatched","Matched")</f>
        <v>Matched</v>
      </c>
    </row>
    <row r="294" customFormat="false" ht="15" hidden="false" customHeight="true" outlineLevel="0" collapsed="false">
      <c r="A294" s="12" t="s">
        <v>840</v>
      </c>
      <c r="B294" s="12" t="n">
        <v>2025</v>
      </c>
      <c r="C294" s="12" t="n">
        <v>602</v>
      </c>
      <c r="D294" s="12" t="n">
        <v>6613.9</v>
      </c>
      <c r="E294" s="12" t="n">
        <f aca="false">IFERROR(INDEX('Catalog'!$A:$A,MATCH($A294,'Catalog'!$B:$B,0)),IFERROR(INDEX('Catalog'!$A:$A,MATCH(TRIM(SUBSTITUTE($A294,CHAR(160)," ")),'Catalog'!$C:$C,0)),""))</f>
        <v>4422024</v>
      </c>
      <c r="F294" s="12" t="str">
        <f aca="false">IF($E294="","Unmatched","Matched")</f>
        <v>Matched</v>
      </c>
    </row>
    <row r="295" customFormat="false" ht="15" hidden="false" customHeight="true" outlineLevel="0" collapsed="false">
      <c r="A295" s="12" t="s">
        <v>841</v>
      </c>
      <c r="B295" s="12" t="n">
        <v>2025</v>
      </c>
      <c r="C295" s="12" t="n">
        <v>273</v>
      </c>
      <c r="D295" s="12" t="n">
        <v>2997.5</v>
      </c>
      <c r="E295" s="12" t="n">
        <f aca="false">IFERROR(INDEX('Catalog'!$A:$A,MATCH($A295,'Catalog'!$B:$B,0)),IFERROR(INDEX('Catalog'!$A:$A,MATCH(TRIM(SUBSTITUTE($A295,CHAR(160)," ")),'Catalog'!$C:$C,0)),""))</f>
        <v>4422025</v>
      </c>
      <c r="F295" s="12" t="str">
        <f aca="false">IF($E295="","Unmatched","Matched")</f>
        <v>Matched</v>
      </c>
    </row>
    <row r="296" customFormat="false" ht="15" hidden="false" customHeight="true" outlineLevel="0" collapsed="false">
      <c r="A296" s="12" t="s">
        <v>842</v>
      </c>
      <c r="B296" s="12" t="n">
        <v>2025</v>
      </c>
      <c r="C296" s="12" t="n">
        <v>355</v>
      </c>
      <c r="D296" s="12" t="n">
        <v>3897.9</v>
      </c>
      <c r="E296" s="12" t="n">
        <f aca="false">IFERROR(INDEX('Catalog'!$A:$A,MATCH($A296,'Catalog'!$B:$B,0)),IFERROR(INDEX('Catalog'!$A:$A,MATCH(TRIM(SUBSTITUTE($A296,CHAR(160)," ")),'Catalog'!$C:$C,0)),""))</f>
        <v>4422026</v>
      </c>
      <c r="F296" s="12" t="str">
        <f aca="false">IF($E296="","Unmatched","Matched")</f>
        <v>Matched</v>
      </c>
    </row>
    <row r="297" customFormat="false" ht="15" hidden="false" customHeight="true" outlineLevel="0" collapsed="false">
      <c r="A297" s="12" t="s">
        <v>813</v>
      </c>
      <c r="B297" s="12" t="n">
        <v>2025</v>
      </c>
      <c r="C297" s="12" t="n">
        <v>1</v>
      </c>
      <c r="D297" s="12" t="n">
        <v>70.5</v>
      </c>
      <c r="E297" s="12" t="n">
        <f aca="false">IFERROR(INDEX('Catalog'!$A:$A,MATCH($A297,'Catalog'!$B:$B,0)),IFERROR(INDEX('Catalog'!$A:$A,MATCH(TRIM(SUBSTITUTE($A297,CHAR(160)," ")),'Catalog'!$C:$C,0)),""))</f>
        <v>4408247</v>
      </c>
      <c r="F297" s="12" t="str">
        <f aca="false">IF($E297="","Unmatched","Matched")</f>
        <v>Matched</v>
      </c>
    </row>
    <row r="298" customFormat="false" ht="15" hidden="false" customHeight="true" outlineLevel="0" collapsed="false">
      <c r="A298" s="12" t="s">
        <v>812</v>
      </c>
      <c r="B298" s="12" t="n">
        <v>2025</v>
      </c>
      <c r="C298" s="12" t="n">
        <v>3</v>
      </c>
      <c r="D298" s="12" t="n">
        <v>197.1</v>
      </c>
      <c r="E298" s="12" t="n">
        <f aca="false">IFERROR(INDEX('Catalog'!$A:$A,MATCH($A298,'Catalog'!$B:$B,0)),IFERROR(INDEX('Catalog'!$A:$A,MATCH(TRIM(SUBSTITUTE($A298,CHAR(160)," ")),'Catalog'!$C:$C,0)),""))</f>
        <v>4408248</v>
      </c>
      <c r="F298" s="12" t="str">
        <f aca="false">IF($E298="","Unmatched","Matched")</f>
        <v>Matched</v>
      </c>
    </row>
    <row r="299" customFormat="false" ht="15" hidden="false" customHeight="true" outlineLevel="0" collapsed="false">
      <c r="A299" s="12" t="s">
        <v>811</v>
      </c>
      <c r="B299" s="12" t="n">
        <v>2025</v>
      </c>
      <c r="C299" s="12" t="n">
        <v>1</v>
      </c>
      <c r="D299" s="12" t="n">
        <v>-30.8</v>
      </c>
      <c r="E299" s="12" t="n">
        <f aca="false">IFERROR(INDEX('Catalog'!$A:$A,MATCH($A299,'Catalog'!$B:$B,0)),IFERROR(INDEX('Catalog'!$A:$A,MATCH(TRIM(SUBSTITUTE($A299,CHAR(160)," ")),'Catalog'!$C:$C,0)),""))</f>
        <v>4408249</v>
      </c>
      <c r="F299" s="12" t="str">
        <f aca="false">IF($E299="","Unmatched","Matched")</f>
        <v>Matched</v>
      </c>
    </row>
    <row r="300" customFormat="false" ht="15" hidden="false" customHeight="true" outlineLevel="0" collapsed="false">
      <c r="A300" s="12" t="s">
        <v>814</v>
      </c>
      <c r="B300" s="12" t="n">
        <v>2025</v>
      </c>
      <c r="C300" s="12" t="n">
        <v>0</v>
      </c>
      <c r="D300" s="12" t="n">
        <v>-52.6</v>
      </c>
      <c r="E300" s="12" t="n">
        <f aca="false">IFERROR(INDEX('Catalog'!$A:$A,MATCH($A300,'Catalog'!$B:$B,0)),IFERROR(INDEX('Catalog'!$A:$A,MATCH(TRIM(SUBSTITUTE($A300,CHAR(160)," ")),'Catalog'!$C:$C,0)),""))</f>
        <v>4408250</v>
      </c>
      <c r="F300" s="12" t="str">
        <f aca="false">IF($E300="","Unmatched","Matched")</f>
        <v>Matched</v>
      </c>
    </row>
    <row r="301" customFormat="false" ht="15" hidden="false" customHeight="true" outlineLevel="0" collapsed="false">
      <c r="A301" s="12" t="s">
        <v>502</v>
      </c>
      <c r="B301" s="12" t="n">
        <v>2025</v>
      </c>
      <c r="C301" s="12" t="n">
        <v>-2</v>
      </c>
      <c r="D301" s="12" t="n">
        <v>-141.1</v>
      </c>
      <c r="E301" s="12" t="n">
        <f aca="false">IFERROR(INDEX('Catalog'!$A:$A,MATCH($A301,'Catalog'!$B:$B,0)),IFERROR(INDEX('Catalog'!$A:$A,MATCH(TRIM(SUBSTITUTE($A301,CHAR(160)," ")),'Catalog'!$C:$C,0)),""))</f>
        <v>4413405</v>
      </c>
      <c r="F301" s="12" t="str">
        <f aca="false">IF($E301="","Unmatched","Matched")</f>
        <v>Matched</v>
      </c>
    </row>
    <row r="302" customFormat="false" ht="15" hidden="false" customHeight="true" outlineLevel="0" collapsed="false">
      <c r="A302" s="12" t="s">
        <v>832</v>
      </c>
      <c r="B302" s="12" t="n">
        <v>2025</v>
      </c>
      <c r="C302" s="12" t="n">
        <v>2</v>
      </c>
      <c r="D302" s="12" t="n">
        <v>122.7</v>
      </c>
      <c r="E302" s="12" t="n">
        <f aca="false">IFERROR(INDEX('Catalog'!$A:$A,MATCH($A302,'Catalog'!$B:$B,0)),IFERROR(INDEX('Catalog'!$A:$A,MATCH(TRIM(SUBSTITUTE($A302,CHAR(160)," ")),'Catalog'!$C:$C,0)),""))</f>
        <v>4413406</v>
      </c>
      <c r="F302" s="12" t="str">
        <f aca="false">IF($E302="","Unmatched","Matched")</f>
        <v>Matched</v>
      </c>
    </row>
    <row r="303" customFormat="false" ht="15" hidden="false" customHeight="true" outlineLevel="0" collapsed="false">
      <c r="A303" s="12" t="s">
        <v>831</v>
      </c>
      <c r="B303" s="12" t="n">
        <v>2025</v>
      </c>
      <c r="C303" s="12" t="n">
        <v>4</v>
      </c>
      <c r="D303" s="12" t="n">
        <v>245.3</v>
      </c>
      <c r="E303" s="12" t="n">
        <f aca="false">IFERROR(INDEX('Catalog'!$A:$A,MATCH($A303,'Catalog'!$B:$B,0)),IFERROR(INDEX('Catalog'!$A:$A,MATCH(TRIM(SUBSTITUTE($A303,CHAR(160)," ")),'Catalog'!$C:$C,0)),""))</f>
        <v>4413407</v>
      </c>
      <c r="F303" s="12" t="str">
        <f aca="false">IF($E303="","Unmatched","Matched")</f>
        <v>Matched</v>
      </c>
    </row>
    <row r="304" customFormat="false" ht="15" hidden="false" customHeight="true" outlineLevel="0" collapsed="false">
      <c r="A304" s="12" t="s">
        <v>833</v>
      </c>
      <c r="B304" s="12" t="n">
        <v>2025</v>
      </c>
      <c r="C304" s="12" t="n">
        <v>6</v>
      </c>
      <c r="D304" s="12" t="n">
        <v>420.6</v>
      </c>
      <c r="E304" s="12" t="n">
        <f aca="false">IFERROR(INDEX('Catalog'!$A:$A,MATCH($A304,'Catalog'!$B:$B,0)),IFERROR(INDEX('Catalog'!$A:$A,MATCH(TRIM(SUBSTITUTE($A304,CHAR(160)," ")),'Catalog'!$C:$C,0)),""))</f>
        <v>4413408</v>
      </c>
      <c r="F304" s="12" t="str">
        <f aca="false">IF($E304="","Unmatched","Matched")</f>
        <v>Matched</v>
      </c>
    </row>
    <row r="305" customFormat="false" ht="15" hidden="false" customHeight="true" outlineLevel="0" collapsed="false">
      <c r="A305" s="12" t="s">
        <v>825</v>
      </c>
      <c r="B305" s="12" t="n">
        <v>2025</v>
      </c>
      <c r="C305" s="12" t="n">
        <v>2</v>
      </c>
      <c r="D305" s="12" t="n">
        <v>256</v>
      </c>
      <c r="E305" s="12" t="n">
        <f aca="false">IFERROR(INDEX('Catalog'!$A:$A,MATCH($A305,'Catalog'!$B:$B,0)),IFERROR(INDEX('Catalog'!$A:$A,MATCH(TRIM(SUBSTITUTE($A305,CHAR(160)," ")),'Catalog'!$C:$C,0)),""))</f>
        <v>4413415</v>
      </c>
      <c r="F305" s="12" t="str">
        <f aca="false">IF($E305="","Unmatched","Matched")</f>
        <v>Matched</v>
      </c>
    </row>
    <row r="306" customFormat="false" ht="15" hidden="false" customHeight="true" outlineLevel="0" collapsed="false">
      <c r="A306" s="12" t="s">
        <v>824</v>
      </c>
      <c r="B306" s="12" t="n">
        <v>2025</v>
      </c>
      <c r="C306" s="12" t="n">
        <v>7</v>
      </c>
      <c r="D306" s="12" t="n">
        <v>843.8</v>
      </c>
      <c r="E306" s="12" t="n">
        <f aca="false">IFERROR(INDEX('Catalog'!$A:$A,MATCH($A306,'Catalog'!$B:$B,0)),IFERROR(INDEX('Catalog'!$A:$A,MATCH(TRIM(SUBSTITUTE($A306,CHAR(160)," ")),'Catalog'!$C:$C,0)),""))</f>
        <v>4413416</v>
      </c>
      <c r="F306" s="12" t="str">
        <f aca="false">IF($E306="","Unmatched","Matched")</f>
        <v>Matched</v>
      </c>
    </row>
    <row r="307" customFormat="false" ht="15" hidden="false" customHeight="true" outlineLevel="0" collapsed="false">
      <c r="A307" s="12" t="s">
        <v>823</v>
      </c>
      <c r="B307" s="12" t="n">
        <v>2025</v>
      </c>
      <c r="C307" s="12" t="n">
        <v>9</v>
      </c>
      <c r="D307" s="12" t="n">
        <v>1168.6</v>
      </c>
      <c r="E307" s="12" t="n">
        <f aca="false">IFERROR(INDEX('Catalog'!$A:$A,MATCH($A307,'Catalog'!$B:$B,0)),IFERROR(INDEX('Catalog'!$A:$A,MATCH(TRIM(SUBSTITUTE($A307,CHAR(160)," ")),'Catalog'!$C:$C,0)),""))</f>
        <v>4413417</v>
      </c>
      <c r="F307" s="12" t="str">
        <f aca="false">IF($E307="","Unmatched","Matched")</f>
        <v>Matched</v>
      </c>
    </row>
    <row r="308" customFormat="false" ht="15" hidden="false" customHeight="true" outlineLevel="0" collapsed="false">
      <c r="A308" s="12" t="s">
        <v>826</v>
      </c>
      <c r="B308" s="12" t="n">
        <v>2025</v>
      </c>
      <c r="C308" s="12" t="n">
        <v>-1</v>
      </c>
      <c r="D308" s="12" t="n">
        <v>-189</v>
      </c>
      <c r="E308" s="12" t="n">
        <f aca="false">IFERROR(INDEX('Catalog'!$A:$A,MATCH($A308,'Catalog'!$B:$B,0)),IFERROR(INDEX('Catalog'!$A:$A,MATCH(TRIM(SUBSTITUTE($A308,CHAR(160)," ")),'Catalog'!$C:$C,0)),""))</f>
        <v>4413418</v>
      </c>
      <c r="F308" s="12" t="str">
        <f aca="false">IF($E308="","Unmatched","Matched")</f>
        <v>Matched</v>
      </c>
    </row>
    <row r="309" customFormat="false" ht="15" hidden="false" customHeight="true" outlineLevel="0" collapsed="false">
      <c r="A309" s="12" t="s">
        <v>827</v>
      </c>
      <c r="B309" s="12" t="n">
        <v>2025</v>
      </c>
      <c r="C309" s="12" t="n">
        <v>-4</v>
      </c>
      <c r="D309" s="12" t="n">
        <v>-596.3</v>
      </c>
      <c r="E309" s="12" t="n">
        <f aca="false">IFERROR(INDEX('Catalog'!$A:$A,MATCH($A309,'Catalog'!$B:$B,0)),IFERROR(INDEX('Catalog'!$A:$A,MATCH(TRIM(SUBSTITUTE($A309,CHAR(160)," ")),'Catalog'!$C:$C,0)),""))</f>
        <v>4413419</v>
      </c>
      <c r="F309" s="12" t="str">
        <f aca="false">IF($E309="","Unmatched","Matched")</f>
        <v>Matched</v>
      </c>
    </row>
    <row r="310" customFormat="false" ht="15" hidden="false" customHeight="true" outlineLevel="0" collapsed="false">
      <c r="A310" s="12" t="s">
        <v>816</v>
      </c>
      <c r="B310" s="12" t="n">
        <v>2025</v>
      </c>
      <c r="C310" s="12" t="n">
        <v>7</v>
      </c>
      <c r="D310" s="12" t="n">
        <v>495.1</v>
      </c>
      <c r="E310" s="12" t="n">
        <f aca="false">IFERROR(INDEX('Catalog'!$A:$A,MATCH($A310,'Catalog'!$B:$B,0)),IFERROR(INDEX('Catalog'!$A:$A,MATCH(TRIM(SUBSTITUTE($A310,CHAR(160)," ")),'Catalog'!$C:$C,0)),""))</f>
        <v>4413421</v>
      </c>
      <c r="F310" s="12" t="str">
        <f aca="false">IF($E310="","Unmatched","Matched")</f>
        <v>Matched</v>
      </c>
    </row>
    <row r="311" customFormat="false" ht="15" hidden="false" customHeight="true" outlineLevel="0" collapsed="false">
      <c r="A311" s="12" t="s">
        <v>815</v>
      </c>
      <c r="B311" s="12" t="n">
        <v>2025</v>
      </c>
      <c r="C311" s="12" t="n">
        <v>9</v>
      </c>
      <c r="D311" s="12" t="n">
        <v>644.2</v>
      </c>
      <c r="E311" s="12" t="n">
        <f aca="false">IFERROR(INDEX('Catalog'!$A:$A,MATCH($A311,'Catalog'!$B:$B,0)),IFERROR(INDEX('Catalog'!$A:$A,MATCH(TRIM(SUBSTITUTE($A311,CHAR(160)," ")),'Catalog'!$C:$C,0)),""))</f>
        <v>4413422</v>
      </c>
      <c r="F311" s="12" t="str">
        <f aca="false">IF($E311="","Unmatched","Matched")</f>
        <v>Matched</v>
      </c>
    </row>
    <row r="312" customFormat="false" ht="15" hidden="false" customHeight="true" outlineLevel="0" collapsed="false">
      <c r="A312" s="12" t="s">
        <v>818</v>
      </c>
      <c r="B312" s="12" t="n">
        <v>2025</v>
      </c>
      <c r="C312" s="12" t="n">
        <v>4</v>
      </c>
      <c r="D312" s="12" t="n">
        <v>245.4</v>
      </c>
      <c r="E312" s="12" t="n">
        <f aca="false">IFERROR(INDEX('Catalog'!$A:$A,MATCH($A312,'Catalog'!$B:$B,0)),IFERROR(INDEX('Catalog'!$A:$A,MATCH(TRIM(SUBSTITUTE($A312,CHAR(160)," ")),'Catalog'!$C:$C,0)),""))</f>
        <v>4413423</v>
      </c>
      <c r="F312" s="12" t="str">
        <f aca="false">IF($E312="","Unmatched","Matched")</f>
        <v>Matched</v>
      </c>
    </row>
    <row r="313" customFormat="false" ht="15" hidden="false" customHeight="true" outlineLevel="0" collapsed="false">
      <c r="A313" s="12" t="s">
        <v>820</v>
      </c>
      <c r="B313" s="12" t="n">
        <v>2025</v>
      </c>
      <c r="C313" s="12" t="n">
        <v>0</v>
      </c>
      <c r="D313" s="12" t="n">
        <v>-26.3</v>
      </c>
      <c r="E313" s="12" t="n">
        <f aca="false">IFERROR(INDEX('Catalog'!$A:$A,MATCH($A313,'Catalog'!$B:$B,0)),IFERROR(INDEX('Catalog'!$A:$A,MATCH(TRIM(SUBSTITUTE($A313,CHAR(160)," ")),'Catalog'!$C:$C,0)),""))</f>
        <v>4413425</v>
      </c>
      <c r="F313" s="12" t="str">
        <f aca="false">IF($E313="","Unmatched","Matched")</f>
        <v>Matched</v>
      </c>
    </row>
    <row r="314" customFormat="false" ht="15" hidden="false" customHeight="true" outlineLevel="0" collapsed="false">
      <c r="A314" s="12" t="s">
        <v>819</v>
      </c>
      <c r="B314" s="12" t="n">
        <v>2025</v>
      </c>
      <c r="C314" s="12" t="n">
        <v>-3</v>
      </c>
      <c r="D314" s="12" t="n">
        <v>-276.1</v>
      </c>
      <c r="E314" s="12" t="n">
        <f aca="false">IFERROR(INDEX('Catalog'!$A:$A,MATCH($A314,'Catalog'!$B:$B,0)),IFERROR(INDEX('Catalog'!$A:$A,MATCH(TRIM(SUBSTITUTE($A314,CHAR(160)," ")),'Catalog'!$C:$C,0)),""))</f>
        <v>4413426</v>
      </c>
      <c r="F314" s="12" t="str">
        <f aca="false">IF($E314="","Unmatched","Matched")</f>
        <v>Matched</v>
      </c>
    </row>
    <row r="315" customFormat="false" ht="15" hidden="false" customHeight="true" outlineLevel="0" collapsed="false">
      <c r="A315" s="12" t="s">
        <v>822</v>
      </c>
      <c r="B315" s="12" t="n">
        <v>2025</v>
      </c>
      <c r="C315" s="12" t="n">
        <v>-1</v>
      </c>
      <c r="D315" s="12" t="n">
        <v>-127.1</v>
      </c>
      <c r="E315" s="12" t="n">
        <f aca="false">IFERROR(INDEX('Catalog'!$A:$A,MATCH($A315,'Catalog'!$B:$B,0)),IFERROR(INDEX('Catalog'!$A:$A,MATCH(TRIM(SUBSTITUTE($A315,CHAR(160)," ")),'Catalog'!$C:$C,0)),""))</f>
        <v>4413427</v>
      </c>
      <c r="F315" s="12" t="str">
        <f aca="false">IF($E315="","Unmatched","Matched")</f>
        <v>Matched</v>
      </c>
    </row>
    <row r="316" customFormat="false" ht="15" hidden="false" customHeight="true" outlineLevel="0" collapsed="false">
      <c r="A316" s="12" t="s">
        <v>829</v>
      </c>
      <c r="B316" s="12" t="n">
        <v>2025</v>
      </c>
      <c r="C316" s="12" t="n">
        <v>5</v>
      </c>
      <c r="D316" s="12" t="n">
        <v>537.9</v>
      </c>
      <c r="E316" s="12" t="n">
        <f aca="false">IFERROR(INDEX('Catalog'!$A:$A,MATCH($A316,'Catalog'!$B:$B,0)),IFERROR(INDEX('Catalog'!$A:$A,MATCH(TRIM(SUBSTITUTE($A316,CHAR(160)," ")),'Catalog'!$C:$C,0)),""))</f>
        <v>4413439</v>
      </c>
      <c r="F316" s="12" t="str">
        <f aca="false">IF($E316="","Unmatched","Matched")</f>
        <v>Matched</v>
      </c>
    </row>
    <row r="317" customFormat="false" ht="15" hidden="false" customHeight="true" outlineLevel="0" collapsed="false">
      <c r="A317" s="12" t="s">
        <v>828</v>
      </c>
      <c r="B317" s="12" t="n">
        <v>2025</v>
      </c>
      <c r="C317" s="12" t="n">
        <v>8</v>
      </c>
      <c r="D317" s="12" t="n">
        <v>992.1</v>
      </c>
      <c r="E317" s="12" t="n">
        <f aca="false">IFERROR(INDEX('Catalog'!$A:$A,MATCH($A317,'Catalog'!$B:$B,0)),IFERROR(INDEX('Catalog'!$A:$A,MATCH(TRIM(SUBSTITUTE($A317,CHAR(160)," ")),'Catalog'!$C:$C,0)),""))</f>
        <v>4413440</v>
      </c>
      <c r="F317" s="12" t="str">
        <f aca="false">IF($E317="","Unmatched","Matched")</f>
        <v>Matched</v>
      </c>
    </row>
    <row r="318" customFormat="false" ht="15" hidden="false" customHeight="true" outlineLevel="0" collapsed="false">
      <c r="A318" s="12" t="s">
        <v>830</v>
      </c>
      <c r="B318" s="12" t="n">
        <v>2025</v>
      </c>
      <c r="C318" s="12" t="n">
        <v>1</v>
      </c>
      <c r="D318" s="12" t="n">
        <v>135.7</v>
      </c>
      <c r="E318" s="12" t="n">
        <f aca="false">IFERROR(INDEX('Catalog'!$A:$A,MATCH($A318,'Catalog'!$B:$B,0)),IFERROR(INDEX('Catalog'!$A:$A,MATCH(TRIM(SUBSTITUTE($A318,CHAR(160)," ")),'Catalog'!$C:$C,0)),""))</f>
        <v>4413441</v>
      </c>
      <c r="F318" s="12" t="str">
        <f aca="false">IF($E318="","Unmatched","Matched")</f>
        <v>Matched</v>
      </c>
    </row>
    <row r="319" customFormat="false" ht="15" hidden="false" customHeight="true" outlineLevel="0" collapsed="false">
      <c r="A319" s="12" t="s">
        <v>153</v>
      </c>
      <c r="B319" s="12" t="n">
        <v>2025</v>
      </c>
      <c r="C319" s="12" t="n">
        <v>0</v>
      </c>
      <c r="D319" s="12" t="n">
        <v>-94</v>
      </c>
      <c r="E319" s="12" t="n">
        <f aca="false">IFERROR(INDEX('Catalog'!$A:$A,MATCH($A319,'Catalog'!$B:$B,0)),IFERROR(INDEX('Catalog'!$A:$A,MATCH(TRIM(SUBSTITUTE($A319,CHAR(160)," ")),'Catalog'!$C:$C,0)),""))</f>
        <v>4413442</v>
      </c>
      <c r="F319" s="12" t="str">
        <f aca="false">IF($E319="","Unmatched","Matched")</f>
        <v>Matched</v>
      </c>
    </row>
    <row r="320" customFormat="false" ht="15" hidden="false" customHeight="true" outlineLevel="0" collapsed="false">
      <c r="A320" s="12" t="s">
        <v>74</v>
      </c>
      <c r="B320" s="12" t="n">
        <v>2025</v>
      </c>
      <c r="C320" s="12" t="n">
        <v>-8</v>
      </c>
      <c r="D320" s="12" t="n">
        <v>-26.4</v>
      </c>
      <c r="E320" s="12" t="n">
        <f aca="false">IFERROR(INDEX('Catalog'!$A:$A,MATCH($A320,'Catalog'!$B:$B,0)),IFERROR(INDEX('Catalog'!$A:$A,MATCH(TRIM(SUBSTITUTE($A320,CHAR(160)," ")),'Catalog'!$C:$C,0)),""))</f>
        <v>4402012</v>
      </c>
      <c r="F320" s="12" t="str">
        <f aca="false">IF($E320="","Unmatched","Matched")</f>
        <v>Matched</v>
      </c>
    </row>
    <row r="321" customFormat="false" ht="15" hidden="false" customHeight="true" outlineLevel="0" collapsed="false">
      <c r="A321" s="12" t="s">
        <v>81</v>
      </c>
      <c r="B321" s="12" t="n">
        <v>2025</v>
      </c>
      <c r="C321" s="12" t="n">
        <v>-2</v>
      </c>
      <c r="D321" s="12" t="n">
        <v>-48</v>
      </c>
      <c r="E321" s="12" t="n">
        <f aca="false">IFERROR(INDEX('Catalog'!$A:$A,MATCH($A321,'Catalog'!$B:$B,0)),IFERROR(INDEX('Catalog'!$A:$A,MATCH(TRIM(SUBSTITUTE($A321,CHAR(160)," ")),'Catalog'!$C:$C,0)),""))</f>
        <v>4402020</v>
      </c>
      <c r="F321" s="12" t="str">
        <f aca="false">IF($E321="","Unmatched","Matched")</f>
        <v>Matched</v>
      </c>
    </row>
    <row r="322" customFormat="false" ht="15" hidden="false" customHeight="true" outlineLevel="0" collapsed="false">
      <c r="A322" s="12" t="s">
        <v>82</v>
      </c>
      <c r="B322" s="12" t="n">
        <v>2025</v>
      </c>
      <c r="C322" s="12" t="n">
        <v>-1</v>
      </c>
      <c r="D322" s="12" t="n">
        <v>-24</v>
      </c>
      <c r="E322" s="12" t="n">
        <f aca="false">IFERROR(INDEX('Catalog'!$A:$A,MATCH($A322,'Catalog'!$B:$B,0)),IFERROR(INDEX('Catalog'!$A:$A,MATCH(TRIM(SUBSTITUTE($A322,CHAR(160)," ")),'Catalog'!$C:$C,0)),""))</f>
        <v>4402021</v>
      </c>
      <c r="F322" s="12" t="str">
        <f aca="false">IF($E322="","Unmatched","Matched")</f>
        <v>Matched</v>
      </c>
    </row>
    <row r="323" customFormat="false" ht="15" hidden="false" customHeight="true" outlineLevel="0" collapsed="false">
      <c r="A323" s="12" t="s">
        <v>416</v>
      </c>
      <c r="B323" s="12" t="n">
        <v>2025</v>
      </c>
      <c r="C323" s="12" t="n">
        <v>-1</v>
      </c>
      <c r="D323" s="12" t="n">
        <v>-65.6</v>
      </c>
      <c r="E323" s="12" t="n">
        <f aca="false">IFERROR(INDEX('Catalog'!$A:$A,MATCH($A323,'Catalog'!$B:$B,0)),IFERROR(INDEX('Catalog'!$A:$A,MATCH(TRIM(SUBSTITUTE($A323,CHAR(160)," ")),'Catalog'!$C:$C,0)),""))</f>
        <v>4413444</v>
      </c>
      <c r="F323" s="12" t="str">
        <f aca="false">IF($E323="","Unmatched","Matched")</f>
        <v>Matched</v>
      </c>
    </row>
    <row r="324" customFormat="false" ht="15" hidden="false" customHeight="true" outlineLevel="0" collapsed="false">
      <c r="A324" s="12" t="s">
        <v>417</v>
      </c>
      <c r="B324" s="12" t="n">
        <v>2025</v>
      </c>
      <c r="C324" s="12" t="n">
        <v>3</v>
      </c>
      <c r="D324" s="12" t="n">
        <v>197</v>
      </c>
      <c r="E324" s="12" t="n">
        <f aca="false">IFERROR(INDEX('Catalog'!$A:$A,MATCH($A324,'Catalog'!$B:$B,0)),IFERROR(INDEX('Catalog'!$A:$A,MATCH(TRIM(SUBSTITUTE($A324,CHAR(160)," ")),'Catalog'!$C:$C,0)),""))</f>
        <v>4413445</v>
      </c>
      <c r="F324" s="12" t="str">
        <f aca="false">IF($E324="","Unmatched","Matched")</f>
        <v>Matched</v>
      </c>
    </row>
    <row r="325" customFormat="false" ht="15" hidden="false" customHeight="true" outlineLevel="0" collapsed="false">
      <c r="A325" s="12" t="s">
        <v>566</v>
      </c>
      <c r="B325" s="12" t="n">
        <v>2025</v>
      </c>
      <c r="C325" s="12" t="n">
        <v>28</v>
      </c>
      <c r="D325" s="12" t="n">
        <v>1234.2</v>
      </c>
      <c r="E325" s="12" t="n">
        <f aca="false">IFERROR(INDEX('Catalog'!$A:$A,MATCH($A325,'Catalog'!$B:$B,0)),IFERROR(INDEX('Catalog'!$A:$A,MATCH(TRIM(SUBSTITUTE($A325,CHAR(160)," ")),'Catalog'!$C:$C,0)),""))</f>
        <v>4413452</v>
      </c>
      <c r="F325" s="12" t="str">
        <f aca="false">IF($E325="","Unmatched","Matched")</f>
        <v>Matched</v>
      </c>
    </row>
    <row r="326" customFormat="false" ht="15" hidden="false" customHeight="true" outlineLevel="0" collapsed="false">
      <c r="A326" s="12" t="s">
        <v>397</v>
      </c>
      <c r="B326" s="12" t="n">
        <v>2025</v>
      </c>
      <c r="C326" s="12" t="n">
        <v>66</v>
      </c>
      <c r="D326" s="12" t="n">
        <v>5247</v>
      </c>
      <c r="E326" s="12" t="n">
        <f aca="false">IFERROR(INDEX('Catalog'!$A:$A,MATCH($A326,'Catalog'!$B:$B,0)),IFERROR(INDEX('Catalog'!$A:$A,MATCH(TRIM(SUBSTITUTE($A326,CHAR(160)," ")),'Catalog'!$C:$C,0)),""))</f>
        <v>4413453</v>
      </c>
      <c r="F326" s="12" t="str">
        <f aca="false">IF($E326="","Unmatched","Matched")</f>
        <v>Matched</v>
      </c>
    </row>
    <row r="327" customFormat="false" ht="15" hidden="false" customHeight="true" outlineLevel="0" collapsed="false">
      <c r="A327" s="12" t="s">
        <v>531</v>
      </c>
      <c r="B327" s="12" t="n">
        <v>2025</v>
      </c>
      <c r="C327" s="12" t="n">
        <v>15</v>
      </c>
      <c r="D327" s="12" t="n">
        <v>727.4</v>
      </c>
      <c r="E327" s="12" t="n">
        <f aca="false">IFERROR(INDEX('Catalog'!$A:$A,MATCH($A327,'Catalog'!$B:$B,0)),IFERROR(INDEX('Catalog'!$A:$A,MATCH(TRIM(SUBSTITUTE($A327,CHAR(160)," ")),'Catalog'!$C:$C,0)),""))</f>
        <v>4413455</v>
      </c>
      <c r="F327" s="12" t="str">
        <f aca="false">IF($E327="","Unmatched","Matched")</f>
        <v>Matched</v>
      </c>
    </row>
    <row r="328" customFormat="false" ht="15" hidden="false" customHeight="true" outlineLevel="0" collapsed="false">
      <c r="A328" s="12" t="s">
        <v>124</v>
      </c>
      <c r="B328" s="12" t="n">
        <v>2025</v>
      </c>
      <c r="C328" s="12" t="n">
        <v>44</v>
      </c>
      <c r="D328" s="12" t="n">
        <v>1221</v>
      </c>
      <c r="E328" s="12" t="n">
        <f aca="false">IFERROR(INDEX('Catalog'!$A:$A,MATCH($A328,'Catalog'!$B:$B,0)),IFERROR(INDEX('Catalog'!$A:$A,MATCH(TRIM(SUBSTITUTE($A328,CHAR(160)," ")),'Catalog'!$C:$C,0)),""))</f>
        <v>4413495</v>
      </c>
      <c r="F328" s="12" t="str">
        <f aca="false">IF($E328="","Unmatched","Matched")</f>
        <v>Matched</v>
      </c>
    </row>
    <row r="329" customFormat="false" ht="15" hidden="false" customHeight="true" outlineLevel="0" collapsed="false">
      <c r="A329" s="12" t="s">
        <v>127</v>
      </c>
      <c r="B329" s="12" t="n">
        <v>2025</v>
      </c>
      <c r="C329" s="12" t="n">
        <v>13</v>
      </c>
      <c r="D329" s="12" t="n">
        <v>360.8</v>
      </c>
      <c r="E329" s="12" t="n">
        <f aca="false">IFERROR(INDEX('Catalog'!$A:$A,MATCH($A329,'Catalog'!$B:$B,0)),IFERROR(INDEX('Catalog'!$A:$A,MATCH(TRIM(SUBSTITUTE($A329,CHAR(160)," ")),'Catalog'!$C:$C,0)),""))</f>
        <v>4413496</v>
      </c>
      <c r="F329" s="12" t="str">
        <f aca="false">IF($E329="","Unmatched","Matched")</f>
        <v>Matched</v>
      </c>
    </row>
    <row r="330" customFormat="false" ht="15" hidden="false" customHeight="true" outlineLevel="0" collapsed="false">
      <c r="A330" s="12" t="s">
        <v>125</v>
      </c>
      <c r="B330" s="12" t="n">
        <v>2025</v>
      </c>
      <c r="C330" s="12" t="n">
        <v>40</v>
      </c>
      <c r="D330" s="12" t="n">
        <v>1110.1</v>
      </c>
      <c r="E330" s="12" t="n">
        <f aca="false">IFERROR(INDEX('Catalog'!$A:$A,MATCH($A330,'Catalog'!$B:$B,0)),IFERROR(INDEX('Catalog'!$A:$A,MATCH(TRIM(SUBSTITUTE($A330,CHAR(160)," ")),'Catalog'!$C:$C,0)),""))</f>
        <v>4413497</v>
      </c>
      <c r="F330" s="12" t="str">
        <f aca="false">IF($E330="","Unmatched","Matched")</f>
        <v>Matched</v>
      </c>
    </row>
    <row r="331" customFormat="false" ht="15" hidden="false" customHeight="true" outlineLevel="0" collapsed="false">
      <c r="A331" s="12" t="s">
        <v>126</v>
      </c>
      <c r="B331" s="12" t="n">
        <v>2025</v>
      </c>
      <c r="C331" s="12" t="n">
        <v>12</v>
      </c>
      <c r="D331" s="12" t="n">
        <v>333</v>
      </c>
      <c r="E331" s="12" t="n">
        <f aca="false">IFERROR(INDEX('Catalog'!$A:$A,MATCH($A331,'Catalog'!$B:$B,0)),IFERROR(INDEX('Catalog'!$A:$A,MATCH(TRIM(SUBSTITUTE($A331,CHAR(160)," ")),'Catalog'!$C:$C,0)),""))</f>
        <v>4413498</v>
      </c>
      <c r="F331" s="12" t="str">
        <f aca="false">IF($E331="","Unmatched","Matched")</f>
        <v>Matched</v>
      </c>
    </row>
    <row r="332" customFormat="false" ht="15" hidden="false" customHeight="true" outlineLevel="0" collapsed="false">
      <c r="A332" s="12" t="s">
        <v>128</v>
      </c>
      <c r="B332" s="12" t="n">
        <v>2025</v>
      </c>
      <c r="C332" s="12" t="n">
        <v>20</v>
      </c>
      <c r="D332" s="12" t="n">
        <v>555</v>
      </c>
      <c r="E332" s="12" t="n">
        <f aca="false">IFERROR(INDEX('Catalog'!$A:$A,MATCH($A332,'Catalog'!$B:$B,0)),IFERROR(INDEX('Catalog'!$A:$A,MATCH(TRIM(SUBSTITUTE($A332,CHAR(160)," ")),'Catalog'!$C:$C,0)),""))</f>
        <v>4413499</v>
      </c>
      <c r="F332" s="12" t="str">
        <f aca="false">IF($E332="","Unmatched","Matched")</f>
        <v>Matched</v>
      </c>
    </row>
    <row r="333" customFormat="false" ht="15" hidden="false" customHeight="true" outlineLevel="0" collapsed="false">
      <c r="A333" s="12" t="s">
        <v>684</v>
      </c>
      <c r="B333" s="12" t="n">
        <v>2025</v>
      </c>
      <c r="C333" s="12" t="n">
        <v>13</v>
      </c>
      <c r="D333" s="12" t="n">
        <v>527.2</v>
      </c>
      <c r="E333" s="12" t="n">
        <f aca="false">IFERROR(INDEX('Catalog'!$A:$A,MATCH($A333,'Catalog'!$B:$B,0)),IFERROR(INDEX('Catalog'!$A:$A,MATCH(TRIM(SUBSTITUTE($A333,CHAR(160)," ")),'Catalog'!$C:$C,0)),""))</f>
        <v>4415029</v>
      </c>
      <c r="F333" s="12" t="str">
        <f aca="false">IF($E333="","Unmatched","Matched")</f>
        <v>Matched</v>
      </c>
    </row>
    <row r="334" customFormat="false" ht="15" hidden="false" customHeight="true" outlineLevel="0" collapsed="false">
      <c r="A334" s="12" t="s">
        <v>564</v>
      </c>
      <c r="B334" s="12" t="n">
        <v>2026</v>
      </c>
      <c r="C334" s="12" t="n">
        <v>91</v>
      </c>
      <c r="D334" s="12" t="n">
        <v>1849.2</v>
      </c>
      <c r="E334" s="12" t="n">
        <f aca="false">IFERROR(INDEX('Catalog'!$A:$A,MATCH($A334,'Catalog'!$B:$B,0)),IFERROR(INDEX('Catalog'!$A:$A,MATCH(TRIM(SUBSTITUTE($A334,CHAR(160)," ")),'Catalog'!$C:$C,0)),""))</f>
        <v>4401000</v>
      </c>
      <c r="F334" s="12" t="str">
        <f aca="false">IF($E334="","Unmatched","Matched")</f>
        <v>Matched</v>
      </c>
    </row>
    <row r="335" customFormat="false" ht="15" hidden="false" customHeight="true" outlineLevel="0" collapsed="false">
      <c r="A335" s="12" t="s">
        <v>563</v>
      </c>
      <c r="B335" s="12" t="n">
        <v>2026</v>
      </c>
      <c r="C335" s="12" t="n">
        <v>90</v>
      </c>
      <c r="D335" s="12" t="n">
        <v>1964.7</v>
      </c>
      <c r="E335" s="12" t="n">
        <f aca="false">IFERROR(INDEX('Catalog'!$A:$A,MATCH($A335,'Catalog'!$B:$B,0)),IFERROR(INDEX('Catalog'!$A:$A,MATCH(TRIM(SUBSTITUTE($A335,CHAR(160)," ")),'Catalog'!$C:$C,0)),""))</f>
        <v>4401001</v>
      </c>
      <c r="F335" s="12" t="str">
        <f aca="false">IF($E335="","Unmatched","Matched")</f>
        <v>Matched</v>
      </c>
    </row>
    <row r="336" customFormat="false" ht="15" hidden="false" customHeight="true" outlineLevel="0" collapsed="false">
      <c r="A336" s="12" t="s">
        <v>572</v>
      </c>
      <c r="B336" s="12" t="n">
        <v>2026</v>
      </c>
      <c r="C336" s="12" t="n">
        <v>160</v>
      </c>
      <c r="D336" s="12" t="n">
        <v>1155.2</v>
      </c>
      <c r="E336" s="12" t="n">
        <f aca="false">IFERROR(INDEX('Catalog'!$A:$A,MATCH($A336,'Catalog'!$B:$B,0)),IFERROR(INDEX('Catalog'!$A:$A,MATCH(TRIM(SUBSTITUTE($A336,CHAR(160)," ")),'Catalog'!$C:$C,0)),""))</f>
        <v>4401002</v>
      </c>
      <c r="F336" s="12" t="str">
        <f aca="false">IF($E336="","Unmatched","Matched")</f>
        <v>Matched</v>
      </c>
    </row>
    <row r="337" customFormat="false" ht="15" hidden="false" customHeight="true" outlineLevel="0" collapsed="false">
      <c r="A337" s="12" t="s">
        <v>550</v>
      </c>
      <c r="B337" s="12" t="n">
        <v>2026</v>
      </c>
      <c r="C337" s="12" t="n">
        <v>24</v>
      </c>
      <c r="D337" s="12" t="n">
        <v>565.9</v>
      </c>
      <c r="E337" s="12" t="n">
        <f aca="false">IFERROR(INDEX('Catalog'!$A:$A,MATCH($A337,'Catalog'!$B:$B,0)),IFERROR(INDEX('Catalog'!$A:$A,MATCH(TRIM(SUBSTITUTE($A337,CHAR(160)," ")),'Catalog'!$C:$C,0)),""))</f>
        <v>4402000</v>
      </c>
      <c r="F337" s="12" t="str">
        <f aca="false">IF($E337="","Unmatched","Matched")</f>
        <v>Matched</v>
      </c>
    </row>
    <row r="338" customFormat="false" ht="15" hidden="false" customHeight="true" outlineLevel="0" collapsed="false">
      <c r="A338" s="12" t="s">
        <v>546</v>
      </c>
      <c r="B338" s="12" t="n">
        <v>2026</v>
      </c>
      <c r="C338" s="12" t="n">
        <v>40</v>
      </c>
      <c r="D338" s="12" t="n">
        <v>766.8</v>
      </c>
      <c r="E338" s="12" t="n">
        <f aca="false">IFERROR(INDEX('Catalog'!$A:$A,MATCH($A338,'Catalog'!$B:$B,0)),IFERROR(INDEX('Catalog'!$A:$A,MATCH(TRIM(SUBSTITUTE($A338,CHAR(160)," ")),'Catalog'!$C:$C,0)),""))</f>
        <v>4402007</v>
      </c>
      <c r="F338" s="12" t="str">
        <f aca="false">IF($E338="","Unmatched","Matched")</f>
        <v>Matched</v>
      </c>
    </row>
    <row r="339" customFormat="false" ht="15" hidden="false" customHeight="true" outlineLevel="0" collapsed="false">
      <c r="A339" s="12" t="s">
        <v>188</v>
      </c>
      <c r="B339" s="12" t="n">
        <v>2026</v>
      </c>
      <c r="C339" s="12" t="n">
        <v>4</v>
      </c>
      <c r="D339" s="12" t="n">
        <v>125.8</v>
      </c>
      <c r="E339" s="12" t="n">
        <f aca="false">IFERROR(INDEX('Catalog'!$A:$A,MATCH($A339,'Catalog'!$B:$B,0)),IFERROR(INDEX('Catalog'!$A:$A,MATCH(TRIM(SUBSTITUTE($A339,CHAR(160)," ")),'Catalog'!$C:$C,0)),""))</f>
        <v>4403000</v>
      </c>
      <c r="F339" s="12" t="str">
        <f aca="false">IF($E339="","Unmatched","Matched")</f>
        <v>Matched</v>
      </c>
    </row>
    <row r="340" customFormat="false" ht="15" hidden="false" customHeight="true" outlineLevel="0" collapsed="false">
      <c r="A340" s="12" t="s">
        <v>186</v>
      </c>
      <c r="B340" s="12" t="n">
        <v>2026</v>
      </c>
      <c r="C340" s="12" t="n">
        <v>2</v>
      </c>
      <c r="D340" s="12" t="n">
        <v>62.9</v>
      </c>
      <c r="E340" s="12" t="n">
        <f aca="false">IFERROR(INDEX('Catalog'!$A:$A,MATCH($A340,'Catalog'!$B:$B,0)),IFERROR(INDEX('Catalog'!$A:$A,MATCH(TRIM(SUBSTITUTE($A340,CHAR(160)," ")),'Catalog'!$C:$C,0)),""))</f>
        <v>4403001</v>
      </c>
      <c r="F340" s="12" t="str">
        <f aca="false">IF($E340="","Unmatched","Matched")</f>
        <v>Matched</v>
      </c>
    </row>
    <row r="341" customFormat="false" ht="15" hidden="false" customHeight="true" outlineLevel="0" collapsed="false">
      <c r="A341" s="12" t="s">
        <v>187</v>
      </c>
      <c r="B341" s="12" t="n">
        <v>2026</v>
      </c>
      <c r="C341" s="12" t="n">
        <v>2</v>
      </c>
      <c r="D341" s="12" t="n">
        <v>62.9</v>
      </c>
      <c r="E341" s="12" t="n">
        <f aca="false">IFERROR(INDEX('Catalog'!$A:$A,MATCH($A341,'Catalog'!$B:$B,0)),IFERROR(INDEX('Catalog'!$A:$A,MATCH(TRIM(SUBSTITUTE($A341,CHAR(160)," ")),'Catalog'!$C:$C,0)),""))</f>
        <v>4403002</v>
      </c>
      <c r="F341" s="12" t="str">
        <f aca="false">IF($E341="","Unmatched","Matched")</f>
        <v>Matched</v>
      </c>
    </row>
    <row r="342" customFormat="false" ht="15" hidden="false" customHeight="true" outlineLevel="0" collapsed="false">
      <c r="A342" s="12" t="s">
        <v>191</v>
      </c>
      <c r="B342" s="12" t="n">
        <v>2026</v>
      </c>
      <c r="C342" s="12" t="n">
        <v>7</v>
      </c>
      <c r="D342" s="12" t="n">
        <v>220.2</v>
      </c>
      <c r="E342" s="12" t="n">
        <f aca="false">IFERROR(INDEX('Catalog'!$A:$A,MATCH($A342,'Catalog'!$B:$B,0)),IFERROR(INDEX('Catalog'!$A:$A,MATCH(TRIM(SUBSTITUTE($A342,CHAR(160)," ")),'Catalog'!$C:$C,0)),""))</f>
        <v>4403006</v>
      </c>
      <c r="F342" s="12" t="str">
        <f aca="false">IF($E342="","Unmatched","Matched")</f>
        <v>Matched</v>
      </c>
    </row>
    <row r="343" customFormat="false" ht="15" hidden="false" customHeight="true" outlineLevel="0" collapsed="false">
      <c r="A343" s="12" t="s">
        <v>192</v>
      </c>
      <c r="B343" s="12" t="n">
        <v>2026</v>
      </c>
      <c r="C343" s="12" t="n">
        <v>6</v>
      </c>
      <c r="D343" s="12" t="n">
        <v>188.8</v>
      </c>
      <c r="E343" s="12" t="n">
        <f aca="false">IFERROR(INDEX('Catalog'!$A:$A,MATCH($A343,'Catalog'!$B:$B,0)),IFERROR(INDEX('Catalog'!$A:$A,MATCH(TRIM(SUBSTITUTE($A343,CHAR(160)," ")),'Catalog'!$C:$C,0)),""))</f>
        <v>4403007</v>
      </c>
      <c r="F343" s="12" t="str">
        <f aca="false">IF($E343="","Unmatched","Matched")</f>
        <v>Matched</v>
      </c>
    </row>
    <row r="344" customFormat="false" ht="15" hidden="false" customHeight="true" outlineLevel="0" collapsed="false">
      <c r="A344" s="12" t="s">
        <v>194</v>
      </c>
      <c r="B344" s="12" t="n">
        <v>2026</v>
      </c>
      <c r="C344" s="12" t="n">
        <v>-2</v>
      </c>
      <c r="D344" s="12" t="n">
        <v>-74.9</v>
      </c>
      <c r="E344" s="12" t="n">
        <f aca="false">IFERROR(INDEX('Catalog'!$A:$A,MATCH($A344,'Catalog'!$B:$B,0)),IFERROR(INDEX('Catalog'!$A:$A,MATCH(TRIM(SUBSTITUTE($A344,CHAR(160)," ")),'Catalog'!$C:$C,0)),""))</f>
        <v>4403017</v>
      </c>
      <c r="F344" s="12" t="str">
        <f aca="false">IF($E344="","Unmatched","Matched")</f>
        <v>Matched</v>
      </c>
    </row>
    <row r="345" customFormat="false" ht="15" hidden="false" customHeight="true" outlineLevel="0" collapsed="false">
      <c r="A345" s="12" t="s">
        <v>195</v>
      </c>
      <c r="B345" s="12" t="n">
        <v>2026</v>
      </c>
      <c r="C345" s="12" t="n">
        <v>4</v>
      </c>
      <c r="D345" s="12" t="n">
        <v>96</v>
      </c>
      <c r="E345" s="12" t="n">
        <f aca="false">IFERROR(INDEX('Catalog'!$A:$A,MATCH($A345,'Catalog'!$B:$B,0)),IFERROR(INDEX('Catalog'!$A:$A,MATCH(TRIM(SUBSTITUTE($A345,CHAR(160)," ")),'Catalog'!$C:$C,0)),""))</f>
        <v>4403018</v>
      </c>
      <c r="F345" s="12" t="str">
        <f aca="false">IF($E345="","Unmatched","Matched")</f>
        <v>Matched</v>
      </c>
    </row>
    <row r="346" customFormat="false" ht="15" hidden="false" customHeight="true" outlineLevel="0" collapsed="false">
      <c r="A346" s="12" t="s">
        <v>198</v>
      </c>
      <c r="B346" s="12" t="n">
        <v>2026</v>
      </c>
      <c r="C346" s="12" t="n">
        <v>-3</v>
      </c>
      <c r="D346" s="12" t="n">
        <v>-112.3</v>
      </c>
      <c r="E346" s="12" t="n">
        <f aca="false">IFERROR(INDEX('Catalog'!$A:$A,MATCH($A346,'Catalog'!$B:$B,0)),IFERROR(INDEX('Catalog'!$A:$A,MATCH(TRIM(SUBSTITUTE($A346,CHAR(160)," ")),'Catalog'!$C:$C,0)),""))</f>
        <v>4403021</v>
      </c>
      <c r="F346" s="12" t="str">
        <f aca="false">IF($E346="","Unmatched","Matched")</f>
        <v>Matched</v>
      </c>
    </row>
    <row r="347" customFormat="false" ht="15" hidden="false" customHeight="true" outlineLevel="0" collapsed="false">
      <c r="A347" s="12" t="s">
        <v>199</v>
      </c>
      <c r="B347" s="12" t="n">
        <v>2026</v>
      </c>
      <c r="C347" s="12" t="n">
        <v>-1</v>
      </c>
      <c r="D347" s="12" t="n">
        <v>-24</v>
      </c>
      <c r="E347" s="12" t="n">
        <f aca="false">IFERROR(INDEX('Catalog'!$A:$A,MATCH($A347,'Catalog'!$B:$B,0)),IFERROR(INDEX('Catalog'!$A:$A,MATCH(TRIM(SUBSTITUTE($A347,CHAR(160)," ")),'Catalog'!$C:$C,0)),""))</f>
        <v>4403022</v>
      </c>
      <c r="F347" s="12" t="str">
        <f aca="false">IF($E347="","Unmatched","Matched")</f>
        <v>Matched</v>
      </c>
    </row>
    <row r="348" customFormat="false" ht="15" hidden="false" customHeight="true" outlineLevel="0" collapsed="false">
      <c r="A348" s="12" t="s">
        <v>200</v>
      </c>
      <c r="B348" s="12" t="n">
        <v>2026</v>
      </c>
      <c r="C348" s="12" t="n">
        <v>7</v>
      </c>
      <c r="D348" s="12" t="n">
        <v>168.1</v>
      </c>
      <c r="E348" s="12" t="n">
        <f aca="false">IFERROR(INDEX('Catalog'!$A:$A,MATCH($A348,'Catalog'!$B:$B,0)),IFERROR(INDEX('Catalog'!$A:$A,MATCH(TRIM(SUBSTITUTE($A348,CHAR(160)," ")),'Catalog'!$C:$C,0)),""))</f>
        <v>4403023</v>
      </c>
      <c r="F348" s="12" t="str">
        <f aca="false">IF($E348="","Unmatched","Matched")</f>
        <v>Matched</v>
      </c>
    </row>
    <row r="349" customFormat="false" ht="15" hidden="false" customHeight="true" outlineLevel="0" collapsed="false">
      <c r="A349" s="12" t="s">
        <v>201</v>
      </c>
      <c r="B349" s="12" t="n">
        <v>2026</v>
      </c>
      <c r="C349" s="12" t="n">
        <v>7</v>
      </c>
      <c r="D349" s="12" t="n">
        <v>154.7</v>
      </c>
      <c r="E349" s="12" t="n">
        <f aca="false">IFERROR(INDEX('Catalog'!$A:$A,MATCH($A349,'Catalog'!$B:$B,0)),IFERROR(INDEX('Catalog'!$A:$A,MATCH(TRIM(SUBSTITUTE($A349,CHAR(160)," ")),'Catalog'!$C:$C,0)),""))</f>
        <v>4403024</v>
      </c>
      <c r="F349" s="12" t="str">
        <f aca="false">IF($E349="","Unmatched","Matched")</f>
        <v>Matched</v>
      </c>
    </row>
    <row r="350" customFormat="false" ht="15" hidden="false" customHeight="true" outlineLevel="0" collapsed="false">
      <c r="A350" s="12" t="s">
        <v>202</v>
      </c>
      <c r="B350" s="12" t="n">
        <v>2026</v>
      </c>
      <c r="C350" s="12" t="n">
        <v>7</v>
      </c>
      <c r="D350" s="12" t="n">
        <v>168.1</v>
      </c>
      <c r="E350" s="12" t="n">
        <f aca="false">IFERROR(INDEX('Catalog'!$A:$A,MATCH($A350,'Catalog'!$B:$B,0)),IFERROR(INDEX('Catalog'!$A:$A,MATCH(TRIM(SUBSTITUTE($A350,CHAR(160)," ")),'Catalog'!$C:$C,0)),""))</f>
        <v>4403025</v>
      </c>
      <c r="F350" s="12" t="str">
        <f aca="false">IF($E350="","Unmatched","Matched")</f>
        <v>Matched</v>
      </c>
    </row>
    <row r="351" customFormat="false" ht="15" hidden="false" customHeight="true" outlineLevel="0" collapsed="false">
      <c r="A351" s="12" t="s">
        <v>244</v>
      </c>
      <c r="B351" s="12" t="n">
        <v>2026</v>
      </c>
      <c r="C351" s="12" t="n">
        <v>-2</v>
      </c>
      <c r="D351" s="12" t="n">
        <v>-198.5</v>
      </c>
      <c r="E351" s="12" t="n">
        <f aca="false">IFERROR(INDEX('Catalog'!$A:$A,MATCH($A351,'Catalog'!$B:$B,0)),IFERROR(INDEX('Catalog'!$A:$A,MATCH(TRIM(SUBSTITUTE($A351,CHAR(160)," ")),'Catalog'!$C:$C,0)),""))</f>
        <v>4408009</v>
      </c>
      <c r="F351" s="12" t="str">
        <f aca="false">IF($E351="","Unmatched","Matched")</f>
        <v>Matched</v>
      </c>
    </row>
    <row r="352" customFormat="false" ht="15" hidden="false" customHeight="true" outlineLevel="0" collapsed="false">
      <c r="A352" s="12" t="s">
        <v>243</v>
      </c>
      <c r="B352" s="12" t="n">
        <v>2026</v>
      </c>
      <c r="C352" s="12" t="n">
        <v>-1</v>
      </c>
      <c r="D352" s="12" t="n">
        <v>-99.2</v>
      </c>
      <c r="E352" s="12" t="n">
        <f aca="false">IFERROR(INDEX('Catalog'!$A:$A,MATCH($A352,'Catalog'!$B:$B,0)),IFERROR(INDEX('Catalog'!$A:$A,MATCH(TRIM(SUBSTITUTE($A352,CHAR(160)," ")),'Catalog'!$C:$C,0)),""))</f>
        <v>4408010</v>
      </c>
      <c r="F352" s="12" t="str">
        <f aca="false">IF($E352="","Unmatched","Matched")</f>
        <v>Matched</v>
      </c>
    </row>
    <row r="353" customFormat="false" ht="15" hidden="false" customHeight="true" outlineLevel="0" collapsed="false">
      <c r="A353" s="12" t="s">
        <v>242</v>
      </c>
      <c r="B353" s="12" t="n">
        <v>2026</v>
      </c>
      <c r="C353" s="12" t="n">
        <v>-1</v>
      </c>
      <c r="D353" s="12" t="n">
        <v>-99.2</v>
      </c>
      <c r="E353" s="12" t="n">
        <f aca="false">IFERROR(INDEX('Catalog'!$A:$A,MATCH($A353,'Catalog'!$B:$B,0)),IFERROR(INDEX('Catalog'!$A:$A,MATCH(TRIM(SUBSTITUTE($A353,CHAR(160)," ")),'Catalog'!$C:$C,0)),""))</f>
        <v>4408011</v>
      </c>
      <c r="F353" s="12" t="str">
        <f aca="false">IF($E353="","Unmatched","Matched")</f>
        <v>Matched</v>
      </c>
    </row>
    <row r="354" customFormat="false" ht="15" hidden="false" customHeight="true" outlineLevel="0" collapsed="false">
      <c r="A354" s="12" t="s">
        <v>253</v>
      </c>
      <c r="B354" s="12" t="n">
        <v>2026</v>
      </c>
      <c r="C354" s="12" t="n">
        <v>3</v>
      </c>
      <c r="D354" s="12" t="n">
        <v>423.5</v>
      </c>
      <c r="E354" s="12" t="n">
        <f aca="false">IFERROR(INDEX('Catalog'!$A:$A,MATCH($A354,'Catalog'!$B:$B,0)),IFERROR(INDEX('Catalog'!$A:$A,MATCH(TRIM(SUBSTITUTE($A354,CHAR(160)," ")),'Catalog'!$C:$C,0)),""))</f>
        <v>4408027</v>
      </c>
      <c r="F354" s="12" t="str">
        <f aca="false">IF($E354="","Unmatched","Matched")</f>
        <v>Matched</v>
      </c>
    </row>
    <row r="355" customFormat="false" ht="15" hidden="false" customHeight="true" outlineLevel="0" collapsed="false">
      <c r="A355" s="12" t="s">
        <v>254</v>
      </c>
      <c r="B355" s="12" t="n">
        <v>2026</v>
      </c>
      <c r="C355" s="12" t="n">
        <v>3</v>
      </c>
      <c r="D355" s="12" t="n">
        <v>423.4</v>
      </c>
      <c r="E355" s="12" t="n">
        <f aca="false">IFERROR(INDEX('Catalog'!$A:$A,MATCH($A355,'Catalog'!$B:$B,0)),IFERROR(INDEX('Catalog'!$A:$A,MATCH(TRIM(SUBSTITUTE($A355,CHAR(160)," ")),'Catalog'!$C:$C,0)),""))</f>
        <v>4408028</v>
      </c>
      <c r="F355" s="12" t="str">
        <f aca="false">IF($E355="","Unmatched","Matched")</f>
        <v>Matched</v>
      </c>
    </row>
    <row r="356" customFormat="false" ht="15" hidden="false" customHeight="true" outlineLevel="0" collapsed="false">
      <c r="A356" s="12" t="s">
        <v>256</v>
      </c>
      <c r="B356" s="12" t="n">
        <v>2026</v>
      </c>
      <c r="C356" s="12" t="n">
        <v>6</v>
      </c>
      <c r="D356" s="12" t="n">
        <v>846.9</v>
      </c>
      <c r="E356" s="12" t="n">
        <f aca="false">IFERROR(INDEX('Catalog'!$A:$A,MATCH($A356,'Catalog'!$B:$B,0)),IFERROR(INDEX('Catalog'!$A:$A,MATCH(TRIM(SUBSTITUTE($A356,CHAR(160)," ")),'Catalog'!$C:$C,0)),""))</f>
        <v>4408029</v>
      </c>
      <c r="F356" s="12" t="str">
        <f aca="false">IF($E356="","Unmatched","Matched")</f>
        <v>Matched</v>
      </c>
    </row>
    <row r="357" customFormat="false" ht="15" hidden="false" customHeight="true" outlineLevel="0" collapsed="false">
      <c r="A357" s="12" t="s">
        <v>260</v>
      </c>
      <c r="B357" s="12" t="n">
        <v>2026</v>
      </c>
      <c r="C357" s="12" t="n">
        <v>19</v>
      </c>
      <c r="D357" s="12" t="n">
        <v>1843.6</v>
      </c>
      <c r="E357" s="12" t="n">
        <f aca="false">IFERROR(INDEX('Catalog'!$A:$A,MATCH($A357,'Catalog'!$B:$B,0)),IFERROR(INDEX('Catalog'!$A:$A,MATCH(TRIM(SUBSTITUTE($A357,CHAR(160)," ")),'Catalog'!$C:$C,0)),""))</f>
        <v>4408031</v>
      </c>
      <c r="F357" s="12" t="str">
        <f aca="false">IF($E357="","Unmatched","Matched")</f>
        <v>Matched</v>
      </c>
    </row>
    <row r="358" customFormat="false" ht="15" hidden="false" customHeight="true" outlineLevel="0" collapsed="false">
      <c r="A358" s="12" t="s">
        <v>258</v>
      </c>
      <c r="B358" s="12" t="n">
        <v>2026</v>
      </c>
      <c r="C358" s="12" t="n">
        <v>49</v>
      </c>
      <c r="D358" s="12" t="n">
        <v>4754.5</v>
      </c>
      <c r="E358" s="12" t="n">
        <f aca="false">IFERROR(INDEX('Catalog'!$A:$A,MATCH($A358,'Catalog'!$B:$B,0)),IFERROR(INDEX('Catalog'!$A:$A,MATCH(TRIM(SUBSTITUTE($A358,CHAR(160)," ")),'Catalog'!$C:$C,0)),""))</f>
        <v>4408032</v>
      </c>
      <c r="F358" s="12" t="str">
        <f aca="false">IF($E358="","Unmatched","Matched")</f>
        <v>Matched</v>
      </c>
    </row>
    <row r="359" customFormat="false" ht="15" hidden="false" customHeight="true" outlineLevel="0" collapsed="false">
      <c r="A359" s="12" t="s">
        <v>259</v>
      </c>
      <c r="B359" s="12" t="n">
        <v>2026</v>
      </c>
      <c r="C359" s="12" t="n">
        <v>33</v>
      </c>
      <c r="D359" s="12" t="n">
        <v>3202.1</v>
      </c>
      <c r="E359" s="12" t="n">
        <f aca="false">IFERROR(INDEX('Catalog'!$A:$A,MATCH($A359,'Catalog'!$B:$B,0)),IFERROR(INDEX('Catalog'!$A:$A,MATCH(TRIM(SUBSTITUTE($A359,CHAR(160)," ")),'Catalog'!$C:$C,0)),""))</f>
        <v>4408033</v>
      </c>
      <c r="F359" s="12" t="str">
        <f aca="false">IF($E359="","Unmatched","Matched")</f>
        <v>Matched</v>
      </c>
    </row>
    <row r="360" customFormat="false" ht="15" hidden="false" customHeight="true" outlineLevel="0" collapsed="false">
      <c r="A360" s="12" t="s">
        <v>261</v>
      </c>
      <c r="B360" s="12" t="n">
        <v>2026</v>
      </c>
      <c r="C360" s="12" t="n">
        <v>57</v>
      </c>
      <c r="D360" s="12" t="n">
        <v>5530.6</v>
      </c>
      <c r="E360" s="12" t="n">
        <f aca="false">IFERROR(INDEX('Catalog'!$A:$A,MATCH($A360,'Catalog'!$B:$B,0)),IFERROR(INDEX('Catalog'!$A:$A,MATCH(TRIM(SUBSTITUTE($A360,CHAR(160)," ")),'Catalog'!$C:$C,0)),""))</f>
        <v>4408034</v>
      </c>
      <c r="F360" s="12" t="str">
        <f aca="false">IF($E360="","Unmatched","Matched")</f>
        <v>Matched</v>
      </c>
    </row>
    <row r="361" customFormat="false" ht="15" hidden="false" customHeight="true" outlineLevel="0" collapsed="false">
      <c r="A361" s="12" t="s">
        <v>263</v>
      </c>
      <c r="B361" s="12" t="n">
        <v>2026</v>
      </c>
      <c r="C361" s="12" t="n">
        <v>37</v>
      </c>
      <c r="D361" s="12" t="n">
        <v>3590.1</v>
      </c>
      <c r="E361" s="12" t="n">
        <f aca="false">IFERROR(INDEX('Catalog'!$A:$A,MATCH($A361,'Catalog'!$B:$B,0)),IFERROR(INDEX('Catalog'!$A:$A,MATCH(TRIM(SUBSTITUTE($A361,CHAR(160)," ")),'Catalog'!$C:$C,0)),""))</f>
        <v>4408035</v>
      </c>
      <c r="F361" s="12" t="str">
        <f aca="false">IF($E361="","Unmatched","Matched")</f>
        <v>Matched</v>
      </c>
    </row>
    <row r="362" customFormat="false" ht="15" hidden="false" customHeight="true" outlineLevel="0" collapsed="false">
      <c r="A362" s="12" t="s">
        <v>310</v>
      </c>
      <c r="B362" s="12" t="n">
        <v>2026</v>
      </c>
      <c r="C362" s="12" t="n">
        <v>-1</v>
      </c>
      <c r="D362" s="12" t="n">
        <v>-286.8</v>
      </c>
      <c r="E362" s="12" t="n">
        <f aca="false">IFERROR(INDEX('Catalog'!$A:$A,MATCH($A362,'Catalog'!$B:$B,0)),IFERROR(INDEX('Catalog'!$A:$A,MATCH(TRIM(SUBSTITUTE($A362,CHAR(160)," ")),'Catalog'!$C:$C,0)),""))</f>
        <v>4408044</v>
      </c>
      <c r="F362" s="12" t="str">
        <f aca="false">IF($E362="","Unmatched","Matched")</f>
        <v>Matched</v>
      </c>
    </row>
    <row r="363" customFormat="false" ht="15" hidden="false" customHeight="true" outlineLevel="0" collapsed="false">
      <c r="A363" s="12" t="s">
        <v>580</v>
      </c>
      <c r="B363" s="12" t="n">
        <v>2026</v>
      </c>
      <c r="C363" s="12" t="n">
        <v>82</v>
      </c>
      <c r="D363" s="12" t="n">
        <v>2230.4</v>
      </c>
      <c r="E363" s="12" t="n">
        <f aca="false">IFERROR(INDEX('Catalog'!$A:$A,MATCH($A363,'Catalog'!$B:$B,0)),IFERROR(INDEX('Catalog'!$A:$A,MATCH(TRIM(SUBSTITUTE($A363,CHAR(160)," ")),'Catalog'!$C:$C,0)),""))</f>
        <v>4408046</v>
      </c>
      <c r="F363" s="12" t="str">
        <f aca="false">IF($E363="","Unmatched","Matched")</f>
        <v>Matched</v>
      </c>
    </row>
    <row r="364" customFormat="false" ht="15" hidden="false" customHeight="true" outlineLevel="0" collapsed="false">
      <c r="A364" s="12" t="s">
        <v>581</v>
      </c>
      <c r="B364" s="12" t="n">
        <v>2026</v>
      </c>
      <c r="C364" s="12" t="n">
        <v>100</v>
      </c>
      <c r="D364" s="12" t="n">
        <v>2716.9</v>
      </c>
      <c r="E364" s="12" t="n">
        <f aca="false">IFERROR(INDEX('Catalog'!$A:$A,MATCH($A364,'Catalog'!$B:$B,0)),IFERROR(INDEX('Catalog'!$A:$A,MATCH(TRIM(SUBSTITUTE($A364,CHAR(160)," ")),'Catalog'!$C:$C,0)),""))</f>
        <v>4408047</v>
      </c>
      <c r="F364" s="12" t="str">
        <f aca="false">IF($E364="","Unmatched","Matched")</f>
        <v>Matched</v>
      </c>
    </row>
    <row r="365" customFormat="false" ht="15" hidden="false" customHeight="true" outlineLevel="0" collapsed="false">
      <c r="A365" s="12" t="s">
        <v>582</v>
      </c>
      <c r="B365" s="12" t="n">
        <v>2026</v>
      </c>
      <c r="C365" s="12" t="n">
        <v>62</v>
      </c>
      <c r="D365" s="12" t="n">
        <v>1684.1</v>
      </c>
      <c r="E365" s="12" t="n">
        <f aca="false">IFERROR(INDEX('Catalog'!$A:$A,MATCH($A365,'Catalog'!$B:$B,0)),IFERROR(INDEX('Catalog'!$A:$A,MATCH(TRIM(SUBSTITUTE($A365,CHAR(160)," ")),'Catalog'!$C:$C,0)),""))</f>
        <v>4408048</v>
      </c>
      <c r="F365" s="12" t="str">
        <f aca="false">IF($E365="","Unmatched","Matched")</f>
        <v>Matched</v>
      </c>
    </row>
    <row r="366" customFormat="false" ht="15" hidden="false" customHeight="true" outlineLevel="0" collapsed="false">
      <c r="A366" s="12" t="s">
        <v>583</v>
      </c>
      <c r="B366" s="12" t="n">
        <v>2026</v>
      </c>
      <c r="C366" s="12" t="n">
        <v>33</v>
      </c>
      <c r="D366" s="12" t="n">
        <v>897.3</v>
      </c>
      <c r="E366" s="12" t="n">
        <f aca="false">IFERROR(INDEX('Catalog'!$A:$A,MATCH($A366,'Catalog'!$B:$B,0)),IFERROR(INDEX('Catalog'!$A:$A,MATCH(TRIM(SUBSTITUTE($A366,CHAR(160)," ")),'Catalog'!$C:$C,0)),""))</f>
        <v>4408049</v>
      </c>
      <c r="F366" s="12" t="str">
        <f aca="false">IF($E366="","Unmatched","Matched")</f>
        <v>Matched</v>
      </c>
    </row>
    <row r="367" customFormat="false" ht="15" hidden="false" customHeight="true" outlineLevel="0" collapsed="false">
      <c r="A367" s="12" t="s">
        <v>588</v>
      </c>
      <c r="B367" s="12" t="n">
        <v>2026</v>
      </c>
      <c r="C367" s="12" t="n">
        <v>118</v>
      </c>
      <c r="D367" s="12" t="n">
        <v>4164.5</v>
      </c>
      <c r="E367" s="12" t="n">
        <f aca="false">IFERROR(INDEX('Catalog'!$A:$A,MATCH($A367,'Catalog'!$B:$B,0)),IFERROR(INDEX('Catalog'!$A:$A,MATCH(TRIM(SUBSTITUTE($A367,CHAR(160)," ")),'Catalog'!$C:$C,0)),""))</f>
        <v>4408051</v>
      </c>
      <c r="F367" s="12" t="str">
        <f aca="false">IF($E367="","Unmatched","Matched")</f>
        <v>Matched</v>
      </c>
    </row>
    <row r="368" customFormat="false" ht="15" hidden="false" customHeight="true" outlineLevel="0" collapsed="false">
      <c r="A368" s="12" t="s">
        <v>586</v>
      </c>
      <c r="B368" s="12" t="n">
        <v>2026</v>
      </c>
      <c r="C368" s="12" t="n">
        <v>112</v>
      </c>
      <c r="D368" s="12" t="n">
        <v>3950.6</v>
      </c>
      <c r="E368" s="12" t="n">
        <f aca="false">IFERROR(INDEX('Catalog'!$A:$A,MATCH($A368,'Catalog'!$B:$B,0)),IFERROR(INDEX('Catalog'!$A:$A,MATCH(TRIM(SUBSTITUTE($A368,CHAR(160)," ")),'Catalog'!$C:$C,0)),""))</f>
        <v>4408052</v>
      </c>
      <c r="F368" s="12" t="str">
        <f aca="false">IF($E368="","Unmatched","Matched")</f>
        <v>Matched</v>
      </c>
    </row>
    <row r="369" customFormat="false" ht="15" hidden="false" customHeight="true" outlineLevel="0" collapsed="false">
      <c r="A369" s="12" t="s">
        <v>587</v>
      </c>
      <c r="B369" s="12" t="n">
        <v>2026</v>
      </c>
      <c r="C369" s="12" t="n">
        <v>221</v>
      </c>
      <c r="D369" s="12" t="n">
        <v>7792.9</v>
      </c>
      <c r="E369" s="12" t="n">
        <f aca="false">IFERROR(INDEX('Catalog'!$A:$A,MATCH($A369,'Catalog'!$B:$B,0)),IFERROR(INDEX('Catalog'!$A:$A,MATCH(TRIM(SUBSTITUTE($A369,CHAR(160)," ")),'Catalog'!$C:$C,0)),""))</f>
        <v>4408053</v>
      </c>
      <c r="F369" s="12" t="str">
        <f aca="false">IF($E369="","Unmatched","Matched")</f>
        <v>Matched</v>
      </c>
    </row>
    <row r="370" customFormat="false" ht="15" hidden="false" customHeight="true" outlineLevel="0" collapsed="false">
      <c r="A370" s="12" t="s">
        <v>589</v>
      </c>
      <c r="B370" s="12" t="n">
        <v>2026</v>
      </c>
      <c r="C370" s="12" t="n">
        <v>84</v>
      </c>
      <c r="D370" s="12" t="n">
        <v>2966.1</v>
      </c>
      <c r="E370" s="12" t="n">
        <f aca="false">IFERROR(INDEX('Catalog'!$A:$A,MATCH($A370,'Catalog'!$B:$B,0)),IFERROR(INDEX('Catalog'!$A:$A,MATCH(TRIM(SUBSTITUTE($A370,CHAR(160)," ")),'Catalog'!$C:$C,0)),""))</f>
        <v>4408054</v>
      </c>
      <c r="F370" s="12" t="str">
        <f aca="false">IF($E370="","Unmatched","Matched")</f>
        <v>Matched</v>
      </c>
    </row>
    <row r="371" customFormat="false" ht="15" hidden="false" customHeight="true" outlineLevel="0" collapsed="false">
      <c r="A371" s="12" t="s">
        <v>613</v>
      </c>
      <c r="B371" s="12" t="n">
        <v>2026</v>
      </c>
      <c r="C371" s="12" t="n">
        <v>-1</v>
      </c>
      <c r="D371" s="12" t="n">
        <v>-68.5</v>
      </c>
      <c r="E371" s="12" t="n">
        <f aca="false">IFERROR(INDEX('Catalog'!$A:$A,MATCH($A371,'Catalog'!$B:$B,0)),IFERROR(INDEX('Catalog'!$A:$A,MATCH(TRIM(SUBSTITUTE($A371,CHAR(160)," ")),'Catalog'!$C:$C,0)),""))</f>
        <v>4408062</v>
      </c>
      <c r="F371" s="12" t="str">
        <f aca="false">IF($E371="","Unmatched","Matched")</f>
        <v>Matched</v>
      </c>
    </row>
    <row r="372" customFormat="false" ht="15" hidden="false" customHeight="true" outlineLevel="0" collapsed="false">
      <c r="A372" s="12" t="s">
        <v>456</v>
      </c>
      <c r="B372" s="12" t="n">
        <v>2026</v>
      </c>
      <c r="C372" s="12" t="n">
        <v>6</v>
      </c>
      <c r="D372" s="12" t="n">
        <v>1810.3</v>
      </c>
      <c r="E372" s="12" t="n">
        <f aca="false">IFERROR(INDEX('Catalog'!$A:$A,MATCH($A372,'Catalog'!$B:$B,0)),IFERROR(INDEX('Catalog'!$A:$A,MATCH(TRIM(SUBSTITUTE($A372,CHAR(160)," ")),'Catalog'!$C:$C,0)),""))</f>
        <v>4408070</v>
      </c>
      <c r="F372" s="12" t="str">
        <f aca="false">IF($E372="","Unmatched","Matched")</f>
        <v>Matched</v>
      </c>
    </row>
    <row r="373" customFormat="false" ht="15" hidden="false" customHeight="true" outlineLevel="0" collapsed="false">
      <c r="A373" s="12" t="s">
        <v>455</v>
      </c>
      <c r="B373" s="12" t="n">
        <v>2026</v>
      </c>
      <c r="C373" s="12" t="n">
        <v>2</v>
      </c>
      <c r="D373" s="12" t="n">
        <v>603.4</v>
      </c>
      <c r="E373" s="12" t="n">
        <f aca="false">IFERROR(INDEX('Catalog'!$A:$A,MATCH($A373,'Catalog'!$B:$B,0)),IFERROR(INDEX('Catalog'!$A:$A,MATCH(TRIM(SUBSTITUTE($A373,CHAR(160)," ")),'Catalog'!$C:$C,0)),""))</f>
        <v>4408072</v>
      </c>
      <c r="F373" s="12" t="str">
        <f aca="false">IF($E373="","Unmatched","Matched")</f>
        <v>Matched</v>
      </c>
    </row>
    <row r="374" customFormat="false" ht="15" hidden="false" customHeight="true" outlineLevel="0" collapsed="false">
      <c r="A374" s="12" t="s">
        <v>457</v>
      </c>
      <c r="B374" s="12" t="n">
        <v>2026</v>
      </c>
      <c r="C374" s="12" t="n">
        <v>1</v>
      </c>
      <c r="D374" s="12" t="n">
        <v>301.7</v>
      </c>
      <c r="E374" s="12" t="n">
        <f aca="false">IFERROR(INDEX('Catalog'!$A:$A,MATCH($A374,'Catalog'!$B:$B,0)),IFERROR(INDEX('Catalog'!$A:$A,MATCH(TRIM(SUBSTITUTE($A374,CHAR(160)," ")),'Catalog'!$C:$C,0)),""))</f>
        <v>4408073</v>
      </c>
      <c r="F374" s="12" t="str">
        <f aca="false">IF($E374="","Unmatched","Matched")</f>
        <v>Matched</v>
      </c>
    </row>
    <row r="375" customFormat="false" ht="15" hidden="false" customHeight="true" outlineLevel="0" collapsed="false">
      <c r="A375" s="12" t="s">
        <v>462</v>
      </c>
      <c r="B375" s="12" t="n">
        <v>2026</v>
      </c>
      <c r="C375" s="12" t="n">
        <v>1</v>
      </c>
      <c r="D375" s="12" t="n">
        <v>172</v>
      </c>
      <c r="E375" s="12" t="n">
        <f aca="false">IFERROR(INDEX('Catalog'!$A:$A,MATCH($A375,'Catalog'!$B:$B,0)),IFERROR(INDEX('Catalog'!$A:$A,MATCH(TRIM(SUBSTITUTE($A375,CHAR(160)," ")),'Catalog'!$C:$C,0)),""))</f>
        <v>4408078</v>
      </c>
      <c r="F375" s="12" t="str">
        <f aca="false">IF($E375="","Unmatched","Matched")</f>
        <v>Matched</v>
      </c>
    </row>
    <row r="376" customFormat="false" ht="15" hidden="false" customHeight="true" outlineLevel="0" collapsed="false">
      <c r="A376" s="12" t="s">
        <v>464</v>
      </c>
      <c r="B376" s="12" t="n">
        <v>2026</v>
      </c>
      <c r="C376" s="12" t="n">
        <v>1</v>
      </c>
      <c r="D376" s="12" t="n">
        <v>178.9</v>
      </c>
      <c r="E376" s="12" t="n">
        <f aca="false">IFERROR(INDEX('Catalog'!$A:$A,MATCH($A376,'Catalog'!$B:$B,0)),IFERROR(INDEX('Catalog'!$A:$A,MATCH(TRIM(SUBSTITUTE($A376,CHAR(160)," ")),'Catalog'!$C:$C,0)),""))</f>
        <v>4408081</v>
      </c>
      <c r="F376" s="12" t="str">
        <f aca="false">IF($E376="","Unmatched","Matched")</f>
        <v>Matched</v>
      </c>
    </row>
    <row r="377" customFormat="false" ht="15" hidden="false" customHeight="true" outlineLevel="0" collapsed="false">
      <c r="A377" s="12" t="s">
        <v>471</v>
      </c>
      <c r="B377" s="12" t="n">
        <v>2026</v>
      </c>
      <c r="C377" s="12" t="n">
        <v>-6</v>
      </c>
      <c r="D377" s="12" t="n">
        <v>-449.8</v>
      </c>
      <c r="E377" s="12" t="n">
        <f aca="false">IFERROR(INDEX('Catalog'!$A:$A,MATCH($A377,'Catalog'!$B:$B,0)),IFERROR(INDEX('Catalog'!$A:$A,MATCH(TRIM(SUBSTITUTE($A377,CHAR(160)," ")),'Catalog'!$C:$C,0)),""))</f>
        <v>4408088</v>
      </c>
      <c r="F377" s="12" t="str">
        <f aca="false">IF($E377="","Unmatched","Matched")</f>
        <v>Matched</v>
      </c>
    </row>
    <row r="378" customFormat="false" ht="15" hidden="false" customHeight="true" outlineLevel="0" collapsed="false">
      <c r="A378" s="12" t="s">
        <v>338</v>
      </c>
      <c r="B378" s="12" t="n">
        <v>2026</v>
      </c>
      <c r="C378" s="12" t="n">
        <v>1</v>
      </c>
      <c r="D378" s="12" t="n">
        <v>88.2</v>
      </c>
      <c r="E378" s="12" t="n">
        <f aca="false">IFERROR(INDEX('Catalog'!$A:$A,MATCH($A378,'Catalog'!$B:$B,0)),IFERROR(INDEX('Catalog'!$A:$A,MATCH(TRIM(SUBSTITUTE($A378,CHAR(160)," ")),'Catalog'!$C:$C,0)),""))</f>
        <v>4408089</v>
      </c>
      <c r="F378" s="12" t="str">
        <f aca="false">IF($E378="","Unmatched","Matched")</f>
        <v>Matched</v>
      </c>
    </row>
    <row r="379" customFormat="false" ht="15" hidden="false" customHeight="true" outlineLevel="0" collapsed="false">
      <c r="A379" s="12" t="s">
        <v>336</v>
      </c>
      <c r="B379" s="12" t="n">
        <v>2026</v>
      </c>
      <c r="C379" s="12" t="n">
        <v>2</v>
      </c>
      <c r="D379" s="12" t="n">
        <v>176.4</v>
      </c>
      <c r="E379" s="12" t="n">
        <f aca="false">IFERROR(INDEX('Catalog'!$A:$A,MATCH($A379,'Catalog'!$B:$B,0)),IFERROR(INDEX('Catalog'!$A:$A,MATCH(TRIM(SUBSTITUTE($A379,CHAR(160)," ")),'Catalog'!$C:$C,0)),""))</f>
        <v>4408090</v>
      </c>
      <c r="F379" s="12" t="str">
        <f aca="false">IF($E379="","Unmatched","Matched")</f>
        <v>Matched</v>
      </c>
    </row>
    <row r="380" customFormat="false" ht="15" hidden="false" customHeight="true" outlineLevel="0" collapsed="false">
      <c r="A380" s="12" t="s">
        <v>337</v>
      </c>
      <c r="B380" s="12" t="n">
        <v>2026</v>
      </c>
      <c r="C380" s="12" t="n">
        <v>2</v>
      </c>
      <c r="D380" s="12" t="n">
        <v>176.4</v>
      </c>
      <c r="E380" s="12" t="n">
        <f aca="false">IFERROR(INDEX('Catalog'!$A:$A,MATCH($A380,'Catalog'!$B:$B,0)),IFERROR(INDEX('Catalog'!$A:$A,MATCH(TRIM(SUBSTITUTE($A380,CHAR(160)," ")),'Catalog'!$C:$C,0)),""))</f>
        <v>4408091</v>
      </c>
      <c r="F380" s="12" t="str">
        <f aca="false">IF($E380="","Unmatched","Matched")</f>
        <v>Matched</v>
      </c>
    </row>
    <row r="381" customFormat="false" ht="15" hidden="false" customHeight="true" outlineLevel="0" collapsed="false">
      <c r="A381" s="12" t="s">
        <v>339</v>
      </c>
      <c r="B381" s="12" t="n">
        <v>2026</v>
      </c>
      <c r="C381" s="12" t="n">
        <v>2</v>
      </c>
      <c r="D381" s="12" t="n">
        <v>176.4</v>
      </c>
      <c r="E381" s="12" t="n">
        <f aca="false">IFERROR(INDEX('Catalog'!$A:$A,MATCH($A381,'Catalog'!$B:$B,0)),IFERROR(INDEX('Catalog'!$A:$A,MATCH(TRIM(SUBSTITUTE($A381,CHAR(160)," ")),'Catalog'!$C:$C,0)),""))</f>
        <v>4408092</v>
      </c>
      <c r="F381" s="12" t="str">
        <f aca="false">IF($E381="","Unmatched","Matched")</f>
        <v>Matched</v>
      </c>
    </row>
    <row r="382" customFormat="false" ht="15" hidden="false" customHeight="true" outlineLevel="0" collapsed="false">
      <c r="A382" s="12" t="s">
        <v>340</v>
      </c>
      <c r="B382" s="12" t="n">
        <v>2026</v>
      </c>
      <c r="C382" s="12" t="n">
        <v>1</v>
      </c>
      <c r="D382" s="12" t="n">
        <v>88.2</v>
      </c>
      <c r="E382" s="12" t="n">
        <f aca="false">IFERROR(INDEX('Catalog'!$A:$A,MATCH($A382,'Catalog'!$B:$B,0)),IFERROR(INDEX('Catalog'!$A:$A,MATCH(TRIM(SUBSTITUTE($A382,CHAR(160)," ")),'Catalog'!$C:$C,0)),""))</f>
        <v>4408093</v>
      </c>
      <c r="F382" s="12" t="str">
        <f aca="false">IF($E382="","Unmatched","Matched")</f>
        <v>Matched</v>
      </c>
    </row>
    <row r="383" customFormat="false" ht="15" hidden="false" customHeight="true" outlineLevel="0" collapsed="false">
      <c r="A383" s="12" t="s">
        <v>653</v>
      </c>
      <c r="B383" s="12" t="n">
        <v>2026</v>
      </c>
      <c r="C383" s="12" t="n">
        <v>27</v>
      </c>
      <c r="D383" s="12" t="n">
        <v>928</v>
      </c>
      <c r="E383" s="12" t="n">
        <f aca="false">IFERROR(INDEX('Catalog'!$A:$A,MATCH($A383,'Catalog'!$B:$B,0)),IFERROR(INDEX('Catalog'!$A:$A,MATCH(TRIM(SUBSTITUTE($A383,CHAR(160)," ")),'Catalog'!$C:$C,0)),""))</f>
        <v>4408094</v>
      </c>
      <c r="F383" s="12" t="str">
        <f aca="false">IF($E383="","Unmatched","Matched")</f>
        <v>Matched</v>
      </c>
    </row>
    <row r="384" customFormat="false" ht="15" hidden="false" customHeight="true" outlineLevel="0" collapsed="false">
      <c r="A384" s="12" t="s">
        <v>652</v>
      </c>
      <c r="B384" s="12" t="n">
        <v>2026</v>
      </c>
      <c r="C384" s="12" t="n">
        <v>21</v>
      </c>
      <c r="D384" s="12" t="n">
        <v>724.1</v>
      </c>
      <c r="E384" s="12" t="n">
        <f aca="false">IFERROR(INDEX('Catalog'!$A:$A,MATCH($A384,'Catalog'!$B:$B,0)),IFERROR(INDEX('Catalog'!$A:$A,MATCH(TRIM(SUBSTITUTE($A384,CHAR(160)," ")),'Catalog'!$C:$C,0)),""))</f>
        <v>4408095</v>
      </c>
      <c r="F384" s="12" t="str">
        <f aca="false">IF($E384="","Unmatched","Matched")</f>
        <v>Matched</v>
      </c>
    </row>
    <row r="385" customFormat="false" ht="15" hidden="false" customHeight="true" outlineLevel="0" collapsed="false">
      <c r="A385" s="12" t="s">
        <v>656</v>
      </c>
      <c r="B385" s="12" t="n">
        <v>2026</v>
      </c>
      <c r="C385" s="12" t="n">
        <v>257</v>
      </c>
      <c r="D385" s="12" t="n">
        <v>10215.4</v>
      </c>
      <c r="E385" s="12" t="n">
        <f aca="false">IFERROR(INDEX('Catalog'!$A:$A,MATCH($A385,'Catalog'!$B:$B,0)),IFERROR(INDEX('Catalog'!$A:$A,MATCH(TRIM(SUBSTITUTE($A385,CHAR(160)," ")),'Catalog'!$C:$C,0)),""))</f>
        <v>4408098</v>
      </c>
      <c r="F385" s="12" t="str">
        <f aca="false">IF($E385="","Unmatched","Matched")</f>
        <v>Matched</v>
      </c>
    </row>
    <row r="386" customFormat="false" ht="15" hidden="false" customHeight="true" outlineLevel="0" collapsed="false">
      <c r="A386" s="12" t="s">
        <v>658</v>
      </c>
      <c r="B386" s="12" t="n">
        <v>2026</v>
      </c>
      <c r="C386" s="12" t="n">
        <v>283</v>
      </c>
      <c r="D386" s="12" t="n">
        <v>11246.5</v>
      </c>
      <c r="E386" s="12" t="n">
        <f aca="false">IFERROR(INDEX('Catalog'!$A:$A,MATCH($A386,'Catalog'!$B:$B,0)),IFERROR(INDEX('Catalog'!$A:$A,MATCH(TRIM(SUBSTITUTE($A386,CHAR(160)," ")),'Catalog'!$C:$C,0)),""))</f>
        <v>4408099</v>
      </c>
      <c r="F386" s="12" t="str">
        <f aca="false">IF($E386="","Unmatched","Matched")</f>
        <v>Matched</v>
      </c>
    </row>
    <row r="387" customFormat="false" ht="15" hidden="false" customHeight="true" outlineLevel="0" collapsed="false">
      <c r="A387" s="12" t="s">
        <v>314</v>
      </c>
      <c r="B387" s="12" t="n">
        <v>2026</v>
      </c>
      <c r="C387" s="12" t="n">
        <v>-1</v>
      </c>
      <c r="D387" s="12" t="n">
        <v>-223.2</v>
      </c>
      <c r="E387" s="12" t="n">
        <f aca="false">IFERROR(INDEX('Catalog'!$A:$A,MATCH($A387,'Catalog'!$B:$B,0)),IFERROR(INDEX('Catalog'!$A:$A,MATCH(TRIM(SUBSTITUTE($A387,CHAR(160)," ")),'Catalog'!$C:$C,0)),""))</f>
        <v>4408104</v>
      </c>
      <c r="F387" s="12" t="str">
        <f aca="false">IF($E387="","Unmatched","Matched")</f>
        <v>Matched</v>
      </c>
    </row>
    <row r="388" customFormat="false" ht="15" hidden="false" customHeight="true" outlineLevel="0" collapsed="false">
      <c r="A388" s="12" t="s">
        <v>264</v>
      </c>
      <c r="B388" s="12" t="n">
        <v>2026</v>
      </c>
      <c r="C388" s="12" t="n">
        <v>24</v>
      </c>
      <c r="D388" s="12" t="n">
        <v>2328.8</v>
      </c>
      <c r="E388" s="12" t="n">
        <f aca="false">IFERROR(INDEX('Catalog'!$A:$A,MATCH($A388,'Catalog'!$B:$B,0)),IFERROR(INDEX('Catalog'!$A:$A,MATCH(TRIM(SUBSTITUTE($A388,CHAR(160)," ")),'Catalog'!$C:$C,0)),""))</f>
        <v>4408115</v>
      </c>
      <c r="F388" s="12" t="str">
        <f aca="false">IF($E388="","Unmatched","Matched")</f>
        <v>Matched</v>
      </c>
    </row>
    <row r="389" customFormat="false" ht="15" hidden="false" customHeight="true" outlineLevel="0" collapsed="false">
      <c r="A389" s="12" t="s">
        <v>268</v>
      </c>
      <c r="B389" s="12" t="n">
        <v>2026</v>
      </c>
      <c r="C389" s="12" t="n">
        <v>65</v>
      </c>
      <c r="D389" s="12" t="n">
        <v>6240</v>
      </c>
      <c r="E389" s="12" t="n">
        <f aca="false">IFERROR(INDEX('Catalog'!$A:$A,MATCH($A389,'Catalog'!$B:$B,0)),IFERROR(INDEX('Catalog'!$A:$A,MATCH(TRIM(SUBSTITUTE($A389,CHAR(160)," ")),'Catalog'!$C:$C,0)),""))</f>
        <v>4408132</v>
      </c>
      <c r="F389" s="12" t="str">
        <f aca="false">IF($E389="","Unmatched","Matched")</f>
        <v>Matched</v>
      </c>
    </row>
    <row r="390" customFormat="false" ht="15" hidden="false" customHeight="true" outlineLevel="0" collapsed="false">
      <c r="A390" s="12" t="s">
        <v>273</v>
      </c>
      <c r="B390" s="12" t="n">
        <v>2026</v>
      </c>
      <c r="C390" s="12" t="n">
        <v>3</v>
      </c>
      <c r="D390" s="12" t="n">
        <v>355.9</v>
      </c>
      <c r="E390" s="12" t="n">
        <f aca="false">IFERROR(INDEX('Catalog'!$A:$A,MATCH($A390,'Catalog'!$B:$B,0)),IFERROR(INDEX('Catalog'!$A:$A,MATCH(TRIM(SUBSTITUTE($A390,CHAR(160)," ")),'Catalog'!$C:$C,0)),""))</f>
        <v>4408149</v>
      </c>
      <c r="F390" s="12" t="str">
        <f aca="false">IF($E390="","Unmatched","Matched")</f>
        <v>Matched</v>
      </c>
    </row>
    <row r="391" customFormat="false" ht="15" hidden="false" customHeight="true" outlineLevel="0" collapsed="false">
      <c r="A391" s="12" t="s">
        <v>281</v>
      </c>
      <c r="B391" s="12" t="n">
        <v>2026</v>
      </c>
      <c r="C391" s="12" t="n">
        <v>12</v>
      </c>
      <c r="D391" s="12" t="n">
        <v>1746.8</v>
      </c>
      <c r="E391" s="12" t="n">
        <f aca="false">IFERROR(INDEX('Catalog'!$A:$A,MATCH($A391,'Catalog'!$B:$B,0)),IFERROR(INDEX('Catalog'!$A:$A,MATCH(TRIM(SUBSTITUTE($A391,CHAR(160)," ")),'Catalog'!$C:$C,0)),""))</f>
        <v>4408150</v>
      </c>
      <c r="F391" s="12" t="str">
        <f aca="false">IF($E391="","Unmatched","Matched")</f>
        <v>Matched</v>
      </c>
    </row>
    <row r="392" customFormat="false" ht="15" hidden="false" customHeight="true" outlineLevel="0" collapsed="false">
      <c r="A392" s="12" t="s">
        <v>280</v>
      </c>
      <c r="B392" s="12" t="n">
        <v>2026</v>
      </c>
      <c r="C392" s="12" t="n">
        <v>27</v>
      </c>
      <c r="D392" s="12" t="n">
        <v>3930.2</v>
      </c>
      <c r="E392" s="12" t="n">
        <f aca="false">IFERROR(INDEX('Catalog'!$A:$A,MATCH($A392,'Catalog'!$B:$B,0)),IFERROR(INDEX('Catalog'!$A:$A,MATCH(TRIM(SUBSTITUTE($A392,CHAR(160)," ")),'Catalog'!$C:$C,0)),""))</f>
        <v>4408151</v>
      </c>
      <c r="F392" s="12" t="str">
        <f aca="false">IF($E392="","Unmatched","Matched")</f>
        <v>Matched</v>
      </c>
    </row>
    <row r="393" customFormat="false" ht="15" hidden="false" customHeight="true" outlineLevel="0" collapsed="false">
      <c r="A393" s="12" t="s">
        <v>279</v>
      </c>
      <c r="B393" s="12" t="n">
        <v>2026</v>
      </c>
      <c r="C393" s="12" t="n">
        <v>49</v>
      </c>
      <c r="D393" s="12" t="n">
        <v>7132.5</v>
      </c>
      <c r="E393" s="12" t="n">
        <f aca="false">IFERROR(INDEX('Catalog'!$A:$A,MATCH($A393,'Catalog'!$B:$B,0)),IFERROR(INDEX('Catalog'!$A:$A,MATCH(TRIM(SUBSTITUTE($A393,CHAR(160)," ")),'Catalog'!$C:$C,0)),""))</f>
        <v>4408152</v>
      </c>
      <c r="F393" s="12" t="str">
        <f aca="false">IF($E393="","Unmatched","Matched")</f>
        <v>Matched</v>
      </c>
    </row>
    <row r="394" customFormat="false" ht="15" hidden="false" customHeight="true" outlineLevel="0" collapsed="false">
      <c r="A394" s="12" t="s">
        <v>282</v>
      </c>
      <c r="B394" s="12" t="n">
        <v>2026</v>
      </c>
      <c r="C394" s="12" t="n">
        <v>59</v>
      </c>
      <c r="D394" s="12" t="n">
        <v>8588</v>
      </c>
      <c r="E394" s="12" t="n">
        <f aca="false">IFERROR(INDEX('Catalog'!$A:$A,MATCH($A394,'Catalog'!$B:$B,0)),IFERROR(INDEX('Catalog'!$A:$A,MATCH(TRIM(SUBSTITUTE($A394,CHAR(160)," ")),'Catalog'!$C:$C,0)),""))</f>
        <v>4408153</v>
      </c>
      <c r="F394" s="12" t="str">
        <f aca="false">IF($E394="","Unmatched","Matched")</f>
        <v>Matched</v>
      </c>
    </row>
    <row r="395" customFormat="false" ht="15" hidden="false" customHeight="true" outlineLevel="0" collapsed="false">
      <c r="A395" s="12" t="s">
        <v>283</v>
      </c>
      <c r="B395" s="12" t="n">
        <v>2026</v>
      </c>
      <c r="C395" s="12" t="n">
        <v>83</v>
      </c>
      <c r="D395" s="12" t="n">
        <v>12081.5</v>
      </c>
      <c r="E395" s="12" t="n">
        <f aca="false">IFERROR(INDEX('Catalog'!$A:$A,MATCH($A395,'Catalog'!$B:$B,0)),IFERROR(INDEX('Catalog'!$A:$A,MATCH(TRIM(SUBSTITUTE($A395,CHAR(160)," ")),'Catalog'!$C:$C,0)),""))</f>
        <v>4408154</v>
      </c>
      <c r="F395" s="12" t="str">
        <f aca="false">IF($E395="","Unmatched","Matched")</f>
        <v>Matched</v>
      </c>
    </row>
    <row r="396" customFormat="false" ht="15" hidden="false" customHeight="true" outlineLevel="0" collapsed="false">
      <c r="A396" s="12" t="s">
        <v>299</v>
      </c>
      <c r="B396" s="12" t="n">
        <v>2026</v>
      </c>
      <c r="C396" s="12" t="n">
        <v>2</v>
      </c>
      <c r="D396" s="12" t="n">
        <v>502.9</v>
      </c>
      <c r="E396" s="12" t="n">
        <f aca="false">IFERROR(INDEX('Catalog'!$A:$A,MATCH($A396,'Catalog'!$B:$B,0)),IFERROR(INDEX('Catalog'!$A:$A,MATCH(TRIM(SUBSTITUTE($A396,CHAR(160)," ")),'Catalog'!$C:$C,0)),""))</f>
        <v>4408203</v>
      </c>
      <c r="F396" s="12" t="str">
        <f aca="false">IF($E396="","Unmatched","Matched")</f>
        <v>Matched</v>
      </c>
    </row>
    <row r="397" customFormat="false" ht="15" hidden="false" customHeight="true" outlineLevel="0" collapsed="false">
      <c r="A397" s="12" t="s">
        <v>326</v>
      </c>
      <c r="B397" s="12" t="n">
        <v>2026</v>
      </c>
      <c r="C397" s="12" t="n">
        <v>22</v>
      </c>
      <c r="D397" s="12" t="n">
        <v>1940.1</v>
      </c>
      <c r="E397" s="12" t="n">
        <f aca="false">IFERROR(INDEX('Catalog'!$A:$A,MATCH($A397,'Catalog'!$B:$B,0)),IFERROR(INDEX('Catalog'!$A:$A,MATCH(TRIM(SUBSTITUTE($A397,CHAR(160)," ")),'Catalog'!$C:$C,0)),""))</f>
        <v>4408205</v>
      </c>
      <c r="F397" s="12" t="str">
        <f aca="false">IF($E397="","Unmatched","Matched")</f>
        <v>Matched</v>
      </c>
    </row>
    <row r="398" customFormat="false" ht="15" hidden="false" customHeight="true" outlineLevel="0" collapsed="false">
      <c r="A398" s="12" t="s">
        <v>327</v>
      </c>
      <c r="B398" s="12" t="n">
        <v>2026</v>
      </c>
      <c r="C398" s="12" t="n">
        <v>2</v>
      </c>
      <c r="D398" s="12" t="n">
        <v>150.5</v>
      </c>
      <c r="E398" s="12" t="n">
        <f aca="false">IFERROR(INDEX('Catalog'!$A:$A,MATCH($A398,'Catalog'!$B:$B,0)),IFERROR(INDEX('Catalog'!$A:$A,MATCH(TRIM(SUBSTITUTE($A398,CHAR(160)," ")),'Catalog'!$C:$C,0)),""))</f>
        <v>4408206</v>
      </c>
      <c r="F398" s="12" t="str">
        <f aca="false">IF($E398="","Unmatched","Matched")</f>
        <v>Matched</v>
      </c>
    </row>
    <row r="399" customFormat="false" ht="15" hidden="false" customHeight="true" outlineLevel="0" collapsed="false">
      <c r="A399" s="12" t="s">
        <v>808</v>
      </c>
      <c r="B399" s="12" t="n">
        <v>2026</v>
      </c>
      <c r="C399" s="12" t="n">
        <v>45</v>
      </c>
      <c r="D399" s="12" t="n">
        <v>1121.9</v>
      </c>
      <c r="E399" s="12" t="n">
        <f aca="false">IFERROR(INDEX('Catalog'!$A:$A,MATCH($A399,'Catalog'!$B:$B,0)),IFERROR(INDEX('Catalog'!$A:$A,MATCH(TRIM(SUBSTITUTE($A399,CHAR(160)," ")),'Catalog'!$C:$C,0)),""))</f>
        <v>4408207</v>
      </c>
      <c r="F399" s="12" t="str">
        <f aca="false">IF($E399="","Unmatched","Matched")</f>
        <v>Matched</v>
      </c>
    </row>
    <row r="400" customFormat="false" ht="15" hidden="false" customHeight="true" outlineLevel="0" collapsed="false">
      <c r="A400" s="12" t="s">
        <v>500</v>
      </c>
      <c r="B400" s="12" t="n">
        <v>2026</v>
      </c>
      <c r="C400" s="12" t="n">
        <v>116</v>
      </c>
      <c r="D400" s="12" t="n">
        <v>3323</v>
      </c>
      <c r="E400" s="12" t="n">
        <f aca="false">IFERROR(INDEX('Catalog'!$A:$A,MATCH($A400,'Catalog'!$B:$B,0)),IFERROR(INDEX('Catalog'!$A:$A,MATCH(TRIM(SUBSTITUTE($A400,CHAR(160)," ")),'Catalog'!$C:$C,0)),""))</f>
        <v>4408208</v>
      </c>
      <c r="F400" s="12" t="str">
        <f aca="false">IF($E400="","Unmatched","Matched")</f>
        <v>Matched</v>
      </c>
    </row>
    <row r="401" customFormat="false" ht="15" hidden="false" customHeight="true" outlineLevel="0" collapsed="false">
      <c r="A401" s="12" t="s">
        <v>555</v>
      </c>
      <c r="B401" s="12" t="n">
        <v>2026</v>
      </c>
      <c r="C401" s="12" t="n">
        <v>101</v>
      </c>
      <c r="D401" s="12" t="n">
        <v>1328.2</v>
      </c>
      <c r="E401" s="12" t="n">
        <f aca="false">IFERROR(INDEX('Catalog'!$A:$A,MATCH($A401,'Catalog'!$B:$B,0)),IFERROR(INDEX('Catalog'!$A:$A,MATCH(TRIM(SUBSTITUTE($A401,CHAR(160)," ")),'Catalog'!$C:$C,0)),""))</f>
        <v>4409000</v>
      </c>
      <c r="F401" s="12" t="str">
        <f aca="false">IF($E401="","Unmatched","Matched")</f>
        <v>Matched</v>
      </c>
    </row>
    <row r="402" customFormat="false" ht="15" hidden="false" customHeight="true" outlineLevel="0" collapsed="false">
      <c r="A402" s="12" t="s">
        <v>554</v>
      </c>
      <c r="B402" s="12" t="n">
        <v>2026</v>
      </c>
      <c r="C402" s="12" t="n">
        <v>75</v>
      </c>
      <c r="D402" s="12" t="n">
        <v>840</v>
      </c>
      <c r="E402" s="12" t="n">
        <f aca="false">IFERROR(INDEX('Catalog'!$A:$A,MATCH($A402,'Catalog'!$B:$B,0)),IFERROR(INDEX('Catalog'!$A:$A,MATCH(TRIM(SUBSTITUTE($A402,CHAR(160)," ")),'Catalog'!$C:$C,0)),""))</f>
        <v>4409001</v>
      </c>
      <c r="F402" s="12" t="str">
        <f aca="false">IF($E402="","Unmatched","Matched")</f>
        <v>Matched</v>
      </c>
    </row>
    <row r="403" customFormat="false" ht="15" hidden="false" customHeight="true" outlineLevel="0" collapsed="false">
      <c r="A403" s="12" t="s">
        <v>707</v>
      </c>
      <c r="B403" s="12" t="n">
        <v>2026</v>
      </c>
      <c r="C403" s="12" t="n">
        <v>-6</v>
      </c>
      <c r="D403" s="12" t="n">
        <v>-191.6</v>
      </c>
      <c r="E403" s="12" t="n">
        <f aca="false">IFERROR(INDEX('Catalog'!$A:$A,MATCH($A403,'Catalog'!$B:$B,0)),IFERROR(INDEX('Catalog'!$A:$A,MATCH(TRIM(SUBSTITUTE($A403,CHAR(160)," ")),'Catalog'!$C:$C,0)),""))</f>
        <v>4409002</v>
      </c>
      <c r="F403" s="12" t="str">
        <f aca="false">IF($E403="","Unmatched","Matched")</f>
        <v>Matched</v>
      </c>
    </row>
    <row r="404" customFormat="false" ht="15" hidden="false" customHeight="true" outlineLevel="0" collapsed="false">
      <c r="A404" s="12" t="s">
        <v>367</v>
      </c>
      <c r="B404" s="12" t="n">
        <v>2026</v>
      </c>
      <c r="C404" s="12" t="n">
        <v>735</v>
      </c>
      <c r="D404" s="12" t="n">
        <v>12652.2</v>
      </c>
      <c r="E404" s="12" t="n">
        <f aca="false">IFERROR(INDEX('Catalog'!$A:$A,MATCH($A404,'Catalog'!$B:$B,0)),IFERROR(INDEX('Catalog'!$A:$A,MATCH(TRIM(SUBSTITUTE($A404,CHAR(160)," ")),'Catalog'!$C:$C,0)),""))</f>
        <v>4409004</v>
      </c>
      <c r="F404" s="12" t="str">
        <f aca="false">IF($E404="","Unmatched","Matched")</f>
        <v>Matched</v>
      </c>
    </row>
    <row r="405" customFormat="false" ht="15" hidden="false" customHeight="true" outlineLevel="0" collapsed="false">
      <c r="A405" s="12" t="s">
        <v>571</v>
      </c>
      <c r="B405" s="12" t="n">
        <v>2026</v>
      </c>
      <c r="C405" s="12" t="n">
        <v>105</v>
      </c>
      <c r="D405" s="12" t="n">
        <v>2628.3</v>
      </c>
      <c r="E405" s="12" t="n">
        <f aca="false">IFERROR(INDEX('Catalog'!$A:$A,MATCH($A405,'Catalog'!$B:$B,0)),IFERROR(INDEX('Catalog'!$A:$A,MATCH(TRIM(SUBSTITUTE($A405,CHAR(160)," ")),'Catalog'!$C:$C,0)),""))</f>
        <v>4411000</v>
      </c>
      <c r="F405" s="12" t="str">
        <f aca="false">IF($E405="","Unmatched","Matched")</f>
        <v>Matched</v>
      </c>
    </row>
    <row r="406" customFormat="false" ht="15" hidden="false" customHeight="true" outlineLevel="0" collapsed="false">
      <c r="A406" s="12" t="s">
        <v>549</v>
      </c>
      <c r="B406" s="12" t="n">
        <v>2026</v>
      </c>
      <c r="C406" s="12" t="n">
        <v>81</v>
      </c>
      <c r="D406" s="12" t="n">
        <v>2128.2</v>
      </c>
      <c r="E406" s="12" t="n">
        <f aca="false">IFERROR(INDEX('Catalog'!$A:$A,MATCH($A406,'Catalog'!$B:$B,0)),IFERROR(INDEX('Catalog'!$A:$A,MATCH(TRIM(SUBSTITUTE($A406,CHAR(160)," ")),'Catalog'!$C:$C,0)),""))</f>
        <v>4411001</v>
      </c>
      <c r="F406" s="12" t="str">
        <f aca="false">IF($E406="","Unmatched","Matched")</f>
        <v>Matched</v>
      </c>
    </row>
    <row r="407" customFormat="false" ht="15" hidden="false" customHeight="true" outlineLevel="0" collapsed="false">
      <c r="A407" s="12" t="s">
        <v>710</v>
      </c>
      <c r="B407" s="12" t="n">
        <v>2026</v>
      </c>
      <c r="C407" s="12" t="n">
        <v>-3</v>
      </c>
      <c r="D407" s="12" t="n">
        <v>-185.2</v>
      </c>
      <c r="E407" s="12" t="n">
        <f aca="false">IFERROR(INDEX('Catalog'!$A:$A,MATCH($A407,'Catalog'!$B:$B,0)),IFERROR(INDEX('Catalog'!$A:$A,MATCH(TRIM(SUBSTITUTE($A407,CHAR(160)," ")),'Catalog'!$C:$C,0)),""))</f>
        <v>4413000</v>
      </c>
      <c r="F407" s="12" t="str">
        <f aca="false">IF($E407="","Unmatched","Matched")</f>
        <v>Matched</v>
      </c>
    </row>
    <row r="408" customFormat="false" ht="15" hidden="false" customHeight="true" outlineLevel="0" collapsed="false">
      <c r="A408" s="12" t="s">
        <v>708</v>
      </c>
      <c r="B408" s="12" t="n">
        <v>2026</v>
      </c>
      <c r="C408" s="12" t="n">
        <v>-2</v>
      </c>
      <c r="D408" s="12" t="n">
        <v>-123.5</v>
      </c>
      <c r="E408" s="12" t="n">
        <f aca="false">IFERROR(INDEX('Catalog'!$A:$A,MATCH($A408,'Catalog'!$B:$B,0)),IFERROR(INDEX('Catalog'!$A:$A,MATCH(TRIM(SUBSTITUTE($A408,CHAR(160)," ")),'Catalog'!$C:$C,0)),""))</f>
        <v>4413002</v>
      </c>
      <c r="F408" s="12" t="str">
        <f aca="false">IF($E408="","Unmatched","Matched")</f>
        <v>Matched</v>
      </c>
    </row>
    <row r="409" customFormat="false" ht="15" hidden="false" customHeight="true" outlineLevel="0" collapsed="false">
      <c r="A409" s="12" t="s">
        <v>709</v>
      </c>
      <c r="B409" s="12" t="n">
        <v>2026</v>
      </c>
      <c r="C409" s="12" t="n">
        <v>-2</v>
      </c>
      <c r="D409" s="12" t="n">
        <v>-123.5</v>
      </c>
      <c r="E409" s="12" t="n">
        <f aca="false">IFERROR(INDEX('Catalog'!$A:$A,MATCH($A409,'Catalog'!$B:$B,0)),IFERROR(INDEX('Catalog'!$A:$A,MATCH(TRIM(SUBSTITUTE($A409,CHAR(160)," ")),'Catalog'!$C:$C,0)),""))</f>
        <v>4413003</v>
      </c>
      <c r="F409" s="12" t="str">
        <f aca="false">IF($E409="","Unmatched","Matched")</f>
        <v>Matched</v>
      </c>
    </row>
    <row r="410" customFormat="false" ht="15" hidden="false" customHeight="true" outlineLevel="0" collapsed="false">
      <c r="A410" s="12" t="s">
        <v>711</v>
      </c>
      <c r="B410" s="12" t="n">
        <v>2026</v>
      </c>
      <c r="C410" s="12" t="n">
        <v>-1</v>
      </c>
      <c r="D410" s="12" t="n">
        <v>-61.7</v>
      </c>
      <c r="E410" s="12" t="n">
        <f aca="false">IFERROR(INDEX('Catalog'!$A:$A,MATCH($A410,'Catalog'!$B:$B,0)),IFERROR(INDEX('Catalog'!$A:$A,MATCH(TRIM(SUBSTITUTE($A410,CHAR(160)," ")),'Catalog'!$C:$C,0)),""))</f>
        <v>4413004</v>
      </c>
      <c r="F410" s="12" t="str">
        <f aca="false">IF($E410="","Unmatched","Matched")</f>
        <v>Matched</v>
      </c>
    </row>
    <row r="411" customFormat="false" ht="15" hidden="false" customHeight="true" outlineLevel="0" collapsed="false">
      <c r="A411" s="12" t="s">
        <v>712</v>
      </c>
      <c r="B411" s="12" t="n">
        <v>2026</v>
      </c>
      <c r="C411" s="12" t="n">
        <v>-1</v>
      </c>
      <c r="D411" s="12" t="n">
        <v>-61.7</v>
      </c>
      <c r="E411" s="12" t="n">
        <f aca="false">IFERROR(INDEX('Catalog'!$A:$A,MATCH($A411,'Catalog'!$B:$B,0)),IFERROR(INDEX('Catalog'!$A:$A,MATCH(TRIM(SUBSTITUTE($A411,CHAR(160)," ")),'Catalog'!$C:$C,0)),""))</f>
        <v>4413005</v>
      </c>
      <c r="F411" s="12" t="str">
        <f aca="false">IF($E411="","Unmatched","Matched")</f>
        <v>Matched</v>
      </c>
    </row>
    <row r="412" customFormat="false" ht="15" hidden="false" customHeight="true" outlineLevel="0" collapsed="false">
      <c r="A412" s="12" t="s">
        <v>412</v>
      </c>
      <c r="B412" s="12" t="n">
        <v>2026</v>
      </c>
      <c r="C412" s="12" t="n">
        <v>-1</v>
      </c>
      <c r="D412" s="12" t="n">
        <v>-96.7</v>
      </c>
      <c r="E412" s="12" t="n">
        <f aca="false">IFERROR(INDEX('Catalog'!$A:$A,MATCH($A412,'Catalog'!$B:$B,0)),IFERROR(INDEX('Catalog'!$A:$A,MATCH(TRIM(SUBSTITUTE($A412,CHAR(160)," ")),'Catalog'!$C:$C,0)),""))</f>
        <v>4413008</v>
      </c>
      <c r="F412" s="12" t="str">
        <f aca="false">IF($E412="","Unmatched","Matched")</f>
        <v>Matched</v>
      </c>
    </row>
    <row r="413" customFormat="false" ht="15" hidden="false" customHeight="true" outlineLevel="0" collapsed="false">
      <c r="A413" s="12" t="s">
        <v>420</v>
      </c>
      <c r="B413" s="12" t="n">
        <v>2026</v>
      </c>
      <c r="C413" s="12" t="n">
        <v>1</v>
      </c>
      <c r="D413" s="12" t="n">
        <v>110.5</v>
      </c>
      <c r="E413" s="12" t="n">
        <f aca="false">IFERROR(INDEX('Catalog'!$A:$A,MATCH($A413,'Catalog'!$B:$B,0)),IFERROR(INDEX('Catalog'!$A:$A,MATCH(TRIM(SUBSTITUTE($A413,CHAR(160)," ")),'Catalog'!$C:$C,0)),""))</f>
        <v>4413020</v>
      </c>
      <c r="F413" s="12" t="str">
        <f aca="false">IF($E413="","Unmatched","Matched")</f>
        <v>Matched</v>
      </c>
    </row>
    <row r="414" customFormat="false" ht="15" hidden="false" customHeight="true" outlineLevel="0" collapsed="false">
      <c r="A414" s="12" t="s">
        <v>543</v>
      </c>
      <c r="B414" s="12" t="n">
        <v>2026</v>
      </c>
      <c r="C414" s="12" t="n">
        <v>368</v>
      </c>
      <c r="D414" s="12" t="n">
        <v>4909.2</v>
      </c>
      <c r="E414" s="12" t="n">
        <f aca="false">IFERROR(INDEX('Catalog'!$A:$A,MATCH($A414,'Catalog'!$B:$B,0)),IFERROR(INDEX('Catalog'!$A:$A,MATCH(TRIM(SUBSTITUTE($A414,CHAR(160)," ")),'Catalog'!$C:$C,0)),""))</f>
        <v>4413033</v>
      </c>
      <c r="F414" s="12" t="str">
        <f aca="false">IF($E414="","Unmatched","Matched")</f>
        <v>Matched</v>
      </c>
    </row>
    <row r="415" customFormat="false" ht="15" hidden="false" customHeight="true" outlineLevel="0" collapsed="false">
      <c r="A415" s="12" t="s">
        <v>544</v>
      </c>
      <c r="B415" s="12" t="n">
        <v>2026</v>
      </c>
      <c r="C415" s="12" t="n">
        <v>38</v>
      </c>
      <c r="D415" s="12" t="n">
        <v>795</v>
      </c>
      <c r="E415" s="12" t="n">
        <f aca="false">IFERROR(INDEX('Catalog'!$A:$A,MATCH($A415,'Catalog'!$B:$B,0)),IFERROR(INDEX('Catalog'!$A:$A,MATCH(TRIM(SUBSTITUTE($A415,CHAR(160)," ")),'Catalog'!$C:$C,0)),""))</f>
        <v>4413034</v>
      </c>
      <c r="F415" s="12" t="str">
        <f aca="false">IF($E415="","Unmatched","Matched")</f>
        <v>Matched</v>
      </c>
    </row>
    <row r="416" customFormat="false" ht="15" hidden="false" customHeight="true" outlineLevel="0" collapsed="false">
      <c r="A416" s="12" t="s">
        <v>732</v>
      </c>
      <c r="B416" s="12" t="n">
        <v>2026</v>
      </c>
      <c r="C416" s="12" t="n">
        <v>106</v>
      </c>
      <c r="D416" s="12" t="n">
        <v>4293</v>
      </c>
      <c r="E416" s="12" t="n">
        <f aca="false">IFERROR(INDEX('Catalog'!$A:$A,MATCH($A416,'Catalog'!$B:$B,0)),IFERROR(INDEX('Catalog'!$A:$A,MATCH(TRIM(SUBSTITUTE($A416,CHAR(160)," ")),'Catalog'!$C:$C,0)),""))</f>
        <v>4413041</v>
      </c>
      <c r="F416" s="12" t="str">
        <f aca="false">IF($E416="","Unmatched","Matched")</f>
        <v>Matched</v>
      </c>
    </row>
    <row r="417" customFormat="false" ht="15" hidden="false" customHeight="true" outlineLevel="0" collapsed="false">
      <c r="A417" s="12" t="s">
        <v>733</v>
      </c>
      <c r="B417" s="12" t="n">
        <v>2026</v>
      </c>
      <c r="C417" s="12" t="n">
        <v>71</v>
      </c>
      <c r="D417" s="12" t="n">
        <v>2878.4</v>
      </c>
      <c r="E417" s="12" t="n">
        <f aca="false">IFERROR(INDEX('Catalog'!$A:$A,MATCH($A417,'Catalog'!$B:$B,0)),IFERROR(INDEX('Catalog'!$A:$A,MATCH(TRIM(SUBSTITUTE($A417,CHAR(160)," ")),'Catalog'!$C:$C,0)),""))</f>
        <v>4413042</v>
      </c>
      <c r="F417" s="12" t="str">
        <f aca="false">IF($E417="","Unmatched","Matched")</f>
        <v>Matched</v>
      </c>
    </row>
    <row r="418" customFormat="false" ht="15" hidden="false" customHeight="true" outlineLevel="0" collapsed="false">
      <c r="A418" s="12" t="s">
        <v>731</v>
      </c>
      <c r="B418" s="12" t="n">
        <v>2026</v>
      </c>
      <c r="C418" s="12" t="n">
        <v>117</v>
      </c>
      <c r="D418" s="12" t="n">
        <v>4755.8</v>
      </c>
      <c r="E418" s="12" t="n">
        <f aca="false">IFERROR(INDEX('Catalog'!$A:$A,MATCH($A418,'Catalog'!$B:$B,0)),IFERROR(INDEX('Catalog'!$A:$A,MATCH(TRIM(SUBSTITUTE($A418,CHAR(160)," ")),'Catalog'!$C:$C,0)),""))</f>
        <v>4413043</v>
      </c>
      <c r="F418" s="12" t="str">
        <f aca="false">IF($E418="","Unmatched","Matched")</f>
        <v>Matched</v>
      </c>
    </row>
    <row r="419" customFormat="false" ht="15" hidden="false" customHeight="true" outlineLevel="0" collapsed="false">
      <c r="A419" s="12" t="s">
        <v>734</v>
      </c>
      <c r="B419" s="12" t="n">
        <v>2026</v>
      </c>
      <c r="C419" s="12" t="n">
        <v>63</v>
      </c>
      <c r="D419" s="12" t="n">
        <v>2563</v>
      </c>
      <c r="E419" s="12" t="n">
        <f aca="false">IFERROR(INDEX('Catalog'!$A:$A,MATCH($A419,'Catalog'!$B:$B,0)),IFERROR(INDEX('Catalog'!$A:$A,MATCH(TRIM(SUBSTITUTE($A419,CHAR(160)," ")),'Catalog'!$C:$C,0)),""))</f>
        <v>4413044</v>
      </c>
      <c r="F419" s="12" t="str">
        <f aca="false">IF($E419="","Unmatched","Matched")</f>
        <v>Matched</v>
      </c>
    </row>
    <row r="420" customFormat="false" ht="15" hidden="false" customHeight="true" outlineLevel="0" collapsed="false">
      <c r="A420" s="12" t="s">
        <v>736</v>
      </c>
      <c r="B420" s="12" t="n">
        <v>2026</v>
      </c>
      <c r="C420" s="12" t="n">
        <v>46</v>
      </c>
      <c r="D420" s="12" t="n">
        <v>1863</v>
      </c>
      <c r="E420" s="12" t="n">
        <f aca="false">IFERROR(INDEX('Catalog'!$A:$A,MATCH($A420,'Catalog'!$B:$B,0)),IFERROR(INDEX('Catalog'!$A:$A,MATCH(TRIM(SUBSTITUTE($A420,CHAR(160)," ")),'Catalog'!$C:$C,0)),""))</f>
        <v>4413046</v>
      </c>
      <c r="F420" s="12" t="str">
        <f aca="false">IF($E420="","Unmatched","Matched")</f>
        <v>Matched</v>
      </c>
    </row>
    <row r="421" customFormat="false" ht="15" hidden="false" customHeight="true" outlineLevel="0" collapsed="false">
      <c r="A421" s="12" t="s">
        <v>744</v>
      </c>
      <c r="B421" s="12" t="n">
        <v>2026</v>
      </c>
      <c r="C421" s="12" t="n">
        <v>91</v>
      </c>
      <c r="D421" s="12" t="n">
        <v>2530.2</v>
      </c>
      <c r="E421" s="12" t="n">
        <f aca="false">IFERROR(INDEX('Catalog'!$A:$A,MATCH($A421,'Catalog'!$B:$B,0)),IFERROR(INDEX('Catalog'!$A:$A,MATCH(TRIM(SUBSTITUTE($A421,CHAR(160)," ")),'Catalog'!$C:$C,0)),""))</f>
        <v>4413047</v>
      </c>
      <c r="F421" s="12" t="str">
        <f aca="false">IF($E421="","Unmatched","Matched")</f>
        <v>Matched</v>
      </c>
    </row>
    <row r="422" customFormat="false" ht="15" hidden="false" customHeight="true" outlineLevel="0" collapsed="false">
      <c r="A422" s="12" t="s">
        <v>742</v>
      </c>
      <c r="B422" s="12" t="n">
        <v>2026</v>
      </c>
      <c r="C422" s="12" t="n">
        <v>163</v>
      </c>
      <c r="D422" s="12" t="n">
        <v>4526.7</v>
      </c>
      <c r="E422" s="12" t="n">
        <f aca="false">IFERROR(INDEX('Catalog'!$A:$A,MATCH($A422,'Catalog'!$B:$B,0)),IFERROR(INDEX('Catalog'!$A:$A,MATCH(TRIM(SUBSTITUTE($A422,CHAR(160)," ")),'Catalog'!$C:$C,0)),""))</f>
        <v>4413048</v>
      </c>
      <c r="F422" s="12" t="str">
        <f aca="false">IF($E422="","Unmatched","Matched")</f>
        <v>Matched</v>
      </c>
    </row>
    <row r="423" customFormat="false" ht="15" hidden="false" customHeight="true" outlineLevel="0" collapsed="false">
      <c r="A423" s="12" t="s">
        <v>743</v>
      </c>
      <c r="B423" s="12" t="n">
        <v>2026</v>
      </c>
      <c r="C423" s="12" t="n">
        <v>145</v>
      </c>
      <c r="D423" s="12" t="n">
        <v>4031.1</v>
      </c>
      <c r="E423" s="12" t="n">
        <f aca="false">IFERROR(INDEX('Catalog'!$A:$A,MATCH($A423,'Catalog'!$B:$B,0)),IFERROR(INDEX('Catalog'!$A:$A,MATCH(TRIM(SUBSTITUTE($A423,CHAR(160)," ")),'Catalog'!$C:$C,0)),""))</f>
        <v>4413049</v>
      </c>
      <c r="F423" s="12" t="str">
        <f aca="false">IF($E423="","Unmatched","Matched")</f>
        <v>Matched</v>
      </c>
    </row>
    <row r="424" customFormat="false" ht="15" hidden="false" customHeight="true" outlineLevel="0" collapsed="false">
      <c r="A424" s="12" t="s">
        <v>745</v>
      </c>
      <c r="B424" s="12" t="n">
        <v>2026</v>
      </c>
      <c r="C424" s="12" t="n">
        <v>118</v>
      </c>
      <c r="D424" s="12" t="n">
        <v>3277.6</v>
      </c>
      <c r="E424" s="12" t="n">
        <f aca="false">IFERROR(INDEX('Catalog'!$A:$A,MATCH($A424,'Catalog'!$B:$B,0)),IFERROR(INDEX('Catalog'!$A:$A,MATCH(TRIM(SUBSTITUTE($A424,CHAR(160)," ")),'Catalog'!$C:$C,0)),""))</f>
        <v>4413050</v>
      </c>
      <c r="F424" s="12" t="str">
        <f aca="false">IF($E424="","Unmatched","Matched")</f>
        <v>Matched</v>
      </c>
    </row>
    <row r="425" customFormat="false" ht="15" hidden="false" customHeight="true" outlineLevel="0" collapsed="false">
      <c r="A425" s="12" t="s">
        <v>747</v>
      </c>
      <c r="B425" s="12" t="n">
        <v>2026</v>
      </c>
      <c r="C425" s="12" t="n">
        <v>78</v>
      </c>
      <c r="D425" s="12" t="n">
        <v>2165.2</v>
      </c>
      <c r="E425" s="12" t="n">
        <f aca="false">IFERROR(INDEX('Catalog'!$A:$A,MATCH($A425,'Catalog'!$B:$B,0)),IFERROR(INDEX('Catalog'!$A:$A,MATCH(TRIM(SUBSTITUTE($A425,CHAR(160)," ")),'Catalog'!$C:$C,0)),""))</f>
        <v>4413051</v>
      </c>
      <c r="F425" s="12" t="str">
        <f aca="false">IF($E425="","Unmatched","Matched")</f>
        <v>Matched</v>
      </c>
    </row>
    <row r="426" customFormat="false" ht="15" hidden="false" customHeight="true" outlineLevel="0" collapsed="false">
      <c r="A426" s="12" t="s">
        <v>755</v>
      </c>
      <c r="B426" s="12" t="n">
        <v>2026</v>
      </c>
      <c r="C426" s="12" t="n">
        <v>117</v>
      </c>
      <c r="D426" s="12" t="n">
        <v>3251.9</v>
      </c>
      <c r="E426" s="12" t="n">
        <f aca="false">IFERROR(INDEX('Catalog'!$A:$A,MATCH($A426,'Catalog'!$B:$B,0)),IFERROR(INDEX('Catalog'!$A:$A,MATCH(TRIM(SUBSTITUTE($A426,CHAR(160)," ")),'Catalog'!$C:$C,0)),""))</f>
        <v>4413052</v>
      </c>
      <c r="F426" s="12" t="str">
        <f aca="false">IF($E426="","Unmatched","Matched")</f>
        <v>Matched</v>
      </c>
    </row>
    <row r="427" customFormat="false" ht="15" hidden="false" customHeight="true" outlineLevel="0" collapsed="false">
      <c r="A427" s="12" t="s">
        <v>753</v>
      </c>
      <c r="B427" s="12" t="n">
        <v>2026</v>
      </c>
      <c r="C427" s="12" t="n">
        <v>206</v>
      </c>
      <c r="D427" s="12" t="n">
        <v>5732.4</v>
      </c>
      <c r="E427" s="12" t="n">
        <f aca="false">IFERROR(INDEX('Catalog'!$A:$A,MATCH($A427,'Catalog'!$B:$B,0)),IFERROR(INDEX('Catalog'!$A:$A,MATCH(TRIM(SUBSTITUTE($A427,CHAR(160)," ")),'Catalog'!$C:$C,0)),""))</f>
        <v>4413053</v>
      </c>
      <c r="F427" s="12" t="str">
        <f aca="false">IF($E427="","Unmatched","Matched")</f>
        <v>Matched</v>
      </c>
    </row>
    <row r="428" customFormat="false" ht="15" hidden="false" customHeight="true" outlineLevel="0" collapsed="false">
      <c r="A428" s="12" t="s">
        <v>754</v>
      </c>
      <c r="B428" s="12" t="n">
        <v>2026</v>
      </c>
      <c r="C428" s="12" t="n">
        <v>251</v>
      </c>
      <c r="D428" s="12" t="n">
        <v>6977.6</v>
      </c>
      <c r="E428" s="12" t="n">
        <f aca="false">IFERROR(INDEX('Catalog'!$A:$A,MATCH($A428,'Catalog'!$B:$B,0)),IFERROR(INDEX('Catalog'!$A:$A,MATCH(TRIM(SUBSTITUTE($A428,CHAR(160)," ")),'Catalog'!$C:$C,0)),""))</f>
        <v>4413054</v>
      </c>
      <c r="F428" s="12" t="str">
        <f aca="false">IF($E428="","Unmatched","Matched")</f>
        <v>Matched</v>
      </c>
    </row>
    <row r="429" customFormat="false" ht="15" hidden="false" customHeight="true" outlineLevel="0" collapsed="false">
      <c r="A429" s="12" t="s">
        <v>756</v>
      </c>
      <c r="B429" s="12" t="n">
        <v>2026</v>
      </c>
      <c r="C429" s="12" t="n">
        <v>157</v>
      </c>
      <c r="D429" s="12" t="n">
        <v>4364.3</v>
      </c>
      <c r="E429" s="12" t="n">
        <f aca="false">IFERROR(INDEX('Catalog'!$A:$A,MATCH($A429,'Catalog'!$B:$B,0)),IFERROR(INDEX('Catalog'!$A:$A,MATCH(TRIM(SUBSTITUTE($A429,CHAR(160)," ")),'Catalog'!$C:$C,0)),""))</f>
        <v>4413055</v>
      </c>
      <c r="F429" s="12" t="str">
        <f aca="false">IF($E429="","Unmatched","Matched")</f>
        <v>Matched</v>
      </c>
    </row>
    <row r="430" customFormat="false" ht="15" hidden="false" customHeight="true" outlineLevel="0" collapsed="false">
      <c r="A430" s="12" t="s">
        <v>403</v>
      </c>
      <c r="B430" s="12" t="n">
        <v>2026</v>
      </c>
      <c r="C430" s="12" t="n">
        <v>24</v>
      </c>
      <c r="D430" s="12" t="n">
        <v>524</v>
      </c>
      <c r="E430" s="12" t="n">
        <f aca="false">IFERROR(INDEX('Catalog'!$A:$A,MATCH($A430,'Catalog'!$B:$B,0)),IFERROR(INDEX('Catalog'!$A:$A,MATCH(TRIM(SUBSTITUTE($A430,CHAR(160)," ")),'Catalog'!$C:$C,0)),""))</f>
        <v>4413056</v>
      </c>
      <c r="F430" s="12" t="str">
        <f aca="false">IF($E430="","Unmatched","Matched")</f>
        <v>Matched</v>
      </c>
    </row>
    <row r="431" customFormat="false" ht="15" hidden="false" customHeight="true" outlineLevel="0" collapsed="false">
      <c r="A431" s="12" t="s">
        <v>548</v>
      </c>
      <c r="B431" s="12" t="n">
        <v>2026</v>
      </c>
      <c r="C431" s="12" t="n">
        <v>47</v>
      </c>
      <c r="D431" s="12" t="n">
        <v>1357.1</v>
      </c>
      <c r="E431" s="12" t="n">
        <f aca="false">IFERROR(INDEX('Catalog'!$A:$A,MATCH($A431,'Catalog'!$B:$B,0)),IFERROR(INDEX('Catalog'!$A:$A,MATCH(TRIM(SUBSTITUTE($A431,CHAR(160)," ")),'Catalog'!$C:$C,0)),""))</f>
        <v>4413058</v>
      </c>
      <c r="F431" s="12" t="str">
        <f aca="false">IF($E431="","Unmatched","Matched")</f>
        <v>Matched</v>
      </c>
    </row>
    <row r="432" customFormat="false" ht="15" hidden="false" customHeight="true" outlineLevel="0" collapsed="false">
      <c r="A432" s="12" t="s">
        <v>553</v>
      </c>
      <c r="B432" s="12" t="n">
        <v>2026</v>
      </c>
      <c r="C432" s="12" t="n">
        <v>523</v>
      </c>
      <c r="D432" s="12" t="n">
        <v>7090.7</v>
      </c>
      <c r="E432" s="12" t="n">
        <f aca="false">IFERROR(INDEX('Catalog'!$A:$A,MATCH($A432,'Catalog'!$B:$B,0)),IFERROR(INDEX('Catalog'!$A:$A,MATCH(TRIM(SUBSTITUTE($A432,CHAR(160)," ")),'Catalog'!$C:$C,0)),""))</f>
        <v>4413059</v>
      </c>
      <c r="F432" s="12" t="str">
        <f aca="false">IF($E432="","Unmatched","Matched")</f>
        <v>Matched</v>
      </c>
    </row>
    <row r="433" customFormat="false" ht="15" hidden="false" customHeight="true" outlineLevel="0" collapsed="false">
      <c r="A433" s="12" t="s">
        <v>551</v>
      </c>
      <c r="B433" s="12" t="n">
        <v>2026</v>
      </c>
      <c r="C433" s="12" t="n">
        <v>217</v>
      </c>
      <c r="D433" s="12" t="n">
        <v>2943.7</v>
      </c>
      <c r="E433" s="12" t="n">
        <f aca="false">IFERROR(INDEX('Catalog'!$A:$A,MATCH($A433,'Catalog'!$B:$B,0)),IFERROR(INDEX('Catalog'!$A:$A,MATCH(TRIM(SUBSTITUTE($A433,CHAR(160)," ")),'Catalog'!$C:$C,0)),""))</f>
        <v>4413060</v>
      </c>
      <c r="F433" s="12" t="str">
        <f aca="false">IF($E433="","Unmatched","Matched")</f>
        <v>Matched</v>
      </c>
    </row>
    <row r="434" customFormat="false" ht="15" hidden="false" customHeight="true" outlineLevel="0" collapsed="false">
      <c r="A434" s="12" t="s">
        <v>552</v>
      </c>
      <c r="B434" s="12" t="n">
        <v>2026</v>
      </c>
      <c r="C434" s="12" t="n">
        <v>25</v>
      </c>
      <c r="D434" s="12" t="n">
        <v>493.6</v>
      </c>
      <c r="E434" s="12" t="n">
        <f aca="false">IFERROR(INDEX('Catalog'!$A:$A,MATCH($A434,'Catalog'!$B:$B,0)),IFERROR(INDEX('Catalog'!$A:$A,MATCH(TRIM(SUBSTITUTE($A434,CHAR(160)," ")),'Catalog'!$C:$C,0)),""))</f>
        <v>4413061</v>
      </c>
      <c r="F434" s="12" t="str">
        <f aca="false">IF($E434="","Unmatched","Matched")</f>
        <v>Matched</v>
      </c>
    </row>
    <row r="435" customFormat="false" ht="15" hidden="false" customHeight="true" outlineLevel="0" collapsed="false">
      <c r="A435" s="12" t="s">
        <v>558</v>
      </c>
      <c r="B435" s="12" t="n">
        <v>2026</v>
      </c>
      <c r="C435" s="12" t="n">
        <v>67</v>
      </c>
      <c r="D435" s="12" t="n">
        <v>891.3</v>
      </c>
      <c r="E435" s="12" t="n">
        <f aca="false">IFERROR(INDEX('Catalog'!$A:$A,MATCH($A435,'Catalog'!$B:$B,0)),IFERROR(INDEX('Catalog'!$A:$A,MATCH(TRIM(SUBSTITUTE($A435,CHAR(160)," ")),'Catalog'!$C:$C,0)),""))</f>
        <v>4413063</v>
      </c>
      <c r="F435" s="12" t="str">
        <f aca="false">IF($E435="","Unmatched","Matched")</f>
        <v>Matched</v>
      </c>
    </row>
    <row r="436" customFormat="false" ht="15" hidden="false" customHeight="true" outlineLevel="0" collapsed="false">
      <c r="A436" s="12" t="s">
        <v>562</v>
      </c>
      <c r="B436" s="12" t="n">
        <v>2026</v>
      </c>
      <c r="C436" s="12" t="n">
        <v>26</v>
      </c>
      <c r="D436" s="12" t="n">
        <v>463</v>
      </c>
      <c r="E436" s="12" t="n">
        <f aca="false">IFERROR(INDEX('Catalog'!$A:$A,MATCH($A436,'Catalog'!$B:$B,0)),IFERROR(INDEX('Catalog'!$A:$A,MATCH(TRIM(SUBSTITUTE($A436,CHAR(160)," ")),'Catalog'!$C:$C,0)),""))</f>
        <v>4413066</v>
      </c>
      <c r="F436" s="12" t="str">
        <f aca="false">IF($E436="","Unmatched","Matched")</f>
        <v>Matched</v>
      </c>
    </row>
    <row r="437" customFormat="false" ht="15" hidden="false" customHeight="true" outlineLevel="0" collapsed="false">
      <c r="A437" s="12" t="s">
        <v>89</v>
      </c>
      <c r="B437" s="12" t="n">
        <v>2026</v>
      </c>
      <c r="C437" s="12" t="n">
        <v>4</v>
      </c>
      <c r="D437" s="12" t="n">
        <v>458.7</v>
      </c>
      <c r="E437" s="12" t="n">
        <f aca="false">IFERROR(INDEX('Catalog'!$A:$A,MATCH($A437,'Catalog'!$B:$B,0)),IFERROR(INDEX('Catalog'!$A:$A,MATCH(TRIM(SUBSTITUTE($A437,CHAR(160)," ")),'Catalog'!$C:$C,0)),""))</f>
        <v>4413071</v>
      </c>
      <c r="F437" s="12" t="str">
        <f aca="false">IF($E437="","Unmatched","Matched")</f>
        <v>Matched</v>
      </c>
    </row>
    <row r="438" customFormat="false" ht="15" hidden="false" customHeight="true" outlineLevel="0" collapsed="false">
      <c r="A438" s="12" t="s">
        <v>87</v>
      </c>
      <c r="B438" s="12" t="n">
        <v>2026</v>
      </c>
      <c r="C438" s="12" t="n">
        <v>1</v>
      </c>
      <c r="D438" s="12" t="n">
        <v>114.7</v>
      </c>
      <c r="E438" s="12" t="n">
        <f aca="false">IFERROR(INDEX('Catalog'!$A:$A,MATCH($A438,'Catalog'!$B:$B,0)),IFERROR(INDEX('Catalog'!$A:$A,MATCH(TRIM(SUBSTITUTE($A438,CHAR(160)," ")),'Catalog'!$C:$C,0)),""))</f>
        <v>4413072</v>
      </c>
      <c r="F438" s="12" t="str">
        <f aca="false">IF($E438="","Unmatched","Matched")</f>
        <v>Matched</v>
      </c>
    </row>
    <row r="439" customFormat="false" ht="15" hidden="false" customHeight="true" outlineLevel="0" collapsed="false">
      <c r="A439" s="12" t="s">
        <v>88</v>
      </c>
      <c r="B439" s="12" t="n">
        <v>2026</v>
      </c>
      <c r="C439" s="12" t="n">
        <v>0</v>
      </c>
      <c r="D439" s="12" t="n">
        <v>-108.1</v>
      </c>
      <c r="E439" s="12" t="n">
        <f aca="false">IFERROR(INDEX('Catalog'!$A:$A,MATCH($A439,'Catalog'!$B:$B,0)),IFERROR(INDEX('Catalog'!$A:$A,MATCH(TRIM(SUBSTITUTE($A439,CHAR(160)," ")),'Catalog'!$C:$C,0)),""))</f>
        <v>4413073</v>
      </c>
      <c r="F439" s="12" t="str">
        <f aca="false">IF($E439="","Unmatched","Matched")</f>
        <v>Matched</v>
      </c>
    </row>
    <row r="440" customFormat="false" ht="15" hidden="false" customHeight="true" outlineLevel="0" collapsed="false">
      <c r="A440" s="12" t="s">
        <v>86</v>
      </c>
      <c r="B440" s="12" t="n">
        <v>2026</v>
      </c>
      <c r="C440" s="12" t="n">
        <v>2</v>
      </c>
      <c r="D440" s="12" t="n">
        <v>229.3</v>
      </c>
      <c r="E440" s="12" t="n">
        <f aca="false">IFERROR(INDEX('Catalog'!$A:$A,MATCH($A440,'Catalog'!$B:$B,0)),IFERROR(INDEX('Catalog'!$A:$A,MATCH(TRIM(SUBSTITUTE($A440,CHAR(160)," ")),'Catalog'!$C:$C,0)),""))</f>
        <v>4413074</v>
      </c>
      <c r="F440" s="12" t="str">
        <f aca="false">IF($E440="","Unmatched","Matched")</f>
        <v>Matched</v>
      </c>
    </row>
    <row r="441" customFormat="false" ht="15" hidden="false" customHeight="true" outlineLevel="0" collapsed="false">
      <c r="A441" s="12" t="s">
        <v>92</v>
      </c>
      <c r="B441" s="12" t="n">
        <v>2026</v>
      </c>
      <c r="C441" s="12" t="n">
        <v>-1</v>
      </c>
      <c r="D441" s="12" t="n">
        <v>-181.2</v>
      </c>
      <c r="E441" s="12" t="n">
        <f aca="false">IFERROR(INDEX('Catalog'!$A:$A,MATCH($A441,'Catalog'!$B:$B,0)),IFERROR(INDEX('Catalog'!$A:$A,MATCH(TRIM(SUBSTITUTE($A441,CHAR(160)," ")),'Catalog'!$C:$C,0)),""))</f>
        <v>4413076</v>
      </c>
      <c r="F441" s="12" t="str">
        <f aca="false">IF($E441="","Unmatched","Matched")</f>
        <v>Matched</v>
      </c>
    </row>
    <row r="442" customFormat="false" ht="15" hidden="false" customHeight="true" outlineLevel="0" collapsed="false">
      <c r="A442" s="12" t="s">
        <v>93</v>
      </c>
      <c r="B442" s="12" t="n">
        <v>2026</v>
      </c>
      <c r="C442" s="12" t="n">
        <v>-2</v>
      </c>
      <c r="D442" s="12" t="n">
        <v>-255.9</v>
      </c>
      <c r="E442" s="12" t="n">
        <f aca="false">IFERROR(INDEX('Catalog'!$A:$A,MATCH($A442,'Catalog'!$B:$B,0)),IFERROR(INDEX('Catalog'!$A:$A,MATCH(TRIM(SUBSTITUTE($A442,CHAR(160)," ")),'Catalog'!$C:$C,0)),""))</f>
        <v>4413077</v>
      </c>
      <c r="F442" s="12" t="str">
        <f aca="false">IF($E442="","Unmatched","Matched")</f>
        <v>Matched</v>
      </c>
    </row>
    <row r="443" customFormat="false" ht="15" hidden="false" customHeight="true" outlineLevel="0" collapsed="false">
      <c r="A443" s="12" t="s">
        <v>119</v>
      </c>
      <c r="B443" s="12" t="n">
        <v>2026</v>
      </c>
      <c r="C443" s="12" t="n">
        <v>142</v>
      </c>
      <c r="D443" s="12" t="n">
        <v>3953.7</v>
      </c>
      <c r="E443" s="12" t="n">
        <f aca="false">IFERROR(INDEX('Catalog'!$A:$A,MATCH($A443,'Catalog'!$B:$B,0)),IFERROR(INDEX('Catalog'!$A:$A,MATCH(TRIM(SUBSTITUTE($A443,CHAR(160)," ")),'Catalog'!$C:$C,0)),""))</f>
        <v>4413092</v>
      </c>
      <c r="F443" s="12" t="str">
        <f aca="false">IF($E443="","Unmatched","Matched")</f>
        <v>Matched</v>
      </c>
    </row>
    <row r="444" customFormat="false" ht="15" hidden="false" customHeight="true" outlineLevel="0" collapsed="false">
      <c r="A444" s="12" t="s">
        <v>120</v>
      </c>
      <c r="B444" s="12" t="n">
        <v>2026</v>
      </c>
      <c r="C444" s="12" t="n">
        <v>151</v>
      </c>
      <c r="D444" s="12" t="n">
        <v>4193.7</v>
      </c>
      <c r="E444" s="12" t="n">
        <f aca="false">IFERROR(INDEX('Catalog'!$A:$A,MATCH($A444,'Catalog'!$B:$B,0)),IFERROR(INDEX('Catalog'!$A:$A,MATCH(TRIM(SUBSTITUTE($A444,CHAR(160)," ")),'Catalog'!$C:$C,0)),""))</f>
        <v>4413093</v>
      </c>
      <c r="F444" s="12" t="str">
        <f aca="false">IF($E444="","Unmatched","Matched")</f>
        <v>Matched</v>
      </c>
    </row>
    <row r="445" customFormat="false" ht="15" hidden="false" customHeight="true" outlineLevel="0" collapsed="false">
      <c r="A445" s="12" t="s">
        <v>121</v>
      </c>
      <c r="B445" s="12" t="n">
        <v>2026</v>
      </c>
      <c r="C445" s="12" t="n">
        <v>60</v>
      </c>
      <c r="D445" s="12" t="n">
        <v>1671.8</v>
      </c>
      <c r="E445" s="12" t="n">
        <f aca="false">IFERROR(INDEX('Catalog'!$A:$A,MATCH($A445,'Catalog'!$B:$B,0)),IFERROR(INDEX('Catalog'!$A:$A,MATCH(TRIM(SUBSTITUTE($A445,CHAR(160)," ")),'Catalog'!$C:$C,0)),""))</f>
        <v>4413094</v>
      </c>
      <c r="F445" s="12" t="str">
        <f aca="false">IF($E445="","Unmatched","Matched")</f>
        <v>Matched</v>
      </c>
    </row>
    <row r="446" customFormat="false" ht="15" hidden="false" customHeight="true" outlineLevel="0" collapsed="false">
      <c r="A446" s="12" t="s">
        <v>122</v>
      </c>
      <c r="B446" s="12" t="n">
        <v>2026</v>
      </c>
      <c r="C446" s="12" t="n">
        <v>86</v>
      </c>
      <c r="D446" s="12" t="n">
        <v>2393.3</v>
      </c>
      <c r="E446" s="12" t="n">
        <f aca="false">IFERROR(INDEX('Catalog'!$A:$A,MATCH($A446,'Catalog'!$B:$B,0)),IFERROR(INDEX('Catalog'!$A:$A,MATCH(TRIM(SUBSTITUTE($A446,CHAR(160)," ")),'Catalog'!$C:$C,0)),""))</f>
        <v>4413095</v>
      </c>
      <c r="F446" s="12" t="str">
        <f aca="false">IF($E446="","Unmatched","Matched")</f>
        <v>Matched</v>
      </c>
    </row>
    <row r="447" customFormat="false" ht="15" hidden="false" customHeight="true" outlineLevel="0" collapsed="false">
      <c r="A447" s="12" t="s">
        <v>123</v>
      </c>
      <c r="B447" s="12" t="n">
        <v>2026</v>
      </c>
      <c r="C447" s="12" t="n">
        <v>80</v>
      </c>
      <c r="D447" s="12" t="n">
        <v>2224.7</v>
      </c>
      <c r="E447" s="12" t="n">
        <f aca="false">IFERROR(INDEX('Catalog'!$A:$A,MATCH($A447,'Catalog'!$B:$B,0)),IFERROR(INDEX('Catalog'!$A:$A,MATCH(TRIM(SUBSTITUTE($A447,CHAR(160)," ")),'Catalog'!$C:$C,0)),""))</f>
        <v>4413096</v>
      </c>
      <c r="F447" s="12" t="str">
        <f aca="false">IF($E447="","Unmatched","Matched")</f>
        <v>Matched</v>
      </c>
    </row>
    <row r="448" customFormat="false" ht="15" hidden="false" customHeight="true" outlineLevel="0" collapsed="false">
      <c r="A448" s="12" t="s">
        <v>131</v>
      </c>
      <c r="B448" s="12" t="n">
        <v>2026</v>
      </c>
      <c r="C448" s="12" t="n">
        <v>95</v>
      </c>
      <c r="D448" s="12" t="n">
        <v>2641.2</v>
      </c>
      <c r="E448" s="12" t="n">
        <f aca="false">IFERROR(INDEX('Catalog'!$A:$A,MATCH($A448,'Catalog'!$B:$B,0)),IFERROR(INDEX('Catalog'!$A:$A,MATCH(TRIM(SUBSTITUTE($A448,CHAR(160)," ")),'Catalog'!$C:$C,0)),""))</f>
        <v>4413097</v>
      </c>
      <c r="F448" s="12" t="str">
        <f aca="false">IF($E448="","Unmatched","Matched")</f>
        <v>Matched</v>
      </c>
    </row>
    <row r="449" customFormat="false" ht="15" hidden="false" customHeight="true" outlineLevel="0" collapsed="false">
      <c r="A449" s="12" t="s">
        <v>129</v>
      </c>
      <c r="B449" s="12" t="n">
        <v>2026</v>
      </c>
      <c r="C449" s="12" t="n">
        <v>204</v>
      </c>
      <c r="D449" s="12" t="n">
        <v>5670.9</v>
      </c>
      <c r="E449" s="12" t="n">
        <f aca="false">IFERROR(INDEX('Catalog'!$A:$A,MATCH($A449,'Catalog'!$B:$B,0)),IFERROR(INDEX('Catalog'!$A:$A,MATCH(TRIM(SUBSTITUTE($A449,CHAR(160)," ")),'Catalog'!$C:$C,0)),""))</f>
        <v>4413098</v>
      </c>
      <c r="F449" s="12" t="str">
        <f aca="false">IF($E449="","Unmatched","Matched")</f>
        <v>Matched</v>
      </c>
    </row>
    <row r="450" customFormat="false" ht="15" hidden="false" customHeight="true" outlineLevel="0" collapsed="false">
      <c r="A450" s="12" t="s">
        <v>130</v>
      </c>
      <c r="B450" s="12" t="n">
        <v>2026</v>
      </c>
      <c r="C450" s="12" t="n">
        <v>216</v>
      </c>
      <c r="D450" s="12" t="n">
        <v>6004.1</v>
      </c>
      <c r="E450" s="12" t="n">
        <f aca="false">IFERROR(INDEX('Catalog'!$A:$A,MATCH($A450,'Catalog'!$B:$B,0)),IFERROR(INDEX('Catalog'!$A:$A,MATCH(TRIM(SUBSTITUTE($A450,CHAR(160)," ")),'Catalog'!$C:$C,0)),""))</f>
        <v>4413099</v>
      </c>
      <c r="F450" s="12" t="str">
        <f aca="false">IF($E450="","Unmatched","Matched")</f>
        <v>Matched</v>
      </c>
    </row>
    <row r="451" customFormat="false" ht="15" hidden="false" customHeight="true" outlineLevel="0" collapsed="false">
      <c r="A451" s="12" t="s">
        <v>132</v>
      </c>
      <c r="B451" s="12" t="n">
        <v>2026</v>
      </c>
      <c r="C451" s="12" t="n">
        <v>160</v>
      </c>
      <c r="D451" s="12" t="n">
        <v>4445.6</v>
      </c>
      <c r="E451" s="12" t="n">
        <f aca="false">IFERROR(INDEX('Catalog'!$A:$A,MATCH($A451,'Catalog'!$B:$B,0)),IFERROR(INDEX('Catalog'!$A:$A,MATCH(TRIM(SUBSTITUTE($A451,CHAR(160)," ")),'Catalog'!$C:$C,0)),""))</f>
        <v>4413100</v>
      </c>
      <c r="F451" s="12" t="str">
        <f aca="false">IF($E451="","Unmatched","Matched")</f>
        <v>Matched</v>
      </c>
    </row>
    <row r="452" customFormat="false" ht="15" hidden="false" customHeight="true" outlineLevel="0" collapsed="false">
      <c r="A452" s="12" t="s">
        <v>135</v>
      </c>
      <c r="B452" s="12" t="n">
        <v>2026</v>
      </c>
      <c r="C452" s="12" t="n">
        <v>59</v>
      </c>
      <c r="D452" s="12" t="n">
        <v>1978.3</v>
      </c>
      <c r="E452" s="12" t="n">
        <f aca="false">IFERROR(INDEX('Catalog'!$A:$A,MATCH($A452,'Catalog'!$B:$B,0)),IFERROR(INDEX('Catalog'!$A:$A,MATCH(TRIM(SUBSTITUTE($A452,CHAR(160)," ")),'Catalog'!$C:$C,0)),""))</f>
        <v>4413101</v>
      </c>
      <c r="F452" s="12" t="str">
        <f aca="false">IF($E452="","Unmatched","Matched")</f>
        <v>Matched</v>
      </c>
    </row>
    <row r="453" customFormat="false" ht="15" hidden="false" customHeight="true" outlineLevel="0" collapsed="false">
      <c r="A453" s="12" t="s">
        <v>133</v>
      </c>
      <c r="B453" s="12" t="n">
        <v>2026</v>
      </c>
      <c r="C453" s="12" t="n">
        <v>218</v>
      </c>
      <c r="D453" s="12" t="n">
        <v>7308</v>
      </c>
      <c r="E453" s="12" t="n">
        <f aca="false">IFERROR(INDEX('Catalog'!$A:$A,MATCH($A453,'Catalog'!$B:$B,0)),IFERROR(INDEX('Catalog'!$A:$A,MATCH(TRIM(SUBSTITUTE($A453,CHAR(160)," ")),'Catalog'!$C:$C,0)),""))</f>
        <v>4413102</v>
      </c>
      <c r="F453" s="12" t="str">
        <f aca="false">IF($E453="","Unmatched","Matched")</f>
        <v>Matched</v>
      </c>
    </row>
    <row r="454" customFormat="false" ht="15" hidden="false" customHeight="true" outlineLevel="0" collapsed="false">
      <c r="A454" s="12" t="s">
        <v>134</v>
      </c>
      <c r="B454" s="12" t="n">
        <v>2026</v>
      </c>
      <c r="C454" s="12" t="n">
        <v>155</v>
      </c>
      <c r="D454" s="12" t="n">
        <v>5193.3</v>
      </c>
      <c r="E454" s="12" t="n">
        <f aca="false">IFERROR(INDEX('Catalog'!$A:$A,MATCH($A454,'Catalog'!$B:$B,0)),IFERROR(INDEX('Catalog'!$A:$A,MATCH(TRIM(SUBSTITUTE($A454,CHAR(160)," ")),'Catalog'!$C:$C,0)),""))</f>
        <v>4413103</v>
      </c>
      <c r="F454" s="12" t="str">
        <f aca="false">IF($E454="","Unmatched","Matched")</f>
        <v>Matched</v>
      </c>
    </row>
    <row r="455" customFormat="false" ht="15" hidden="false" customHeight="true" outlineLevel="0" collapsed="false">
      <c r="A455" s="12" t="s">
        <v>136</v>
      </c>
      <c r="B455" s="12" t="n">
        <v>2026</v>
      </c>
      <c r="C455" s="12" t="n">
        <v>143</v>
      </c>
      <c r="D455" s="12" t="n">
        <v>4800.9</v>
      </c>
      <c r="E455" s="12" t="n">
        <f aca="false">IFERROR(INDEX('Catalog'!$A:$A,MATCH($A455,'Catalog'!$B:$B,0)),IFERROR(INDEX('Catalog'!$A:$A,MATCH(TRIM(SUBSTITUTE($A455,CHAR(160)," ")),'Catalog'!$C:$C,0)),""))</f>
        <v>4413104</v>
      </c>
      <c r="F455" s="12" t="str">
        <f aca="false">IF($E455="","Unmatched","Matched")</f>
        <v>Matched</v>
      </c>
    </row>
    <row r="456" customFormat="false" ht="15" hidden="false" customHeight="true" outlineLevel="0" collapsed="false">
      <c r="A456" s="12" t="s">
        <v>137</v>
      </c>
      <c r="B456" s="12" t="n">
        <v>2026</v>
      </c>
      <c r="C456" s="12" t="n">
        <v>74</v>
      </c>
      <c r="D456" s="12" t="n">
        <v>2478.3</v>
      </c>
      <c r="E456" s="12" t="n">
        <f aca="false">IFERROR(INDEX('Catalog'!$A:$A,MATCH($A456,'Catalog'!$B:$B,0)),IFERROR(INDEX('Catalog'!$A:$A,MATCH(TRIM(SUBSTITUTE($A456,CHAR(160)," ")),'Catalog'!$C:$C,0)),""))</f>
        <v>4413105</v>
      </c>
      <c r="F456" s="12" t="str">
        <f aca="false">IF($E456="","Unmatched","Matched")</f>
        <v>Matched</v>
      </c>
    </row>
    <row r="457" customFormat="false" ht="15" hidden="false" customHeight="true" outlineLevel="0" collapsed="false">
      <c r="A457" s="12" t="s">
        <v>796</v>
      </c>
      <c r="B457" s="12" t="n">
        <v>2026</v>
      </c>
      <c r="C457" s="12" t="n">
        <v>16</v>
      </c>
      <c r="D457" s="12" t="n">
        <v>439.1</v>
      </c>
      <c r="E457" s="12" t="n">
        <f aca="false">IFERROR(INDEX('Catalog'!$A:$A,MATCH($A457,'Catalog'!$B:$B,0)),IFERROR(INDEX('Catalog'!$A:$A,MATCH(TRIM(SUBSTITUTE($A457,CHAR(160)," ")),'Catalog'!$C:$C,0)),""))</f>
        <v>4413112</v>
      </c>
      <c r="F457" s="12" t="str">
        <f aca="false">IF($E457="","Unmatched","Matched")</f>
        <v>Matched</v>
      </c>
    </row>
    <row r="458" customFormat="false" ht="15" hidden="false" customHeight="true" outlineLevel="0" collapsed="false">
      <c r="A458" s="12" t="s">
        <v>797</v>
      </c>
      <c r="B458" s="12" t="n">
        <v>2026</v>
      </c>
      <c r="C458" s="12" t="n">
        <v>12</v>
      </c>
      <c r="D458" s="12" t="n">
        <v>366</v>
      </c>
      <c r="E458" s="12" t="n">
        <f aca="false">IFERROR(INDEX('Catalog'!$A:$A,MATCH($A458,'Catalog'!$B:$B,0)),IFERROR(INDEX('Catalog'!$A:$A,MATCH(TRIM(SUBSTITUTE($A458,CHAR(160)," ")),'Catalog'!$C:$C,0)),""))</f>
        <v>4413113</v>
      </c>
      <c r="F458" s="12" t="str">
        <f aca="false">IF($E458="","Unmatched","Matched")</f>
        <v>Matched</v>
      </c>
    </row>
    <row r="459" customFormat="false" ht="15" hidden="false" customHeight="true" outlineLevel="0" collapsed="false">
      <c r="A459" s="12" t="s">
        <v>799</v>
      </c>
      <c r="B459" s="12" t="n">
        <v>2026</v>
      </c>
      <c r="C459" s="12" t="n">
        <v>12</v>
      </c>
      <c r="D459" s="12" t="n">
        <v>366</v>
      </c>
      <c r="E459" s="12" t="n">
        <f aca="false">IFERROR(INDEX('Catalog'!$A:$A,MATCH($A459,'Catalog'!$B:$B,0)),IFERROR(INDEX('Catalog'!$A:$A,MATCH(TRIM(SUBSTITUTE($A459,CHAR(160)," ")),'Catalog'!$C:$C,0)),""))</f>
        <v>4413114</v>
      </c>
      <c r="F459" s="12" t="str">
        <f aca="false">IF($E459="","Unmatched","Matched")</f>
        <v>Matched</v>
      </c>
    </row>
    <row r="460" customFormat="false" ht="15" hidden="false" customHeight="true" outlineLevel="0" collapsed="false">
      <c r="A460" s="12" t="s">
        <v>444</v>
      </c>
      <c r="B460" s="12" t="n">
        <v>2026</v>
      </c>
      <c r="C460" s="12" t="n">
        <v>-1</v>
      </c>
      <c r="D460" s="12" t="n">
        <v>-104.2</v>
      </c>
      <c r="E460" s="12" t="n">
        <f aca="false">IFERROR(INDEX('Catalog'!$A:$A,MATCH($A460,'Catalog'!$B:$B,0)),IFERROR(INDEX('Catalog'!$A:$A,MATCH(TRIM(SUBSTITUTE($A460,CHAR(160)," ")),'Catalog'!$C:$C,0)),""))</f>
        <v>4413117</v>
      </c>
      <c r="F460" s="12" t="str">
        <f aca="false">IF($E460="","Unmatched","Matched")</f>
        <v>Matched</v>
      </c>
    </row>
    <row r="461" customFormat="false" ht="15" hidden="false" customHeight="true" outlineLevel="0" collapsed="false">
      <c r="A461" s="12" t="s">
        <v>376</v>
      </c>
      <c r="B461" s="12" t="n">
        <v>2026</v>
      </c>
      <c r="C461" s="12" t="n">
        <v>8</v>
      </c>
      <c r="D461" s="12" t="n">
        <v>1051.7</v>
      </c>
      <c r="E461" s="12" t="n">
        <f aca="false">IFERROR(INDEX('Catalog'!$A:$A,MATCH($A461,'Catalog'!$B:$B,0)),IFERROR(INDEX('Catalog'!$A:$A,MATCH(TRIM(SUBSTITUTE($A461,CHAR(160)," ")),'Catalog'!$C:$C,0)),""))</f>
        <v>4413126</v>
      </c>
      <c r="F461" s="12" t="str">
        <f aca="false">IF($E461="","Unmatched","Matched")</f>
        <v>Matched</v>
      </c>
    </row>
    <row r="462" customFormat="false" ht="15" hidden="false" customHeight="true" outlineLevel="0" collapsed="false">
      <c r="A462" s="12" t="s">
        <v>374</v>
      </c>
      <c r="B462" s="12" t="n">
        <v>2026</v>
      </c>
      <c r="C462" s="12" t="n">
        <v>42</v>
      </c>
      <c r="D462" s="12" t="n">
        <v>5928.3</v>
      </c>
      <c r="E462" s="12" t="n">
        <f aca="false">IFERROR(INDEX('Catalog'!$A:$A,MATCH($A462,'Catalog'!$B:$B,0)),IFERROR(INDEX('Catalog'!$A:$A,MATCH(TRIM(SUBSTITUTE($A462,CHAR(160)," ")),'Catalog'!$C:$C,0)),""))</f>
        <v>4413127</v>
      </c>
      <c r="F462" s="12" t="str">
        <f aca="false">IF($E462="","Unmatched","Matched")</f>
        <v>Matched</v>
      </c>
    </row>
    <row r="463" customFormat="false" ht="15" hidden="false" customHeight="true" outlineLevel="0" collapsed="false">
      <c r="A463" s="12" t="s">
        <v>375</v>
      </c>
      <c r="B463" s="12" t="n">
        <v>2026</v>
      </c>
      <c r="C463" s="12" t="n">
        <v>37</v>
      </c>
      <c r="D463" s="12" t="n">
        <v>5222.6</v>
      </c>
      <c r="E463" s="12" t="n">
        <f aca="false">IFERROR(INDEX('Catalog'!$A:$A,MATCH($A463,'Catalog'!$B:$B,0)),IFERROR(INDEX('Catalog'!$A:$A,MATCH(TRIM(SUBSTITUTE($A463,CHAR(160)," ")),'Catalog'!$C:$C,0)),""))</f>
        <v>4413128</v>
      </c>
      <c r="F463" s="12" t="str">
        <f aca="false">IF($E463="","Unmatched","Matched")</f>
        <v>Matched</v>
      </c>
    </row>
    <row r="464" customFormat="false" ht="15" hidden="false" customHeight="true" outlineLevel="0" collapsed="false">
      <c r="A464" s="12" t="s">
        <v>377</v>
      </c>
      <c r="B464" s="12" t="n">
        <v>2026</v>
      </c>
      <c r="C464" s="12" t="n">
        <v>15</v>
      </c>
      <c r="D464" s="12" t="n">
        <v>2117.3</v>
      </c>
      <c r="E464" s="12" t="n">
        <f aca="false">IFERROR(INDEX('Catalog'!$A:$A,MATCH($A464,'Catalog'!$B:$B,0)),IFERROR(INDEX('Catalog'!$A:$A,MATCH(TRIM(SUBSTITUTE($A464,CHAR(160)," ")),'Catalog'!$C:$C,0)),""))</f>
        <v>4413129</v>
      </c>
      <c r="F464" s="12" t="str">
        <f aca="false">IF($E464="","Unmatched","Matched")</f>
        <v>Matched</v>
      </c>
    </row>
    <row r="465" customFormat="false" ht="15" hidden="false" customHeight="true" outlineLevel="0" collapsed="false">
      <c r="A465" s="12" t="s">
        <v>373</v>
      </c>
      <c r="B465" s="12" t="n">
        <v>2026</v>
      </c>
      <c r="C465" s="12" t="n">
        <v>17</v>
      </c>
      <c r="D465" s="12" t="n">
        <v>2399.5</v>
      </c>
      <c r="E465" s="12" t="n">
        <f aca="false">IFERROR(INDEX('Catalog'!$A:$A,MATCH($A465,'Catalog'!$B:$B,0)),IFERROR(INDEX('Catalog'!$A:$A,MATCH(TRIM(SUBSTITUTE($A465,CHAR(160)," ")),'Catalog'!$C:$C,0)),""))</f>
        <v>4413130</v>
      </c>
      <c r="F465" s="12" t="str">
        <f aca="false">IF($E465="","Unmatched","Matched")</f>
        <v>Matched</v>
      </c>
    </row>
    <row r="466" customFormat="false" ht="15" hidden="false" customHeight="true" outlineLevel="0" collapsed="false">
      <c r="A466" s="12" t="s">
        <v>378</v>
      </c>
      <c r="B466" s="12" t="n">
        <v>2026</v>
      </c>
      <c r="C466" s="12" t="n">
        <v>4</v>
      </c>
      <c r="D466" s="12" t="n">
        <v>615.7</v>
      </c>
      <c r="E466" s="12" t="n">
        <f aca="false">IFERROR(INDEX('Catalog'!$A:$A,MATCH($A466,'Catalog'!$B:$B,0)),IFERROR(INDEX('Catalog'!$A:$A,MATCH(TRIM(SUBSTITUTE($A466,CHAR(160)," ")),'Catalog'!$C:$C,0)),""))</f>
        <v>4413132</v>
      </c>
      <c r="F466" s="12" t="str">
        <f aca="false">IF($E466="","Unmatched","Matched")</f>
        <v>Matched</v>
      </c>
    </row>
    <row r="467" customFormat="false" ht="15" hidden="false" customHeight="true" outlineLevel="0" collapsed="false">
      <c r="A467" s="12" t="s">
        <v>379</v>
      </c>
      <c r="B467" s="12" t="n">
        <v>2026</v>
      </c>
      <c r="C467" s="12" t="n">
        <v>2</v>
      </c>
      <c r="D467" s="12" t="n">
        <v>352.9</v>
      </c>
      <c r="E467" s="12" t="n">
        <f aca="false">IFERROR(INDEX('Catalog'!$A:$A,MATCH($A467,'Catalog'!$B:$B,0)),IFERROR(INDEX('Catalog'!$A:$A,MATCH(TRIM(SUBSTITUTE($A467,CHAR(160)," ")),'Catalog'!$C:$C,0)),""))</f>
        <v>4413133</v>
      </c>
      <c r="F467" s="12" t="str">
        <f aca="false">IF($E467="","Unmatched","Matched")</f>
        <v>Matched</v>
      </c>
    </row>
    <row r="468" customFormat="false" ht="15" hidden="false" customHeight="true" outlineLevel="0" collapsed="false">
      <c r="A468" s="12" t="s">
        <v>519</v>
      </c>
      <c r="B468" s="12" t="n">
        <v>2026</v>
      </c>
      <c r="C468" s="12" t="n">
        <v>207</v>
      </c>
      <c r="D468" s="12" t="n">
        <v>10870.2</v>
      </c>
      <c r="E468" s="12" t="n">
        <f aca="false">IFERROR(INDEX('Catalog'!$A:$A,MATCH($A468,'Catalog'!$B:$B,0)),IFERROR(INDEX('Catalog'!$A:$A,MATCH(TRIM(SUBSTITUTE($A468,CHAR(160)," ")),'Catalog'!$C:$C,0)),""))</f>
        <v>4413135</v>
      </c>
      <c r="F468" s="12" t="str">
        <f aca="false">IF($E468="","Unmatched","Matched")</f>
        <v>Matched</v>
      </c>
    </row>
    <row r="469" customFormat="false" ht="15" hidden="false" customHeight="true" outlineLevel="0" collapsed="false">
      <c r="A469" s="12" t="s">
        <v>520</v>
      </c>
      <c r="B469" s="12" t="n">
        <v>2026</v>
      </c>
      <c r="C469" s="12" t="n">
        <v>124</v>
      </c>
      <c r="D469" s="12" t="n">
        <v>6530</v>
      </c>
      <c r="E469" s="12" t="n">
        <f aca="false">IFERROR(INDEX('Catalog'!$A:$A,MATCH($A469,'Catalog'!$B:$B,0)),IFERROR(INDEX('Catalog'!$A:$A,MATCH(TRIM(SUBSTITUTE($A469,CHAR(160)," ")),'Catalog'!$C:$C,0)),""))</f>
        <v>4413136</v>
      </c>
      <c r="F469" s="12" t="str">
        <f aca="false">IF($E469="","Unmatched","Matched")</f>
        <v>Matched</v>
      </c>
    </row>
    <row r="470" customFormat="false" ht="15" hidden="false" customHeight="true" outlineLevel="0" collapsed="false">
      <c r="A470" s="12" t="s">
        <v>521</v>
      </c>
      <c r="B470" s="12" t="n">
        <v>2026</v>
      </c>
      <c r="C470" s="12" t="n">
        <v>79</v>
      </c>
      <c r="D470" s="12" t="n">
        <v>4146.2</v>
      </c>
      <c r="E470" s="12" t="n">
        <f aca="false">IFERROR(INDEX('Catalog'!$A:$A,MATCH($A470,'Catalog'!$B:$B,0)),IFERROR(INDEX('Catalog'!$A:$A,MATCH(TRIM(SUBSTITUTE($A470,CHAR(160)," ")),'Catalog'!$C:$C,0)),""))</f>
        <v>4413137</v>
      </c>
      <c r="F470" s="12" t="str">
        <f aca="false">IF($E470="","Unmatched","Matched")</f>
        <v>Matched</v>
      </c>
    </row>
    <row r="471" customFormat="false" ht="15" hidden="false" customHeight="true" outlineLevel="0" collapsed="false">
      <c r="A471" s="12" t="s">
        <v>522</v>
      </c>
      <c r="B471" s="12" t="n">
        <v>2026</v>
      </c>
      <c r="C471" s="12" t="n">
        <v>102</v>
      </c>
      <c r="D471" s="12" t="n">
        <v>5363</v>
      </c>
      <c r="E471" s="12" t="n">
        <f aca="false">IFERROR(INDEX('Catalog'!$A:$A,MATCH($A471,'Catalog'!$B:$B,0)),IFERROR(INDEX('Catalog'!$A:$A,MATCH(TRIM(SUBSTITUTE($A471,CHAR(160)," ")),'Catalog'!$C:$C,0)),""))</f>
        <v>4413138</v>
      </c>
      <c r="F471" s="12" t="str">
        <f aca="false">IF($E471="","Unmatched","Matched")</f>
        <v>Matched</v>
      </c>
    </row>
    <row r="472" customFormat="false" ht="15" hidden="false" customHeight="true" outlineLevel="0" collapsed="false">
      <c r="A472" s="12" t="s">
        <v>479</v>
      </c>
      <c r="B472" s="12" t="n">
        <v>2026</v>
      </c>
      <c r="C472" s="12" t="n">
        <v>81</v>
      </c>
      <c r="D472" s="12" t="n">
        <v>2250.6</v>
      </c>
      <c r="E472" s="12" t="n">
        <f aca="false">IFERROR(INDEX('Catalog'!$A:$A,MATCH($A472,'Catalog'!$B:$B,0)),IFERROR(INDEX('Catalog'!$A:$A,MATCH(TRIM(SUBSTITUTE($A472,CHAR(160)," ")),'Catalog'!$C:$C,0)),""))</f>
        <v>4413139</v>
      </c>
      <c r="F472" s="12" t="str">
        <f aca="false">IF($E472="","Unmatched","Matched")</f>
        <v>Matched</v>
      </c>
    </row>
    <row r="473" customFormat="false" ht="15" hidden="false" customHeight="true" outlineLevel="0" collapsed="false">
      <c r="A473" s="12" t="s">
        <v>480</v>
      </c>
      <c r="B473" s="12" t="n">
        <v>2026</v>
      </c>
      <c r="C473" s="12" t="n">
        <v>74</v>
      </c>
      <c r="D473" s="12" t="n">
        <v>2054.2</v>
      </c>
      <c r="E473" s="12" t="n">
        <f aca="false">IFERROR(INDEX('Catalog'!$A:$A,MATCH($A473,'Catalog'!$B:$B,0)),IFERROR(INDEX('Catalog'!$A:$A,MATCH(TRIM(SUBSTITUTE($A473,CHAR(160)," ")),'Catalog'!$C:$C,0)),""))</f>
        <v>4413140</v>
      </c>
      <c r="F473" s="12" t="str">
        <f aca="false">IF($E473="","Unmatched","Matched")</f>
        <v>Matched</v>
      </c>
    </row>
    <row r="474" customFormat="false" ht="15" hidden="false" customHeight="true" outlineLevel="0" collapsed="false">
      <c r="A474" s="12" t="s">
        <v>481</v>
      </c>
      <c r="B474" s="12" t="n">
        <v>2026</v>
      </c>
      <c r="C474" s="12" t="n">
        <v>64</v>
      </c>
      <c r="D474" s="12" t="n">
        <v>1778.6</v>
      </c>
      <c r="E474" s="12" t="n">
        <f aca="false">IFERROR(INDEX('Catalog'!$A:$A,MATCH($A474,'Catalog'!$B:$B,0)),IFERROR(INDEX('Catalog'!$A:$A,MATCH(TRIM(SUBSTITUTE($A474,CHAR(160)," ")),'Catalog'!$C:$C,0)),""))</f>
        <v>4413141</v>
      </c>
      <c r="F474" s="12" t="str">
        <f aca="false">IF($E474="","Unmatched","Matched")</f>
        <v>Matched</v>
      </c>
    </row>
    <row r="475" customFormat="false" ht="15" hidden="false" customHeight="true" outlineLevel="0" collapsed="false">
      <c r="A475" s="12" t="s">
        <v>482</v>
      </c>
      <c r="B475" s="12" t="n">
        <v>2026</v>
      </c>
      <c r="C475" s="12" t="n">
        <v>48</v>
      </c>
      <c r="D475" s="12" t="n">
        <v>1336.5</v>
      </c>
      <c r="E475" s="12" t="n">
        <f aca="false">IFERROR(INDEX('Catalog'!$A:$A,MATCH($A475,'Catalog'!$B:$B,0)),IFERROR(INDEX('Catalog'!$A:$A,MATCH(TRIM(SUBSTITUTE($A475,CHAR(160)," ")),'Catalog'!$C:$C,0)),""))</f>
        <v>4413142</v>
      </c>
      <c r="F475" s="12" t="str">
        <f aca="false">IF($E475="","Unmatched","Matched")</f>
        <v>Matched</v>
      </c>
    </row>
    <row r="476" customFormat="false" ht="15" hidden="false" customHeight="true" outlineLevel="0" collapsed="false">
      <c r="A476" s="12" t="s">
        <v>365</v>
      </c>
      <c r="B476" s="12" t="n">
        <v>2026</v>
      </c>
      <c r="C476" s="12" t="n">
        <v>157</v>
      </c>
      <c r="D476" s="12" t="n">
        <v>1717.6</v>
      </c>
      <c r="E476" s="12" t="n">
        <f aca="false">IFERROR(INDEX('Catalog'!$A:$A,MATCH($A476,'Catalog'!$B:$B,0)),IFERROR(INDEX('Catalog'!$A:$A,MATCH(TRIM(SUBSTITUTE($A476,CHAR(160)," ")),'Catalog'!$C:$C,0)),""))</f>
        <v>4413149</v>
      </c>
      <c r="F476" s="12" t="str">
        <f aca="false">IF($E476="","Unmatched","Matched")</f>
        <v>Matched</v>
      </c>
    </row>
    <row r="477" customFormat="false" ht="15" hidden="false" customHeight="true" outlineLevel="0" collapsed="false">
      <c r="A477" s="12" t="s">
        <v>574</v>
      </c>
      <c r="B477" s="12" t="n">
        <v>2026</v>
      </c>
      <c r="C477" s="12" t="n">
        <v>46</v>
      </c>
      <c r="D477" s="12" t="n">
        <v>1227.4</v>
      </c>
      <c r="E477" s="12" t="n">
        <f aca="false">IFERROR(INDEX('Catalog'!$A:$A,MATCH($A477,'Catalog'!$B:$B,0)),IFERROR(INDEX('Catalog'!$A:$A,MATCH(TRIM(SUBSTITUTE($A477,CHAR(160)," ")),'Catalog'!$C:$C,0)),""))</f>
        <v>4413150</v>
      </c>
      <c r="F477" s="12" t="str">
        <f aca="false">IF($E477="","Unmatched","Matched")</f>
        <v>Matched</v>
      </c>
    </row>
    <row r="478" customFormat="false" ht="15" hidden="false" customHeight="true" outlineLevel="0" collapsed="false">
      <c r="A478" s="12" t="s">
        <v>423</v>
      </c>
      <c r="B478" s="12" t="n">
        <v>2026</v>
      </c>
      <c r="C478" s="12" t="n">
        <v>2</v>
      </c>
      <c r="D478" s="12" t="n">
        <v>85</v>
      </c>
      <c r="E478" s="12" t="n">
        <f aca="false">IFERROR(INDEX('Catalog'!$A:$A,MATCH($A478,'Catalog'!$B:$B,0)),IFERROR(INDEX('Catalog'!$A:$A,MATCH(TRIM(SUBSTITUTE($A478,CHAR(160)," ")),'Catalog'!$C:$C,0)),""))</f>
        <v>4413153</v>
      </c>
      <c r="F478" s="12" t="str">
        <f aca="false">IF($E478="","Unmatched","Matched")</f>
        <v>Matched</v>
      </c>
    </row>
    <row r="479" customFormat="false" ht="15" hidden="false" customHeight="true" outlineLevel="0" collapsed="false">
      <c r="A479" s="12" t="s">
        <v>424</v>
      </c>
      <c r="B479" s="12" t="n">
        <v>2026</v>
      </c>
      <c r="C479" s="12" t="n">
        <v>5</v>
      </c>
      <c r="D479" s="12" t="n">
        <v>349.8</v>
      </c>
      <c r="E479" s="12" t="n">
        <f aca="false">IFERROR(INDEX('Catalog'!$A:$A,MATCH($A479,'Catalog'!$B:$B,0)),IFERROR(INDEX('Catalog'!$A:$A,MATCH(TRIM(SUBSTITUTE($A479,CHAR(160)," ")),'Catalog'!$C:$C,0)),""))</f>
        <v>4413154</v>
      </c>
      <c r="F479" s="12" t="str">
        <f aca="false">IF($E479="","Unmatched","Matched")</f>
        <v>Matched</v>
      </c>
    </row>
    <row r="480" customFormat="false" ht="15" hidden="false" customHeight="true" outlineLevel="0" collapsed="false">
      <c r="A480" s="12" t="s">
        <v>425</v>
      </c>
      <c r="B480" s="12" t="n">
        <v>2026</v>
      </c>
      <c r="C480" s="12" t="n">
        <v>7</v>
      </c>
      <c r="D480" s="12" t="n">
        <v>489.7</v>
      </c>
      <c r="E480" s="12" t="n">
        <f aca="false">IFERROR(INDEX('Catalog'!$A:$A,MATCH($A480,'Catalog'!$B:$B,0)),IFERROR(INDEX('Catalog'!$A:$A,MATCH(TRIM(SUBSTITUTE($A480,CHAR(160)," ")),'Catalog'!$C:$C,0)),""))</f>
        <v>4413155</v>
      </c>
      <c r="F480" s="12" t="str">
        <f aca="false">IF($E480="","Unmatched","Matched")</f>
        <v>Matched</v>
      </c>
    </row>
    <row r="481" customFormat="false" ht="15" hidden="false" customHeight="true" outlineLevel="0" collapsed="false">
      <c r="A481" s="12" t="s">
        <v>426</v>
      </c>
      <c r="B481" s="12" t="n">
        <v>2026</v>
      </c>
      <c r="C481" s="12" t="n">
        <v>6</v>
      </c>
      <c r="D481" s="12" t="n">
        <v>419.7</v>
      </c>
      <c r="E481" s="12" t="n">
        <f aca="false">IFERROR(INDEX('Catalog'!$A:$A,MATCH($A481,'Catalog'!$B:$B,0)),IFERROR(INDEX('Catalog'!$A:$A,MATCH(TRIM(SUBSTITUTE($A481,CHAR(160)," ")),'Catalog'!$C:$C,0)),""))</f>
        <v>4413156</v>
      </c>
      <c r="F481" s="12" t="str">
        <f aca="false">IF($E481="","Unmatched","Matched")</f>
        <v>Matched</v>
      </c>
    </row>
    <row r="482" customFormat="false" ht="15" hidden="false" customHeight="true" outlineLevel="0" collapsed="false">
      <c r="A482" s="12" t="s">
        <v>427</v>
      </c>
      <c r="B482" s="12" t="n">
        <v>2026</v>
      </c>
      <c r="C482" s="12" t="n">
        <v>8</v>
      </c>
      <c r="D482" s="12" t="n">
        <v>559.6</v>
      </c>
      <c r="E482" s="12" t="n">
        <f aca="false">IFERROR(INDEX('Catalog'!$A:$A,MATCH($A482,'Catalog'!$B:$B,0)),IFERROR(INDEX('Catalog'!$A:$A,MATCH(TRIM(SUBSTITUTE($A482,CHAR(160)," ")),'Catalog'!$C:$C,0)),""))</f>
        <v>4413157</v>
      </c>
      <c r="F482" s="12" t="str">
        <f aca="false">IF($E482="","Unmatched","Matched")</f>
        <v>Matched</v>
      </c>
    </row>
    <row r="483" customFormat="false" ht="15" hidden="false" customHeight="true" outlineLevel="0" collapsed="false">
      <c r="A483" s="12" t="s">
        <v>428</v>
      </c>
      <c r="B483" s="12" t="n">
        <v>2026</v>
      </c>
      <c r="C483" s="12" t="n">
        <v>12</v>
      </c>
      <c r="D483" s="12" t="n">
        <v>839.4</v>
      </c>
      <c r="E483" s="12" t="n">
        <f aca="false">IFERROR(INDEX('Catalog'!$A:$A,MATCH($A483,'Catalog'!$B:$B,0)),IFERROR(INDEX('Catalog'!$A:$A,MATCH(TRIM(SUBSTITUTE($A483,CHAR(160)," ")),'Catalog'!$C:$C,0)),""))</f>
        <v>4413158</v>
      </c>
      <c r="F483" s="12" t="str">
        <f aca="false">IF($E483="","Unmatched","Matched")</f>
        <v>Matched</v>
      </c>
    </row>
    <row r="484" customFormat="false" ht="15" hidden="false" customHeight="true" outlineLevel="0" collapsed="false">
      <c r="A484" s="12" t="s">
        <v>738</v>
      </c>
      <c r="B484" s="12" t="n">
        <v>2026</v>
      </c>
      <c r="C484" s="12" t="n">
        <v>143</v>
      </c>
      <c r="D484" s="12" t="n">
        <v>8195.3</v>
      </c>
      <c r="E484" s="12" t="n">
        <f aca="false">IFERROR(INDEX('Catalog'!$A:$A,MATCH($A484,'Catalog'!$B:$B,0)),IFERROR(INDEX('Catalog'!$A:$A,MATCH(TRIM(SUBSTITUTE($A484,CHAR(160)," ")),'Catalog'!$C:$C,0)),""))</f>
        <v>4413160</v>
      </c>
      <c r="F484" s="12" t="str">
        <f aca="false">IF($E484="","Unmatched","Matched")</f>
        <v>Matched</v>
      </c>
    </row>
    <row r="485" customFormat="false" ht="15" hidden="false" customHeight="true" outlineLevel="0" collapsed="false">
      <c r="A485" s="12" t="s">
        <v>737</v>
      </c>
      <c r="B485" s="12" t="n">
        <v>2026</v>
      </c>
      <c r="C485" s="12" t="n">
        <v>132</v>
      </c>
      <c r="D485" s="12" t="n">
        <v>7565</v>
      </c>
      <c r="E485" s="12" t="n">
        <f aca="false">IFERROR(INDEX('Catalog'!$A:$A,MATCH($A485,'Catalog'!$B:$B,0)),IFERROR(INDEX('Catalog'!$A:$A,MATCH(TRIM(SUBSTITUTE($A485,CHAR(160)," ")),'Catalog'!$C:$C,0)),""))</f>
        <v>4413161</v>
      </c>
      <c r="F485" s="12" t="str">
        <f aca="false">IF($E485="","Unmatched","Matched")</f>
        <v>Matched</v>
      </c>
    </row>
    <row r="486" customFormat="false" ht="15" hidden="false" customHeight="true" outlineLevel="0" collapsed="false">
      <c r="A486" s="12" t="s">
        <v>740</v>
      </c>
      <c r="B486" s="12" t="n">
        <v>2026</v>
      </c>
      <c r="C486" s="12" t="n">
        <v>110</v>
      </c>
      <c r="D486" s="12" t="n">
        <v>6304.1</v>
      </c>
      <c r="E486" s="12" t="n">
        <f aca="false">IFERROR(INDEX('Catalog'!$A:$A,MATCH($A486,'Catalog'!$B:$B,0)),IFERROR(INDEX('Catalog'!$A:$A,MATCH(TRIM(SUBSTITUTE($A486,CHAR(160)," ")),'Catalog'!$C:$C,0)),""))</f>
        <v>4413162</v>
      </c>
      <c r="F486" s="12" t="str">
        <f aca="false">IF($E486="","Unmatched","Matched")</f>
        <v>Matched</v>
      </c>
    </row>
    <row r="487" customFormat="false" ht="15" hidden="false" customHeight="true" outlineLevel="0" collapsed="false">
      <c r="A487" s="12" t="s">
        <v>804</v>
      </c>
      <c r="B487" s="12" t="n">
        <v>2026</v>
      </c>
      <c r="C487" s="12" t="n">
        <v>1</v>
      </c>
      <c r="D487" s="12" t="n">
        <v>97</v>
      </c>
      <c r="E487" s="12" t="n">
        <f aca="false">IFERROR(INDEX('Catalog'!$A:$A,MATCH($A487,'Catalog'!$B:$B,0)),IFERROR(INDEX('Catalog'!$A:$A,MATCH(TRIM(SUBSTITUTE($A487,CHAR(160)," ")),'Catalog'!$C:$C,0)),""))</f>
        <v>4413180</v>
      </c>
      <c r="F487" s="12" t="str">
        <f aca="false">IF($E487="","Unmatched","Matched")</f>
        <v>Matched</v>
      </c>
    </row>
    <row r="488" customFormat="false" ht="15" hidden="false" customHeight="true" outlineLevel="0" collapsed="false">
      <c r="A488" s="12" t="s">
        <v>176</v>
      </c>
      <c r="B488" s="12" t="n">
        <v>2026</v>
      </c>
      <c r="C488" s="12" t="n">
        <v>2</v>
      </c>
      <c r="D488" s="12" t="n">
        <v>194.1</v>
      </c>
      <c r="E488" s="12" t="n">
        <f aca="false">IFERROR(INDEX('Catalog'!$A:$A,MATCH($A488,'Catalog'!$B:$B,0)),IFERROR(INDEX('Catalog'!$A:$A,MATCH(TRIM(SUBSTITUTE($A488,CHAR(160)," ")),'Catalog'!$C:$C,0)),""))</f>
        <v>4413182</v>
      </c>
      <c r="F488" s="12" t="str">
        <f aca="false">IF($E488="","Unmatched","Matched")</f>
        <v>Matched</v>
      </c>
    </row>
    <row r="489" customFormat="false" ht="15" hidden="false" customHeight="true" outlineLevel="0" collapsed="false">
      <c r="A489" s="12" t="s">
        <v>162</v>
      </c>
      <c r="B489" s="12" t="n">
        <v>2026</v>
      </c>
      <c r="C489" s="12" t="n">
        <v>15</v>
      </c>
      <c r="D489" s="12" t="n">
        <v>1455.5</v>
      </c>
      <c r="E489" s="12" t="n">
        <f aca="false">IFERROR(INDEX('Catalog'!$A:$A,MATCH($A489,'Catalog'!$B:$B,0)),IFERROR(INDEX('Catalog'!$A:$A,MATCH(TRIM(SUBSTITUTE($A489,CHAR(160)," ")),'Catalog'!$C:$C,0)),""))</f>
        <v>4413183</v>
      </c>
      <c r="F489" s="12" t="str">
        <f aca="false">IF($E489="","Unmatched","Matched")</f>
        <v>Matched</v>
      </c>
    </row>
    <row r="490" customFormat="false" ht="15" hidden="false" customHeight="true" outlineLevel="0" collapsed="false">
      <c r="A490" s="12" t="s">
        <v>161</v>
      </c>
      <c r="B490" s="12" t="n">
        <v>2026</v>
      </c>
      <c r="C490" s="12" t="n">
        <v>6</v>
      </c>
      <c r="D490" s="12" t="n">
        <v>582.2</v>
      </c>
      <c r="E490" s="12" t="n">
        <f aca="false">IFERROR(INDEX('Catalog'!$A:$A,MATCH($A490,'Catalog'!$B:$B,0)),IFERROR(INDEX('Catalog'!$A:$A,MATCH(TRIM(SUBSTITUTE($A490,CHAR(160)," ")),'Catalog'!$C:$C,0)),""))</f>
        <v>4413184</v>
      </c>
      <c r="F490" s="12" t="str">
        <f aca="false">IF($E490="","Unmatched","Matched")</f>
        <v>Matched</v>
      </c>
    </row>
    <row r="491" customFormat="false" ht="15" hidden="false" customHeight="true" outlineLevel="0" collapsed="false">
      <c r="A491" s="12" t="s">
        <v>163</v>
      </c>
      <c r="B491" s="12" t="n">
        <v>2026</v>
      </c>
      <c r="C491" s="12" t="n">
        <v>9</v>
      </c>
      <c r="D491" s="12" t="n">
        <v>873.2</v>
      </c>
      <c r="E491" s="12" t="n">
        <f aca="false">IFERROR(INDEX('Catalog'!$A:$A,MATCH($A491,'Catalog'!$B:$B,0)),IFERROR(INDEX('Catalog'!$A:$A,MATCH(TRIM(SUBSTITUTE($A491,CHAR(160)," ")),'Catalog'!$C:$C,0)),""))</f>
        <v>4413185</v>
      </c>
      <c r="F491" s="12" t="str">
        <f aca="false">IF($E491="","Unmatched","Matched")</f>
        <v>Matched</v>
      </c>
    </row>
    <row r="492" customFormat="false" ht="15" hidden="false" customHeight="true" outlineLevel="0" collapsed="false">
      <c r="A492" s="12" t="s">
        <v>393</v>
      </c>
      <c r="B492" s="12" t="n">
        <v>2026</v>
      </c>
      <c r="C492" s="12" t="n">
        <v>2</v>
      </c>
      <c r="D492" s="12" t="n">
        <v>352.9</v>
      </c>
      <c r="E492" s="12" t="n">
        <f aca="false">IFERROR(INDEX('Catalog'!$A:$A,MATCH($A492,'Catalog'!$B:$B,0)),IFERROR(INDEX('Catalog'!$A:$A,MATCH(TRIM(SUBSTITUTE($A492,CHAR(160)," ")),'Catalog'!$C:$C,0)),""))</f>
        <v>4413195</v>
      </c>
      <c r="F492" s="12" t="str">
        <f aca="false">IF($E492="","Unmatched","Matched")</f>
        <v>Matched</v>
      </c>
    </row>
    <row r="493" customFormat="false" ht="15" hidden="false" customHeight="true" outlineLevel="0" collapsed="false">
      <c r="A493" s="12" t="s">
        <v>392</v>
      </c>
      <c r="B493" s="12" t="n">
        <v>2026</v>
      </c>
      <c r="C493" s="12" t="n">
        <v>5</v>
      </c>
      <c r="D493" s="12" t="n">
        <v>882.2</v>
      </c>
      <c r="E493" s="12" t="n">
        <f aca="false">IFERROR(INDEX('Catalog'!$A:$A,MATCH($A493,'Catalog'!$B:$B,0)),IFERROR(INDEX('Catalog'!$A:$A,MATCH(TRIM(SUBSTITUTE($A493,CHAR(160)," ")),'Catalog'!$C:$C,0)),""))</f>
        <v>4413196</v>
      </c>
      <c r="F493" s="12" t="str">
        <f aca="false">IF($E493="","Unmatched","Matched")</f>
        <v>Matched</v>
      </c>
    </row>
    <row r="494" customFormat="false" ht="15" hidden="false" customHeight="true" outlineLevel="0" collapsed="false">
      <c r="A494" s="12" t="s">
        <v>391</v>
      </c>
      <c r="B494" s="12" t="n">
        <v>2026</v>
      </c>
      <c r="C494" s="12" t="n">
        <v>10</v>
      </c>
      <c r="D494" s="12" t="n">
        <v>1764.4</v>
      </c>
      <c r="E494" s="12" t="n">
        <f aca="false">IFERROR(INDEX('Catalog'!$A:$A,MATCH($A494,'Catalog'!$B:$B,0)),IFERROR(INDEX('Catalog'!$A:$A,MATCH(TRIM(SUBSTITUTE($A494,CHAR(160)," ")),'Catalog'!$C:$C,0)),""))</f>
        <v>4413197</v>
      </c>
      <c r="F494" s="12" t="str">
        <f aca="false">IF($E494="","Unmatched","Matched")</f>
        <v>Matched</v>
      </c>
    </row>
    <row r="495" customFormat="false" ht="15" hidden="false" customHeight="true" outlineLevel="0" collapsed="false">
      <c r="A495" s="12" t="s">
        <v>394</v>
      </c>
      <c r="B495" s="12" t="n">
        <v>2026</v>
      </c>
      <c r="C495" s="12" t="n">
        <v>9</v>
      </c>
      <c r="D495" s="12" t="n">
        <v>1588</v>
      </c>
      <c r="E495" s="12" t="n">
        <f aca="false">IFERROR(INDEX('Catalog'!$A:$A,MATCH($A495,'Catalog'!$B:$B,0)),IFERROR(INDEX('Catalog'!$A:$A,MATCH(TRIM(SUBSTITUTE($A495,CHAR(160)," ")),'Catalog'!$C:$C,0)),""))</f>
        <v>4413198</v>
      </c>
      <c r="F495" s="12" t="str">
        <f aca="false">IF($E495="","Unmatched","Matched")</f>
        <v>Matched</v>
      </c>
    </row>
    <row r="496" customFormat="false" ht="15" hidden="false" customHeight="true" outlineLevel="0" collapsed="false">
      <c r="A496" s="12" t="s">
        <v>395</v>
      </c>
      <c r="B496" s="12" t="n">
        <v>2026</v>
      </c>
      <c r="C496" s="12" t="n">
        <v>3</v>
      </c>
      <c r="D496" s="12" t="n">
        <v>529.3</v>
      </c>
      <c r="E496" s="12" t="n">
        <f aca="false">IFERROR(INDEX('Catalog'!$A:$A,MATCH($A496,'Catalog'!$B:$B,0)),IFERROR(INDEX('Catalog'!$A:$A,MATCH(TRIM(SUBSTITUTE($A496,CHAR(160)," ")),'Catalog'!$C:$C,0)),""))</f>
        <v>4413204</v>
      </c>
      <c r="F496" s="12" t="str">
        <f aca="false">IF($E496="","Unmatched","Matched")</f>
        <v>Matched</v>
      </c>
    </row>
    <row r="497" customFormat="false" ht="15" hidden="false" customHeight="true" outlineLevel="0" collapsed="false">
      <c r="A497" s="12" t="s">
        <v>407</v>
      </c>
      <c r="B497" s="12" t="n">
        <v>2026</v>
      </c>
      <c r="C497" s="12" t="n">
        <v>4</v>
      </c>
      <c r="D497" s="12" t="n">
        <v>136.1</v>
      </c>
      <c r="E497" s="12" t="n">
        <f aca="false">IFERROR(INDEX('Catalog'!$A:$A,MATCH($A497,'Catalog'!$B:$B,0)),IFERROR(INDEX('Catalog'!$A:$A,MATCH(TRIM(SUBSTITUTE($A497,CHAR(160)," ")),'Catalog'!$C:$C,0)),""))</f>
        <v>4413276</v>
      </c>
      <c r="F497" s="12" t="str">
        <f aca="false">IF($E497="","Unmatched","Matched")</f>
        <v>Matched</v>
      </c>
    </row>
    <row r="498" customFormat="false" ht="15" hidden="false" customHeight="true" outlineLevel="0" collapsed="false">
      <c r="A498" s="12" t="s">
        <v>408</v>
      </c>
      <c r="B498" s="12" t="n">
        <v>2026</v>
      </c>
      <c r="C498" s="12" t="n">
        <v>4</v>
      </c>
      <c r="D498" s="12" t="n">
        <v>174.8</v>
      </c>
      <c r="E498" s="12" t="n">
        <f aca="false">IFERROR(INDEX('Catalog'!$A:$A,MATCH($A498,'Catalog'!$B:$B,0)),IFERROR(INDEX('Catalog'!$A:$A,MATCH(TRIM(SUBSTITUTE($A498,CHAR(160)," ")),'Catalog'!$C:$C,0)),""))</f>
        <v>4413277</v>
      </c>
      <c r="F498" s="12" t="str">
        <f aca="false">IF($E498="","Unmatched","Matched")</f>
        <v>Matched</v>
      </c>
    </row>
    <row r="499" customFormat="false" ht="15" hidden="false" customHeight="true" outlineLevel="0" collapsed="false">
      <c r="A499" s="12" t="s">
        <v>111</v>
      </c>
      <c r="B499" s="12" t="n">
        <v>2026</v>
      </c>
      <c r="C499" s="12" t="n">
        <v>-3</v>
      </c>
      <c r="D499" s="12" t="n">
        <v>-590.2</v>
      </c>
      <c r="E499" s="12" t="n">
        <f aca="false">IFERROR(INDEX('Catalog'!$A:$A,MATCH($A499,'Catalog'!$B:$B,0)),IFERROR(INDEX('Catalog'!$A:$A,MATCH(TRIM(SUBSTITUTE($A499,CHAR(160)," ")),'Catalog'!$C:$C,0)),""))</f>
        <v>4413283</v>
      </c>
      <c r="F499" s="12" t="str">
        <f aca="false">IF($E499="","Unmatched","Matched")</f>
        <v>Matched</v>
      </c>
    </row>
    <row r="500" customFormat="false" ht="15" hidden="false" customHeight="true" outlineLevel="0" collapsed="false">
      <c r="A500" s="12" t="s">
        <v>429</v>
      </c>
      <c r="B500" s="12" t="n">
        <v>2026</v>
      </c>
      <c r="C500" s="12" t="n">
        <v>-1</v>
      </c>
      <c r="D500" s="12" t="n">
        <v>-70</v>
      </c>
      <c r="E500" s="12" t="n">
        <f aca="false">IFERROR(INDEX('Catalog'!$A:$A,MATCH($A500,'Catalog'!$B:$B,0)),IFERROR(INDEX('Catalog'!$A:$A,MATCH(TRIM(SUBSTITUTE($A500,CHAR(160)," ")),'Catalog'!$C:$C,0)),""))</f>
        <v>4413285</v>
      </c>
      <c r="F500" s="12" t="str">
        <f aca="false">IF($E500="","Unmatched","Matched")</f>
        <v>Matched</v>
      </c>
    </row>
    <row r="501" customFormat="false" ht="15" hidden="false" customHeight="true" outlineLevel="0" collapsed="false">
      <c r="A501" s="12" t="s">
        <v>570</v>
      </c>
      <c r="B501" s="12" t="n">
        <v>2026</v>
      </c>
      <c r="C501" s="12" t="n">
        <v>60</v>
      </c>
      <c r="D501" s="12" t="n">
        <v>1729.8</v>
      </c>
      <c r="E501" s="12" t="n">
        <f aca="false">IFERROR(INDEX('Catalog'!$A:$A,MATCH($A501,'Catalog'!$B:$B,0)),IFERROR(INDEX('Catalog'!$A:$A,MATCH(TRIM(SUBSTITUTE($A501,CHAR(160)," ")),'Catalog'!$C:$C,0)),""))</f>
        <v>4413307</v>
      </c>
      <c r="F501" s="12" t="str">
        <f aca="false">IF($E501="","Unmatched","Matched")</f>
        <v>Matched</v>
      </c>
    </row>
    <row r="502" customFormat="false" ht="15" hidden="false" customHeight="true" outlineLevel="0" collapsed="false">
      <c r="A502" s="12" t="s">
        <v>149</v>
      </c>
      <c r="B502" s="12" t="n">
        <v>2026</v>
      </c>
      <c r="C502" s="12" t="n">
        <v>22</v>
      </c>
      <c r="D502" s="12" t="n">
        <v>1982.6</v>
      </c>
      <c r="E502" s="12" t="n">
        <f aca="false">IFERROR(INDEX('Catalog'!$A:$A,MATCH($A502,'Catalog'!$B:$B,0)),IFERROR(INDEX('Catalog'!$A:$A,MATCH(TRIM(SUBSTITUTE($A502,CHAR(160)," ")),'Catalog'!$C:$C,0)),""))</f>
        <v>4413328</v>
      </c>
      <c r="F502" s="12" t="str">
        <f aca="false">IF($E502="","Unmatched","Matched")</f>
        <v>Matched</v>
      </c>
    </row>
    <row r="503" customFormat="false" ht="15" hidden="false" customHeight="true" outlineLevel="0" collapsed="false">
      <c r="A503" s="12" t="s">
        <v>557</v>
      </c>
      <c r="B503" s="12" t="n">
        <v>2026</v>
      </c>
      <c r="C503" s="12" t="n">
        <v>8</v>
      </c>
      <c r="D503" s="12" t="n">
        <v>349.6</v>
      </c>
      <c r="E503" s="12" t="n">
        <f aca="false">IFERROR(INDEX('Catalog'!$A:$A,MATCH($A503,'Catalog'!$B:$B,0)),IFERROR(INDEX('Catalog'!$A:$A,MATCH(TRIM(SUBSTITUTE($A503,CHAR(160)," ")),'Catalog'!$C:$C,0)),""))</f>
        <v>4413340</v>
      </c>
      <c r="F503" s="12" t="str">
        <f aca="false">IF($E503="","Unmatched","Matched")</f>
        <v>Matched</v>
      </c>
    </row>
    <row r="504" customFormat="false" ht="15" hidden="false" customHeight="true" outlineLevel="0" collapsed="false">
      <c r="A504" s="12" t="s">
        <v>360</v>
      </c>
      <c r="B504" s="12" t="n">
        <v>2026</v>
      </c>
      <c r="C504" s="12" t="n">
        <v>164</v>
      </c>
      <c r="D504" s="12" t="n">
        <v>5523.8</v>
      </c>
      <c r="E504" s="12" t="n">
        <f aca="false">IFERROR(INDEX('Catalog'!$A:$A,MATCH($A504,'Catalog'!$B:$B,0)),IFERROR(INDEX('Catalog'!$A:$A,MATCH(TRIM(SUBSTITUTE($A504,CHAR(160)," ")),'Catalog'!$C:$C,0)),""))</f>
        <v>4414000</v>
      </c>
      <c r="F504" s="12" t="str">
        <f aca="false">IF($E504="","Unmatched","Matched")</f>
        <v>Matched</v>
      </c>
    </row>
    <row r="505" customFormat="false" ht="15" hidden="false" customHeight="true" outlineLevel="0" collapsed="false">
      <c r="A505" s="12" t="s">
        <v>614</v>
      </c>
      <c r="B505" s="12" t="n">
        <v>2026</v>
      </c>
      <c r="C505" s="12" t="n">
        <v>57</v>
      </c>
      <c r="D505" s="12" t="n">
        <v>5027.4</v>
      </c>
      <c r="E505" s="12" t="n">
        <f aca="false">IFERROR(INDEX('Catalog'!$A:$A,MATCH($A505,'Catalog'!$B:$B,0)),IFERROR(INDEX('Catalog'!$A:$A,MATCH(TRIM(SUBSTITUTE($A505,CHAR(160)," ")),'Catalog'!$C:$C,0)),""))</f>
        <v>4415000</v>
      </c>
      <c r="F505" s="12" t="str">
        <f aca="false">IF($E505="","Unmatched","Matched")</f>
        <v>Matched</v>
      </c>
    </row>
    <row r="506" customFormat="false" ht="15" hidden="false" customHeight="true" outlineLevel="0" collapsed="false">
      <c r="A506" s="12" t="s">
        <v>615</v>
      </c>
      <c r="B506" s="12" t="n">
        <v>2026</v>
      </c>
      <c r="C506" s="12" t="n">
        <v>59</v>
      </c>
      <c r="D506" s="12" t="n">
        <v>5160.9</v>
      </c>
      <c r="E506" s="12" t="n">
        <f aca="false">IFERROR(INDEX('Catalog'!$A:$A,MATCH($A506,'Catalog'!$B:$B,0)),IFERROR(INDEX('Catalog'!$A:$A,MATCH(TRIM(SUBSTITUTE($A506,CHAR(160)," ")),'Catalog'!$C:$C,0)),""))</f>
        <v>4415001</v>
      </c>
      <c r="F506" s="12" t="str">
        <f aca="false">IF($E506="","Unmatched","Matched")</f>
        <v>Matched</v>
      </c>
    </row>
    <row r="507" customFormat="false" ht="15" hidden="false" customHeight="true" outlineLevel="0" collapsed="false">
      <c r="A507" s="12" t="s">
        <v>616</v>
      </c>
      <c r="B507" s="12" t="n">
        <v>2026</v>
      </c>
      <c r="C507" s="12" t="n">
        <v>40</v>
      </c>
      <c r="D507" s="12" t="n">
        <v>3528</v>
      </c>
      <c r="E507" s="12" t="n">
        <f aca="false">IFERROR(INDEX('Catalog'!$A:$A,MATCH($A507,'Catalog'!$B:$B,0)),IFERROR(INDEX('Catalog'!$A:$A,MATCH(TRIM(SUBSTITUTE($A507,CHAR(160)," ")),'Catalog'!$C:$C,0)),""))</f>
        <v>4415002</v>
      </c>
      <c r="F507" s="12" t="str">
        <f aca="false">IF($E507="","Unmatched","Matched")</f>
        <v>Matched</v>
      </c>
    </row>
    <row r="508" customFormat="false" ht="15" hidden="false" customHeight="true" outlineLevel="0" collapsed="false">
      <c r="A508" s="12" t="s">
        <v>617</v>
      </c>
      <c r="B508" s="12" t="n">
        <v>2026</v>
      </c>
      <c r="C508" s="12" t="n">
        <v>33</v>
      </c>
      <c r="D508" s="12" t="n">
        <v>2910.6</v>
      </c>
      <c r="E508" s="12" t="n">
        <f aca="false">IFERROR(INDEX('Catalog'!$A:$A,MATCH($A508,'Catalog'!$B:$B,0)),IFERROR(INDEX('Catalog'!$A:$A,MATCH(TRIM(SUBSTITUTE($A508,CHAR(160)," ")),'Catalog'!$C:$C,0)),""))</f>
        <v>4415003</v>
      </c>
      <c r="F508" s="12" t="str">
        <f aca="false">IF($E508="","Unmatched","Matched")</f>
        <v>Matched</v>
      </c>
    </row>
    <row r="509" customFormat="false" ht="15" hidden="false" customHeight="true" outlineLevel="0" collapsed="false">
      <c r="A509" s="12" t="s">
        <v>642</v>
      </c>
      <c r="B509" s="12" t="n">
        <v>2026</v>
      </c>
      <c r="C509" s="12" t="n">
        <v>48</v>
      </c>
      <c r="D509" s="12" t="n">
        <v>4233.6</v>
      </c>
      <c r="E509" s="12" t="n">
        <f aca="false">IFERROR(INDEX('Catalog'!$A:$A,MATCH($A509,'Catalog'!$B:$B,0)),IFERROR(INDEX('Catalog'!$A:$A,MATCH(TRIM(SUBSTITUTE($A509,CHAR(160)," ")),'Catalog'!$C:$C,0)),""))</f>
        <v>4415005</v>
      </c>
      <c r="F509" s="12" t="str">
        <f aca="false">IF($E509="","Unmatched","Matched")</f>
        <v>Matched</v>
      </c>
    </row>
    <row r="510" customFormat="false" ht="15" hidden="false" customHeight="true" outlineLevel="0" collapsed="false">
      <c r="A510" s="12" t="s">
        <v>643</v>
      </c>
      <c r="B510" s="12" t="n">
        <v>2026</v>
      </c>
      <c r="C510" s="12" t="n">
        <v>57</v>
      </c>
      <c r="D510" s="12" t="n">
        <v>5027.4</v>
      </c>
      <c r="E510" s="12" t="n">
        <f aca="false">IFERROR(INDEX('Catalog'!$A:$A,MATCH($A510,'Catalog'!$B:$B,0)),IFERROR(INDEX('Catalog'!$A:$A,MATCH(TRIM(SUBSTITUTE($A510,CHAR(160)," ")),'Catalog'!$C:$C,0)),""))</f>
        <v>4415006</v>
      </c>
      <c r="F510" s="12" t="str">
        <f aca="false">IF($E510="","Unmatched","Matched")</f>
        <v>Matched</v>
      </c>
    </row>
    <row r="511" customFormat="false" ht="15" hidden="false" customHeight="true" outlineLevel="0" collapsed="false">
      <c r="A511" s="12" t="s">
        <v>644</v>
      </c>
      <c r="B511" s="12" t="n">
        <v>2026</v>
      </c>
      <c r="C511" s="12" t="n">
        <v>61</v>
      </c>
      <c r="D511" s="12" t="n">
        <v>5380.2</v>
      </c>
      <c r="E511" s="12" t="n">
        <f aca="false">IFERROR(INDEX('Catalog'!$A:$A,MATCH($A511,'Catalog'!$B:$B,0)),IFERROR(INDEX('Catalog'!$A:$A,MATCH(TRIM(SUBSTITUTE($A511,CHAR(160)," ")),'Catalog'!$C:$C,0)),""))</f>
        <v>4415007</v>
      </c>
      <c r="F511" s="12" t="str">
        <f aca="false">IF($E511="","Unmatched","Matched")</f>
        <v>Matched</v>
      </c>
    </row>
    <row r="512" customFormat="false" ht="15" hidden="false" customHeight="true" outlineLevel="0" collapsed="false">
      <c r="A512" s="12" t="s">
        <v>645</v>
      </c>
      <c r="B512" s="12" t="n">
        <v>2026</v>
      </c>
      <c r="C512" s="12" t="n">
        <v>15</v>
      </c>
      <c r="D512" s="12" t="n">
        <v>1323</v>
      </c>
      <c r="E512" s="12" t="n">
        <f aca="false">IFERROR(INDEX('Catalog'!$A:$A,MATCH($A512,'Catalog'!$B:$B,0)),IFERROR(INDEX('Catalog'!$A:$A,MATCH(TRIM(SUBSTITUTE($A512,CHAR(160)," ")),'Catalog'!$C:$C,0)),""))</f>
        <v>4415008</v>
      </c>
      <c r="F512" s="12" t="str">
        <f aca="false">IF($E512="","Unmatched","Matched")</f>
        <v>Matched</v>
      </c>
    </row>
    <row r="513" customFormat="false" ht="15" hidden="false" customHeight="true" outlineLevel="0" collapsed="false">
      <c r="A513" s="12" t="s">
        <v>641</v>
      </c>
      <c r="B513" s="12" t="n">
        <v>2026</v>
      </c>
      <c r="C513" s="12" t="n">
        <v>7</v>
      </c>
      <c r="D513" s="12" t="n">
        <v>617.4</v>
      </c>
      <c r="E513" s="12" t="n">
        <f aca="false">IFERROR(INDEX('Catalog'!$A:$A,MATCH($A513,'Catalog'!$B:$B,0)),IFERROR(INDEX('Catalog'!$A:$A,MATCH(TRIM(SUBSTITUTE($A513,CHAR(160)," ")),'Catalog'!$C:$C,0)),""))</f>
        <v>4415025</v>
      </c>
      <c r="F513" s="12" t="str">
        <f aca="false">IF($E513="","Unmatched","Matched")</f>
        <v>Matched</v>
      </c>
    </row>
    <row r="514" customFormat="false" ht="15" hidden="false" customHeight="true" outlineLevel="0" collapsed="false">
      <c r="A514" s="12" t="s">
        <v>809</v>
      </c>
      <c r="B514" s="12" t="n">
        <v>2026</v>
      </c>
      <c r="C514" s="12" t="n">
        <v>22</v>
      </c>
      <c r="D514" s="12" t="n">
        <v>754</v>
      </c>
      <c r="E514" s="12" t="n">
        <f aca="false">IFERROR(INDEX('Catalog'!$A:$A,MATCH($A514,'Catalog'!$B:$B,0)),IFERROR(INDEX('Catalog'!$A:$A,MATCH(TRIM(SUBSTITUTE($A514,CHAR(160)," ")),'Catalog'!$C:$C,0)),""))</f>
        <v>4415026</v>
      </c>
      <c r="F514" s="12" t="str">
        <f aca="false">IF($E514="","Unmatched","Matched")</f>
        <v>Matched</v>
      </c>
    </row>
    <row r="515" customFormat="false" ht="15" hidden="false" customHeight="true" outlineLevel="0" collapsed="false">
      <c r="A515" s="12" t="s">
        <v>810</v>
      </c>
      <c r="B515" s="12" t="n">
        <v>2026</v>
      </c>
      <c r="C515" s="12" t="n">
        <v>26</v>
      </c>
      <c r="D515" s="12" t="n">
        <v>901.9</v>
      </c>
      <c r="E515" s="12" t="n">
        <f aca="false">IFERROR(INDEX('Catalog'!$A:$A,MATCH($A515,'Catalog'!$B:$B,0)),IFERROR(INDEX('Catalog'!$A:$A,MATCH(TRIM(SUBSTITUTE($A515,CHAR(160)," ")),'Catalog'!$C:$C,0)),""))</f>
        <v>4415027</v>
      </c>
      <c r="F515" s="12" t="str">
        <f aca="false">IF($E515="","Unmatched","Matched")</f>
        <v>Matched</v>
      </c>
    </row>
    <row r="516" customFormat="false" ht="15" hidden="false" customHeight="true" outlineLevel="0" collapsed="false">
      <c r="A516" s="12" t="s">
        <v>648</v>
      </c>
      <c r="B516" s="12" t="n">
        <v>2026</v>
      </c>
      <c r="C516" s="12" t="n">
        <v>45</v>
      </c>
      <c r="D516" s="12" t="n">
        <v>1082.7</v>
      </c>
      <c r="E516" s="12" t="n">
        <f aca="false">IFERROR(INDEX('Catalog'!$A:$A,MATCH($A516,'Catalog'!$B:$B,0)),IFERROR(INDEX('Catalog'!$A:$A,MATCH(TRIM(SUBSTITUTE($A516,CHAR(160)," ")),'Catalog'!$C:$C,0)),""))</f>
        <v>4415028</v>
      </c>
      <c r="F516" s="12" t="str">
        <f aca="false">IF($E516="","Unmatched","Matched")</f>
        <v>Matched</v>
      </c>
    </row>
    <row r="517" customFormat="false" ht="15" hidden="false" customHeight="true" outlineLevel="0" collapsed="false">
      <c r="A517" s="12" t="s">
        <v>676</v>
      </c>
      <c r="B517" s="12" t="n">
        <v>2026</v>
      </c>
      <c r="C517" s="12" t="n">
        <v>152</v>
      </c>
      <c r="D517" s="12" t="n">
        <v>9583.7</v>
      </c>
      <c r="E517" s="12" t="n">
        <f aca="false">IFERROR(INDEX('Catalog'!$A:$A,MATCH($A517,'Catalog'!$B:$B,0)),IFERROR(INDEX('Catalog'!$A:$A,MATCH(TRIM(SUBSTITUTE($A517,CHAR(160)," ")),'Catalog'!$C:$C,0)),""))</f>
        <v>4415072</v>
      </c>
      <c r="F517" s="12" t="str">
        <f aca="false">IF($E517="","Unmatched","Matched")</f>
        <v>Matched</v>
      </c>
    </row>
    <row r="518" customFormat="false" ht="15" hidden="false" customHeight="true" outlineLevel="0" collapsed="false">
      <c r="A518" s="12" t="s">
        <v>675</v>
      </c>
      <c r="B518" s="12" t="n">
        <v>2026</v>
      </c>
      <c r="C518" s="12" t="n">
        <v>20</v>
      </c>
      <c r="D518" s="12" t="n">
        <v>1270.1</v>
      </c>
      <c r="E518" s="12" t="n">
        <f aca="false">IFERROR(INDEX('Catalog'!$A:$A,MATCH($A518,'Catalog'!$B:$B,0)),IFERROR(INDEX('Catalog'!$A:$A,MATCH(TRIM(SUBSTITUTE($A518,CHAR(160)," ")),'Catalog'!$C:$C,0)),""))</f>
        <v>4415073</v>
      </c>
      <c r="F518" s="12" t="str">
        <f aca="false">IF($E518="","Unmatched","Matched")</f>
        <v>Matched</v>
      </c>
    </row>
    <row r="519" customFormat="false" ht="15" hidden="false" customHeight="true" outlineLevel="0" collapsed="false">
      <c r="A519" s="12" t="s">
        <v>577</v>
      </c>
      <c r="B519" s="12" t="n">
        <v>2026</v>
      </c>
      <c r="C519" s="12" t="n">
        <v>23</v>
      </c>
      <c r="D519" s="12" t="n">
        <v>188.1</v>
      </c>
      <c r="E519" s="12" t="n">
        <f aca="false">IFERROR(INDEX('Catalog'!$A:$A,MATCH($A519,'Catalog'!$B:$B,0)),IFERROR(INDEX('Catalog'!$A:$A,MATCH(TRIM(SUBSTITUTE($A519,CHAR(160)," ")),'Catalog'!$C:$C,0)),""))</f>
        <v>4415080</v>
      </c>
      <c r="F519" s="12" t="str">
        <f aca="false">IF($E519="","Unmatched","Matched")</f>
        <v>Matched</v>
      </c>
    </row>
    <row r="520" customFormat="false" ht="15" hidden="false" customHeight="true" outlineLevel="0" collapsed="false">
      <c r="A520" s="12" t="s">
        <v>533</v>
      </c>
      <c r="B520" s="12" t="n">
        <v>2026</v>
      </c>
      <c r="C520" s="12" t="n">
        <v>107</v>
      </c>
      <c r="D520" s="12" t="n">
        <v>9399.1</v>
      </c>
      <c r="E520" s="12" t="n">
        <f aca="false">IFERROR(INDEX('Catalog'!$A:$A,MATCH($A520,'Catalog'!$B:$B,0)),IFERROR(INDEX('Catalog'!$A:$A,MATCH(TRIM(SUBSTITUTE($A520,CHAR(160)," ")),'Catalog'!$C:$C,0)),""))</f>
        <v>4416000</v>
      </c>
      <c r="F520" s="12" t="str">
        <f aca="false">IF($E520="","Unmatched","Matched")</f>
        <v>Matched</v>
      </c>
    </row>
    <row r="521" customFormat="false" ht="15" hidden="false" customHeight="true" outlineLevel="0" collapsed="false">
      <c r="A521" s="12" t="s">
        <v>534</v>
      </c>
      <c r="B521" s="12" t="n">
        <v>2026</v>
      </c>
      <c r="C521" s="12" t="n">
        <v>88</v>
      </c>
      <c r="D521" s="12" t="n">
        <v>7709.6</v>
      </c>
      <c r="E521" s="12" t="n">
        <f aca="false">IFERROR(INDEX('Catalog'!$A:$A,MATCH($A521,'Catalog'!$B:$B,0)),IFERROR(INDEX('Catalog'!$A:$A,MATCH(TRIM(SUBSTITUTE($A521,CHAR(160)," ")),'Catalog'!$C:$C,0)),""))</f>
        <v>4416001</v>
      </c>
      <c r="F521" s="12" t="str">
        <f aca="false">IF($E521="","Unmatched","Matched")</f>
        <v>Matched</v>
      </c>
    </row>
    <row r="522" customFormat="false" ht="15" hidden="false" customHeight="true" outlineLevel="0" collapsed="false">
      <c r="A522" s="12" t="s">
        <v>535</v>
      </c>
      <c r="B522" s="12" t="n">
        <v>2026</v>
      </c>
      <c r="C522" s="12" t="n">
        <v>32</v>
      </c>
      <c r="D522" s="12" t="n">
        <v>2798.4</v>
      </c>
      <c r="E522" s="12" t="n">
        <f aca="false">IFERROR(INDEX('Catalog'!$A:$A,MATCH($A522,'Catalog'!$B:$B,0)),IFERROR(INDEX('Catalog'!$A:$A,MATCH(TRIM(SUBSTITUTE($A522,CHAR(160)," ")),'Catalog'!$C:$C,0)),""))</f>
        <v>4416002</v>
      </c>
      <c r="F522" s="12" t="str">
        <f aca="false">IF($E522="","Unmatched","Matched")</f>
        <v>Matched</v>
      </c>
    </row>
    <row r="523" customFormat="false" ht="15" hidden="false" customHeight="true" outlineLevel="0" collapsed="false">
      <c r="A523" s="12" t="s">
        <v>537</v>
      </c>
      <c r="B523" s="12" t="n">
        <v>2026</v>
      </c>
      <c r="C523" s="12" t="n">
        <v>93</v>
      </c>
      <c r="D523" s="12" t="n">
        <v>5070.4</v>
      </c>
      <c r="E523" s="12" t="n">
        <f aca="false">IFERROR(INDEX('Catalog'!$A:$A,MATCH($A523,'Catalog'!$B:$B,0)),IFERROR(INDEX('Catalog'!$A:$A,MATCH(TRIM(SUBSTITUTE($A523,CHAR(160)," ")),'Catalog'!$C:$C,0)),""))</f>
        <v>4416003</v>
      </c>
      <c r="F523" s="12" t="str">
        <f aca="false">IF($E523="","Unmatched","Matched")</f>
        <v>Matched</v>
      </c>
    </row>
    <row r="524" customFormat="false" ht="15" hidden="false" customHeight="true" outlineLevel="0" collapsed="false">
      <c r="A524" s="12" t="s">
        <v>538</v>
      </c>
      <c r="B524" s="12" t="n">
        <v>2026</v>
      </c>
      <c r="C524" s="12" t="n">
        <v>91</v>
      </c>
      <c r="D524" s="12" t="n">
        <v>4961.3</v>
      </c>
      <c r="E524" s="12" t="n">
        <f aca="false">IFERROR(INDEX('Catalog'!$A:$A,MATCH($A524,'Catalog'!$B:$B,0)),IFERROR(INDEX('Catalog'!$A:$A,MATCH(TRIM(SUBSTITUTE($A524,CHAR(160)," ")),'Catalog'!$C:$C,0)),""))</f>
        <v>4416005</v>
      </c>
      <c r="F524" s="12" t="str">
        <f aca="false">IF($E524="","Unmatched","Matched")</f>
        <v>Matched</v>
      </c>
    </row>
    <row r="525" customFormat="false" ht="15" hidden="false" customHeight="true" outlineLevel="0" collapsed="false">
      <c r="A525" s="12" t="s">
        <v>539</v>
      </c>
      <c r="B525" s="12" t="n">
        <v>2026</v>
      </c>
      <c r="C525" s="12" t="n">
        <v>-2</v>
      </c>
      <c r="D525" s="12" t="n">
        <v>-109</v>
      </c>
      <c r="E525" s="12" t="n">
        <f aca="false">IFERROR(INDEX('Catalog'!$A:$A,MATCH($A525,'Catalog'!$B:$B,0)),IFERROR(INDEX('Catalog'!$A:$A,MATCH(TRIM(SUBSTITUTE($A525,CHAR(160)," ")),'Catalog'!$C:$C,0)),""))</f>
        <v>4416006</v>
      </c>
      <c r="F525" s="12" t="str">
        <f aca="false">IF($E525="","Unmatched","Matched")</f>
        <v>Matched</v>
      </c>
    </row>
    <row r="526" customFormat="false" ht="15" hidden="false" customHeight="true" outlineLevel="0" collapsed="false">
      <c r="A526" s="12" t="s">
        <v>575</v>
      </c>
      <c r="B526" s="12" t="n">
        <v>2026</v>
      </c>
      <c r="C526" s="12" t="n">
        <v>103</v>
      </c>
      <c r="D526" s="12" t="n">
        <v>2253</v>
      </c>
      <c r="E526" s="12" t="n">
        <f aca="false">IFERROR(INDEX('Catalog'!$A:$A,MATCH($A526,'Catalog'!$B:$B,0)),IFERROR(INDEX('Catalog'!$A:$A,MATCH(TRIM(SUBSTITUTE($A526,CHAR(160)," ")),'Catalog'!$C:$C,0)),""))</f>
        <v>4417000</v>
      </c>
      <c r="F526" s="12" t="str">
        <f aca="false">IF($E526="","Unmatched","Matched")</f>
        <v>Matched</v>
      </c>
    </row>
    <row r="527" customFormat="false" ht="15" hidden="false" customHeight="true" outlineLevel="0" collapsed="false">
      <c r="A527" s="12" t="s">
        <v>686</v>
      </c>
      <c r="B527" s="12" t="n">
        <v>2026</v>
      </c>
      <c r="C527" s="12" t="n">
        <v>77</v>
      </c>
      <c r="D527" s="12" t="n">
        <v>2492.4</v>
      </c>
      <c r="E527" s="12" t="n">
        <f aca="false">IFERROR(INDEX('Catalog'!$A:$A,MATCH($A527,'Catalog'!$B:$B,0)),IFERROR(INDEX('Catalog'!$A:$A,MATCH(TRIM(SUBSTITUTE($A527,CHAR(160)," ")),'Catalog'!$C:$C,0)),""))</f>
        <v>4418000</v>
      </c>
      <c r="F527" s="12" t="str">
        <f aca="false">IF($E527="","Unmatched","Matched")</f>
        <v>Matched</v>
      </c>
    </row>
    <row r="528" customFormat="false" ht="15" hidden="false" customHeight="true" outlineLevel="0" collapsed="false">
      <c r="A528" s="12" t="s">
        <v>687</v>
      </c>
      <c r="B528" s="12" t="n">
        <v>2026</v>
      </c>
      <c r="C528" s="12" t="n">
        <v>72</v>
      </c>
      <c r="D528" s="12" t="n">
        <v>2326.3</v>
      </c>
      <c r="E528" s="12" t="n">
        <f aca="false">IFERROR(INDEX('Catalog'!$A:$A,MATCH($A528,'Catalog'!$B:$B,0)),IFERROR(INDEX('Catalog'!$A:$A,MATCH(TRIM(SUBSTITUTE($A528,CHAR(160)," ")),'Catalog'!$C:$C,0)),""))</f>
        <v>4418001</v>
      </c>
      <c r="F528" s="12" t="str">
        <f aca="false">IF($E528="","Unmatched","Matched")</f>
        <v>Matched</v>
      </c>
    </row>
    <row r="529" customFormat="false" ht="15" hidden="false" customHeight="true" outlineLevel="0" collapsed="false">
      <c r="A529" s="12" t="s">
        <v>688</v>
      </c>
      <c r="B529" s="12" t="n">
        <v>2026</v>
      </c>
      <c r="C529" s="12" t="n">
        <v>48</v>
      </c>
      <c r="D529" s="12" t="n">
        <v>1550.9</v>
      </c>
      <c r="E529" s="12" t="n">
        <f aca="false">IFERROR(INDEX('Catalog'!$A:$A,MATCH($A529,'Catalog'!$B:$B,0)),IFERROR(INDEX('Catalog'!$A:$A,MATCH(TRIM(SUBSTITUTE($A529,CHAR(160)," ")),'Catalog'!$C:$C,0)),""))</f>
        <v>4418002</v>
      </c>
      <c r="F529" s="12" t="str">
        <f aca="false">IF($E529="","Unmatched","Matched")</f>
        <v>Matched</v>
      </c>
    </row>
    <row r="530" customFormat="false" ht="15" hidden="false" customHeight="true" outlineLevel="0" collapsed="false">
      <c r="A530" s="12" t="s">
        <v>689</v>
      </c>
      <c r="B530" s="12" t="n">
        <v>2026</v>
      </c>
      <c r="C530" s="12" t="n">
        <v>66</v>
      </c>
      <c r="D530" s="12" t="n">
        <v>2134.8</v>
      </c>
      <c r="E530" s="12" t="n">
        <f aca="false">IFERROR(INDEX('Catalog'!$A:$A,MATCH($A530,'Catalog'!$B:$B,0)),IFERROR(INDEX('Catalog'!$A:$A,MATCH(TRIM(SUBSTITUTE($A530,CHAR(160)," ")),'Catalog'!$C:$C,0)),""))</f>
        <v>4418003</v>
      </c>
      <c r="F530" s="12" t="str">
        <f aca="false">IF($E530="","Unmatched","Matched")</f>
        <v>Matched</v>
      </c>
    </row>
    <row r="531" customFormat="false" ht="15" hidden="false" customHeight="true" outlineLevel="0" collapsed="false">
      <c r="A531" s="12" t="s">
        <v>573</v>
      </c>
      <c r="B531" s="12" t="n">
        <v>2026</v>
      </c>
      <c r="C531" s="12" t="n">
        <v>514</v>
      </c>
      <c r="D531" s="12" t="n">
        <v>6760.2</v>
      </c>
      <c r="E531" s="12" t="n">
        <f aca="false">IFERROR(INDEX('Catalog'!$A:$A,MATCH($A531,'Catalog'!$B:$B,0)),IFERROR(INDEX('Catalog'!$A:$A,MATCH(TRIM(SUBSTITUTE($A531,CHAR(160)," ")),'Catalog'!$C:$C,0)),""))</f>
        <v>4419006</v>
      </c>
      <c r="F531" s="12" t="str">
        <f aca="false">IF($E531="","Unmatched","Matched")</f>
        <v>Matched</v>
      </c>
    </row>
    <row r="532" customFormat="false" ht="15" hidden="false" customHeight="true" outlineLevel="0" collapsed="false">
      <c r="A532" s="12" t="s">
        <v>774</v>
      </c>
      <c r="B532" s="12" t="n">
        <v>2026</v>
      </c>
      <c r="C532" s="12" t="n">
        <v>200</v>
      </c>
      <c r="D532" s="12" t="n">
        <v>2136.1</v>
      </c>
      <c r="E532" s="12" t="n">
        <f aca="false">IFERROR(INDEX('Catalog'!$A:$A,MATCH($A532,'Catalog'!$B:$B,0)),IFERROR(INDEX('Catalog'!$A:$A,MATCH(TRIM(SUBSTITUTE($A532,CHAR(160)," ")),'Catalog'!$C:$C,0)),""))</f>
        <v>4420000</v>
      </c>
      <c r="F532" s="12" t="str">
        <f aca="false">IF($E532="","Unmatched","Matched")</f>
        <v>Matched</v>
      </c>
    </row>
    <row r="533" customFormat="false" ht="15" hidden="false" customHeight="true" outlineLevel="0" collapsed="false">
      <c r="A533" s="12" t="s">
        <v>776</v>
      </c>
      <c r="B533" s="12" t="n">
        <v>2026</v>
      </c>
      <c r="C533" s="12" t="n">
        <v>34</v>
      </c>
      <c r="D533" s="12" t="n">
        <v>363.1</v>
      </c>
      <c r="E533" s="12" t="n">
        <f aca="false">IFERROR(INDEX('Catalog'!$A:$A,MATCH($A533,'Catalog'!$B:$B,0)),IFERROR(INDEX('Catalog'!$A:$A,MATCH(TRIM(SUBSTITUTE($A533,CHAR(160)," ")),'Catalog'!$C:$C,0)),""))</f>
        <v>4420001</v>
      </c>
      <c r="F533" s="12" t="str">
        <f aca="false">IF($E533="","Unmatched","Matched")</f>
        <v>Matched</v>
      </c>
    </row>
    <row r="534" customFormat="false" ht="15" hidden="false" customHeight="true" outlineLevel="0" collapsed="false">
      <c r="A534" s="12" t="s">
        <v>777</v>
      </c>
      <c r="B534" s="12" t="n">
        <v>2026</v>
      </c>
      <c r="C534" s="12" t="n">
        <v>151</v>
      </c>
      <c r="D534" s="12" t="n">
        <v>2047.6</v>
      </c>
      <c r="E534" s="12" t="n">
        <f aca="false">IFERROR(INDEX('Catalog'!$A:$A,MATCH($A534,'Catalog'!$B:$B,0)),IFERROR(INDEX('Catalog'!$A:$A,MATCH(TRIM(SUBSTITUTE($A534,CHAR(160)," ")),'Catalog'!$C:$C,0)),""))</f>
        <v>4420002</v>
      </c>
      <c r="F534" s="12" t="str">
        <f aca="false">IF($E534="","Unmatched","Matched")</f>
        <v>Matched</v>
      </c>
    </row>
    <row r="535" customFormat="false" ht="15" hidden="false" customHeight="true" outlineLevel="0" collapsed="false">
      <c r="A535" s="12" t="s">
        <v>778</v>
      </c>
      <c r="B535" s="12" t="n">
        <v>2026</v>
      </c>
      <c r="C535" s="12" t="n">
        <v>101</v>
      </c>
      <c r="D535" s="12" t="n">
        <v>1347.3</v>
      </c>
      <c r="E535" s="12" t="n">
        <f aca="false">IFERROR(INDEX('Catalog'!$A:$A,MATCH($A535,'Catalog'!$B:$B,0)),IFERROR(INDEX('Catalog'!$A:$A,MATCH(TRIM(SUBSTITUTE($A535,CHAR(160)," ")),'Catalog'!$C:$C,0)),""))</f>
        <v>4420003</v>
      </c>
      <c r="F535" s="12" t="str">
        <f aca="false">IF($E535="","Unmatched","Matched")</f>
        <v>Matched</v>
      </c>
    </row>
    <row r="536" customFormat="false" ht="15" hidden="false" customHeight="true" outlineLevel="0" collapsed="false">
      <c r="A536" s="12" t="s">
        <v>84</v>
      </c>
      <c r="B536" s="12" t="n">
        <v>2026</v>
      </c>
      <c r="C536" s="12" t="n">
        <v>33</v>
      </c>
      <c r="D536" s="12" t="n">
        <v>1600.2</v>
      </c>
      <c r="E536" s="12" t="n">
        <f aca="false">IFERROR(INDEX('Catalog'!$A:$A,MATCH($A536,'Catalog'!$B:$B,0)),IFERROR(INDEX('Catalog'!$A:$A,MATCH(TRIM(SUBSTITUTE($A536,CHAR(160)," ")),'Catalog'!$C:$C,0)),""))</f>
        <v>4420016</v>
      </c>
      <c r="F536" s="12" t="str">
        <f aca="false">IF($E536="","Unmatched","Matched")</f>
        <v>Matched</v>
      </c>
    </row>
    <row r="537" customFormat="false" ht="15" hidden="false" customHeight="true" outlineLevel="0" collapsed="false">
      <c r="A537" s="12" t="s">
        <v>404</v>
      </c>
      <c r="B537" s="12" t="n">
        <v>2026</v>
      </c>
      <c r="C537" s="12" t="n">
        <v>91</v>
      </c>
      <c r="D537" s="12" t="n">
        <v>1968.5</v>
      </c>
      <c r="E537" s="12" t="n">
        <f aca="false">IFERROR(INDEX('Catalog'!$A:$A,MATCH($A537,'Catalog'!$B:$B,0)),IFERROR(INDEX('Catalog'!$A:$A,MATCH(TRIM(SUBSTITUTE($A537,CHAR(160)," ")),'Catalog'!$C:$C,0)),""))</f>
        <v>4420022</v>
      </c>
      <c r="F537" s="12" t="str">
        <f aca="false">IF($E537="","Unmatched","Matched")</f>
        <v>Matched</v>
      </c>
    </row>
    <row r="538" customFormat="false" ht="15" hidden="false" customHeight="true" outlineLevel="0" collapsed="false">
      <c r="A538" s="12" t="s">
        <v>405</v>
      </c>
      <c r="B538" s="12" t="n">
        <v>2026</v>
      </c>
      <c r="C538" s="12" t="n">
        <v>7</v>
      </c>
      <c r="D538" s="12" t="n">
        <v>171.6</v>
      </c>
      <c r="E538" s="12" t="n">
        <f aca="false">IFERROR(INDEX('Catalog'!$A:$A,MATCH($A538,'Catalog'!$B:$B,0)),IFERROR(INDEX('Catalog'!$A:$A,MATCH(TRIM(SUBSTITUTE($A538,CHAR(160)," ")),'Catalog'!$C:$C,0)),""))</f>
        <v>4420023</v>
      </c>
      <c r="F538" s="12" t="str">
        <f aca="false">IF($E538="","Unmatched","Matched")</f>
        <v>Matched</v>
      </c>
    </row>
    <row r="539" customFormat="false" ht="15" hidden="false" customHeight="true" outlineLevel="0" collapsed="false">
      <c r="A539" s="12" t="s">
        <v>411</v>
      </c>
      <c r="B539" s="12" t="n">
        <v>2026</v>
      </c>
      <c r="C539" s="12" t="n">
        <v>18</v>
      </c>
      <c r="D539" s="12" t="n">
        <v>344.5</v>
      </c>
      <c r="E539" s="12" t="n">
        <f aca="false">IFERROR(INDEX('Catalog'!$A:$A,MATCH($A539,'Catalog'!$B:$B,0)),IFERROR(INDEX('Catalog'!$A:$A,MATCH(TRIM(SUBSTITUTE($A539,CHAR(160)," ")),'Catalog'!$C:$C,0)),""))</f>
        <v>4420024</v>
      </c>
      <c r="F539" s="12" t="str">
        <f aca="false">IF($E539="","Unmatched","Matched")</f>
        <v>Matched</v>
      </c>
    </row>
    <row r="540" customFormat="false" ht="15" hidden="false" customHeight="true" outlineLevel="0" collapsed="false">
      <c r="A540" s="12" t="s">
        <v>406</v>
      </c>
      <c r="B540" s="12" t="n">
        <v>2026</v>
      </c>
      <c r="C540" s="12" t="n">
        <v>44</v>
      </c>
      <c r="D540" s="12" t="n">
        <v>940.6</v>
      </c>
      <c r="E540" s="12" t="n">
        <f aca="false">IFERROR(INDEX('Catalog'!$A:$A,MATCH($A540,'Catalog'!$B:$B,0)),IFERROR(INDEX('Catalog'!$A:$A,MATCH(TRIM(SUBSTITUTE($A540,CHAR(160)," ")),'Catalog'!$C:$C,0)),""))</f>
        <v>4420025</v>
      </c>
      <c r="F540" s="12" t="str">
        <f aca="false">IF($E540="","Unmatched","Matched")</f>
        <v>Matched</v>
      </c>
    </row>
    <row r="541" customFormat="false" ht="15" hidden="false" customHeight="true" outlineLevel="0" collapsed="false">
      <c r="A541" s="12" t="s">
        <v>556</v>
      </c>
      <c r="B541" s="12" t="n">
        <v>2026</v>
      </c>
      <c r="C541" s="12" t="n">
        <v>617</v>
      </c>
      <c r="D541" s="12" t="n">
        <v>10390.5</v>
      </c>
      <c r="E541" s="12" t="n">
        <f aca="false">IFERROR(INDEX('Catalog'!$A:$A,MATCH($A541,'Catalog'!$B:$B,0)),IFERROR(INDEX('Catalog'!$A:$A,MATCH(TRIM(SUBSTITUTE($A541,CHAR(160)," ")),'Catalog'!$C:$C,0)),""))</f>
        <v>4421000</v>
      </c>
      <c r="F541" s="12" t="str">
        <f aca="false">IF($E541="","Unmatched","Matched")</f>
        <v>Matched</v>
      </c>
    </row>
    <row r="542" customFormat="false" ht="15" hidden="false" customHeight="true" outlineLevel="0" collapsed="false">
      <c r="A542" s="12" t="s">
        <v>547</v>
      </c>
      <c r="B542" s="12" t="n">
        <v>2026</v>
      </c>
      <c r="C542" s="12" t="n">
        <v>43</v>
      </c>
      <c r="D542" s="12" t="n">
        <v>2408</v>
      </c>
      <c r="E542" s="12" t="n">
        <f aca="false">IFERROR(INDEX('Catalog'!$A:$A,MATCH($A542,'Catalog'!$B:$B,0)),IFERROR(INDEX('Catalog'!$A:$A,MATCH(TRIM(SUBSTITUTE($A542,CHAR(160)," ")),'Catalog'!$C:$C,0)),""))</f>
        <v>4421001</v>
      </c>
      <c r="F542" s="12" t="str">
        <f aca="false">IF($E542="","Unmatched","Matched")</f>
        <v>Matched</v>
      </c>
    </row>
    <row r="543" customFormat="false" ht="15" hidden="false" customHeight="true" outlineLevel="0" collapsed="false">
      <c r="A543" s="12" t="s">
        <v>838</v>
      </c>
      <c r="B543" s="12" t="n">
        <v>2026</v>
      </c>
      <c r="C543" s="12" t="n">
        <v>87</v>
      </c>
      <c r="D543" s="12" t="n">
        <v>1525</v>
      </c>
      <c r="E543" s="12" t="n">
        <f aca="false">IFERROR(INDEX('Catalog'!$A:$A,MATCH($A543,'Catalog'!$B:$B,0)),IFERROR(INDEX('Catalog'!$A:$A,MATCH(TRIM(SUBSTITUTE($A543,CHAR(160)," ")),'Catalog'!$C:$C,0)),""))</f>
        <v>4422000</v>
      </c>
      <c r="F543" s="12" t="str">
        <f aca="false">IF($E543="","Unmatched","Matched")</f>
        <v>Matched</v>
      </c>
    </row>
    <row r="544" customFormat="false" ht="15" hidden="false" customHeight="true" outlineLevel="0" collapsed="false">
      <c r="A544" s="12" t="s">
        <v>399</v>
      </c>
      <c r="B544" s="12" t="n">
        <v>2026</v>
      </c>
      <c r="C544" s="12" t="n">
        <v>2</v>
      </c>
      <c r="D544" s="12" t="n">
        <v>374.6</v>
      </c>
      <c r="E544" s="12" t="n">
        <f aca="false">IFERROR(INDEX('Catalog'!$A:$A,MATCH($A544,'Catalog'!$B:$B,0)),IFERROR(INDEX('Catalog'!$A:$A,MATCH(TRIM(SUBSTITUTE($A544,CHAR(160)," ")),'Catalog'!$C:$C,0)),""))</f>
        <v>4422005</v>
      </c>
      <c r="F544" s="12" t="str">
        <f aca="false">IF($E544="","Unmatched","Matched")</f>
        <v>Matched</v>
      </c>
    </row>
    <row r="545" customFormat="false" ht="15" hidden="false" customHeight="true" outlineLevel="0" collapsed="false">
      <c r="A545" s="12" t="s">
        <v>398</v>
      </c>
      <c r="B545" s="12" t="n">
        <v>2026</v>
      </c>
      <c r="C545" s="12" t="n">
        <v>2</v>
      </c>
      <c r="D545" s="12" t="n">
        <v>374.6</v>
      </c>
      <c r="E545" s="12" t="n">
        <f aca="false">IFERROR(INDEX('Catalog'!$A:$A,MATCH($A545,'Catalog'!$B:$B,0)),IFERROR(INDEX('Catalog'!$A:$A,MATCH(TRIM(SUBSTITUTE($A545,CHAR(160)," ")),'Catalog'!$C:$C,0)),""))</f>
        <v>4422006</v>
      </c>
      <c r="F545" s="12" t="str">
        <f aca="false">IF($E545="","Unmatched","Matched")</f>
        <v>Matched</v>
      </c>
    </row>
    <row r="546" customFormat="false" ht="15" hidden="false" customHeight="true" outlineLevel="0" collapsed="false">
      <c r="A546" s="12" t="s">
        <v>620</v>
      </c>
      <c r="B546" s="12" t="n">
        <v>2026</v>
      </c>
      <c r="C546" s="12" t="n">
        <v>331</v>
      </c>
      <c r="D546" s="12" t="n">
        <v>24083.6</v>
      </c>
      <c r="E546" s="12" t="n">
        <f aca="false">IFERROR(INDEX('Catalog'!$A:$A,MATCH($A546,'Catalog'!$B:$B,0)),IFERROR(INDEX('Catalog'!$A:$A,MATCH(TRIM(SUBSTITUTE($A546,CHAR(160)," ")),'Catalog'!$C:$C,0)),""))</f>
        <v>4415158</v>
      </c>
      <c r="F546" s="12" t="str">
        <f aca="false">IF($E546="","Unmatched","Matched")</f>
        <v>Matched</v>
      </c>
    </row>
    <row r="547" customFormat="false" ht="15" hidden="false" customHeight="true" outlineLevel="0" collapsed="false">
      <c r="A547" s="12" t="s">
        <v>631</v>
      </c>
      <c r="B547" s="12" t="n">
        <v>2026</v>
      </c>
      <c r="C547" s="12" t="n">
        <v>30</v>
      </c>
      <c r="D547" s="12" t="n">
        <v>3307.6</v>
      </c>
      <c r="E547" s="12" t="n">
        <f aca="false">IFERROR(INDEX('Catalog'!$A:$A,MATCH($A547,'Catalog'!$B:$B,0)),IFERROR(INDEX('Catalog'!$A:$A,MATCH(TRIM(SUBSTITUTE($A547,CHAR(160)," ")),'Catalog'!$C:$C,0)),""))</f>
        <v>4415159</v>
      </c>
      <c r="F547" s="12" t="str">
        <f aca="false">IF($E547="","Unmatched","Matched")</f>
        <v>Matched</v>
      </c>
    </row>
    <row r="548" customFormat="false" ht="15" hidden="false" customHeight="true" outlineLevel="0" collapsed="false">
      <c r="A548" s="12" t="s">
        <v>207</v>
      </c>
      <c r="B548" s="12" t="n">
        <v>2026</v>
      </c>
      <c r="C548" s="12" t="n">
        <v>-2</v>
      </c>
      <c r="D548" s="12" t="n">
        <v>-113.7</v>
      </c>
      <c r="E548" s="12" t="n">
        <f aca="false">IFERROR(INDEX('Catalog'!$A:$A,MATCH($A548,'Catalog'!$B:$B,0)),IFERROR(INDEX('Catalog'!$A:$A,MATCH(TRIM(SUBSTITUTE($A548,CHAR(160)," ")),'Catalog'!$C:$C,0)),""))</f>
        <v>4403028</v>
      </c>
      <c r="F548" s="12" t="str">
        <f aca="false">IF($E548="","Unmatched","Matched")</f>
        <v>Matched</v>
      </c>
    </row>
    <row r="549" customFormat="false" ht="15" hidden="false" customHeight="true" outlineLevel="0" collapsed="false">
      <c r="A549" s="12" t="s">
        <v>208</v>
      </c>
      <c r="B549" s="12" t="n">
        <v>2026</v>
      </c>
      <c r="C549" s="12" t="n">
        <v>5</v>
      </c>
      <c r="D549" s="12" t="n">
        <v>284.1</v>
      </c>
      <c r="E549" s="12" t="n">
        <f aca="false">IFERROR(INDEX('Catalog'!$A:$A,MATCH($A549,'Catalog'!$B:$B,0)),IFERROR(INDEX('Catalog'!$A:$A,MATCH(TRIM(SUBSTITUTE($A549,CHAR(160)," ")),'Catalog'!$C:$C,0)),""))</f>
        <v>4403029</v>
      </c>
      <c r="F549" s="12" t="str">
        <f aca="false">IF($E549="","Unmatched","Matched")</f>
        <v>Matched</v>
      </c>
    </row>
    <row r="550" customFormat="false" ht="15" hidden="false" customHeight="true" outlineLevel="0" collapsed="false">
      <c r="A550" s="12" t="s">
        <v>209</v>
      </c>
      <c r="B550" s="12" t="n">
        <v>2026</v>
      </c>
      <c r="C550" s="12" t="n">
        <v>-2</v>
      </c>
      <c r="D550" s="12" t="n">
        <v>-113.7</v>
      </c>
      <c r="E550" s="12" t="n">
        <f aca="false">IFERROR(INDEX('Catalog'!$A:$A,MATCH($A550,'Catalog'!$B:$B,0)),IFERROR(INDEX('Catalog'!$A:$A,MATCH(TRIM(SUBSTITUTE($A550,CHAR(160)," ")),'Catalog'!$C:$C,0)),""))</f>
        <v>4403030</v>
      </c>
      <c r="F550" s="12" t="str">
        <f aca="false">IF($E550="","Unmatched","Matched")</f>
        <v>Matched</v>
      </c>
    </row>
    <row r="551" customFormat="false" ht="15" hidden="false" customHeight="true" outlineLevel="0" collapsed="false">
      <c r="A551" s="12" t="s">
        <v>237</v>
      </c>
      <c r="B551" s="12" t="n">
        <v>2026</v>
      </c>
      <c r="C551" s="12" t="n">
        <v>27</v>
      </c>
      <c r="D551" s="12" t="n">
        <v>2679.2</v>
      </c>
      <c r="E551" s="12" t="n">
        <f aca="false">IFERROR(INDEX('Catalog'!$A:$A,MATCH($A551,'Catalog'!$B:$B,0)),IFERROR(INDEX('Catalog'!$A:$A,MATCH(TRIM(SUBSTITUTE($A551,CHAR(160)," ")),'Catalog'!$C:$C,0)),""))</f>
        <v>4408219</v>
      </c>
      <c r="F551" s="12" t="str">
        <f aca="false">IF($E551="","Unmatched","Matched")</f>
        <v>Matched</v>
      </c>
    </row>
    <row r="552" customFormat="false" ht="15" hidden="false" customHeight="true" outlineLevel="0" collapsed="false">
      <c r="A552" s="12" t="s">
        <v>236</v>
      </c>
      <c r="B552" s="12" t="n">
        <v>2026</v>
      </c>
      <c r="C552" s="12" t="n">
        <v>59</v>
      </c>
      <c r="D552" s="12" t="n">
        <v>5854.6</v>
      </c>
      <c r="E552" s="12" t="n">
        <f aca="false">IFERROR(INDEX('Catalog'!$A:$A,MATCH($A552,'Catalog'!$B:$B,0)),IFERROR(INDEX('Catalog'!$A:$A,MATCH(TRIM(SUBSTITUTE($A552,CHAR(160)," ")),'Catalog'!$C:$C,0)),""))</f>
        <v>4408220</v>
      </c>
      <c r="F552" s="12" t="str">
        <f aca="false">IF($E552="","Unmatched","Matched")</f>
        <v>Matched</v>
      </c>
    </row>
    <row r="553" customFormat="false" ht="15" hidden="false" customHeight="true" outlineLevel="0" collapsed="false">
      <c r="A553" s="12" t="s">
        <v>235</v>
      </c>
      <c r="B553" s="12" t="n">
        <v>2026</v>
      </c>
      <c r="C553" s="12" t="n">
        <v>146</v>
      </c>
      <c r="D553" s="12" t="n">
        <v>14487.6</v>
      </c>
      <c r="E553" s="12" t="n">
        <f aca="false">IFERROR(INDEX('Catalog'!$A:$A,MATCH($A553,'Catalog'!$B:$B,0)),IFERROR(INDEX('Catalog'!$A:$A,MATCH(TRIM(SUBSTITUTE($A553,CHAR(160)," ")),'Catalog'!$C:$C,0)),""))</f>
        <v>4408221</v>
      </c>
      <c r="F553" s="12" t="str">
        <f aca="false">IF($E553="","Unmatched","Matched")</f>
        <v>Matched</v>
      </c>
    </row>
    <row r="554" customFormat="false" ht="15" hidden="false" customHeight="true" outlineLevel="0" collapsed="false">
      <c r="A554" s="12" t="s">
        <v>238</v>
      </c>
      <c r="B554" s="12" t="n">
        <v>2026</v>
      </c>
      <c r="C554" s="12" t="n">
        <v>110</v>
      </c>
      <c r="D554" s="12" t="n">
        <v>10915.3</v>
      </c>
      <c r="E554" s="12" t="n">
        <f aca="false">IFERROR(INDEX('Catalog'!$A:$A,MATCH($A554,'Catalog'!$B:$B,0)),IFERROR(INDEX('Catalog'!$A:$A,MATCH(TRIM(SUBSTITUTE($A554,CHAR(160)," ")),'Catalog'!$C:$C,0)),""))</f>
        <v>4408222</v>
      </c>
      <c r="F554" s="12" t="str">
        <f aca="false">IF($E554="","Unmatched","Matched")</f>
        <v>Matched</v>
      </c>
    </row>
    <row r="555" customFormat="false" ht="15" hidden="false" customHeight="true" outlineLevel="0" collapsed="false">
      <c r="A555" s="12" t="s">
        <v>239</v>
      </c>
      <c r="B555" s="12" t="n">
        <v>2026</v>
      </c>
      <c r="C555" s="12" t="n">
        <v>46</v>
      </c>
      <c r="D555" s="12" t="n">
        <v>4564.6</v>
      </c>
      <c r="E555" s="12" t="n">
        <f aca="false">IFERROR(INDEX('Catalog'!$A:$A,MATCH($A555,'Catalog'!$B:$B,0)),IFERROR(INDEX('Catalog'!$A:$A,MATCH(TRIM(SUBSTITUTE($A555,CHAR(160)," ")),'Catalog'!$C:$C,0)),""))</f>
        <v>4408223</v>
      </c>
      <c r="F555" s="12" t="str">
        <f aca="false">IF($E555="","Unmatched","Matched")</f>
        <v>Matched</v>
      </c>
    </row>
    <row r="556" customFormat="false" ht="15" hidden="false" customHeight="true" outlineLevel="0" collapsed="false">
      <c r="A556" s="12" t="s">
        <v>307</v>
      </c>
      <c r="B556" s="12" t="n">
        <v>2026</v>
      </c>
      <c r="C556" s="12" t="n">
        <v>10</v>
      </c>
      <c r="D556" s="12" t="n">
        <v>1089.3</v>
      </c>
      <c r="E556" s="12" t="n">
        <f aca="false">IFERROR(INDEX('Catalog'!$A:$A,MATCH($A556,'Catalog'!$B:$B,0)),IFERROR(INDEX('Catalog'!$A:$A,MATCH(TRIM(SUBSTITUTE($A556,CHAR(160)," ")),'Catalog'!$C:$C,0)),""))</f>
        <v>4408230</v>
      </c>
      <c r="F556" s="12" t="str">
        <f aca="false">IF($E556="","Unmatched","Matched")</f>
        <v>Matched</v>
      </c>
    </row>
    <row r="557" customFormat="false" ht="15" hidden="false" customHeight="true" outlineLevel="0" collapsed="false">
      <c r="A557" s="12" t="s">
        <v>308</v>
      </c>
      <c r="B557" s="12" t="n">
        <v>2026</v>
      </c>
      <c r="C557" s="12" t="n">
        <v>10</v>
      </c>
      <c r="D557" s="12" t="n">
        <v>1089.3</v>
      </c>
      <c r="E557" s="12" t="n">
        <f aca="false">IFERROR(INDEX('Catalog'!$A:$A,MATCH($A557,'Catalog'!$B:$B,0)),IFERROR(INDEX('Catalog'!$A:$A,MATCH(TRIM(SUBSTITUTE($A557,CHAR(160)," ")),'Catalog'!$C:$C,0)),""))</f>
        <v>4408231</v>
      </c>
      <c r="F557" s="12" t="str">
        <f aca="false">IF($E557="","Unmatched","Matched")</f>
        <v>Matched</v>
      </c>
    </row>
    <row r="558" customFormat="false" ht="15" hidden="false" customHeight="true" outlineLevel="0" collapsed="false">
      <c r="A558" s="12" t="s">
        <v>231</v>
      </c>
      <c r="B558" s="12" t="n">
        <v>2026</v>
      </c>
      <c r="C558" s="12" t="n">
        <v>-1</v>
      </c>
      <c r="D558" s="12" t="n">
        <v>-99.2</v>
      </c>
      <c r="E558" s="12" t="n">
        <f aca="false">IFERROR(INDEX('Catalog'!$A:$A,MATCH($A558,'Catalog'!$B:$B,0)),IFERROR(INDEX('Catalog'!$A:$A,MATCH(TRIM(SUBSTITUTE($A558,CHAR(160)," ")),'Catalog'!$C:$C,0)),""))</f>
        <v>4408234</v>
      </c>
      <c r="F558" s="12" t="str">
        <f aca="false">IF($E558="","Unmatched","Matched")</f>
        <v>Matched</v>
      </c>
    </row>
    <row r="559" customFormat="false" ht="15" hidden="false" customHeight="true" outlineLevel="0" collapsed="false">
      <c r="A559" s="12" t="s">
        <v>232</v>
      </c>
      <c r="B559" s="12" t="n">
        <v>2026</v>
      </c>
      <c r="C559" s="12" t="n">
        <v>-3</v>
      </c>
      <c r="D559" s="12" t="n">
        <v>-297.7</v>
      </c>
      <c r="E559" s="12" t="n">
        <f aca="false">IFERROR(INDEX('Catalog'!$A:$A,MATCH($A559,'Catalog'!$B:$B,0)),IFERROR(INDEX('Catalog'!$A:$A,MATCH(TRIM(SUBSTITUTE($A559,CHAR(160)," ")),'Catalog'!$C:$C,0)),""))</f>
        <v>4408235</v>
      </c>
      <c r="F559" s="12" t="str">
        <f aca="false">IF($E559="","Unmatched","Matched")</f>
        <v>Matched</v>
      </c>
    </row>
    <row r="560" customFormat="false" ht="15" hidden="false" customHeight="true" outlineLevel="0" collapsed="false">
      <c r="A560" s="12" t="s">
        <v>233</v>
      </c>
      <c r="B560" s="12" t="n">
        <v>2026</v>
      </c>
      <c r="C560" s="12" t="n">
        <v>-1</v>
      </c>
      <c r="D560" s="12" t="n">
        <v>-99.2</v>
      </c>
      <c r="E560" s="12" t="n">
        <f aca="false">IFERROR(INDEX('Catalog'!$A:$A,MATCH($A560,'Catalog'!$B:$B,0)),IFERROR(INDEX('Catalog'!$A:$A,MATCH(TRIM(SUBSTITUTE($A560,CHAR(160)," ")),'Catalog'!$C:$C,0)),""))</f>
        <v>4408236</v>
      </c>
      <c r="F560" s="12" t="str">
        <f aca="false">IF($E560="","Unmatched","Matched")</f>
        <v>Matched</v>
      </c>
    </row>
    <row r="561" customFormat="false" ht="15" hidden="false" customHeight="true" outlineLevel="0" collapsed="false">
      <c r="A561" s="12" t="s">
        <v>343</v>
      </c>
      <c r="B561" s="12" t="n">
        <v>2026</v>
      </c>
      <c r="C561" s="12" t="n">
        <v>189</v>
      </c>
      <c r="D561" s="12" t="n">
        <v>2910.6</v>
      </c>
      <c r="E561" s="12" t="n">
        <f aca="false">IFERROR(INDEX('Catalog'!$A:$A,MATCH($A561,'Catalog'!$B:$B,0)),IFERROR(INDEX('Catalog'!$A:$A,MATCH(TRIM(SUBSTITUTE($A561,CHAR(160)," ")),'Catalog'!$C:$C,0)),""))</f>
        <v>4409011</v>
      </c>
      <c r="F561" s="12" t="str">
        <f aca="false">IF($E561="","Unmatched","Matched")</f>
        <v>Matched</v>
      </c>
    </row>
    <row r="562" customFormat="false" ht="15" hidden="false" customHeight="true" outlineLevel="0" collapsed="false">
      <c r="A562" s="12" t="s">
        <v>344</v>
      </c>
      <c r="B562" s="12" t="n">
        <v>2026</v>
      </c>
      <c r="C562" s="12" t="n">
        <v>168</v>
      </c>
      <c r="D562" s="12" t="n">
        <v>2587.2</v>
      </c>
      <c r="E562" s="12" t="n">
        <f aca="false">IFERROR(INDEX('Catalog'!$A:$A,MATCH($A562,'Catalog'!$B:$B,0)),IFERROR(INDEX('Catalog'!$A:$A,MATCH(TRIM(SUBSTITUTE($A562,CHAR(160)," ")),'Catalog'!$C:$C,0)),""))</f>
        <v>4409013</v>
      </c>
      <c r="F562" s="12" t="str">
        <f aca="false">IF($E562="","Unmatched","Matched")</f>
        <v>Matched</v>
      </c>
    </row>
    <row r="563" customFormat="false" ht="15" hidden="false" customHeight="true" outlineLevel="0" collapsed="false">
      <c r="A563" s="12" t="s">
        <v>354</v>
      </c>
      <c r="B563" s="12" t="n">
        <v>2026</v>
      </c>
      <c r="C563" s="12" t="n">
        <v>173</v>
      </c>
      <c r="D563" s="12" t="n">
        <v>7625.8</v>
      </c>
      <c r="E563" s="12" t="n">
        <f aca="false">IFERROR(INDEX('Catalog'!$A:$A,MATCH($A563,'Catalog'!$B:$B,0)),IFERROR(INDEX('Catalog'!$A:$A,MATCH(TRIM(SUBSTITUTE($A563,CHAR(160)," ")),'Catalog'!$C:$C,0)),""))</f>
        <v>4409014</v>
      </c>
      <c r="F563" s="12" t="str">
        <f aca="false">IF($E563="","Unmatched","Matched")</f>
        <v>Matched</v>
      </c>
    </row>
    <row r="564" customFormat="false" ht="15" hidden="false" customHeight="true" outlineLevel="0" collapsed="false">
      <c r="A564" s="12" t="s">
        <v>351</v>
      </c>
      <c r="B564" s="12" t="n">
        <v>2026</v>
      </c>
      <c r="C564" s="12" t="n">
        <v>-1</v>
      </c>
      <c r="D564" s="12" t="n">
        <v>-44.1</v>
      </c>
      <c r="E564" s="12" t="n">
        <f aca="false">IFERROR(INDEX('Catalog'!$A:$A,MATCH($A564,'Catalog'!$B:$B,0)),IFERROR(INDEX('Catalog'!$A:$A,MATCH(TRIM(SUBSTITUTE($A564,CHAR(160)," ")),'Catalog'!$C:$C,0)),""))</f>
        <v>4409017</v>
      </c>
      <c r="F564" s="12" t="str">
        <f aca="false">IF($E564="","Unmatched","Matched")</f>
        <v>Matched</v>
      </c>
    </row>
    <row r="565" customFormat="false" ht="15" hidden="false" customHeight="true" outlineLevel="0" collapsed="false">
      <c r="A565" s="12" t="s">
        <v>536</v>
      </c>
      <c r="B565" s="12" t="n">
        <v>2026</v>
      </c>
      <c r="C565" s="12" t="n">
        <v>61</v>
      </c>
      <c r="D565" s="12" t="n">
        <v>5334.5</v>
      </c>
      <c r="E565" s="12" t="n">
        <f aca="false">IFERROR(INDEX('Catalog'!$A:$A,MATCH($A565,'Catalog'!$B:$B,0)),IFERROR(INDEX('Catalog'!$A:$A,MATCH(TRIM(SUBSTITUTE($A565,CHAR(160)," ")),'Catalog'!$C:$C,0)),""))</f>
        <v>4411016</v>
      </c>
      <c r="F565" s="12" t="str">
        <f aca="false">IF($E565="","Unmatched","Matched")</f>
        <v>Matched</v>
      </c>
    </row>
    <row r="566" customFormat="false" ht="15" hidden="false" customHeight="true" outlineLevel="0" collapsed="false">
      <c r="A566" s="12" t="s">
        <v>415</v>
      </c>
      <c r="B566" s="12" t="n">
        <v>2026</v>
      </c>
      <c r="C566" s="12" t="n">
        <v>142</v>
      </c>
      <c r="D566" s="12" t="n">
        <v>9319.4</v>
      </c>
      <c r="E566" s="12" t="n">
        <f aca="false">IFERROR(INDEX('Catalog'!$A:$A,MATCH($A566,'Catalog'!$B:$B,0)),IFERROR(INDEX('Catalog'!$A:$A,MATCH(TRIM(SUBSTITUTE($A566,CHAR(160)," ")),'Catalog'!$C:$C,0)),""))</f>
        <v>4413348</v>
      </c>
      <c r="F566" s="12" t="str">
        <f aca="false">IF($E566="","Unmatched","Matched")</f>
        <v>Matched</v>
      </c>
    </row>
    <row r="567" customFormat="false" ht="15" hidden="false" customHeight="true" outlineLevel="0" collapsed="false">
      <c r="A567" s="12" t="s">
        <v>494</v>
      </c>
      <c r="B567" s="12" t="n">
        <v>2026</v>
      </c>
      <c r="C567" s="12" t="n">
        <v>127</v>
      </c>
      <c r="D567" s="12" t="n">
        <v>3527.6</v>
      </c>
      <c r="E567" s="12" t="n">
        <f aca="false">IFERROR(INDEX('Catalog'!$A:$A,MATCH($A567,'Catalog'!$B:$B,0)),IFERROR(INDEX('Catalog'!$A:$A,MATCH(TRIM(SUBSTITUTE($A567,CHAR(160)," ")),'Catalog'!$C:$C,0)),""))</f>
        <v>4413364</v>
      </c>
      <c r="F567" s="12" t="str">
        <f aca="false">IF($E567="","Unmatched","Matched")</f>
        <v>Matched</v>
      </c>
    </row>
    <row r="568" customFormat="false" ht="15" hidden="false" customHeight="true" outlineLevel="0" collapsed="false">
      <c r="A568" s="12" t="s">
        <v>493</v>
      </c>
      <c r="B568" s="12" t="n">
        <v>2026</v>
      </c>
      <c r="C568" s="12" t="n">
        <v>76</v>
      </c>
      <c r="D568" s="12" t="n">
        <v>2111.7</v>
      </c>
      <c r="E568" s="12" t="n">
        <f aca="false">IFERROR(INDEX('Catalog'!$A:$A,MATCH($A568,'Catalog'!$B:$B,0)),IFERROR(INDEX('Catalog'!$A:$A,MATCH(TRIM(SUBSTITUTE($A568,CHAR(160)," ")),'Catalog'!$C:$C,0)),""))</f>
        <v>4413365</v>
      </c>
      <c r="F568" s="12" t="str">
        <f aca="false">IF($E568="","Unmatched","Matched")</f>
        <v>Matched</v>
      </c>
    </row>
    <row r="569" customFormat="false" ht="15" hidden="false" customHeight="true" outlineLevel="0" collapsed="false">
      <c r="A569" s="12" t="s">
        <v>495</v>
      </c>
      <c r="B569" s="12" t="n">
        <v>2026</v>
      </c>
      <c r="C569" s="12" t="n">
        <v>88</v>
      </c>
      <c r="D569" s="12" t="n">
        <v>2444.9</v>
      </c>
      <c r="E569" s="12" t="n">
        <f aca="false">IFERROR(INDEX('Catalog'!$A:$A,MATCH($A569,'Catalog'!$B:$B,0)),IFERROR(INDEX('Catalog'!$A:$A,MATCH(TRIM(SUBSTITUTE($A569,CHAR(160)," ")),'Catalog'!$C:$C,0)),""))</f>
        <v>4413366</v>
      </c>
      <c r="F569" s="12" t="str">
        <f aca="false">IF($E569="","Unmatched","Matched")</f>
        <v>Matched</v>
      </c>
    </row>
    <row r="570" customFormat="false" ht="15" hidden="false" customHeight="true" outlineLevel="0" collapsed="false">
      <c r="A570" s="12" t="s">
        <v>496</v>
      </c>
      <c r="B570" s="12" t="n">
        <v>2026</v>
      </c>
      <c r="C570" s="12" t="n">
        <v>43</v>
      </c>
      <c r="D570" s="12" t="n">
        <v>1193.7</v>
      </c>
      <c r="E570" s="12" t="n">
        <f aca="false">IFERROR(INDEX('Catalog'!$A:$A,MATCH($A570,'Catalog'!$B:$B,0)),IFERROR(INDEX('Catalog'!$A:$A,MATCH(TRIM(SUBSTITUTE($A570,CHAR(160)," ")),'Catalog'!$C:$C,0)),""))</f>
        <v>4413367</v>
      </c>
      <c r="F570" s="12" t="str">
        <f aca="false">IF($E570="","Unmatched","Matched")</f>
        <v>Matched</v>
      </c>
    </row>
    <row r="571" customFormat="false" ht="15" hidden="false" customHeight="true" outlineLevel="0" collapsed="false">
      <c r="A571" s="12" t="s">
        <v>497</v>
      </c>
      <c r="B571" s="12" t="n">
        <v>2026</v>
      </c>
      <c r="C571" s="12" t="n">
        <v>44</v>
      </c>
      <c r="D571" s="12" t="n">
        <v>1221.5</v>
      </c>
      <c r="E571" s="12" t="n">
        <f aca="false">IFERROR(INDEX('Catalog'!$A:$A,MATCH($A571,'Catalog'!$B:$B,0)),IFERROR(INDEX('Catalog'!$A:$A,MATCH(TRIM(SUBSTITUTE($A571,CHAR(160)," ")),'Catalog'!$C:$C,0)),""))</f>
        <v>4413368</v>
      </c>
      <c r="F571" s="12" t="str">
        <f aca="false">IF($E571="","Unmatched","Matched")</f>
        <v>Matched</v>
      </c>
    </row>
    <row r="572" customFormat="false" ht="15" hidden="false" customHeight="true" outlineLevel="0" collapsed="false">
      <c r="A572" s="12" t="s">
        <v>560</v>
      </c>
      <c r="B572" s="12" t="n">
        <v>2026</v>
      </c>
      <c r="C572" s="12" t="n">
        <v>70</v>
      </c>
      <c r="D572" s="12" t="n">
        <v>2618</v>
      </c>
      <c r="E572" s="12" t="n">
        <f aca="false">IFERROR(INDEX('Catalog'!$A:$A,MATCH($A572,'Catalog'!$B:$B,0)),IFERROR(INDEX('Catalog'!$A:$A,MATCH(TRIM(SUBSTITUTE($A572,CHAR(160)," ")),'Catalog'!$C:$C,0)),""))</f>
        <v>4413370</v>
      </c>
      <c r="F572" s="12" t="str">
        <f aca="false">IF($E572="","Unmatched","Matched")</f>
        <v>Matched</v>
      </c>
    </row>
    <row r="573" customFormat="false" ht="15" hidden="false" customHeight="true" outlineLevel="0" collapsed="false">
      <c r="A573" s="12" t="s">
        <v>561</v>
      </c>
      <c r="B573" s="12" t="n">
        <v>2026</v>
      </c>
      <c r="C573" s="12" t="n">
        <v>32</v>
      </c>
      <c r="D573" s="12" t="n">
        <v>880.7</v>
      </c>
      <c r="E573" s="12" t="n">
        <f aca="false">IFERROR(INDEX('Catalog'!$A:$A,MATCH($A573,'Catalog'!$B:$B,0)),IFERROR(INDEX('Catalog'!$A:$A,MATCH(TRIM(SUBSTITUTE($A573,CHAR(160)," ")),'Catalog'!$C:$C,0)),""))</f>
        <v>4413371</v>
      </c>
      <c r="F573" s="12" t="str">
        <f aca="false">IF($E573="","Unmatched","Matched")</f>
        <v>Matched</v>
      </c>
    </row>
    <row r="574" customFormat="false" ht="15" hidden="false" customHeight="true" outlineLevel="0" collapsed="false">
      <c r="A574" s="12" t="s">
        <v>414</v>
      </c>
      <c r="B574" s="12" t="n">
        <v>2026</v>
      </c>
      <c r="C574" s="12" t="n">
        <v>82</v>
      </c>
      <c r="D574" s="12" t="n">
        <v>5323.1</v>
      </c>
      <c r="E574" s="12" t="n">
        <f aca="false">IFERROR(INDEX('Catalog'!$A:$A,MATCH($A574,'Catalog'!$B:$B,0)),IFERROR(INDEX('Catalog'!$A:$A,MATCH(TRIM(SUBSTITUTE($A574,CHAR(160)," ")),'Catalog'!$C:$C,0)),""))</f>
        <v>4413372</v>
      </c>
      <c r="F574" s="12" t="str">
        <f aca="false">IF($E574="","Unmatched","Matched")</f>
        <v>Matched</v>
      </c>
    </row>
    <row r="575" customFormat="false" ht="15" hidden="false" customHeight="true" outlineLevel="0" collapsed="false">
      <c r="A575" s="12" t="s">
        <v>607</v>
      </c>
      <c r="B575" s="12" t="n">
        <v>2026</v>
      </c>
      <c r="C575" s="12" t="n">
        <v>373</v>
      </c>
      <c r="D575" s="12" t="n">
        <v>5744.2</v>
      </c>
      <c r="E575" s="12" t="n">
        <f aca="false">IFERROR(INDEX('Catalog'!$A:$A,MATCH($A575,'Catalog'!$B:$B,0)),IFERROR(INDEX('Catalog'!$A:$A,MATCH(TRIM(SUBSTITUTE($A575,CHAR(160)," ")),'Catalog'!$C:$C,0)),""))</f>
        <v>4415160</v>
      </c>
      <c r="F575" s="12" t="str">
        <f aca="false">IF($E575="","Unmatched","Matched")</f>
        <v>Matched</v>
      </c>
    </row>
    <row r="576" customFormat="false" ht="15" hidden="false" customHeight="true" outlineLevel="0" collapsed="false">
      <c r="A576" s="12" t="s">
        <v>606</v>
      </c>
      <c r="B576" s="12" t="n">
        <v>2026</v>
      </c>
      <c r="C576" s="12" t="n">
        <v>533</v>
      </c>
      <c r="D576" s="12" t="n">
        <v>8208.2</v>
      </c>
      <c r="E576" s="12" t="n">
        <f aca="false">IFERROR(INDEX('Catalog'!$A:$A,MATCH($A576,'Catalog'!$B:$B,0)),IFERROR(INDEX('Catalog'!$A:$A,MATCH(TRIM(SUBSTITUTE($A576,CHAR(160)," ")),'Catalog'!$C:$C,0)),""))</f>
        <v>4415161</v>
      </c>
      <c r="F576" s="12" t="str">
        <f aca="false">IF($E576="","Unmatched","Matched")</f>
        <v>Matched</v>
      </c>
    </row>
    <row r="577" customFormat="false" ht="15" hidden="false" customHeight="true" outlineLevel="0" collapsed="false">
      <c r="A577" s="12" t="s">
        <v>605</v>
      </c>
      <c r="B577" s="12" t="n">
        <v>2026</v>
      </c>
      <c r="C577" s="12" t="n">
        <v>470</v>
      </c>
      <c r="D577" s="12" t="n">
        <v>7238</v>
      </c>
      <c r="E577" s="12" t="n">
        <f aca="false">IFERROR(INDEX('Catalog'!$A:$A,MATCH($A577,'Catalog'!$B:$B,0)),IFERROR(INDEX('Catalog'!$A:$A,MATCH(TRIM(SUBSTITUTE($A577,CHAR(160)," ")),'Catalog'!$C:$C,0)),""))</f>
        <v>4415162</v>
      </c>
      <c r="F577" s="12" t="str">
        <f aca="false">IF($E577="","Unmatched","Matched")</f>
        <v>Matched</v>
      </c>
    </row>
    <row r="578" customFormat="false" ht="15" hidden="false" customHeight="true" outlineLevel="0" collapsed="false">
      <c r="A578" s="12" t="s">
        <v>608</v>
      </c>
      <c r="B578" s="12" t="n">
        <v>2026</v>
      </c>
      <c r="C578" s="12" t="n">
        <v>215</v>
      </c>
      <c r="D578" s="12" t="n">
        <v>3311</v>
      </c>
      <c r="E578" s="12" t="n">
        <f aca="false">IFERROR(INDEX('Catalog'!$A:$A,MATCH($A578,'Catalog'!$B:$B,0)),IFERROR(INDEX('Catalog'!$A:$A,MATCH(TRIM(SUBSTITUTE($A578,CHAR(160)," ")),'Catalog'!$C:$C,0)),""))</f>
        <v>4415163</v>
      </c>
      <c r="F578" s="12" t="str">
        <f aca="false">IF($E578="","Unmatched","Matched")</f>
        <v>Matched</v>
      </c>
    </row>
    <row r="579" customFormat="false" ht="15" hidden="false" customHeight="true" outlineLevel="0" collapsed="false">
      <c r="A579" s="12" t="s">
        <v>559</v>
      </c>
      <c r="B579" s="12" t="n">
        <v>2026</v>
      </c>
      <c r="C579" s="12" t="n">
        <v>30</v>
      </c>
      <c r="D579" s="12" t="n">
        <v>877.1</v>
      </c>
      <c r="E579" s="12" t="n">
        <f aca="false">IFERROR(INDEX('Catalog'!$A:$A,MATCH($A579,'Catalog'!$B:$B,0)),IFERROR(INDEX('Catalog'!$A:$A,MATCH(TRIM(SUBSTITUTE($A579,CHAR(160)," ")),'Catalog'!$C:$C,0)),""))</f>
        <v>4421003</v>
      </c>
      <c r="F579" s="12" t="str">
        <f aca="false">IF($E579="","Unmatched","Matched")</f>
        <v>Matched</v>
      </c>
    </row>
    <row r="580" customFormat="false" ht="15" hidden="false" customHeight="true" outlineLevel="0" collapsed="false">
      <c r="A580" s="12" t="s">
        <v>839</v>
      </c>
      <c r="B580" s="12" t="n">
        <v>2026</v>
      </c>
      <c r="C580" s="12" t="n">
        <v>283</v>
      </c>
      <c r="D580" s="12" t="n">
        <v>3107.3</v>
      </c>
      <c r="E580" s="12" t="n">
        <f aca="false">IFERROR(INDEX('Catalog'!$A:$A,MATCH($A580,'Catalog'!$B:$B,0)),IFERROR(INDEX('Catalog'!$A:$A,MATCH(TRIM(SUBSTITUTE($A580,CHAR(160)," ")),'Catalog'!$C:$C,0)),""))</f>
        <v>4422023</v>
      </c>
      <c r="F580" s="12" t="str">
        <f aca="false">IF($E580="","Unmatched","Matched")</f>
        <v>Matched</v>
      </c>
    </row>
    <row r="581" customFormat="false" ht="15" hidden="false" customHeight="true" outlineLevel="0" collapsed="false">
      <c r="A581" s="12" t="s">
        <v>840</v>
      </c>
      <c r="B581" s="12" t="n">
        <v>2026</v>
      </c>
      <c r="C581" s="12" t="n">
        <v>490</v>
      </c>
      <c r="D581" s="12" t="n">
        <v>5384.1</v>
      </c>
      <c r="E581" s="12" t="n">
        <f aca="false">IFERROR(INDEX('Catalog'!$A:$A,MATCH($A581,'Catalog'!$B:$B,0)),IFERROR(INDEX('Catalog'!$A:$A,MATCH(TRIM(SUBSTITUTE($A581,CHAR(160)," ")),'Catalog'!$C:$C,0)),""))</f>
        <v>4422024</v>
      </c>
      <c r="F581" s="12" t="str">
        <f aca="false">IF($E581="","Unmatched","Matched")</f>
        <v>Matched</v>
      </c>
    </row>
    <row r="582" customFormat="false" ht="15" hidden="false" customHeight="true" outlineLevel="0" collapsed="false">
      <c r="A582" s="12" t="s">
        <v>841</v>
      </c>
      <c r="B582" s="12" t="n">
        <v>2026</v>
      </c>
      <c r="C582" s="12" t="n">
        <v>134</v>
      </c>
      <c r="D582" s="12" t="n">
        <v>1471.3</v>
      </c>
      <c r="E582" s="12" t="n">
        <f aca="false">IFERROR(INDEX('Catalog'!$A:$A,MATCH($A582,'Catalog'!$B:$B,0)),IFERROR(INDEX('Catalog'!$A:$A,MATCH(TRIM(SUBSTITUTE($A582,CHAR(160)," ")),'Catalog'!$C:$C,0)),""))</f>
        <v>4422025</v>
      </c>
      <c r="F582" s="12" t="str">
        <f aca="false">IF($E582="","Unmatched","Matched")</f>
        <v>Matched</v>
      </c>
    </row>
    <row r="583" customFormat="false" ht="15" hidden="false" customHeight="true" outlineLevel="0" collapsed="false">
      <c r="A583" s="12" t="s">
        <v>842</v>
      </c>
      <c r="B583" s="12" t="n">
        <v>2026</v>
      </c>
      <c r="C583" s="12" t="n">
        <v>277</v>
      </c>
      <c r="D583" s="12" t="n">
        <v>3041.5</v>
      </c>
      <c r="E583" s="12" t="n">
        <f aca="false">IFERROR(INDEX('Catalog'!$A:$A,MATCH($A583,'Catalog'!$B:$B,0)),IFERROR(INDEX('Catalog'!$A:$A,MATCH(TRIM(SUBSTITUTE($A583,CHAR(160)," ")),'Catalog'!$C:$C,0)),""))</f>
        <v>4422026</v>
      </c>
      <c r="F583" s="12" t="str">
        <f aca="false">IF($E583="","Unmatched","Matched")</f>
        <v>Matched</v>
      </c>
    </row>
    <row r="584" customFormat="false" ht="15" hidden="false" customHeight="true" outlineLevel="0" collapsed="false">
      <c r="A584" s="12" t="s">
        <v>813</v>
      </c>
      <c r="B584" s="12" t="n">
        <v>2026</v>
      </c>
      <c r="C584" s="12" t="n">
        <v>2</v>
      </c>
      <c r="D584" s="12" t="n">
        <v>141.1</v>
      </c>
      <c r="E584" s="12" t="n">
        <f aca="false">IFERROR(INDEX('Catalog'!$A:$A,MATCH($A584,'Catalog'!$B:$B,0)),IFERROR(INDEX('Catalog'!$A:$A,MATCH(TRIM(SUBSTITUTE($A584,CHAR(160)," ")),'Catalog'!$C:$C,0)),""))</f>
        <v>4408247</v>
      </c>
      <c r="F584" s="12" t="str">
        <f aca="false">IF($E584="","Unmatched","Matched")</f>
        <v>Matched</v>
      </c>
    </row>
    <row r="585" customFormat="false" ht="15" hidden="false" customHeight="true" outlineLevel="0" collapsed="false">
      <c r="A585" s="12" t="s">
        <v>812</v>
      </c>
      <c r="B585" s="12" t="n">
        <v>2026</v>
      </c>
      <c r="C585" s="12" t="n">
        <v>10</v>
      </c>
      <c r="D585" s="12" t="n">
        <v>744.9</v>
      </c>
      <c r="E585" s="12" t="n">
        <f aca="false">IFERROR(INDEX('Catalog'!$A:$A,MATCH($A585,'Catalog'!$B:$B,0)),IFERROR(INDEX('Catalog'!$A:$A,MATCH(TRIM(SUBSTITUTE($A585,CHAR(160)," ")),'Catalog'!$C:$C,0)),""))</f>
        <v>4408248</v>
      </c>
      <c r="F585" s="12" t="str">
        <f aca="false">IF($E585="","Unmatched","Matched")</f>
        <v>Matched</v>
      </c>
    </row>
    <row r="586" customFormat="false" ht="15" hidden="false" customHeight="true" outlineLevel="0" collapsed="false">
      <c r="A586" s="12" t="s">
        <v>811</v>
      </c>
      <c r="B586" s="12" t="n">
        <v>2026</v>
      </c>
      <c r="C586" s="12" t="n">
        <v>8</v>
      </c>
      <c r="D586" s="12" t="n">
        <v>595.9</v>
      </c>
      <c r="E586" s="12" t="n">
        <f aca="false">IFERROR(INDEX('Catalog'!$A:$A,MATCH($A586,'Catalog'!$B:$B,0)),IFERROR(INDEX('Catalog'!$A:$A,MATCH(TRIM(SUBSTITUTE($A586,CHAR(160)," ")),'Catalog'!$C:$C,0)),""))</f>
        <v>4408249</v>
      </c>
      <c r="F586" s="12" t="str">
        <f aca="false">IF($E586="","Unmatched","Matched")</f>
        <v>Matched</v>
      </c>
    </row>
    <row r="587" customFormat="false" ht="15" hidden="false" customHeight="true" outlineLevel="0" collapsed="false">
      <c r="A587" s="12" t="s">
        <v>814</v>
      </c>
      <c r="B587" s="12" t="n">
        <v>2026</v>
      </c>
      <c r="C587" s="12" t="n">
        <v>4</v>
      </c>
      <c r="D587" s="12" t="n">
        <v>298</v>
      </c>
      <c r="E587" s="12" t="n">
        <f aca="false">IFERROR(INDEX('Catalog'!$A:$A,MATCH($A587,'Catalog'!$B:$B,0)),IFERROR(INDEX('Catalog'!$A:$A,MATCH(TRIM(SUBSTITUTE($A587,CHAR(160)," ")),'Catalog'!$C:$C,0)),""))</f>
        <v>4408250</v>
      </c>
      <c r="F587" s="12" t="str">
        <f aca="false">IF($E587="","Unmatched","Matched")</f>
        <v>Matched</v>
      </c>
    </row>
    <row r="588" customFormat="false" ht="15" hidden="false" customHeight="true" outlineLevel="0" collapsed="false">
      <c r="A588" s="12" t="s">
        <v>832</v>
      </c>
      <c r="B588" s="12" t="n">
        <v>2026</v>
      </c>
      <c r="C588" s="12" t="n">
        <v>1</v>
      </c>
      <c r="D588" s="12" t="n">
        <v>74.5</v>
      </c>
      <c r="E588" s="12" t="n">
        <f aca="false">IFERROR(INDEX('Catalog'!$A:$A,MATCH($A588,'Catalog'!$B:$B,0)),IFERROR(INDEX('Catalog'!$A:$A,MATCH(TRIM(SUBSTITUTE($A588,CHAR(160)," ")),'Catalog'!$C:$C,0)),""))</f>
        <v>4413406</v>
      </c>
      <c r="F588" s="12" t="str">
        <f aca="false">IF($E588="","Unmatched","Matched")</f>
        <v>Matched</v>
      </c>
    </row>
    <row r="589" customFormat="false" ht="15" hidden="false" customHeight="true" outlineLevel="0" collapsed="false">
      <c r="A589" s="12" t="s">
        <v>831</v>
      </c>
      <c r="B589" s="12" t="n">
        <v>2026</v>
      </c>
      <c r="C589" s="12" t="n">
        <v>2</v>
      </c>
      <c r="D589" s="12" t="n">
        <v>149</v>
      </c>
      <c r="E589" s="12" t="n">
        <f aca="false">IFERROR(INDEX('Catalog'!$A:$A,MATCH($A589,'Catalog'!$B:$B,0)),IFERROR(INDEX('Catalog'!$A:$A,MATCH(TRIM(SUBSTITUTE($A589,CHAR(160)," ")),'Catalog'!$C:$C,0)),""))</f>
        <v>4413407</v>
      </c>
      <c r="F589" s="12" t="str">
        <f aca="false">IF($E589="","Unmatched","Matched")</f>
        <v>Matched</v>
      </c>
    </row>
    <row r="590" customFormat="false" ht="15" hidden="false" customHeight="true" outlineLevel="0" collapsed="false">
      <c r="A590" s="12" t="s">
        <v>833</v>
      </c>
      <c r="B590" s="12" t="n">
        <v>2026</v>
      </c>
      <c r="C590" s="12" t="n">
        <v>3</v>
      </c>
      <c r="D590" s="12" t="n">
        <v>223.5</v>
      </c>
      <c r="E590" s="12" t="n">
        <f aca="false">IFERROR(INDEX('Catalog'!$A:$A,MATCH($A590,'Catalog'!$B:$B,0)),IFERROR(INDEX('Catalog'!$A:$A,MATCH(TRIM(SUBSTITUTE($A590,CHAR(160)," ")),'Catalog'!$C:$C,0)),""))</f>
        <v>4413408</v>
      </c>
      <c r="F590" s="12" t="str">
        <f aca="false">IF($E590="","Unmatched","Matched")</f>
        <v>Matched</v>
      </c>
    </row>
    <row r="591" customFormat="false" ht="15" hidden="false" customHeight="true" outlineLevel="0" collapsed="false">
      <c r="A591" s="12" t="s">
        <v>824</v>
      </c>
      <c r="B591" s="12" t="n">
        <v>2026</v>
      </c>
      <c r="C591" s="12" t="n">
        <v>8</v>
      </c>
      <c r="D591" s="12" t="n">
        <v>1086</v>
      </c>
      <c r="E591" s="12" t="n">
        <f aca="false">IFERROR(INDEX('Catalog'!$A:$A,MATCH($A591,'Catalog'!$B:$B,0)),IFERROR(INDEX('Catalog'!$A:$A,MATCH(TRIM(SUBSTITUTE($A591,CHAR(160)," ")),'Catalog'!$C:$C,0)),""))</f>
        <v>4413416</v>
      </c>
      <c r="F591" s="12" t="str">
        <f aca="false">IF($E591="","Unmatched","Matched")</f>
        <v>Matched</v>
      </c>
    </row>
    <row r="592" customFormat="false" ht="15" hidden="false" customHeight="true" outlineLevel="0" collapsed="false">
      <c r="A592" s="12" t="s">
        <v>823</v>
      </c>
      <c r="B592" s="12" t="n">
        <v>2026</v>
      </c>
      <c r="C592" s="12" t="n">
        <v>13</v>
      </c>
      <c r="D592" s="12" t="n">
        <v>1764.8</v>
      </c>
      <c r="E592" s="12" t="n">
        <f aca="false">IFERROR(INDEX('Catalog'!$A:$A,MATCH($A592,'Catalog'!$B:$B,0)),IFERROR(INDEX('Catalog'!$A:$A,MATCH(TRIM(SUBSTITUTE($A592,CHAR(160)," ")),'Catalog'!$C:$C,0)),""))</f>
        <v>4413417</v>
      </c>
      <c r="F592" s="12" t="str">
        <f aca="false">IF($E592="","Unmatched","Matched")</f>
        <v>Matched</v>
      </c>
    </row>
    <row r="593" customFormat="false" ht="15" hidden="false" customHeight="true" outlineLevel="0" collapsed="false">
      <c r="A593" s="12" t="s">
        <v>827</v>
      </c>
      <c r="B593" s="12" t="n">
        <v>2026</v>
      </c>
      <c r="C593" s="12" t="n">
        <v>2</v>
      </c>
      <c r="D593" s="12" t="n">
        <v>271.5</v>
      </c>
      <c r="E593" s="12" t="n">
        <f aca="false">IFERROR(INDEX('Catalog'!$A:$A,MATCH($A593,'Catalog'!$B:$B,0)),IFERROR(INDEX('Catalog'!$A:$A,MATCH(TRIM(SUBSTITUTE($A593,CHAR(160)," ")),'Catalog'!$C:$C,0)),""))</f>
        <v>4413419</v>
      </c>
      <c r="F593" s="12" t="str">
        <f aca="false">IF($E593="","Unmatched","Matched")</f>
        <v>Matched</v>
      </c>
    </row>
    <row r="594" customFormat="false" ht="15" hidden="false" customHeight="true" outlineLevel="0" collapsed="false">
      <c r="A594" s="12" t="s">
        <v>816</v>
      </c>
      <c r="B594" s="12" t="n">
        <v>2026</v>
      </c>
      <c r="C594" s="12" t="n">
        <v>8</v>
      </c>
      <c r="D594" s="12" t="n">
        <v>595.9</v>
      </c>
      <c r="E594" s="12" t="n">
        <f aca="false">IFERROR(INDEX('Catalog'!$A:$A,MATCH($A594,'Catalog'!$B:$B,0)),IFERROR(INDEX('Catalog'!$A:$A,MATCH(TRIM(SUBSTITUTE($A594,CHAR(160)," ")),'Catalog'!$C:$C,0)),""))</f>
        <v>4413421</v>
      </c>
      <c r="F594" s="12" t="str">
        <f aca="false">IF($E594="","Unmatched","Matched")</f>
        <v>Matched</v>
      </c>
    </row>
    <row r="595" customFormat="false" ht="15" hidden="false" customHeight="true" outlineLevel="0" collapsed="false">
      <c r="A595" s="12" t="s">
        <v>815</v>
      </c>
      <c r="B595" s="12" t="n">
        <v>2026</v>
      </c>
      <c r="C595" s="12" t="n">
        <v>11</v>
      </c>
      <c r="D595" s="12" t="n">
        <v>819.4</v>
      </c>
      <c r="E595" s="12" t="n">
        <f aca="false">IFERROR(INDEX('Catalog'!$A:$A,MATCH($A595,'Catalog'!$B:$B,0)),IFERROR(INDEX('Catalog'!$A:$A,MATCH(TRIM(SUBSTITUTE($A595,CHAR(160)," ")),'Catalog'!$C:$C,0)),""))</f>
        <v>4413422</v>
      </c>
      <c r="F595" s="12" t="str">
        <f aca="false">IF($E595="","Unmatched","Matched")</f>
        <v>Matched</v>
      </c>
    </row>
    <row r="596" customFormat="false" ht="15" hidden="false" customHeight="true" outlineLevel="0" collapsed="false">
      <c r="A596" s="12" t="s">
        <v>818</v>
      </c>
      <c r="B596" s="12" t="n">
        <v>2026</v>
      </c>
      <c r="C596" s="12" t="n">
        <v>6</v>
      </c>
      <c r="D596" s="12" t="n">
        <v>446.9</v>
      </c>
      <c r="E596" s="12" t="n">
        <f aca="false">IFERROR(INDEX('Catalog'!$A:$A,MATCH($A596,'Catalog'!$B:$B,0)),IFERROR(INDEX('Catalog'!$A:$A,MATCH(TRIM(SUBSTITUTE($A596,CHAR(160)," ")),'Catalog'!$C:$C,0)),""))</f>
        <v>4413423</v>
      </c>
      <c r="F596" s="12" t="str">
        <f aca="false">IF($E596="","Unmatched","Matched")</f>
        <v>Matched</v>
      </c>
    </row>
    <row r="597" customFormat="false" ht="15" hidden="false" customHeight="true" outlineLevel="0" collapsed="false">
      <c r="A597" s="12" t="s">
        <v>820</v>
      </c>
      <c r="B597" s="12" t="n">
        <v>2026</v>
      </c>
      <c r="C597" s="12" t="n">
        <v>9</v>
      </c>
      <c r="D597" s="12" t="n">
        <v>670.5</v>
      </c>
      <c r="E597" s="12" t="n">
        <f aca="false">IFERROR(INDEX('Catalog'!$A:$A,MATCH($A597,'Catalog'!$B:$B,0)),IFERROR(INDEX('Catalog'!$A:$A,MATCH(TRIM(SUBSTITUTE($A597,CHAR(160)," ")),'Catalog'!$C:$C,0)),""))</f>
        <v>4413425</v>
      </c>
      <c r="F597" s="12" t="str">
        <f aca="false">IF($E597="","Unmatched","Matched")</f>
        <v>Matched</v>
      </c>
    </row>
    <row r="598" customFormat="false" ht="15" hidden="false" customHeight="true" outlineLevel="0" collapsed="false">
      <c r="A598" s="12" t="s">
        <v>819</v>
      </c>
      <c r="B598" s="12" t="n">
        <v>2026</v>
      </c>
      <c r="C598" s="12" t="n">
        <v>4</v>
      </c>
      <c r="D598" s="12" t="n">
        <v>298</v>
      </c>
      <c r="E598" s="12" t="n">
        <f aca="false">IFERROR(INDEX('Catalog'!$A:$A,MATCH($A598,'Catalog'!$B:$B,0)),IFERROR(INDEX('Catalog'!$A:$A,MATCH(TRIM(SUBSTITUTE($A598,CHAR(160)," ")),'Catalog'!$C:$C,0)),""))</f>
        <v>4413426</v>
      </c>
      <c r="F598" s="12" t="str">
        <f aca="false">IF($E598="","Unmatched","Matched")</f>
        <v>Matched</v>
      </c>
    </row>
    <row r="599" customFormat="false" ht="15" hidden="false" customHeight="true" outlineLevel="0" collapsed="false">
      <c r="A599" s="12" t="s">
        <v>822</v>
      </c>
      <c r="B599" s="12" t="n">
        <v>2026</v>
      </c>
      <c r="C599" s="12" t="n">
        <v>6</v>
      </c>
      <c r="D599" s="12" t="n">
        <v>447</v>
      </c>
      <c r="E599" s="12" t="n">
        <f aca="false">IFERROR(INDEX('Catalog'!$A:$A,MATCH($A599,'Catalog'!$B:$B,0)),IFERROR(INDEX('Catalog'!$A:$A,MATCH(TRIM(SUBSTITUTE($A599,CHAR(160)," ")),'Catalog'!$C:$C,0)),""))</f>
        <v>4413427</v>
      </c>
      <c r="F599" s="12" t="str">
        <f aca="false">IF($E599="","Unmatched","Matched")</f>
        <v>Matched</v>
      </c>
    </row>
    <row r="600" customFormat="false" ht="15" hidden="false" customHeight="true" outlineLevel="0" collapsed="false">
      <c r="A600" s="12" t="s">
        <v>829</v>
      </c>
      <c r="B600" s="12" t="n">
        <v>2026</v>
      </c>
      <c r="C600" s="12" t="n">
        <v>18</v>
      </c>
      <c r="D600" s="12" t="n">
        <v>2443.7</v>
      </c>
      <c r="E600" s="12" t="n">
        <f aca="false">IFERROR(INDEX('Catalog'!$A:$A,MATCH($A600,'Catalog'!$B:$B,0)),IFERROR(INDEX('Catalog'!$A:$A,MATCH(TRIM(SUBSTITUTE($A600,CHAR(160)," ")),'Catalog'!$C:$C,0)),""))</f>
        <v>4413439</v>
      </c>
      <c r="F600" s="12" t="str">
        <f aca="false">IF($E600="","Unmatched","Matched")</f>
        <v>Matched</v>
      </c>
    </row>
    <row r="601" customFormat="false" ht="15" hidden="false" customHeight="true" outlineLevel="0" collapsed="false">
      <c r="A601" s="12" t="s">
        <v>828</v>
      </c>
      <c r="B601" s="12" t="n">
        <v>2026</v>
      </c>
      <c r="C601" s="12" t="n">
        <v>14</v>
      </c>
      <c r="D601" s="12" t="n">
        <v>1900.6</v>
      </c>
      <c r="E601" s="12" t="n">
        <f aca="false">IFERROR(INDEX('Catalog'!$A:$A,MATCH($A601,'Catalog'!$B:$B,0)),IFERROR(INDEX('Catalog'!$A:$A,MATCH(TRIM(SUBSTITUTE($A601,CHAR(160)," ")),'Catalog'!$C:$C,0)),""))</f>
        <v>4413440</v>
      </c>
      <c r="F601" s="12" t="str">
        <f aca="false">IF($E601="","Unmatched","Matched")</f>
        <v>Matched</v>
      </c>
    </row>
    <row r="602" customFormat="false" ht="15" hidden="false" customHeight="true" outlineLevel="0" collapsed="false">
      <c r="A602" s="12" t="s">
        <v>830</v>
      </c>
      <c r="B602" s="12" t="n">
        <v>2026</v>
      </c>
      <c r="C602" s="12" t="n">
        <v>14</v>
      </c>
      <c r="D602" s="12" t="n">
        <v>1900.7</v>
      </c>
      <c r="E602" s="12" t="n">
        <f aca="false">IFERROR(INDEX('Catalog'!$A:$A,MATCH($A602,'Catalog'!$B:$B,0)),IFERROR(INDEX('Catalog'!$A:$A,MATCH(TRIM(SUBSTITUTE($A602,CHAR(160)," ")),'Catalog'!$C:$C,0)),""))</f>
        <v>4413441</v>
      </c>
      <c r="F602" s="12" t="str">
        <f aca="false">IF($E602="","Unmatched","Matched")</f>
        <v>Matched</v>
      </c>
    </row>
    <row r="603" customFormat="false" ht="15" hidden="false" customHeight="true" outlineLevel="0" collapsed="false">
      <c r="A603" s="12" t="s">
        <v>153</v>
      </c>
      <c r="B603" s="12" t="n">
        <v>2026</v>
      </c>
      <c r="C603" s="12" t="n">
        <v>9</v>
      </c>
      <c r="D603" s="12" t="n">
        <v>1221.9</v>
      </c>
      <c r="E603" s="12" t="n">
        <f aca="false">IFERROR(INDEX('Catalog'!$A:$A,MATCH($A603,'Catalog'!$B:$B,0)),IFERROR(INDEX('Catalog'!$A:$A,MATCH(TRIM(SUBSTITUTE($A603,CHAR(160)," ")),'Catalog'!$C:$C,0)),""))</f>
        <v>4413442</v>
      </c>
      <c r="F603" s="12" t="str">
        <f aca="false">IF($E603="","Unmatched","Matched")</f>
        <v>Matched</v>
      </c>
    </row>
    <row r="604" customFormat="false" ht="15" hidden="false" customHeight="true" outlineLevel="0" collapsed="false">
      <c r="A604" s="12" t="s">
        <v>328</v>
      </c>
      <c r="B604" s="12" t="n">
        <v>2026</v>
      </c>
      <c r="C604" s="12" t="n">
        <v>-1</v>
      </c>
      <c r="D604" s="12" t="n">
        <v>-121.5</v>
      </c>
      <c r="E604" s="12" t="n">
        <f aca="false">IFERROR(INDEX('Catalog'!$A:$A,MATCH($A604,'Catalog'!$B:$B,0)),IFERROR(INDEX('Catalog'!$A:$A,MATCH(TRIM(SUBSTITUTE($A604,CHAR(160)," ")),'Catalog'!$C:$C,0)),""))</f>
        <v>4408252</v>
      </c>
      <c r="F604" s="12" t="str">
        <f aca="false">IF($E604="","Unmatched","Matched")</f>
        <v>Matched</v>
      </c>
    </row>
    <row r="605" customFormat="false" ht="15" hidden="false" customHeight="true" outlineLevel="0" collapsed="false">
      <c r="A605" s="12" t="s">
        <v>416</v>
      </c>
      <c r="B605" s="12" t="n">
        <v>2026</v>
      </c>
      <c r="C605" s="12" t="n">
        <v>-1</v>
      </c>
      <c r="D605" s="12" t="n">
        <v>-65.6</v>
      </c>
      <c r="E605" s="12" t="n">
        <f aca="false">IFERROR(INDEX('Catalog'!$A:$A,MATCH($A605,'Catalog'!$B:$B,0)),IFERROR(INDEX('Catalog'!$A:$A,MATCH(TRIM(SUBSTITUTE($A605,CHAR(160)," ")),'Catalog'!$C:$C,0)),""))</f>
        <v>4413444</v>
      </c>
      <c r="F605" s="12" t="str">
        <f aca="false">IF($E605="","Unmatched","Matched")</f>
        <v>Matched</v>
      </c>
    </row>
    <row r="606" customFormat="false" ht="15" hidden="false" customHeight="true" outlineLevel="0" collapsed="false">
      <c r="A606" s="12" t="s">
        <v>417</v>
      </c>
      <c r="B606" s="12" t="n">
        <v>2026</v>
      </c>
      <c r="C606" s="12" t="n">
        <v>3</v>
      </c>
      <c r="D606" s="12" t="n">
        <v>196.9</v>
      </c>
      <c r="E606" s="12" t="n">
        <f aca="false">IFERROR(INDEX('Catalog'!$A:$A,MATCH($A606,'Catalog'!$B:$B,0)),IFERROR(INDEX('Catalog'!$A:$A,MATCH(TRIM(SUBSTITUTE($A606,CHAR(160)," ")),'Catalog'!$C:$C,0)),""))</f>
        <v>4413445</v>
      </c>
      <c r="F606" s="12" t="str">
        <f aca="false">IF($E606="","Unmatched","Matched")</f>
        <v>Matched</v>
      </c>
    </row>
    <row r="607" customFormat="false" ht="15" hidden="false" customHeight="true" outlineLevel="0" collapsed="false">
      <c r="A607" s="12" t="s">
        <v>566</v>
      </c>
      <c r="B607" s="12" t="n">
        <v>2026</v>
      </c>
      <c r="C607" s="12" t="n">
        <v>27</v>
      </c>
      <c r="D607" s="12" t="n">
        <v>1190.2</v>
      </c>
      <c r="E607" s="12" t="n">
        <f aca="false">IFERROR(INDEX('Catalog'!$A:$A,MATCH($A607,'Catalog'!$B:$B,0)),IFERROR(INDEX('Catalog'!$A:$A,MATCH(TRIM(SUBSTITUTE($A607,CHAR(160)," ")),'Catalog'!$C:$C,0)),""))</f>
        <v>4413452</v>
      </c>
      <c r="F607" s="12" t="str">
        <f aca="false">IF($E607="","Unmatched","Matched")</f>
        <v>Matched</v>
      </c>
    </row>
    <row r="608" customFormat="false" ht="15" hidden="false" customHeight="true" outlineLevel="0" collapsed="false">
      <c r="A608" s="12" t="s">
        <v>397</v>
      </c>
      <c r="B608" s="12" t="n">
        <v>2026</v>
      </c>
      <c r="C608" s="12" t="n">
        <v>79</v>
      </c>
      <c r="D608" s="12" t="n">
        <v>6280.5</v>
      </c>
      <c r="E608" s="12" t="n">
        <f aca="false">IFERROR(INDEX('Catalog'!$A:$A,MATCH($A608,'Catalog'!$B:$B,0)),IFERROR(INDEX('Catalog'!$A:$A,MATCH(TRIM(SUBSTITUTE($A608,CHAR(160)," ")),'Catalog'!$C:$C,0)),""))</f>
        <v>4413453</v>
      </c>
      <c r="F608" s="12" t="str">
        <f aca="false">IF($E608="","Unmatched","Matched")</f>
        <v>Matched</v>
      </c>
    </row>
    <row r="609" customFormat="false" ht="15" hidden="false" customHeight="true" outlineLevel="0" collapsed="false">
      <c r="A609" s="12" t="s">
        <v>531</v>
      </c>
      <c r="B609" s="12" t="n">
        <v>2026</v>
      </c>
      <c r="C609" s="12" t="n">
        <v>16</v>
      </c>
      <c r="D609" s="12" t="n">
        <v>775.9</v>
      </c>
      <c r="E609" s="12" t="n">
        <f aca="false">IFERROR(INDEX('Catalog'!$A:$A,MATCH($A609,'Catalog'!$B:$B,0)),IFERROR(INDEX('Catalog'!$A:$A,MATCH(TRIM(SUBSTITUTE($A609,CHAR(160)," ")),'Catalog'!$C:$C,0)),""))</f>
        <v>4413455</v>
      </c>
      <c r="F609" s="12" t="str">
        <f aca="false">IF($E609="","Unmatched","Matched")</f>
        <v>Matched</v>
      </c>
    </row>
    <row r="610" customFormat="false" ht="15" hidden="false" customHeight="true" outlineLevel="0" collapsed="false">
      <c r="A610" s="12" t="s">
        <v>124</v>
      </c>
      <c r="B610" s="12" t="n">
        <v>2026</v>
      </c>
      <c r="C610" s="12" t="n">
        <v>30</v>
      </c>
      <c r="D610" s="12" t="n">
        <v>832.6</v>
      </c>
      <c r="E610" s="12" t="n">
        <f aca="false">IFERROR(INDEX('Catalog'!$A:$A,MATCH($A610,'Catalog'!$B:$B,0)),IFERROR(INDEX('Catalog'!$A:$A,MATCH(TRIM(SUBSTITUTE($A610,CHAR(160)," ")),'Catalog'!$C:$C,0)),""))</f>
        <v>4413495</v>
      </c>
      <c r="F610" s="12" t="str">
        <f aca="false">IF($E610="","Unmatched","Matched")</f>
        <v>Matched</v>
      </c>
    </row>
    <row r="611" customFormat="false" ht="15" hidden="false" customHeight="true" outlineLevel="0" collapsed="false">
      <c r="A611" s="12" t="s">
        <v>127</v>
      </c>
      <c r="B611" s="12" t="n">
        <v>2026</v>
      </c>
      <c r="C611" s="12" t="n">
        <v>19</v>
      </c>
      <c r="D611" s="12" t="n">
        <v>527.3</v>
      </c>
      <c r="E611" s="12" t="n">
        <f aca="false">IFERROR(INDEX('Catalog'!$A:$A,MATCH($A611,'Catalog'!$B:$B,0)),IFERROR(INDEX('Catalog'!$A:$A,MATCH(TRIM(SUBSTITUTE($A611,CHAR(160)," ")),'Catalog'!$C:$C,0)),""))</f>
        <v>4413496</v>
      </c>
      <c r="F611" s="12" t="str">
        <f aca="false">IF($E611="","Unmatched","Matched")</f>
        <v>Matched</v>
      </c>
    </row>
    <row r="612" customFormat="false" ht="15" hidden="false" customHeight="true" outlineLevel="0" collapsed="false">
      <c r="A612" s="12" t="s">
        <v>125</v>
      </c>
      <c r="B612" s="12" t="n">
        <v>2026</v>
      </c>
      <c r="C612" s="12" t="n">
        <v>21</v>
      </c>
      <c r="D612" s="12" t="n">
        <v>582.8</v>
      </c>
      <c r="E612" s="12" t="n">
        <f aca="false">IFERROR(INDEX('Catalog'!$A:$A,MATCH($A612,'Catalog'!$B:$B,0)),IFERROR(INDEX('Catalog'!$A:$A,MATCH(TRIM(SUBSTITUTE($A612,CHAR(160)," ")),'Catalog'!$C:$C,0)),""))</f>
        <v>4413497</v>
      </c>
      <c r="F612" s="12" t="str">
        <f aca="false">IF($E612="","Unmatched","Matched")</f>
        <v>Matched</v>
      </c>
    </row>
    <row r="613" customFormat="false" ht="15" hidden="false" customHeight="true" outlineLevel="0" collapsed="false">
      <c r="A613" s="12" t="s">
        <v>126</v>
      </c>
      <c r="B613" s="12" t="n">
        <v>2026</v>
      </c>
      <c r="C613" s="12" t="n">
        <v>17</v>
      </c>
      <c r="D613" s="12" t="n">
        <v>471.8</v>
      </c>
      <c r="E613" s="12" t="n">
        <f aca="false">IFERROR(INDEX('Catalog'!$A:$A,MATCH($A613,'Catalog'!$B:$B,0)),IFERROR(INDEX('Catalog'!$A:$A,MATCH(TRIM(SUBSTITUTE($A613,CHAR(160)," ")),'Catalog'!$C:$C,0)),""))</f>
        <v>4413498</v>
      </c>
      <c r="F613" s="12" t="str">
        <f aca="false">IF($E613="","Unmatched","Matched")</f>
        <v>Matched</v>
      </c>
    </row>
    <row r="614" customFormat="false" ht="15" hidden="false" customHeight="true" outlineLevel="0" collapsed="false">
      <c r="A614" s="12" t="s">
        <v>128</v>
      </c>
      <c r="B614" s="12" t="n">
        <v>2026</v>
      </c>
      <c r="C614" s="12" t="n">
        <v>18</v>
      </c>
      <c r="D614" s="12" t="n">
        <v>499.6</v>
      </c>
      <c r="E614" s="12" t="n">
        <f aca="false">IFERROR(INDEX('Catalog'!$A:$A,MATCH($A614,'Catalog'!$B:$B,0)),IFERROR(INDEX('Catalog'!$A:$A,MATCH(TRIM(SUBSTITUTE($A614,CHAR(160)," ")),'Catalog'!$C:$C,0)),""))</f>
        <v>4413499</v>
      </c>
      <c r="F614" s="12" t="str">
        <f aca="false">IF($E614="","Unmatched","Matched")</f>
        <v>Matched</v>
      </c>
    </row>
    <row r="615" customFormat="false" ht="15" hidden="false" customHeight="true" outlineLevel="0" collapsed="false">
      <c r="A615" s="12" t="s">
        <v>684</v>
      </c>
      <c r="B615" s="12" t="n">
        <v>2026</v>
      </c>
      <c r="C615" s="12" t="n">
        <v>30</v>
      </c>
      <c r="D615" s="12" t="n">
        <v>1216.8</v>
      </c>
      <c r="E615" s="12" t="n">
        <f aca="false">IFERROR(INDEX('Catalog'!$A:$A,MATCH($A615,'Catalog'!$B:$B,0)),IFERROR(INDEX('Catalog'!$A:$A,MATCH(TRIM(SUBSTITUTE($A615,CHAR(160)," ")),'Catalog'!$C:$C,0)),""))</f>
        <v>4415029</v>
      </c>
      <c r="F615" s="12" t="str">
        <f aca="false">IF($E615="","Unmatched","Matched")</f>
        <v>Matched</v>
      </c>
    </row>
  </sheetData>
  <mergeCells count="1">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3"/>
    <col collapsed="false" customWidth="true" hidden="false" outlineLevel="0" max="4" min="4" style="1" width="15"/>
    <col collapsed="false" customWidth="true" hidden="false" outlineLevel="0" max="6" min="5" style="1" width="13"/>
    <col collapsed="false" customWidth="true" hidden="false" outlineLevel="0" max="7" min="7" style="1" width="16"/>
    <col collapsed="false" customWidth="true" hidden="false" outlineLevel="0" max="8" min="8" style="1" width="15"/>
    <col collapsed="false" customWidth="true" hidden="false" outlineLevel="0" max="9" min="9" style="1" width="17"/>
    <col collapsed="false" customWidth="true" hidden="false" outlineLevel="0" max="10" min="10" style="1" width="15"/>
  </cols>
  <sheetData>
    <row r="1" customFormat="false" ht="15" hidden="false" customHeight="true" outlineLevel="0" collapsed="false">
      <c r="A1" s="11" t="s">
        <v>1277</v>
      </c>
    </row>
    <row r="2" customFormat="false" ht="15" hidden="false" customHeight="true" outlineLevel="0" collapsed="false">
      <c r="A2" s="3" t="s">
        <v>1</v>
      </c>
      <c r="B2" s="4" t="n">
        <v>46290</v>
      </c>
    </row>
    <row r="3" customFormat="false" ht="15" hidden="false" customHeight="true" outlineLevel="0" collapsed="false">
      <c r="A3" s="5" t="s">
        <v>1278</v>
      </c>
      <c r="B3" s="5"/>
      <c r="C3" s="5"/>
      <c r="D3" s="5"/>
      <c r="E3" s="5"/>
      <c r="F3" s="5"/>
      <c r="G3" s="5"/>
      <c r="H3" s="5"/>
      <c r="I3" s="5"/>
      <c r="J3" s="5"/>
    </row>
    <row r="4" customFormat="false" ht="21.75" hidden="false" customHeight="true" outlineLevel="0" collapsed="false">
      <c r="A4" s="5" t="s">
        <v>1273</v>
      </c>
      <c r="B4" s="5"/>
      <c r="C4" s="5"/>
      <c r="D4" s="5"/>
      <c r="E4" s="5"/>
      <c r="F4" s="5"/>
      <c r="G4" s="5"/>
      <c r="H4" s="5"/>
      <c r="I4" s="3" t="s">
        <v>853</v>
      </c>
      <c r="J4" s="29" t="n">
        <v>12</v>
      </c>
      <c r="K4" s="3" t="s">
        <v>854</v>
      </c>
      <c r="L4" s="29" t="n">
        <v>9.5</v>
      </c>
    </row>
    <row r="5" customFormat="false" ht="15" hidden="false" customHeight="true" outlineLevel="0" collapsed="false">
      <c r="A5" s="30" t="s">
        <v>855</v>
      </c>
      <c r="B5" s="30" t="n">
        <f aca="false">SUMPRODUCT(--((($C$9:$C$444&lt;&gt;0)+($H$9:$H$444&lt;&gt;0)&gt;0)*(($D$9:$D$444=0)*($I$9:$I$444=0))))</f>
        <v>54</v>
      </c>
      <c r="C5" s="30" t="s">
        <v>856</v>
      </c>
      <c r="D5" s="30" t="n">
        <f aca="false">SUMPRODUCT(--((($D$9:$D$444&lt;&gt;0)+($I$9:$I$444&lt;&gt;0)&gt;0)*(($C$9:$C$444=0)*($H$9:$H$444=0))))</f>
        <v>52</v>
      </c>
      <c r="I5" s="30" t="s">
        <v>857</v>
      </c>
      <c r="J5" s="30" t="n">
        <f aca="false">J4/L4</f>
        <v>1.26315789473684</v>
      </c>
    </row>
    <row r="6" customFormat="false" ht="15" hidden="false" customHeight="true" outlineLevel="0" collapsed="false">
      <c r="A6" s="30" t="s">
        <v>858</v>
      </c>
      <c r="B6" s="30" t="n">
        <f aca="false">SUMPRODUCT(--((($C$9:$C$444&lt;&gt;0)+($H$9:$H$444&lt;&gt;0)&gt;0)*(($D$9:$D$444=0)*($I$9:$I$444=0)))*$C$9:$C$444)</f>
        <v>23</v>
      </c>
      <c r="C6" s="30" t="s">
        <v>859</v>
      </c>
      <c r="D6" s="30" t="n">
        <f aca="false">SUMPRODUCT(--((($C$9:$C$444&lt;&gt;0)+($H$9:$H$444&lt;&gt;0)&gt;0)*(($D$9:$D$444=0)*($I$9:$I$444=0)))*$H$9:$H$444)</f>
        <v>-2700.3</v>
      </c>
      <c r="E6" s="30" t="s">
        <v>860</v>
      </c>
      <c r="F6" s="30" t="n">
        <f aca="false">SUMPRODUCT(--((($D$9:$D$444&lt;&gt;0)+($I$9:$I$444&lt;&gt;0)&gt;0)*(($C$9:$C$444=0)*($H$9:$H$444=0)))*$D$9:$D$444)</f>
        <v>1939</v>
      </c>
      <c r="G6" s="30" t="s">
        <v>861</v>
      </c>
      <c r="H6" s="30" t="n">
        <f aca="false">SUMPRODUCT(--((($D$9:$D$444&lt;&gt;0)+($I$9:$I$444&lt;&gt;0)&gt;0)*(($C$9:$C$444=0)*($H$9:$H$444=0)))*$I$9:$I$444)</f>
        <v>146776.3</v>
      </c>
      <c r="I6" s="30" t="s">
        <v>862</v>
      </c>
      <c r="J6" s="30" t="n">
        <f aca="false">F6*$J$5</f>
        <v>2449.26315789474</v>
      </c>
      <c r="K6" s="30" t="s">
        <v>863</v>
      </c>
      <c r="L6" s="30" t="n">
        <f aca="false">H6*$J$5</f>
        <v>185401.642105263</v>
      </c>
    </row>
    <row r="8" customFormat="false" ht="51.75" hidden="false" customHeight="true" outlineLevel="0" collapsed="false">
      <c r="A8" s="19" t="s">
        <v>70</v>
      </c>
      <c r="B8" s="19" t="s">
        <v>865</v>
      </c>
      <c r="C8" s="19" t="s">
        <v>17</v>
      </c>
      <c r="D8" s="19" t="s">
        <v>866</v>
      </c>
      <c r="E8" s="19" t="s">
        <v>867</v>
      </c>
      <c r="F8" s="19" t="s">
        <v>868</v>
      </c>
      <c r="G8" s="19" t="s">
        <v>869</v>
      </c>
      <c r="H8" s="19" t="s">
        <v>21</v>
      </c>
      <c r="I8" s="19" t="s">
        <v>870</v>
      </c>
      <c r="J8" s="19" t="s">
        <v>23</v>
      </c>
    </row>
    <row r="9" customFormat="false" ht="15" hidden="false" customHeight="true" outlineLevel="0" collapsed="false">
      <c r="A9" s="12" t="n">
        <v>4401000</v>
      </c>
      <c r="B9" s="12" t="str">
        <f aca="false">IFERROR(INDEX('Catalog'!$B:$B,MATCH($A9,'Catalog'!$A:$A,0)),"")</f>
        <v>369  S-L אצבעון מסיליקון יחידה</v>
      </c>
      <c r="C9" s="12" t="n">
        <f aca="false">SUMIFS('סופר פארם Raw'!$C$6:$C$771,'סופר פארם Raw'!$E$6:$E$771,$A9,'סופר פארם Raw'!$B$6:$B$771,2025)</f>
        <v>1030</v>
      </c>
      <c r="D9" s="12" t="n">
        <f aca="false">SUMIFS('סופר פארם Raw'!$C$6:$C$771,'סופר פארם Raw'!$E$6:$E$771,$A9,'סופר פארם Raw'!$B$6:$B$771,2026)</f>
        <v>742</v>
      </c>
      <c r="E9" s="12" t="n">
        <f aca="false">D9*$J$5</f>
        <v>937.263157894737</v>
      </c>
      <c r="F9" s="12" t="n">
        <f aca="false">E9-C9</f>
        <v>-92.7368421052632</v>
      </c>
      <c r="G9" s="21" t="n">
        <f aca="false">IF(AND(C9=0,E9=0),0,IF(C9=0,"New",(E9-C9)/C9))</f>
        <v>-0.0900357690342362</v>
      </c>
      <c r="H9" s="12" t="n">
        <f aca="false">SUMIFS('סופר פארם Raw'!$D$6:$D$771,'סופר פארם Raw'!$E$6:$E$771,$A9,'סופר פארם Raw'!$B$6:$B$771,2025)</f>
        <v>22376.6</v>
      </c>
      <c r="I9" s="12" t="n">
        <f aca="false">SUMIFS('סופר פארם Raw'!$D$6:$D$771,'סופר פארם Raw'!$E$6:$E$771,$A9,'סופר פארם Raw'!$B$6:$B$771,2026)</f>
        <v>16354.5</v>
      </c>
      <c r="J9" s="12" t="n">
        <f aca="false">I9*$J$5</f>
        <v>20658.3157894737</v>
      </c>
    </row>
    <row r="10" customFormat="false" ht="15" hidden="false" customHeight="true" outlineLevel="0" collapsed="false">
      <c r="A10" s="12" t="n">
        <v>4401001</v>
      </c>
      <c r="B10" s="12" t="str">
        <f aca="false">IFERROR(INDEX('Catalog'!$B:$B,MATCH($A10,'Catalog'!$A:$A,0)),"")</f>
        <v>369   XL אצבעון מסיליקון יחידה</v>
      </c>
      <c r="C10" s="12" t="n">
        <f aca="false">SUMIFS('סופר פארם Raw'!$C$6:$C$771,'סופר פארם Raw'!$E$6:$E$771,$A10,'סופר פארם Raw'!$B$6:$B$771,2025)</f>
        <v>1142</v>
      </c>
      <c r="D10" s="12" t="n">
        <f aca="false">SUMIFS('סופר פארם Raw'!$C$6:$C$771,'סופר פארם Raw'!$E$6:$E$771,$A10,'סופר פארם Raw'!$B$6:$B$771,2026)</f>
        <v>807</v>
      </c>
      <c r="E10" s="12" t="n">
        <f aca="false">D10*$J$5</f>
        <v>1019.36842105263</v>
      </c>
      <c r="F10" s="12" t="n">
        <f aca="false">E10-C10</f>
        <v>-122.631578947368</v>
      </c>
      <c r="G10" s="21" t="n">
        <f aca="false">IF(AND(C10=0,E10=0),0,IF(C10=0,"New",(E10-C10)/C10))</f>
        <v>-0.107383168955664</v>
      </c>
      <c r="H10" s="12" t="n">
        <f aca="false">SUMIFS('סופר פארם Raw'!$D$6:$D$771,'סופר פארם Raw'!$E$6:$E$771,$A10,'סופר פארם Raw'!$B$6:$B$771,2025)</f>
        <v>25972.9</v>
      </c>
      <c r="I10" s="12" t="n">
        <f aca="false">SUMIFS('סופר פארם Raw'!$D$6:$D$771,'סופר פארם Raw'!$E$6:$E$771,$A10,'סופר פארם Raw'!$B$6:$B$771,2026)</f>
        <v>18338.8</v>
      </c>
      <c r="J10" s="12" t="n">
        <f aca="false">I10*$J$5</f>
        <v>23164.8</v>
      </c>
    </row>
    <row r="11" customFormat="false" ht="15" hidden="false" customHeight="true" outlineLevel="0" collapsed="false">
      <c r="A11" s="12" t="n">
        <v>4402000</v>
      </c>
      <c r="B11" s="12" t="str">
        <f aca="false">IFERROR(INDEX('Catalog'!$B:$B,MATCH($A11,'Catalog'!$A:$A,0)),"")</f>
        <v>363  בננה לתמיכת אצבעות ז.כרית</v>
      </c>
      <c r="C11" s="12" t="n">
        <f aca="false">SUMIFS('סופר פארם Raw'!$C$6:$C$771,'סופר פארם Raw'!$E$6:$E$771,$A11,'סופר פארם Raw'!$B$6:$B$771,2025)</f>
        <v>199</v>
      </c>
      <c r="D11" s="12" t="n">
        <f aca="false">SUMIFS('סופר פארם Raw'!$C$6:$C$771,'סופר פארם Raw'!$E$6:$E$771,$A11,'סופר פארם Raw'!$B$6:$B$771,2026)</f>
        <v>101</v>
      </c>
      <c r="E11" s="12" t="n">
        <f aca="false">D11*$J$5</f>
        <v>127.578947368421</v>
      </c>
      <c r="F11" s="12" t="n">
        <f aca="false">E11-C11</f>
        <v>-71.421052631579</v>
      </c>
      <c r="G11" s="21" t="n">
        <f aca="false">IF(AND(C11=0,E11=0),0,IF(C11=0,"New",(E11-C11)/C11))</f>
        <v>-0.358899761967734</v>
      </c>
      <c r="H11" s="12" t="n">
        <f aca="false">SUMIFS('סופר פארם Raw'!$D$6:$D$771,'סופר פארם Raw'!$E$6:$E$771,$A11,'סופר פארם Raw'!$B$6:$B$771,2025)</f>
        <v>4320.4</v>
      </c>
      <c r="I11" s="12" t="n">
        <f aca="false">SUMIFS('סופר פארם Raw'!$D$6:$D$771,'סופר פארם Raw'!$E$6:$E$771,$A11,'סופר פארם Raw'!$B$6:$B$771,2026)</f>
        <v>2224.3</v>
      </c>
      <c r="J11" s="12" t="n">
        <f aca="false">I11*$J$5</f>
        <v>2809.64210526316</v>
      </c>
    </row>
    <row r="12" customFormat="false" ht="15" hidden="false" customHeight="true" outlineLevel="0" collapsed="false">
      <c r="A12" s="12" t="n">
        <v>4402007</v>
      </c>
      <c r="B12" s="12" t="str">
        <f aca="false">IFERROR(INDEX('Catalog'!$B:$B,MATCH($A12,'Catalog'!$A:$A,0)),"")</f>
        <v>320 בליסטר פלסטר</v>
      </c>
      <c r="C12" s="12" t="n">
        <f aca="false">SUMIFS('סופר פארם Raw'!$C$6:$C$771,'סופר פארם Raw'!$E$6:$E$771,$A12,'סופר פארם Raw'!$B$6:$B$771,2025)</f>
        <v>1909</v>
      </c>
      <c r="D12" s="12" t="n">
        <f aca="false">SUMIFS('סופר פארם Raw'!$C$6:$C$771,'סופר פארם Raw'!$E$6:$E$771,$A12,'סופר פארם Raw'!$B$6:$B$771,2026)</f>
        <v>1332</v>
      </c>
      <c r="E12" s="12" t="n">
        <f aca="false">D12*$J$5</f>
        <v>1682.52631578947</v>
      </c>
      <c r="F12" s="12" t="n">
        <f aca="false">E12-C12</f>
        <v>-226.473684210526</v>
      </c>
      <c r="G12" s="21" t="n">
        <f aca="false">IF(AND(C12=0,E12=0),0,IF(C12=0,"New",(E12-C12)/C12))</f>
        <v>-0.118634721954178</v>
      </c>
      <c r="H12" s="12" t="n">
        <f aca="false">SUMIFS('סופר פארם Raw'!$D$6:$D$771,'סופר פארם Raw'!$E$6:$E$771,$A12,'סופר פארם Raw'!$B$6:$B$771,2025)</f>
        <v>33927.9</v>
      </c>
      <c r="I12" s="12" t="n">
        <f aca="false">SUMIFS('סופר פארם Raw'!$D$6:$D$771,'סופר פארם Raw'!$E$6:$E$771,$A12,'סופר פארם Raw'!$B$6:$B$771,2026)</f>
        <v>23901.8</v>
      </c>
      <c r="J12" s="12" t="n">
        <f aca="false">I12*$J$5</f>
        <v>30191.7473684211</v>
      </c>
    </row>
    <row r="13" customFormat="false" ht="15" hidden="false" customHeight="true" outlineLevel="0" collapsed="false">
      <c r="A13" s="12" t="n">
        <v>4403000</v>
      </c>
      <c r="B13" s="12" t="str">
        <f aca="false">IFERROR(INDEX('Catalog'!$B:$B,MATCH($A13,'Catalog'!$A:$A,0)),"")</f>
        <v>390B גרב.כסף לסכרתים שחור35-38</v>
      </c>
      <c r="C13" s="12" t="n">
        <f aca="false">SUMIFS('סופר פארם Raw'!$C$6:$C$771,'סופר פארם Raw'!$E$6:$E$771,$A13,'סופר פארם Raw'!$B$6:$B$771,2025)</f>
        <v>30</v>
      </c>
      <c r="D13" s="12" t="n">
        <f aca="false">SUMIFS('סופר פארם Raw'!$C$6:$C$771,'סופר פארם Raw'!$E$6:$E$771,$A13,'סופר פארם Raw'!$B$6:$B$771,2026)</f>
        <v>7</v>
      </c>
      <c r="E13" s="12" t="n">
        <f aca="false">D13*$J$5</f>
        <v>8.84210526315789</v>
      </c>
      <c r="F13" s="12" t="n">
        <f aca="false">E13-C13</f>
        <v>-21.1578947368421</v>
      </c>
      <c r="G13" s="21" t="n">
        <f aca="false">IF(AND(C13=0,E13=0),0,IF(C13=0,"New",(E13-C13)/C13))</f>
        <v>-0.705263157894737</v>
      </c>
      <c r="H13" s="12" t="n">
        <f aca="false">SUMIFS('סופר פארם Raw'!$D$6:$D$771,'סופר פארם Raw'!$E$6:$E$771,$A13,'סופר פארם Raw'!$B$6:$B$771,2025)</f>
        <v>882.1</v>
      </c>
      <c r="I13" s="12" t="n">
        <f aca="false">SUMIFS('סופר פארם Raw'!$D$6:$D$771,'סופר פארם Raw'!$E$6:$E$771,$A13,'סופר פארם Raw'!$B$6:$B$771,2026)</f>
        <v>211.3</v>
      </c>
      <c r="J13" s="12" t="n">
        <f aca="false">I13*$J$5</f>
        <v>266.905263157895</v>
      </c>
    </row>
    <row r="14" customFormat="false" ht="15" hidden="false" customHeight="true" outlineLevel="0" collapsed="false">
      <c r="A14" s="12" t="n">
        <v>4403001</v>
      </c>
      <c r="B14" s="12" t="str">
        <f aca="false">IFERROR(INDEX('Catalog'!$B:$B,MATCH($A14,'Catalog'!$A:$A,0)),"")</f>
        <v>390B 39-42.גרב.כסף לסכרתיים שח</v>
      </c>
      <c r="C14" s="12" t="n">
        <f aca="false">SUMIFS('סופר פארם Raw'!$C$6:$C$771,'סופר פארם Raw'!$E$6:$E$771,$A14,'סופר פארם Raw'!$B$6:$B$771,2025)</f>
        <v>75</v>
      </c>
      <c r="D14" s="12" t="n">
        <f aca="false">SUMIFS('סופר פארם Raw'!$C$6:$C$771,'סופר פארם Raw'!$E$6:$E$771,$A14,'סופר פארם Raw'!$B$6:$B$771,2026)</f>
        <v>28</v>
      </c>
      <c r="E14" s="12" t="n">
        <f aca="false">D14*$J$5</f>
        <v>35.3684210526316</v>
      </c>
      <c r="F14" s="12" t="n">
        <f aca="false">E14-C14</f>
        <v>-39.6315789473684</v>
      </c>
      <c r="G14" s="21" t="n">
        <f aca="false">IF(AND(C14=0,E14=0),0,IF(C14=0,"New",(E14-C14)/C14))</f>
        <v>-0.528421052631579</v>
      </c>
      <c r="H14" s="12" t="n">
        <f aca="false">SUMIFS('סופר פארם Raw'!$D$6:$D$771,'סופר פארם Raw'!$E$6:$E$771,$A14,'סופר פארם Raw'!$B$6:$B$771,2025)</f>
        <v>2179.1</v>
      </c>
      <c r="I14" s="12" t="n">
        <f aca="false">SUMIFS('סופר פארם Raw'!$D$6:$D$771,'סופר פארם Raw'!$E$6:$E$771,$A14,'סופר פארם Raw'!$B$6:$B$771,2026)</f>
        <v>828.6</v>
      </c>
      <c r="J14" s="12" t="n">
        <f aca="false">I14*$J$5</f>
        <v>1046.65263157895</v>
      </c>
    </row>
    <row r="15" customFormat="false" ht="15" hidden="false" customHeight="true" outlineLevel="0" collapsed="false">
      <c r="A15" s="12" t="n">
        <v>4403002</v>
      </c>
      <c r="B15" s="12" t="str">
        <f aca="false">IFERROR(INDEX('Catalog'!$B:$B,MATCH($A15,'Catalog'!$A:$A,0)),"")</f>
        <v>390B 43-46.גרב.כסף לסכרתיים שח</v>
      </c>
      <c r="C15" s="12" t="n">
        <f aca="false">SUMIFS('סופר פארם Raw'!$C$6:$C$771,'סופר פארם Raw'!$E$6:$E$771,$A15,'סופר פארם Raw'!$B$6:$B$771,2025)</f>
        <v>96</v>
      </c>
      <c r="D15" s="12" t="n">
        <f aca="false">SUMIFS('סופר פארם Raw'!$C$6:$C$771,'סופר פארם Raw'!$E$6:$E$771,$A15,'סופר פארם Raw'!$B$6:$B$771,2026)</f>
        <v>30</v>
      </c>
      <c r="E15" s="12" t="n">
        <f aca="false">D15*$J$5</f>
        <v>37.8947368421053</v>
      </c>
      <c r="F15" s="12" t="n">
        <f aca="false">E15-C15</f>
        <v>-58.1052631578947</v>
      </c>
      <c r="G15" s="21" t="n">
        <f aca="false">IF(AND(C15=0,E15=0),0,IF(C15=0,"New",(E15-C15)/C15))</f>
        <v>-0.605263157894737</v>
      </c>
      <c r="H15" s="12" t="n">
        <f aca="false">SUMIFS('סופר פארם Raw'!$D$6:$D$771,'סופר פארם Raw'!$E$6:$E$771,$A15,'סופר פארם Raw'!$B$6:$B$771,2025)</f>
        <v>2791.6</v>
      </c>
      <c r="I15" s="12" t="n">
        <f aca="false">SUMIFS('סופר פארם Raw'!$D$6:$D$771,'סופר פארם Raw'!$E$6:$E$771,$A15,'סופר פארם Raw'!$B$6:$B$771,2026)</f>
        <v>878.7</v>
      </c>
      <c r="J15" s="12" t="n">
        <f aca="false">I15*$J$5</f>
        <v>1109.93684210526</v>
      </c>
    </row>
    <row r="16" customFormat="false" ht="15" hidden="false" customHeight="true" outlineLevel="0" collapsed="false">
      <c r="A16" s="12" t="n">
        <v>4403003</v>
      </c>
      <c r="B16" s="12" t="str">
        <f aca="false">IFERROR(INDEX('Catalog'!$B:$B,MATCH($A16,'Catalog'!$A:$A,0)),"")</f>
        <v>390G ג.כסף לסכרתיים אפור35-38</v>
      </c>
      <c r="C16" s="12" t="n">
        <f aca="false">SUMIFS('סופר פארם Raw'!$C$6:$C$771,'סופר פארם Raw'!$E$6:$E$771,$A16,'סופר פארם Raw'!$B$6:$B$771,2025)</f>
        <v>22</v>
      </c>
      <c r="D16" s="12" t="n">
        <f aca="false">SUMIFS('סופר פארם Raw'!$C$6:$C$771,'סופר פארם Raw'!$E$6:$E$771,$A16,'סופר פארם Raw'!$B$6:$B$771,2026)</f>
        <v>8</v>
      </c>
      <c r="E16" s="12" t="n">
        <f aca="false">D16*$J$5</f>
        <v>10.1052631578947</v>
      </c>
      <c r="F16" s="12" t="n">
        <f aca="false">E16-C16</f>
        <v>-11.8947368421053</v>
      </c>
      <c r="G16" s="21" t="n">
        <f aca="false">IF(AND(C16=0,E16=0),0,IF(C16=0,"New",(E16-C16)/C16))</f>
        <v>-0.54066985645933</v>
      </c>
      <c r="H16" s="12" t="n">
        <f aca="false">SUMIFS('סופר פארם Raw'!$D$6:$D$771,'סופר פארם Raw'!$E$6:$E$771,$A16,'סופר פארם Raw'!$B$6:$B$771,2025)</f>
        <v>644.1</v>
      </c>
      <c r="I16" s="12" t="n">
        <f aca="false">SUMIFS('סופר פארם Raw'!$D$6:$D$771,'סופר פארם Raw'!$E$6:$E$771,$A16,'סופר פארם Raw'!$B$6:$B$771,2026)</f>
        <v>229.3</v>
      </c>
      <c r="J16" s="12" t="n">
        <f aca="false">I16*$J$5</f>
        <v>289.642105263158</v>
      </c>
    </row>
    <row r="17" customFormat="false" ht="15" hidden="false" customHeight="true" outlineLevel="0" collapsed="false">
      <c r="A17" s="12" t="n">
        <v>4403004</v>
      </c>
      <c r="B17" s="12" t="str">
        <f aca="false">IFERROR(INDEX('Catalog'!$B:$B,MATCH($A17,'Catalog'!$A:$A,0)),"")</f>
        <v>390G 39-42.גרב.כסף לסכרתיים אפ</v>
      </c>
      <c r="C17" s="12" t="n">
        <f aca="false">SUMIFS('סופר פארם Raw'!$C$6:$C$771,'סופר פארם Raw'!$E$6:$E$771,$A17,'סופר פארם Raw'!$B$6:$B$771,2025)</f>
        <v>52</v>
      </c>
      <c r="D17" s="12" t="n">
        <f aca="false">SUMIFS('סופר פארם Raw'!$C$6:$C$771,'סופר פארם Raw'!$E$6:$E$771,$A17,'סופר פארם Raw'!$B$6:$B$771,2026)</f>
        <v>-7</v>
      </c>
      <c r="E17" s="12" t="n">
        <f aca="false">D17*$J$5</f>
        <v>-8.84210526315789</v>
      </c>
      <c r="F17" s="12" t="n">
        <f aca="false">E17-C17</f>
        <v>-60.8421052631579</v>
      </c>
      <c r="G17" s="21" t="n">
        <f aca="false">IF(AND(C17=0,E17=0),0,IF(C17=0,"New",(E17-C17)/C17))</f>
        <v>-1.17004048582996</v>
      </c>
      <c r="H17" s="12" t="n">
        <f aca="false">SUMIFS('סופר פארם Raw'!$D$6:$D$771,'סופר פארם Raw'!$E$6:$E$771,$A17,'סופר פארם Raw'!$B$6:$B$771,2025)</f>
        <v>1517.5</v>
      </c>
      <c r="I17" s="12" t="n">
        <f aca="false">SUMIFS('סופר פארם Raw'!$D$6:$D$771,'סופר פארם Raw'!$E$6:$E$771,$A17,'סופר פארם Raw'!$B$6:$B$771,2026)</f>
        <v>-194.3</v>
      </c>
      <c r="J17" s="12" t="n">
        <f aca="false">I17*$J$5</f>
        <v>-245.431578947368</v>
      </c>
    </row>
    <row r="18" customFormat="false" ht="15" hidden="false" customHeight="true" outlineLevel="0" collapsed="false">
      <c r="A18" s="12" t="n">
        <v>4403005</v>
      </c>
      <c r="B18" s="12" t="str">
        <f aca="false">IFERROR(INDEX('Catalog'!$B:$B,MATCH($A18,'Catalog'!$A:$A,0)),"")</f>
        <v>G390.43-46 גרבי כסף לסכרת מידה</v>
      </c>
      <c r="C18" s="12" t="n">
        <f aca="false">SUMIFS('סופר פארם Raw'!$C$6:$C$771,'סופר פארם Raw'!$E$6:$E$771,$A18,'סופר פארם Raw'!$B$6:$B$771,2025)</f>
        <v>39</v>
      </c>
      <c r="D18" s="12" t="n">
        <f aca="false">SUMIFS('סופר פארם Raw'!$C$6:$C$771,'סופר פארם Raw'!$E$6:$E$771,$A18,'סופר פארם Raw'!$B$6:$B$771,2026)</f>
        <v>18</v>
      </c>
      <c r="E18" s="12" t="n">
        <f aca="false">D18*$J$5</f>
        <v>22.7368421052632</v>
      </c>
      <c r="F18" s="12" t="n">
        <f aca="false">E18-C18</f>
        <v>-16.2631578947368</v>
      </c>
      <c r="G18" s="21" t="n">
        <f aca="false">IF(AND(C18=0,E18=0),0,IF(C18=0,"New",(E18-C18)/C18))</f>
        <v>-0.417004048582996</v>
      </c>
      <c r="H18" s="12" t="n">
        <f aca="false">SUMIFS('סופר פארם Raw'!$D$6:$D$771,'סופר פארם Raw'!$E$6:$E$771,$A18,'סופר פארם Raw'!$B$6:$B$771,2025)</f>
        <v>1147.9</v>
      </c>
      <c r="I18" s="12" t="n">
        <f aca="false">SUMIFS('סופר פארם Raw'!$D$6:$D$771,'סופר פארם Raw'!$E$6:$E$771,$A18,'סופר פארם Raw'!$B$6:$B$771,2026)</f>
        <v>530.1</v>
      </c>
      <c r="J18" s="12" t="n">
        <f aca="false">I18*$J$5</f>
        <v>669.6</v>
      </c>
    </row>
    <row r="19" customFormat="false" ht="15" hidden="false" customHeight="true" outlineLevel="0" collapsed="false">
      <c r="A19" s="12" t="n">
        <v>4403006</v>
      </c>
      <c r="B19" s="12" t="str">
        <f aca="false">IFERROR(INDEX('Catalog'!$B:$B,MATCH($A19,'Catalog'!$A:$A,0)),"")</f>
        <v>390W גרב כסף לסכרתיים לבן35-38</v>
      </c>
      <c r="C19" s="12" t="n">
        <f aca="false">SUMIFS('סופר פארם Raw'!$C$6:$C$771,'סופר פארם Raw'!$E$6:$E$771,$A19,'סופר פארם Raw'!$B$6:$B$771,2025)</f>
        <v>20</v>
      </c>
      <c r="D19" s="12" t="n">
        <f aca="false">SUMIFS('סופר פארם Raw'!$C$6:$C$771,'סופר פארם Raw'!$E$6:$E$771,$A19,'סופר פארם Raw'!$B$6:$B$771,2026)</f>
        <v>9</v>
      </c>
      <c r="E19" s="12" t="n">
        <f aca="false">D19*$J$5</f>
        <v>11.3684210526316</v>
      </c>
      <c r="F19" s="12" t="n">
        <f aca="false">E19-C19</f>
        <v>-8.63157894736842</v>
      </c>
      <c r="G19" s="21" t="n">
        <f aca="false">IF(AND(C19=0,E19=0),0,IF(C19=0,"New",(E19-C19)/C19))</f>
        <v>-0.431578947368421</v>
      </c>
      <c r="H19" s="12" t="n">
        <f aca="false">SUMIFS('סופר פארם Raw'!$D$6:$D$771,'סופר פארם Raw'!$E$6:$E$771,$A19,'סופר פארם Raw'!$B$6:$B$771,2025)</f>
        <v>585.7</v>
      </c>
      <c r="I19" s="12" t="n">
        <f aca="false">SUMIFS('סופר פארם Raw'!$D$6:$D$771,'סופר פארם Raw'!$E$6:$E$771,$A19,'סופר פארם Raw'!$B$6:$B$771,2026)</f>
        <v>262.3</v>
      </c>
      <c r="J19" s="12" t="n">
        <f aca="false">I19*$J$5</f>
        <v>331.326315789474</v>
      </c>
    </row>
    <row r="20" customFormat="false" ht="15" hidden="false" customHeight="true" outlineLevel="0" collapsed="false">
      <c r="A20" s="12" t="n">
        <v>4403007</v>
      </c>
      <c r="B20" s="12" t="str">
        <f aca="false">IFERROR(INDEX('Catalog'!$B:$B,MATCH($A20,'Catalog'!$A:$A,0)),"")</f>
        <v>390W גרב.כסף לסכרתיים לבן39-42</v>
      </c>
      <c r="C20" s="12" t="n">
        <f aca="false">SUMIFS('סופר פארם Raw'!$C$6:$C$771,'סופר פארם Raw'!$E$6:$E$771,$A20,'סופר פארם Raw'!$B$6:$B$771,2025)</f>
        <v>35</v>
      </c>
      <c r="D20" s="12" t="n">
        <f aca="false">SUMIFS('סופר פארם Raw'!$C$6:$C$771,'סופר פארם Raw'!$E$6:$E$771,$A20,'סופר פארם Raw'!$B$6:$B$771,2026)</f>
        <v>17</v>
      </c>
      <c r="E20" s="12" t="n">
        <f aca="false">D20*$J$5</f>
        <v>21.4736842105263</v>
      </c>
      <c r="F20" s="12" t="n">
        <f aca="false">E20-C20</f>
        <v>-13.5263157894737</v>
      </c>
      <c r="G20" s="21" t="n">
        <f aca="false">IF(AND(C20=0,E20=0),0,IF(C20=0,"New",(E20-C20)/C20))</f>
        <v>-0.386466165413534</v>
      </c>
      <c r="H20" s="12" t="n">
        <f aca="false">SUMIFS('סופר פארם Raw'!$D$6:$D$771,'סופר פארם Raw'!$E$6:$E$771,$A20,'סופר פארם Raw'!$B$6:$B$771,2025)</f>
        <v>1022.4</v>
      </c>
      <c r="I20" s="12" t="n">
        <f aca="false">SUMIFS('סופר פארם Raw'!$D$6:$D$771,'סופר פארם Raw'!$E$6:$E$771,$A20,'סופר פארם Raw'!$B$6:$B$771,2026)</f>
        <v>498.4</v>
      </c>
      <c r="J20" s="12" t="n">
        <f aca="false">I20*$J$5</f>
        <v>629.557894736842</v>
      </c>
    </row>
    <row r="21" customFormat="false" ht="15" hidden="false" customHeight="true" outlineLevel="0" collapsed="false">
      <c r="A21" s="12" t="n">
        <v>4403008</v>
      </c>
      <c r="B21" s="12" t="str">
        <f aca="false">IFERROR(INDEX('Catalog'!$B:$B,MATCH($A21,'Catalog'!$A:$A,0)),"")</f>
        <v>390W גרב.כסף לסכרתיים לבן43-46</v>
      </c>
      <c r="C21" s="12" t="n">
        <f aca="false">SUMIFS('סופר פארם Raw'!$C$6:$C$771,'סופר פארם Raw'!$E$6:$E$771,$A21,'סופר פארם Raw'!$B$6:$B$771,2025)</f>
        <v>34</v>
      </c>
      <c r="D21" s="12" t="n">
        <f aca="false">SUMIFS('סופר פארם Raw'!$C$6:$C$771,'סופר פארם Raw'!$E$6:$E$771,$A21,'סופר פארם Raw'!$B$6:$B$771,2026)</f>
        <v>28</v>
      </c>
      <c r="E21" s="12" t="n">
        <f aca="false">D21*$J$5</f>
        <v>35.3684210526316</v>
      </c>
      <c r="F21" s="12" t="n">
        <f aca="false">E21-C21</f>
        <v>1.36842105263158</v>
      </c>
      <c r="G21" s="21" t="n">
        <f aca="false">IF(AND(C21=0,E21=0),0,IF(C21=0,"New",(E21-C21)/C21))</f>
        <v>0.0402476780185757</v>
      </c>
      <c r="H21" s="12" t="n">
        <f aca="false">SUMIFS('סופר פארם Raw'!$D$6:$D$771,'סופר פארם Raw'!$E$6:$E$771,$A21,'סופר פארם Raw'!$B$6:$B$771,2025)</f>
        <v>992.3</v>
      </c>
      <c r="I21" s="12" t="n">
        <f aca="false">SUMIFS('סופר פארם Raw'!$D$6:$D$771,'סופר פארם Raw'!$E$6:$E$771,$A21,'סופר פארם Raw'!$B$6:$B$771,2026)</f>
        <v>814.5</v>
      </c>
      <c r="J21" s="12" t="n">
        <f aca="false">I21*$J$5</f>
        <v>1028.84210526316</v>
      </c>
    </row>
    <row r="22" customFormat="false" ht="15" hidden="false" customHeight="true" outlineLevel="0" collapsed="false">
      <c r="A22" s="12" t="n">
        <v>4403011</v>
      </c>
      <c r="B22" s="12" t="str">
        <f aca="false">IFERROR(INDEX('Catalog'!$B:$B,MATCH($A22,'Catalog'!$A:$A,0)),"")</f>
        <v>3444 0   גרביים+סיליקון</v>
      </c>
      <c r="C22" s="12" t="n">
        <f aca="false">SUMIFS('סופר פארם Raw'!$C$6:$C$771,'סופר פארם Raw'!$E$6:$E$771,$A22,'סופר פארם Raw'!$B$6:$B$771,2025)</f>
        <v>-1</v>
      </c>
      <c r="D22" s="12" t="n">
        <f aca="false">SUMIFS('סופר פארם Raw'!$C$6:$C$771,'סופר פארם Raw'!$E$6:$E$771,$A22,'סופר פארם Raw'!$B$6:$B$771,2026)</f>
        <v>-1</v>
      </c>
      <c r="E22" s="12" t="n">
        <f aca="false">D22*$J$5</f>
        <v>-1.26315789473684</v>
      </c>
      <c r="F22" s="12" t="n">
        <f aca="false">E22-C22</f>
        <v>-0.263157894736842</v>
      </c>
      <c r="G22" s="21" t="n">
        <f aca="false">IF(AND(C22=0,E22=0),0,IF(C22=0,"New",(E22-C22)/C22))</f>
        <v>0.263157894736842</v>
      </c>
      <c r="H22" s="12" t="n">
        <f aca="false">SUMIFS('סופר פארם Raw'!$D$6:$D$771,'סופר פארם Raw'!$E$6:$E$771,$A22,'סופר פארם Raw'!$B$6:$B$771,2025)</f>
        <v>-28.4</v>
      </c>
      <c r="I22" s="12" t="n">
        <f aca="false">SUMIFS('סופר פארם Raw'!$D$6:$D$771,'סופר פארם Raw'!$E$6:$E$771,$A22,'סופר פארם Raw'!$B$6:$B$771,2026)</f>
        <v>-31.9</v>
      </c>
      <c r="J22" s="12" t="n">
        <f aca="false">I22*$J$5</f>
        <v>-40.2947368421053</v>
      </c>
    </row>
    <row r="23" customFormat="false" ht="15" hidden="false" customHeight="true" outlineLevel="0" collapsed="false">
      <c r="A23" s="12" t="n">
        <v>4403017</v>
      </c>
      <c r="B23" s="12" t="str">
        <f aca="false">IFERROR(INDEX('Catalog'!$B:$B,MATCH($A23,'Catalog'!$A:$A,0)),"")</f>
        <v>394B גרב.כסף לסכרתים שחור35-38</v>
      </c>
      <c r="C23" s="12" t="n">
        <f aca="false">SUMIFS('סופר פארם Raw'!$C$6:$C$771,'סופר פארם Raw'!$E$6:$E$771,$A23,'סופר פארם Raw'!$B$6:$B$771,2025)</f>
        <v>77</v>
      </c>
      <c r="D23" s="12" t="n">
        <f aca="false">SUMIFS('סופר פארם Raw'!$C$6:$C$771,'סופר פארם Raw'!$E$6:$E$771,$A23,'סופר פארם Raw'!$B$6:$B$771,2026)</f>
        <v>37</v>
      </c>
      <c r="E23" s="12" t="n">
        <f aca="false">D23*$J$5</f>
        <v>46.7368421052632</v>
      </c>
      <c r="F23" s="12" t="n">
        <f aca="false">E23-C23</f>
        <v>-30.2631578947368</v>
      </c>
      <c r="G23" s="21" t="n">
        <f aca="false">IF(AND(C23=0,E23=0),0,IF(C23=0,"New",(E23-C23)/C23))</f>
        <v>-0.393028024606972</v>
      </c>
      <c r="H23" s="12" t="n">
        <f aca="false">SUMIFS('סופר פארם Raw'!$D$6:$D$771,'סופר פארם Raw'!$E$6:$E$771,$A23,'סופר פארם Raw'!$B$6:$B$771,2025)</f>
        <v>1714.9</v>
      </c>
      <c r="I23" s="12" t="n">
        <f aca="false">SUMIFS('סופר פארם Raw'!$D$6:$D$771,'סופר פארם Raw'!$E$6:$E$771,$A23,'סופר פארם Raw'!$B$6:$B$771,2026)</f>
        <v>844.6</v>
      </c>
      <c r="J23" s="12" t="n">
        <f aca="false">I23*$J$5</f>
        <v>1066.86315789474</v>
      </c>
    </row>
    <row r="24" customFormat="false" ht="15" hidden="false" customHeight="true" outlineLevel="0" collapsed="false">
      <c r="A24" s="12" t="n">
        <v>4403018</v>
      </c>
      <c r="B24" s="12" t="str">
        <f aca="false">IFERROR(INDEX('Catalog'!$B:$B,MATCH($A24,'Catalog'!$A:$A,0)),"")</f>
        <v>394B גרב.כסף לסכרתים שחור39-42</v>
      </c>
      <c r="C24" s="12" t="n">
        <f aca="false">SUMIFS('סופר פארם Raw'!$C$6:$C$771,'סופר פארם Raw'!$E$6:$E$771,$A24,'סופר פארם Raw'!$B$6:$B$771,2025)</f>
        <v>148</v>
      </c>
      <c r="D24" s="12" t="n">
        <f aca="false">SUMIFS('סופר פארם Raw'!$C$6:$C$771,'סופר פארם Raw'!$E$6:$E$771,$A24,'סופר פארם Raw'!$B$6:$B$771,2026)</f>
        <v>57</v>
      </c>
      <c r="E24" s="12" t="n">
        <f aca="false">D24*$J$5</f>
        <v>72</v>
      </c>
      <c r="F24" s="12" t="n">
        <f aca="false">E24-C24</f>
        <v>-76</v>
      </c>
      <c r="G24" s="21" t="n">
        <f aca="false">IF(AND(C24=0,E24=0),0,IF(C24=0,"New",(E24-C24)/C24))</f>
        <v>-0.513513513513514</v>
      </c>
      <c r="H24" s="12" t="n">
        <f aca="false">SUMIFS('סופר פארם Raw'!$D$6:$D$771,'סופר פארם Raw'!$E$6:$E$771,$A24,'סופר פארם Raw'!$B$6:$B$771,2025)</f>
        <v>3293.1</v>
      </c>
      <c r="I24" s="12" t="n">
        <f aca="false">SUMIFS('סופר פארם Raw'!$D$6:$D$771,'סופר פארם Raw'!$E$6:$E$771,$A24,'סופר פארם Raw'!$B$6:$B$771,2026)</f>
        <v>1259.8</v>
      </c>
      <c r="J24" s="12" t="n">
        <f aca="false">I24*$J$5</f>
        <v>1591.32631578947</v>
      </c>
    </row>
    <row r="25" customFormat="false" ht="15" hidden="false" customHeight="true" outlineLevel="0" collapsed="false">
      <c r="A25" s="12" t="n">
        <v>4403019</v>
      </c>
      <c r="B25" s="12" t="str">
        <f aca="false">IFERROR(INDEX('Catalog'!$B:$B,MATCH($A25,'Catalog'!$A:$A,0)),"")</f>
        <v>394B גרב.כסף לסכרתים שחור43-46</v>
      </c>
      <c r="C25" s="12" t="n">
        <f aca="false">SUMIFS('סופר פארם Raw'!$C$6:$C$771,'סופר פארם Raw'!$E$6:$E$771,$A25,'סופר פארם Raw'!$B$6:$B$771,2025)</f>
        <v>213</v>
      </c>
      <c r="D25" s="12" t="n">
        <f aca="false">SUMIFS('סופר פארם Raw'!$C$6:$C$771,'סופר פארם Raw'!$E$6:$E$771,$A25,'סופר פארם Raw'!$B$6:$B$771,2026)</f>
        <v>82</v>
      </c>
      <c r="E25" s="12" t="n">
        <f aca="false">D25*$J$5</f>
        <v>103.578947368421</v>
      </c>
      <c r="F25" s="12" t="n">
        <f aca="false">E25-C25</f>
        <v>-109.421052631579</v>
      </c>
      <c r="G25" s="21" t="n">
        <f aca="false">IF(AND(C25=0,E25=0),0,IF(C25=0,"New",(E25-C25)/C25))</f>
        <v>-0.513713862120089</v>
      </c>
      <c r="H25" s="12" t="n">
        <f aca="false">SUMIFS('סופר פארם Raw'!$D$6:$D$771,'סופר פארם Raw'!$E$6:$E$771,$A25,'סופר פארם Raw'!$B$6:$B$771,2025)</f>
        <v>4724.4</v>
      </c>
      <c r="I25" s="12" t="n">
        <f aca="false">SUMIFS('סופר פארם Raw'!$D$6:$D$771,'סופר פארם Raw'!$E$6:$E$771,$A25,'סופר פארם Raw'!$B$6:$B$771,2026)</f>
        <v>1815.3</v>
      </c>
      <c r="J25" s="12" t="n">
        <f aca="false">I25*$J$5</f>
        <v>2293.01052631579</v>
      </c>
    </row>
    <row r="26" customFormat="false" ht="15" hidden="false" customHeight="true" outlineLevel="0" collapsed="false">
      <c r="A26" s="12" t="n">
        <v>4403020</v>
      </c>
      <c r="B26" s="12" t="str">
        <f aca="false">IFERROR(INDEX('Catalog'!$B:$B,MATCH($A26,'Catalog'!$A:$A,0)),"")</f>
        <v>394G גרב.כסף לסכרתים אפור35-38</v>
      </c>
      <c r="C26" s="12" t="n">
        <f aca="false">SUMIFS('סופר פארם Raw'!$C$6:$C$771,'סופר פארם Raw'!$E$6:$E$771,$A26,'סופר פארם Raw'!$B$6:$B$771,2025)</f>
        <v>42</v>
      </c>
      <c r="D26" s="12" t="n">
        <f aca="false">SUMIFS('סופר פארם Raw'!$C$6:$C$771,'סופר פארם Raw'!$E$6:$E$771,$A26,'סופר פארם Raw'!$B$6:$B$771,2026)</f>
        <v>-5</v>
      </c>
      <c r="E26" s="12" t="n">
        <f aca="false">D26*$J$5</f>
        <v>-6.31578947368421</v>
      </c>
      <c r="F26" s="12" t="n">
        <f aca="false">E26-C26</f>
        <v>-48.3157894736842</v>
      </c>
      <c r="G26" s="21" t="n">
        <f aca="false">IF(AND(C26=0,E26=0),0,IF(C26=0,"New",(E26-C26)/C26))</f>
        <v>-1.15037593984962</v>
      </c>
      <c r="H26" s="12" t="n">
        <f aca="false">SUMIFS('סופר פארם Raw'!$D$6:$D$771,'סופר פארם Raw'!$E$6:$E$771,$A26,'סופר פארם Raw'!$B$6:$B$771,2025)</f>
        <v>939.9</v>
      </c>
      <c r="I26" s="12" t="n">
        <f aca="false">SUMIFS('סופר פארם Raw'!$D$6:$D$771,'סופר פארם Raw'!$E$6:$E$771,$A26,'סופר פארם Raw'!$B$6:$B$771,2026)</f>
        <v>-107.1</v>
      </c>
      <c r="J26" s="12" t="n">
        <f aca="false">I26*$J$5</f>
        <v>-135.284210526316</v>
      </c>
    </row>
    <row r="27" customFormat="false" ht="15" hidden="false" customHeight="true" outlineLevel="0" collapsed="false">
      <c r="A27" s="12" t="n">
        <v>4403021</v>
      </c>
      <c r="B27" s="12" t="str">
        <f aca="false">IFERROR(INDEX('Catalog'!$B:$B,MATCH($A27,'Catalog'!$A:$A,0)),"")</f>
        <v>394G גרב.כסף לסכרתים אפור39-42</v>
      </c>
      <c r="C27" s="12" t="n">
        <f aca="false">SUMIFS('סופר פארם Raw'!$C$6:$C$771,'סופר פארם Raw'!$E$6:$E$771,$A27,'סופר פארם Raw'!$B$6:$B$771,2025)</f>
        <v>57</v>
      </c>
      <c r="D27" s="12" t="n">
        <f aca="false">SUMIFS('סופר פארם Raw'!$C$6:$C$771,'סופר פארם Raw'!$E$6:$E$771,$A27,'סופר פארם Raw'!$B$6:$B$771,2026)</f>
        <v>-4</v>
      </c>
      <c r="E27" s="12" t="n">
        <f aca="false">D27*$J$5</f>
        <v>-5.05263157894737</v>
      </c>
      <c r="F27" s="12" t="n">
        <f aca="false">E27-C27</f>
        <v>-62.0526315789474</v>
      </c>
      <c r="G27" s="21" t="n">
        <f aca="false">IF(AND(C27=0,E27=0),0,IF(C27=0,"New",(E27-C27)/C27))</f>
        <v>-1.08864265927978</v>
      </c>
      <c r="H27" s="12" t="n">
        <f aca="false">SUMIFS('סופר פארם Raw'!$D$6:$D$771,'סופר פארם Raw'!$E$6:$E$771,$A27,'סופר פארם Raw'!$B$6:$B$771,2025)</f>
        <v>1262.2</v>
      </c>
      <c r="I27" s="12" t="n">
        <f aca="false">SUMIFS('סופר פארם Raw'!$D$6:$D$771,'סופר פארם Raw'!$E$6:$E$771,$A27,'סופר פארם Raw'!$B$6:$B$771,2026)</f>
        <v>-84.8</v>
      </c>
      <c r="J27" s="12" t="n">
        <f aca="false">I27*$J$5</f>
        <v>-107.115789473684</v>
      </c>
    </row>
    <row r="28" customFormat="false" ht="15" hidden="false" customHeight="true" outlineLevel="0" collapsed="false">
      <c r="A28" s="12" t="n">
        <v>4403022</v>
      </c>
      <c r="B28" s="12" t="str">
        <f aca="false">IFERROR(INDEX('Catalog'!$B:$B,MATCH($A28,'Catalog'!$A:$A,0)),"")</f>
        <v>394G גרב.כסף לסכרתים אפור43-46</v>
      </c>
      <c r="C28" s="12" t="n">
        <f aca="false">SUMIFS('סופר פארם Raw'!$C$6:$C$771,'סופר פארם Raw'!$E$6:$E$771,$A28,'סופר פארם Raw'!$B$6:$B$771,2025)</f>
        <v>58</v>
      </c>
      <c r="D28" s="12" t="n">
        <f aca="false">SUMIFS('סופר פארם Raw'!$C$6:$C$771,'סופר פארם Raw'!$E$6:$E$771,$A28,'סופר פארם Raw'!$B$6:$B$771,2026)</f>
        <v>0</v>
      </c>
      <c r="E28" s="12" t="n">
        <f aca="false">D28*$J$5</f>
        <v>0</v>
      </c>
      <c r="F28" s="12" t="n">
        <f aca="false">E28-C28</f>
        <v>-58</v>
      </c>
      <c r="G28" s="21" t="n">
        <f aca="false">IF(AND(C28=0,E28=0),0,IF(C28=0,"New",(E28-C28)/C28))</f>
        <v>-1</v>
      </c>
      <c r="H28" s="12" t="n">
        <f aca="false">SUMIFS('סופר פארם Raw'!$D$6:$D$771,'סופר פארם Raw'!$E$6:$E$771,$A28,'סופר פארם Raw'!$B$6:$B$771,2025)</f>
        <v>1297.6</v>
      </c>
      <c r="I28" s="12" t="n">
        <f aca="false">SUMIFS('סופר פארם Raw'!$D$6:$D$771,'סופר פארם Raw'!$E$6:$E$771,$A28,'סופר פארם Raw'!$B$6:$B$771,2026)</f>
        <v>0</v>
      </c>
      <c r="J28" s="12" t="n">
        <f aca="false">I28*$J$5</f>
        <v>0</v>
      </c>
    </row>
    <row r="29" customFormat="false" ht="15" hidden="false" customHeight="true" outlineLevel="0" collapsed="false">
      <c r="A29" s="12" t="n">
        <v>4403023</v>
      </c>
      <c r="B29" s="12" t="str">
        <f aca="false">IFERROR(INDEX('Catalog'!$B:$B,MATCH($A29,'Catalog'!$A:$A,0)),"")</f>
        <v>394W 35-38 גרב.כסף לסכרתים לבן</v>
      </c>
      <c r="C29" s="12" t="n">
        <f aca="false">SUMIFS('סופר פארם Raw'!$C$6:$C$771,'סופר פארם Raw'!$E$6:$E$771,$A29,'סופר פארם Raw'!$B$6:$B$771,2025)</f>
        <v>25</v>
      </c>
      <c r="D29" s="12" t="n">
        <f aca="false">SUMIFS('סופר פארם Raw'!$C$6:$C$771,'סופר פארם Raw'!$E$6:$E$771,$A29,'סופר פארם Raw'!$B$6:$B$771,2026)</f>
        <v>20</v>
      </c>
      <c r="E29" s="12" t="n">
        <f aca="false">D29*$J$5</f>
        <v>25.2631578947368</v>
      </c>
      <c r="F29" s="12" t="n">
        <f aca="false">E29-C29</f>
        <v>0.263157894736843</v>
      </c>
      <c r="G29" s="21" t="n">
        <f aca="false">IF(AND(C29=0,E29=0),0,IF(C29=0,"New",(E29-C29)/C29))</f>
        <v>0.0105263157894737</v>
      </c>
      <c r="H29" s="12" t="n">
        <f aca="false">SUMIFS('סופר פארם Raw'!$D$6:$D$771,'סופר פארם Raw'!$E$6:$E$771,$A29,'סופר פארם Raw'!$B$6:$B$771,2025)</f>
        <v>561.1</v>
      </c>
      <c r="I29" s="12" t="n">
        <f aca="false">SUMIFS('סופר פארם Raw'!$D$6:$D$771,'סופר פארם Raw'!$E$6:$E$771,$A29,'סופר פארם Raw'!$B$6:$B$771,2026)</f>
        <v>452.4</v>
      </c>
      <c r="J29" s="12" t="n">
        <f aca="false">I29*$J$5</f>
        <v>571.452631578947</v>
      </c>
    </row>
    <row r="30" customFormat="false" ht="15" hidden="false" customHeight="true" outlineLevel="0" collapsed="false">
      <c r="A30" s="12" t="n">
        <v>4403024</v>
      </c>
      <c r="B30" s="12" t="str">
        <f aca="false">IFERROR(INDEX('Catalog'!$B:$B,MATCH($A30,'Catalog'!$A:$A,0)),"")</f>
        <v>394W 39-42 גרב.כסף לסכרתים לבן</v>
      </c>
      <c r="C30" s="12" t="n">
        <f aca="false">SUMIFS('סופר פארם Raw'!$C$6:$C$771,'סופר פארם Raw'!$E$6:$E$771,$A30,'סופר פארם Raw'!$B$6:$B$771,2025)</f>
        <v>78</v>
      </c>
      <c r="D30" s="12" t="n">
        <f aca="false">SUMIFS('סופר פארם Raw'!$C$6:$C$771,'סופר פארם Raw'!$E$6:$E$771,$A30,'סופר פארם Raw'!$B$6:$B$771,2026)</f>
        <v>64</v>
      </c>
      <c r="E30" s="12" t="n">
        <f aca="false">D30*$J$5</f>
        <v>80.8421052631579</v>
      </c>
      <c r="F30" s="12" t="n">
        <f aca="false">E30-C30</f>
        <v>2.84210526315789</v>
      </c>
      <c r="G30" s="21" t="n">
        <f aca="false">IF(AND(C30=0,E30=0),0,IF(C30=0,"New",(E30-C30)/C30))</f>
        <v>0.0364372469635627</v>
      </c>
      <c r="H30" s="12" t="n">
        <f aca="false">SUMIFS('סופר פארם Raw'!$D$6:$D$771,'סופר פארם Raw'!$E$6:$E$771,$A30,'סופר פארם Raw'!$B$6:$B$771,2025)</f>
        <v>1734.3</v>
      </c>
      <c r="I30" s="12" t="n">
        <f aca="false">SUMIFS('סופר פארם Raw'!$D$6:$D$771,'סופר פארם Raw'!$E$6:$E$771,$A30,'סופר פארם Raw'!$B$6:$B$771,2026)</f>
        <v>1447.9</v>
      </c>
      <c r="J30" s="12" t="n">
        <f aca="false">I30*$J$5</f>
        <v>1828.92631578947</v>
      </c>
    </row>
    <row r="31" customFormat="false" ht="15" hidden="false" customHeight="true" outlineLevel="0" collapsed="false">
      <c r="A31" s="12" t="n">
        <v>4403025</v>
      </c>
      <c r="B31" s="12" t="str">
        <f aca="false">IFERROR(INDEX('Catalog'!$B:$B,MATCH($A31,'Catalog'!$A:$A,0)),"")</f>
        <v>394W 43-46 גרב.כסף לסכרתים לבן</v>
      </c>
      <c r="C31" s="12" t="n">
        <f aca="false">SUMIFS('סופר פארם Raw'!$C$6:$C$771,'סופר פארם Raw'!$E$6:$E$771,$A31,'סופר פארם Raw'!$B$6:$B$771,2025)</f>
        <v>85</v>
      </c>
      <c r="D31" s="12" t="n">
        <f aca="false">SUMIFS('סופר פארם Raw'!$C$6:$C$771,'סופר פארם Raw'!$E$6:$E$771,$A31,'סופר פארם Raw'!$B$6:$B$771,2026)</f>
        <v>68</v>
      </c>
      <c r="E31" s="12" t="n">
        <f aca="false">D31*$J$5</f>
        <v>85.8947368421053</v>
      </c>
      <c r="F31" s="12" t="n">
        <f aca="false">E31-C31</f>
        <v>0.89473684210526</v>
      </c>
      <c r="G31" s="21" t="n">
        <f aca="false">IF(AND(C31=0,E31=0),0,IF(C31=0,"New",(E31-C31)/C31))</f>
        <v>0.0105263157894737</v>
      </c>
      <c r="H31" s="12" t="n">
        <f aca="false">SUMIFS('סופר פארם Raw'!$D$6:$D$771,'סופר פארם Raw'!$E$6:$E$771,$A31,'סופר פארם Raw'!$B$6:$B$771,2025)</f>
        <v>1886.6</v>
      </c>
      <c r="I31" s="12" t="n">
        <f aca="false">SUMIFS('סופר פארם Raw'!$D$6:$D$771,'סופר פארם Raw'!$E$6:$E$771,$A31,'סופר פארם Raw'!$B$6:$B$771,2026)</f>
        <v>1546.5</v>
      </c>
      <c r="J31" s="12" t="n">
        <f aca="false">I31*$J$5</f>
        <v>1953.47368421053</v>
      </c>
    </row>
    <row r="32" customFormat="false" ht="15" hidden="false" customHeight="true" outlineLevel="0" collapsed="false">
      <c r="A32" s="12" t="n">
        <v>4403028</v>
      </c>
      <c r="B32" s="12" t="str">
        <f aca="false">IFERROR(INDEX('Catalog'!$B:$B,MATCH($A32,'Catalog'!$A:$A,0)),"")</f>
        <v>397 35-38 גרבי טיסה מידה</v>
      </c>
      <c r="C32" s="12" t="n">
        <f aca="false">SUMIFS('סופר פארם Raw'!$C$6:$C$771,'סופר פארם Raw'!$E$6:$E$771,$A32,'סופר פארם Raw'!$B$6:$B$771,2025)</f>
        <v>434</v>
      </c>
      <c r="D32" s="12" t="n">
        <f aca="false">SUMIFS('סופר פארם Raw'!$C$6:$C$771,'סופר פארם Raw'!$E$6:$E$771,$A32,'סופר פארם Raw'!$B$6:$B$771,2026)</f>
        <v>-5</v>
      </c>
      <c r="E32" s="12" t="n">
        <f aca="false">D32*$J$5</f>
        <v>-6.31578947368421</v>
      </c>
      <c r="F32" s="12" t="n">
        <f aca="false">E32-C32</f>
        <v>-440.315789473684</v>
      </c>
      <c r="G32" s="21" t="n">
        <f aca="false">IF(AND(C32=0,E32=0),0,IF(C32=0,"New",(E32-C32)/C32))</f>
        <v>-1.01455251030803</v>
      </c>
      <c r="H32" s="12" t="n">
        <f aca="false">SUMIFS('סופר פארם Raw'!$D$6:$D$771,'סופר פארם Raw'!$E$6:$E$771,$A32,'סופר פארם Raw'!$B$6:$B$771,2025)</f>
        <v>22846.7</v>
      </c>
      <c r="I32" s="12" t="n">
        <f aca="false">SUMIFS('סופר פארם Raw'!$D$6:$D$771,'סופר פארם Raw'!$E$6:$E$771,$A32,'סופר פארם Raw'!$B$6:$B$771,2026)</f>
        <v>-258.6</v>
      </c>
      <c r="J32" s="12" t="n">
        <f aca="false">I32*$J$5</f>
        <v>-326.652631578947</v>
      </c>
    </row>
    <row r="33" customFormat="false" ht="15" hidden="false" customHeight="true" outlineLevel="0" collapsed="false">
      <c r="A33" s="12" t="n">
        <v>4403029</v>
      </c>
      <c r="B33" s="12" t="str">
        <f aca="false">IFERROR(INDEX('Catalog'!$B:$B,MATCH($A33,'Catalog'!$A:$A,0)),"")</f>
        <v>397 39-42 גרבי טיסה מידה</v>
      </c>
      <c r="C33" s="12" t="n">
        <f aca="false">SUMIFS('סופר פארם Raw'!$C$6:$C$771,'סופר פארם Raw'!$E$6:$E$771,$A33,'סופר פארם Raw'!$B$6:$B$771,2025)</f>
        <v>545</v>
      </c>
      <c r="D33" s="12" t="n">
        <f aca="false">SUMIFS('סופר פארם Raw'!$C$6:$C$771,'סופר פארם Raw'!$E$6:$E$771,$A33,'סופר פארם Raw'!$B$6:$B$771,2026)</f>
        <v>-3</v>
      </c>
      <c r="E33" s="12" t="n">
        <f aca="false">D33*$J$5</f>
        <v>-3.78947368421053</v>
      </c>
      <c r="F33" s="12" t="n">
        <f aca="false">E33-C33</f>
        <v>-548.789473684211</v>
      </c>
      <c r="G33" s="21" t="n">
        <f aca="false">IF(AND(C33=0,E33=0),0,IF(C33=0,"New",(E33-C33)/C33))</f>
        <v>-1.00695316272332</v>
      </c>
      <c r="H33" s="12" t="n">
        <f aca="false">SUMIFS('סופר פארם Raw'!$D$6:$D$771,'סופר פארם Raw'!$E$6:$E$771,$A33,'סופר פארם Raw'!$B$6:$B$771,2025)</f>
        <v>28632.9</v>
      </c>
      <c r="I33" s="12" t="n">
        <f aca="false">SUMIFS('סופר פארם Raw'!$D$6:$D$771,'סופר פארם Raw'!$E$6:$E$771,$A33,'סופר פארם Raw'!$B$6:$B$771,2026)</f>
        <v>-153</v>
      </c>
      <c r="J33" s="12" t="n">
        <f aca="false">I33*$J$5</f>
        <v>-193.263157894737</v>
      </c>
    </row>
    <row r="34" customFormat="false" ht="15" hidden="false" customHeight="true" outlineLevel="0" collapsed="false">
      <c r="A34" s="12" t="n">
        <v>4403030</v>
      </c>
      <c r="B34" s="12" t="str">
        <f aca="false">IFERROR(INDEX('Catalog'!$B:$B,MATCH($A34,'Catalog'!$A:$A,0)),"")</f>
        <v>397 43-46 גרבי טיסה מידה</v>
      </c>
      <c r="C34" s="12" t="n">
        <f aca="false">SUMIFS('סופר פארם Raw'!$C$6:$C$771,'סופר פארם Raw'!$E$6:$E$771,$A34,'סופר פארם Raw'!$B$6:$B$771,2025)</f>
        <v>527</v>
      </c>
      <c r="D34" s="12" t="n">
        <f aca="false">SUMIFS('סופר פארם Raw'!$C$6:$C$771,'סופר פארם Raw'!$E$6:$E$771,$A34,'סופר פארם Raw'!$B$6:$B$771,2026)</f>
        <v>-2</v>
      </c>
      <c r="E34" s="12" t="n">
        <f aca="false">D34*$J$5</f>
        <v>-2.52631578947368</v>
      </c>
      <c r="F34" s="12" t="n">
        <f aca="false">E34-C34</f>
        <v>-529.526315789474</v>
      </c>
      <c r="G34" s="21" t="n">
        <f aca="false">IF(AND(C34=0,E34=0),0,IF(C34=0,"New",(E34-C34)/C34))</f>
        <v>-1.00479376810147</v>
      </c>
      <c r="H34" s="12" t="n">
        <f aca="false">SUMIFS('סופר פארם Raw'!$D$6:$D$771,'סופר פארם Raw'!$E$6:$E$771,$A34,'סופר פארם Raw'!$B$6:$B$771,2025)</f>
        <v>27725.3</v>
      </c>
      <c r="I34" s="12" t="n">
        <f aca="false">SUMIFS('סופר פארם Raw'!$D$6:$D$771,'סופר פארם Raw'!$E$6:$E$771,$A34,'סופר פארם Raw'!$B$6:$B$771,2026)</f>
        <v>-102.9</v>
      </c>
      <c r="J34" s="12" t="n">
        <f aca="false">I34*$J$5</f>
        <v>-129.978947368421</v>
      </c>
    </row>
    <row r="35" customFormat="false" ht="15" hidden="false" customHeight="true" outlineLevel="0" collapsed="false">
      <c r="A35" s="12" t="n">
        <v>4403040</v>
      </c>
      <c r="B35" s="12" t="str">
        <f aca="false">IFERROR(INDEX('Catalog'!$B:$B,MATCH($A35,'Catalog'!$A:$A,0)),"")</f>
        <v>3444B גרבי ג'ל לריכוך עור העקב</v>
      </c>
      <c r="C35" s="12" t="n">
        <f aca="false">SUMIFS('סופר פארם Raw'!$C$6:$C$771,'סופר פארם Raw'!$E$6:$E$771,$A35,'סופר פארם Raw'!$B$6:$B$771,2025)</f>
        <v>111</v>
      </c>
      <c r="D35" s="12" t="n">
        <f aca="false">SUMIFS('סופר פארם Raw'!$C$6:$C$771,'סופר פארם Raw'!$E$6:$E$771,$A35,'סופר פארם Raw'!$B$6:$B$771,2026)</f>
        <v>62</v>
      </c>
      <c r="E35" s="12" t="n">
        <f aca="false">D35*$J$5</f>
        <v>78.3157894736842</v>
      </c>
      <c r="F35" s="12" t="n">
        <f aca="false">E35-C35</f>
        <v>-32.6842105263158</v>
      </c>
      <c r="G35" s="21" t="n">
        <f aca="false">IF(AND(C35=0,E35=0),0,IF(C35=0,"New",(E35-C35)/C35))</f>
        <v>-0.294452347083926</v>
      </c>
      <c r="H35" s="12" t="n">
        <f aca="false">SUMIFS('סופר פארם Raw'!$D$6:$D$771,'סופר פארם Raw'!$E$6:$E$771,$A35,'סופר פארם Raw'!$B$6:$B$771,2025)</f>
        <v>3384.7</v>
      </c>
      <c r="I35" s="12" t="n">
        <f aca="false">SUMIFS('סופר פארם Raw'!$D$6:$D$771,'סופר פארם Raw'!$E$6:$E$771,$A35,'סופר פארם Raw'!$B$6:$B$771,2026)</f>
        <v>1987</v>
      </c>
      <c r="J35" s="12" t="n">
        <f aca="false">I35*$J$5</f>
        <v>2509.89473684211</v>
      </c>
    </row>
    <row r="36" customFormat="false" ht="15" hidden="false" customHeight="true" outlineLevel="0" collapsed="false">
      <c r="A36" s="12" t="n">
        <v>4403041</v>
      </c>
      <c r="B36" s="12" t="str">
        <f aca="false">IFERROR(INDEX('Catalog'!$B:$B,MATCH($A36,'Catalog'!$A:$A,0)),"")</f>
        <v>397A-גרבי טיסה אנטי בקטרי35-38</v>
      </c>
      <c r="C36" s="12" t="n">
        <f aca="false">SUMIFS('סופר פארם Raw'!$C$6:$C$771,'סופר פארם Raw'!$E$6:$E$771,$A36,'סופר פארם Raw'!$B$6:$B$771,2025)</f>
        <v>0</v>
      </c>
      <c r="D36" s="12" t="n">
        <f aca="false">SUMIFS('סופר פארם Raw'!$C$6:$C$771,'סופר פארם Raw'!$E$6:$E$771,$A36,'סופר פארם Raw'!$B$6:$B$771,2026)</f>
        <v>427</v>
      </c>
      <c r="E36" s="12" t="n">
        <f aca="false">D36*$J$5</f>
        <v>539.368421052632</v>
      </c>
      <c r="F36" s="12" t="n">
        <f aca="false">E36-C36</f>
        <v>539.368421052632</v>
      </c>
      <c r="G36" s="21" t="str">
        <f aca="false">IF(AND(C36=0,E36=0),0,IF(C36=0,"New",(E36-C36)/C36))</f>
        <v>New</v>
      </c>
      <c r="H36" s="12" t="n">
        <f aca="false">SUMIFS('סופר פארם Raw'!$D$6:$D$771,'סופר פארם Raw'!$E$6:$E$771,$A36,'סופר פארם Raw'!$B$6:$B$771,2025)</f>
        <v>0</v>
      </c>
      <c r="I36" s="12" t="n">
        <f aca="false">SUMIFS('סופר פארם Raw'!$D$6:$D$771,'סופר פארם Raw'!$E$6:$E$771,$A36,'סופר פארם Raw'!$B$6:$B$771,2026)</f>
        <v>23331.1</v>
      </c>
      <c r="J36" s="12" t="n">
        <f aca="false">I36*$J$5</f>
        <v>29470.8631578947</v>
      </c>
    </row>
    <row r="37" customFormat="false" ht="15" hidden="false" customHeight="true" outlineLevel="0" collapsed="false">
      <c r="A37" s="12" t="n">
        <v>4403042</v>
      </c>
      <c r="B37" s="12" t="str">
        <f aca="false">IFERROR(INDEX('Catalog'!$B:$B,MATCH($A37,'Catalog'!$A:$A,0)),"")</f>
        <v>397A-גרבי טיסה אנטי בקטרי39-42</v>
      </c>
      <c r="C37" s="12" t="n">
        <f aca="false">SUMIFS('סופר פארם Raw'!$C$6:$C$771,'סופר פארם Raw'!$E$6:$E$771,$A37,'סופר פארם Raw'!$B$6:$B$771,2025)</f>
        <v>0</v>
      </c>
      <c r="D37" s="12" t="n">
        <f aca="false">SUMIFS('סופר פארם Raw'!$C$6:$C$771,'סופר פארם Raw'!$E$6:$E$771,$A37,'סופר פארם Raw'!$B$6:$B$771,2026)</f>
        <v>647</v>
      </c>
      <c r="E37" s="12" t="n">
        <f aca="false">D37*$J$5</f>
        <v>817.263157894737</v>
      </c>
      <c r="F37" s="12" t="n">
        <f aca="false">E37-C37</f>
        <v>817.263157894737</v>
      </c>
      <c r="G37" s="21" t="str">
        <f aca="false">IF(AND(C37=0,E37=0),0,IF(C37=0,"New",(E37-C37)/C37))</f>
        <v>New</v>
      </c>
      <c r="H37" s="12" t="n">
        <f aca="false">SUMIFS('סופר פארם Raw'!$D$6:$D$771,'סופר פארם Raw'!$E$6:$E$771,$A37,'סופר פארם Raw'!$B$6:$B$771,2025)</f>
        <v>0</v>
      </c>
      <c r="I37" s="12" t="n">
        <f aca="false">SUMIFS('סופר פארם Raw'!$D$6:$D$771,'סופר פארם Raw'!$E$6:$E$771,$A37,'סופר פארם Raw'!$B$6:$B$771,2026)</f>
        <v>35342.4</v>
      </c>
      <c r="J37" s="12" t="n">
        <f aca="false">I37*$J$5</f>
        <v>44643.0315789474</v>
      </c>
    </row>
    <row r="38" customFormat="false" ht="15" hidden="false" customHeight="true" outlineLevel="0" collapsed="false">
      <c r="A38" s="12" t="n">
        <v>4403043</v>
      </c>
      <c r="B38" s="12" t="str">
        <f aca="false">IFERROR(INDEX('Catalog'!$B:$B,MATCH($A38,'Catalog'!$A:$A,0)),"")</f>
        <v>397A-גרבי טיסה אנטי בקטרי43-46</v>
      </c>
      <c r="C38" s="12" t="n">
        <f aca="false">SUMIFS('סופר פארם Raw'!$C$6:$C$771,'סופר פארם Raw'!$E$6:$E$771,$A38,'סופר פארם Raw'!$B$6:$B$771,2025)</f>
        <v>0</v>
      </c>
      <c r="D38" s="12" t="n">
        <f aca="false">SUMIFS('סופר פארם Raw'!$C$6:$C$771,'סופר פארם Raw'!$E$6:$E$771,$A38,'סופר פארם Raw'!$B$6:$B$771,2026)</f>
        <v>478</v>
      </c>
      <c r="E38" s="12" t="n">
        <f aca="false">D38*$J$5</f>
        <v>603.789473684211</v>
      </c>
      <c r="F38" s="12" t="n">
        <f aca="false">E38-C38</f>
        <v>603.789473684211</v>
      </c>
      <c r="G38" s="21" t="str">
        <f aca="false">IF(AND(C38=0,E38=0),0,IF(C38=0,"New",(E38-C38)/C38))</f>
        <v>New</v>
      </c>
      <c r="H38" s="12" t="n">
        <f aca="false">SUMIFS('סופר פארם Raw'!$D$6:$D$771,'סופר פארם Raw'!$E$6:$E$771,$A38,'סופר פארם Raw'!$B$6:$B$771,2025)</f>
        <v>0</v>
      </c>
      <c r="I38" s="12" t="n">
        <f aca="false">SUMIFS('סופר פארם Raw'!$D$6:$D$771,'סופר פארם Raw'!$E$6:$E$771,$A38,'סופר פארם Raw'!$B$6:$B$771,2026)</f>
        <v>26087.5</v>
      </c>
      <c r="J38" s="12" t="n">
        <f aca="false">I38*$J$5</f>
        <v>32952.6315789474</v>
      </c>
    </row>
    <row r="39" customFormat="false" ht="15" hidden="false" customHeight="true" outlineLevel="0" collapsed="false">
      <c r="A39" s="12" t="n">
        <v>4404000</v>
      </c>
      <c r="B39" s="12" t="str">
        <f aca="false">IFERROR(INDEX('Catalog'!$B:$B,MATCH($A39,'Catalog'!$A:$A,0)),"")</f>
        <v>FC330Z-תתדאו'אנטי בקט.לנעל120</v>
      </c>
      <c r="C39" s="12" t="n">
        <f aca="false">SUMIFS('סופר פארם Raw'!$C$6:$C$771,'סופר פארם Raw'!$E$6:$E$771,$A39,'סופר פארם Raw'!$B$6:$B$771,2025)</f>
        <v>-2</v>
      </c>
      <c r="D39" s="12" t="n">
        <f aca="false">SUMIFS('סופר פארם Raw'!$C$6:$C$771,'סופר פארם Raw'!$E$6:$E$771,$A39,'סופר פארם Raw'!$B$6:$B$771,2026)</f>
        <v>0</v>
      </c>
      <c r="E39" s="12" t="n">
        <f aca="false">D39*$J$5</f>
        <v>0</v>
      </c>
      <c r="F39" s="12" t="n">
        <f aca="false">E39-C39</f>
        <v>2</v>
      </c>
      <c r="G39" s="21" t="n">
        <f aca="false">IF(AND(C39=0,E39=0),0,IF(C39=0,"New",(E39-C39)/C39))</f>
        <v>-1</v>
      </c>
      <c r="H39" s="12" t="n">
        <f aca="false">SUMIFS('סופר פארם Raw'!$D$6:$D$771,'סופר פארם Raw'!$E$6:$E$771,$A39,'סופר פארם Raw'!$B$6:$B$771,2025)</f>
        <v>-47.1</v>
      </c>
      <c r="I39" s="12" t="n">
        <f aca="false">SUMIFS('סופר פארם Raw'!$D$6:$D$771,'סופר פארם Raw'!$E$6:$E$771,$A39,'סופר פארם Raw'!$B$6:$B$771,2026)</f>
        <v>0</v>
      </c>
      <c r="J39" s="12" t="n">
        <f aca="false">I39*$J$5</f>
        <v>0</v>
      </c>
    </row>
    <row r="40" customFormat="false" ht="15" hidden="false" customHeight="true" outlineLevel="0" collapsed="false">
      <c r="A40" s="12" t="n">
        <v>4408005</v>
      </c>
      <c r="B40" s="12" t="str">
        <f aca="false">IFERROR(INDEX('Catalog'!$B:$B,MATCH($A40,'Catalog'!$A:$A,0)),"")</f>
        <v>06 XXL ""ח.גב קלה ""מיקדו</v>
      </c>
      <c r="C40" s="12" t="n">
        <f aca="false">SUMIFS('סופר פארם Raw'!$C$6:$C$771,'סופר פארם Raw'!$E$6:$E$771,$A40,'סופר פארם Raw'!$B$6:$B$771,2025)</f>
        <v>-1</v>
      </c>
      <c r="D40" s="12" t="n">
        <f aca="false">SUMIFS('סופר פארם Raw'!$C$6:$C$771,'סופר פארם Raw'!$E$6:$E$771,$A40,'סופר פארם Raw'!$B$6:$B$771,2026)</f>
        <v>0</v>
      </c>
      <c r="E40" s="12" t="n">
        <f aca="false">D40*$J$5</f>
        <v>0</v>
      </c>
      <c r="F40" s="12" t="n">
        <f aca="false">E40-C40</f>
        <v>1</v>
      </c>
      <c r="G40" s="21" t="n">
        <f aca="false">IF(AND(C40=0,E40=0),0,IF(C40=0,"New",(E40-C40)/C40))</f>
        <v>-1</v>
      </c>
      <c r="H40" s="12" t="n">
        <f aca="false">SUMIFS('סופר פארם Raw'!$D$6:$D$771,'סופר פארם Raw'!$E$6:$E$771,$A40,'סופר פארם Raw'!$B$6:$B$771,2025)</f>
        <v>-147.4</v>
      </c>
      <c r="I40" s="12" t="n">
        <f aca="false">SUMIFS('סופר פארם Raw'!$D$6:$D$771,'סופר פארם Raw'!$E$6:$E$771,$A40,'סופר פארם Raw'!$B$6:$B$771,2026)</f>
        <v>0</v>
      </c>
      <c r="J40" s="12" t="n">
        <f aca="false">I40*$J$5</f>
        <v>0</v>
      </c>
    </row>
    <row r="41" customFormat="false" ht="15" hidden="false" customHeight="true" outlineLevel="0" collapsed="false">
      <c r="A41" s="12" t="n">
        <v>4408009</v>
      </c>
      <c r="B41" s="12" t="str">
        <f aca="false">IFERROR(INDEX('Catalog'!$B:$B,MATCH($A41,'Catalog'!$A:$A,0)),"")</f>
        <v>079 S ח.גב סג. כפולה שחור+אדום</v>
      </c>
      <c r="C41" s="12" t="n">
        <f aca="false">SUMIFS('סופר פארם Raw'!$C$6:$C$771,'סופר פארם Raw'!$E$6:$E$771,$A41,'סופר פארם Raw'!$B$6:$B$771,2025)</f>
        <v>2</v>
      </c>
      <c r="D41" s="12" t="n">
        <f aca="false">SUMIFS('סופר פארם Raw'!$C$6:$C$771,'סופר פארם Raw'!$E$6:$E$771,$A41,'סופר פארם Raw'!$B$6:$B$771,2026)</f>
        <v>-6</v>
      </c>
      <c r="E41" s="12" t="n">
        <f aca="false">D41*$J$5</f>
        <v>-7.57894736842105</v>
      </c>
      <c r="F41" s="12" t="n">
        <f aca="false">E41-C41</f>
        <v>-9.57894736842105</v>
      </c>
      <c r="G41" s="21" t="n">
        <f aca="false">IF(AND(C41=0,E41=0),0,IF(C41=0,"New",(E41-C41)/C41))</f>
        <v>-4.78947368421053</v>
      </c>
      <c r="H41" s="12" t="n">
        <f aca="false">SUMIFS('סופר פארם Raw'!$D$6:$D$771,'סופר פארם Raw'!$E$6:$E$771,$A41,'סופר פארם Raw'!$B$6:$B$771,2025)</f>
        <v>202.7</v>
      </c>
      <c r="I41" s="12" t="n">
        <f aca="false">SUMIFS('סופר פארם Raw'!$D$6:$D$771,'סופר פארם Raw'!$E$6:$E$771,$A41,'סופר פארם Raw'!$B$6:$B$771,2026)</f>
        <v>-539</v>
      </c>
      <c r="J41" s="12" t="n">
        <f aca="false">I41*$J$5</f>
        <v>-680.842105263158</v>
      </c>
    </row>
    <row r="42" customFormat="false" ht="15" hidden="false" customHeight="true" outlineLevel="0" collapsed="false">
      <c r="A42" s="12" t="n">
        <v>4408010</v>
      </c>
      <c r="B42" s="12" t="str">
        <f aca="false">IFERROR(INDEX('Catalog'!$B:$B,MATCH($A42,'Catalog'!$A:$A,0)),"")</f>
        <v>079 L ח.גב סג.כפולה שחור+אדום</v>
      </c>
      <c r="C42" s="12" t="n">
        <f aca="false">SUMIFS('סופר פארם Raw'!$C$6:$C$771,'סופר פארם Raw'!$E$6:$E$771,$A42,'סופר פארם Raw'!$B$6:$B$771,2025)</f>
        <v>-3</v>
      </c>
      <c r="D42" s="12" t="n">
        <f aca="false">SUMIFS('סופר פארם Raw'!$C$6:$C$771,'סופר פארם Raw'!$E$6:$E$771,$A42,'סופר פארם Raw'!$B$6:$B$771,2026)</f>
        <v>-3</v>
      </c>
      <c r="E42" s="12" t="n">
        <f aca="false">D42*$J$5</f>
        <v>-3.78947368421053</v>
      </c>
      <c r="F42" s="12" t="n">
        <f aca="false">E42-C42</f>
        <v>-0.789473684210526</v>
      </c>
      <c r="G42" s="21" t="n">
        <f aca="false">IF(AND(C42=0,E42=0),0,IF(C42=0,"New",(E42-C42)/C42))</f>
        <v>0.263157894736842</v>
      </c>
      <c r="H42" s="12" t="n">
        <f aca="false">SUMIFS('סופר פארם Raw'!$D$6:$D$771,'סופר פארם Raw'!$E$6:$E$771,$A42,'סופר פארם Raw'!$B$6:$B$771,2025)</f>
        <v>-265.4</v>
      </c>
      <c r="I42" s="12" t="n">
        <f aca="false">SUMIFS('סופר פארם Raw'!$D$6:$D$771,'סופר פארם Raw'!$E$6:$E$771,$A42,'סופר פארם Raw'!$B$6:$B$771,2026)</f>
        <v>-276.4</v>
      </c>
      <c r="J42" s="12" t="n">
        <f aca="false">I42*$J$5</f>
        <v>-349.136842105263</v>
      </c>
    </row>
    <row r="43" customFormat="false" ht="15" hidden="false" customHeight="true" outlineLevel="0" collapsed="false">
      <c r="A43" s="12" t="n">
        <v>4408011</v>
      </c>
      <c r="B43" s="12" t="str">
        <f aca="false">IFERROR(INDEX('Catalog'!$B:$B,MATCH($A43,'Catalog'!$A:$A,0)),"")</f>
        <v>079  M ח.גב סג.כפולה שחור+אדום</v>
      </c>
      <c r="C43" s="12" t="n">
        <f aca="false">SUMIFS('סופר פארם Raw'!$C$6:$C$771,'סופר פארם Raw'!$E$6:$E$771,$A43,'סופר פארם Raw'!$B$6:$B$771,2025)</f>
        <v>-2</v>
      </c>
      <c r="D43" s="12" t="n">
        <f aca="false">SUMIFS('סופר פארם Raw'!$C$6:$C$771,'סופר פארם Raw'!$E$6:$E$771,$A43,'סופר פארם Raw'!$B$6:$B$771,2026)</f>
        <v>-2</v>
      </c>
      <c r="E43" s="12" t="n">
        <f aca="false">D43*$J$5</f>
        <v>-2.52631578947368</v>
      </c>
      <c r="F43" s="12" t="n">
        <f aca="false">E43-C43</f>
        <v>-0.526315789473684</v>
      </c>
      <c r="G43" s="21" t="n">
        <f aca="false">IF(AND(C43=0,E43=0),0,IF(C43=0,"New",(E43-C43)/C43))</f>
        <v>0.263157894736842</v>
      </c>
      <c r="H43" s="12" t="n">
        <f aca="false">SUMIFS('סופר פארם Raw'!$D$6:$D$771,'סופר פארם Raw'!$E$6:$E$771,$A43,'סופר פארם Raw'!$B$6:$B$771,2025)</f>
        <v>-151.1</v>
      </c>
      <c r="I43" s="12" t="n">
        <f aca="false">SUMIFS('סופר פארם Raw'!$D$6:$D$771,'סופר פארם Raw'!$E$6:$E$771,$A43,'סופר פארם Raw'!$B$6:$B$771,2026)</f>
        <v>-173.2</v>
      </c>
      <c r="J43" s="12" t="n">
        <f aca="false">I43*$J$5</f>
        <v>-218.778947368421</v>
      </c>
    </row>
    <row r="44" customFormat="false" ht="15" hidden="false" customHeight="true" outlineLevel="0" collapsed="false">
      <c r="A44" s="12" t="n">
        <v>4408012</v>
      </c>
      <c r="B44" s="12" t="str">
        <f aca="false">IFERROR(INDEX('Catalog'!$B:$B,MATCH($A44,'Catalog'!$A:$A,0)),"")</f>
        <v>079 XL ח.גב סג.כפולה שחור+אדום</v>
      </c>
      <c r="C44" s="12" t="n">
        <f aca="false">SUMIFS('סופר פארם Raw'!$C$6:$C$771,'סופר פארם Raw'!$E$6:$E$771,$A44,'סופר פארם Raw'!$B$6:$B$771,2025)</f>
        <v>-6</v>
      </c>
      <c r="D44" s="12" t="n">
        <f aca="false">SUMIFS('סופר פארם Raw'!$C$6:$C$771,'סופר פארם Raw'!$E$6:$E$771,$A44,'סופר פארם Raw'!$B$6:$B$771,2026)</f>
        <v>-3</v>
      </c>
      <c r="E44" s="12" t="n">
        <f aca="false">D44*$J$5</f>
        <v>-3.78947368421053</v>
      </c>
      <c r="F44" s="12" t="n">
        <f aca="false">E44-C44</f>
        <v>2.21052631578947</v>
      </c>
      <c r="G44" s="21" t="n">
        <f aca="false">IF(AND(C44=0,E44=0),0,IF(C44=0,"New",(E44-C44)/C44))</f>
        <v>-0.368421052631579</v>
      </c>
      <c r="H44" s="12" t="n">
        <f aca="false">SUMIFS('סופר פארם Raw'!$D$6:$D$771,'סופר פארם Raw'!$E$6:$E$771,$A44,'סופר פארם Raw'!$B$6:$B$771,2025)</f>
        <v>-507.7</v>
      </c>
      <c r="I44" s="12" t="n">
        <f aca="false">SUMIFS('סופר פארם Raw'!$D$6:$D$771,'סופר פארם Raw'!$E$6:$E$771,$A44,'סופר פארם Raw'!$B$6:$B$771,2026)</f>
        <v>-270</v>
      </c>
      <c r="J44" s="12" t="n">
        <f aca="false">I44*$J$5</f>
        <v>-341.052631578947</v>
      </c>
    </row>
    <row r="45" customFormat="false" ht="15" hidden="false" customHeight="true" outlineLevel="0" collapsed="false">
      <c r="A45" s="12" t="n">
        <v>4408013</v>
      </c>
      <c r="B45" s="12" t="str">
        <f aca="false">IFERROR(INDEX('Catalog'!$B:$B,MATCH($A45,'Catalog'!$A:$A,0)),"")</f>
        <v>079 XXLח.גב סג.כפולה שחור+אדום</v>
      </c>
      <c r="C45" s="12" t="n">
        <f aca="false">SUMIFS('סופר פארם Raw'!$C$6:$C$771,'סופר פארם Raw'!$E$6:$E$771,$A45,'סופר פארם Raw'!$B$6:$B$771,2025)</f>
        <v>3</v>
      </c>
      <c r="D45" s="12" t="n">
        <f aca="false">SUMIFS('סופר פארם Raw'!$C$6:$C$771,'סופר פארם Raw'!$E$6:$E$771,$A45,'סופר פארם Raw'!$B$6:$B$771,2026)</f>
        <v>0</v>
      </c>
      <c r="E45" s="12" t="n">
        <f aca="false">D45*$J$5</f>
        <v>0</v>
      </c>
      <c r="F45" s="12" t="n">
        <f aca="false">E45-C45</f>
        <v>-3</v>
      </c>
      <c r="G45" s="21" t="n">
        <f aca="false">IF(AND(C45=0,E45=0),0,IF(C45=0,"New",(E45-C45)/C45))</f>
        <v>-1</v>
      </c>
      <c r="H45" s="12" t="n">
        <f aca="false">SUMIFS('סופר פארם Raw'!$D$6:$D$771,'סופר פארם Raw'!$E$6:$E$771,$A45,'סופר פארם Raw'!$B$6:$B$771,2025)</f>
        <v>276.4</v>
      </c>
      <c r="I45" s="12" t="n">
        <f aca="false">SUMIFS('סופר פארם Raw'!$D$6:$D$771,'סופר פארם Raw'!$E$6:$E$771,$A45,'סופר פארם Raw'!$B$6:$B$771,2026)</f>
        <v>0</v>
      </c>
      <c r="J45" s="12" t="n">
        <f aca="false">I45*$J$5</f>
        <v>0</v>
      </c>
    </row>
    <row r="46" customFormat="false" ht="15" hidden="false" customHeight="true" outlineLevel="0" collapsed="false">
      <c r="A46" s="12" t="n">
        <v>4408017</v>
      </c>
      <c r="B46" s="12" t="str">
        <f aca="false">IFERROR(INDEX('Catalog'!$B:$B,MATCH($A46,'Catalog'!$A:$A,0)),"")</f>
        <v>07AU XL ח.גב ""איטלקית"" אורירית</v>
      </c>
      <c r="C46" s="12" t="n">
        <f aca="false">SUMIFS('סופר פארם Raw'!$C$6:$C$771,'סופר פארם Raw'!$E$6:$E$771,$A46,'סופר פארם Raw'!$B$6:$B$771,2025)</f>
        <v>-1</v>
      </c>
      <c r="D46" s="12" t="n">
        <f aca="false">SUMIFS('סופר פארם Raw'!$C$6:$C$771,'סופר פארם Raw'!$E$6:$E$771,$A46,'סופר פארם Raw'!$B$6:$B$771,2026)</f>
        <v>-1</v>
      </c>
      <c r="E46" s="12" t="n">
        <f aca="false">D46*$J$5</f>
        <v>-1.26315789473684</v>
      </c>
      <c r="F46" s="12" t="n">
        <f aca="false">E46-C46</f>
        <v>-0.263157894736842</v>
      </c>
      <c r="G46" s="21" t="n">
        <f aca="false">IF(AND(C46=0,E46=0),0,IF(C46=0,"New",(E46-C46)/C46))</f>
        <v>0.263157894736842</v>
      </c>
      <c r="H46" s="12" t="n">
        <f aca="false">SUMIFS('סופר פארם Raw'!$D$6:$D$771,'סופר פארם Raw'!$E$6:$E$771,$A46,'סופר פארם Raw'!$B$6:$B$771,2025)</f>
        <v>-215.4</v>
      </c>
      <c r="I46" s="12" t="n">
        <f aca="false">SUMIFS('סופר פארם Raw'!$D$6:$D$771,'סופר פארם Raw'!$E$6:$E$771,$A46,'סופר פארם Raw'!$B$6:$B$771,2026)</f>
        <v>-215.4</v>
      </c>
      <c r="J46" s="12" t="n">
        <f aca="false">I46*$J$5</f>
        <v>-272.084210526316</v>
      </c>
    </row>
    <row r="47" customFormat="false" ht="15" hidden="false" customHeight="true" outlineLevel="0" collapsed="false">
      <c r="A47" s="12" t="n">
        <v>4408026</v>
      </c>
      <c r="B47" s="12" t="str">
        <f aca="false">IFERROR(INDEX('Catalog'!$B:$B,MATCH($A47,'Catalog'!$A:$A,0)),"")</f>
        <v>10 S ""חגורת גב ""לומבו</v>
      </c>
      <c r="C47" s="12" t="n">
        <f aca="false">SUMIFS('סופר פארם Raw'!$C$6:$C$771,'סופר פארם Raw'!$E$6:$E$771,$A47,'סופר פארם Raw'!$B$6:$B$771,2025)</f>
        <v>6</v>
      </c>
      <c r="D47" s="12" t="n">
        <f aca="false">SUMIFS('סופר פארם Raw'!$C$6:$C$771,'סופר פארם Raw'!$E$6:$E$771,$A47,'סופר פארם Raw'!$B$6:$B$771,2026)</f>
        <v>-4</v>
      </c>
      <c r="E47" s="12" t="n">
        <f aca="false">D47*$J$5</f>
        <v>-5.05263157894737</v>
      </c>
      <c r="F47" s="12" t="n">
        <f aca="false">E47-C47</f>
        <v>-11.0526315789474</v>
      </c>
      <c r="G47" s="21" t="n">
        <f aca="false">IF(AND(C47=0,E47=0),0,IF(C47=0,"New",(E47-C47)/C47))</f>
        <v>-1.84210526315789</v>
      </c>
      <c r="H47" s="12" t="n">
        <f aca="false">SUMIFS('סופר פארם Raw'!$D$6:$D$771,'סופר פארם Raw'!$E$6:$E$771,$A47,'סופר פארם Raw'!$B$6:$B$771,2025)</f>
        <v>786.4</v>
      </c>
      <c r="I47" s="12" t="n">
        <f aca="false">SUMIFS('סופר פארם Raw'!$D$6:$D$771,'סופר פארם Raw'!$E$6:$E$771,$A47,'סופר פארם Raw'!$B$6:$B$771,2026)</f>
        <v>-524.2</v>
      </c>
      <c r="J47" s="12" t="n">
        <f aca="false">I47*$J$5</f>
        <v>-662.147368421053</v>
      </c>
    </row>
    <row r="48" customFormat="false" ht="15" hidden="false" customHeight="true" outlineLevel="0" collapsed="false">
      <c r="A48" s="12" t="n">
        <v>4408027</v>
      </c>
      <c r="B48" s="12" t="str">
        <f aca="false">IFERROR(INDEX('Catalog'!$B:$B,MATCH($A48,'Catalog'!$A:$A,0)),"")</f>
        <v>10 L ""חגורת גב ""לומבו</v>
      </c>
      <c r="C48" s="12" t="n">
        <f aca="false">SUMIFS('סופר פארם Raw'!$C$6:$C$771,'סופר פארם Raw'!$E$6:$E$771,$A48,'סופר פארם Raw'!$B$6:$B$771,2025)</f>
        <v>58</v>
      </c>
      <c r="D48" s="12" t="n">
        <f aca="false">SUMIFS('סופר פארם Raw'!$C$6:$C$771,'סופר פארם Raw'!$E$6:$E$771,$A48,'סופר פארם Raw'!$B$6:$B$771,2026)</f>
        <v>14</v>
      </c>
      <c r="E48" s="12" t="n">
        <f aca="false">D48*$J$5</f>
        <v>17.6842105263158</v>
      </c>
      <c r="F48" s="12" t="n">
        <f aca="false">E48-C48</f>
        <v>-40.3157894736842</v>
      </c>
      <c r="G48" s="21" t="n">
        <f aca="false">IF(AND(C48=0,E48=0),0,IF(C48=0,"New",(E48-C48)/C48))</f>
        <v>-0.695099818511797</v>
      </c>
      <c r="H48" s="12" t="n">
        <f aca="false">SUMIFS('סופר פארם Raw'!$D$6:$D$771,'סופר פארם Raw'!$E$6:$E$771,$A48,'סופר פארם Raw'!$B$6:$B$771,2025)</f>
        <v>7575.9</v>
      </c>
      <c r="I48" s="12" t="n">
        <f aca="false">SUMIFS('סופר פארם Raw'!$D$6:$D$771,'סופר פארם Raw'!$E$6:$E$771,$A48,'סופר פארם Raw'!$B$6:$B$771,2026)</f>
        <v>1877.2</v>
      </c>
      <c r="J48" s="12" t="n">
        <f aca="false">I48*$J$5</f>
        <v>2371.2</v>
      </c>
    </row>
    <row r="49" customFormat="false" ht="15" hidden="false" customHeight="true" outlineLevel="0" collapsed="false">
      <c r="A49" s="12" t="n">
        <v>4408028</v>
      </c>
      <c r="B49" s="12" t="str">
        <f aca="false">IFERROR(INDEX('Catalog'!$B:$B,MATCH($A49,'Catalog'!$A:$A,0)),"")</f>
        <v>10 M ""חגורת גב ""לומבו</v>
      </c>
      <c r="C49" s="12" t="n">
        <f aca="false">SUMIFS('סופר פארם Raw'!$C$6:$C$771,'סופר פארם Raw'!$E$6:$E$771,$A49,'סופר פארם Raw'!$B$6:$B$771,2025)</f>
        <v>37</v>
      </c>
      <c r="D49" s="12" t="n">
        <f aca="false">SUMIFS('סופר פארם Raw'!$C$6:$C$771,'סופר פארם Raw'!$E$6:$E$771,$A49,'סופר פארם Raw'!$B$6:$B$771,2026)</f>
        <v>8</v>
      </c>
      <c r="E49" s="12" t="n">
        <f aca="false">D49*$J$5</f>
        <v>10.1052631578947</v>
      </c>
      <c r="F49" s="12" t="n">
        <f aca="false">E49-C49</f>
        <v>-26.8947368421053</v>
      </c>
      <c r="G49" s="21" t="n">
        <f aca="false">IF(AND(C49=0,E49=0),0,IF(C49=0,"New",(E49-C49)/C49))</f>
        <v>-0.726884779516358</v>
      </c>
      <c r="H49" s="12" t="n">
        <f aca="false">SUMIFS('סופר פארם Raw'!$D$6:$D$771,'סופר פארם Raw'!$E$6:$E$771,$A49,'סופר פארם Raw'!$B$6:$B$771,2025)</f>
        <v>4875.8</v>
      </c>
      <c r="I49" s="12" t="n">
        <f aca="false">SUMIFS('סופר פארם Raw'!$D$6:$D$771,'סופר פארם Raw'!$E$6:$E$771,$A49,'סופר פארם Raw'!$B$6:$B$771,2026)</f>
        <v>1093.8</v>
      </c>
      <c r="J49" s="12" t="n">
        <f aca="false">I49*$J$5</f>
        <v>1381.64210526316</v>
      </c>
    </row>
    <row r="50" customFormat="false" ht="15" hidden="false" customHeight="true" outlineLevel="0" collapsed="false">
      <c r="A50" s="12" t="n">
        <v>4408029</v>
      </c>
      <c r="B50" s="12" t="str">
        <f aca="false">IFERROR(INDEX('Catalog'!$B:$B,MATCH($A50,'Catalog'!$A:$A,0)),"")</f>
        <v>10 XL ""חגורת גב ""לומבו</v>
      </c>
      <c r="C50" s="12" t="n">
        <f aca="false">SUMIFS('סופר פארם Raw'!$C$6:$C$771,'סופר פארם Raw'!$E$6:$E$771,$A50,'סופר פארם Raw'!$B$6:$B$771,2025)</f>
        <v>65</v>
      </c>
      <c r="D50" s="12" t="n">
        <f aca="false">SUMIFS('סופר פארם Raw'!$C$6:$C$771,'סופר פארם Raw'!$E$6:$E$771,$A50,'סופר פארם Raw'!$B$6:$B$771,2026)</f>
        <v>27</v>
      </c>
      <c r="E50" s="12" t="n">
        <f aca="false">D50*$J$5</f>
        <v>34.1052631578947</v>
      </c>
      <c r="F50" s="12" t="n">
        <f aca="false">E50-C50</f>
        <v>-30.8947368421053</v>
      </c>
      <c r="G50" s="21" t="n">
        <f aca="false">IF(AND(C50=0,E50=0),0,IF(C50=0,"New",(E50-C50)/C50))</f>
        <v>-0.475303643724696</v>
      </c>
      <c r="H50" s="12" t="n">
        <f aca="false">SUMIFS('סופר פארם Raw'!$D$6:$D$771,'סופר פארם Raw'!$E$6:$E$771,$A50,'סופר פארם Raw'!$B$6:$B$771,2025)</f>
        <v>8519.6</v>
      </c>
      <c r="I50" s="12" t="n">
        <f aca="false">SUMIFS('סופר פארם Raw'!$D$6:$D$771,'סופר פארם Raw'!$E$6:$E$771,$A50,'סופר פארם Raw'!$B$6:$B$771,2026)</f>
        <v>3584.9</v>
      </c>
      <c r="J50" s="12" t="n">
        <f aca="false">I50*$J$5</f>
        <v>4528.29473684211</v>
      </c>
    </row>
    <row r="51" customFormat="false" ht="15" hidden="false" customHeight="true" outlineLevel="0" collapsed="false">
      <c r="A51" s="12" t="n">
        <v>4408030</v>
      </c>
      <c r="B51" s="12" t="str">
        <f aca="false">IFERROR(INDEX('Catalog'!$B:$B,MATCH($A51,'Catalog'!$A:$A,0)),"")</f>
        <v>10 XXL""חגורת גב ""לומבו</v>
      </c>
      <c r="C51" s="12" t="n">
        <f aca="false">SUMIFS('סופר פארם Raw'!$C$6:$C$771,'סופר פארם Raw'!$E$6:$E$771,$A51,'סופר פארם Raw'!$B$6:$B$771,2025)</f>
        <v>4</v>
      </c>
      <c r="D51" s="12" t="n">
        <f aca="false">SUMIFS('סופר פארם Raw'!$C$6:$C$771,'סופר פארם Raw'!$E$6:$E$771,$A51,'סופר פארם Raw'!$B$6:$B$771,2026)</f>
        <v>0</v>
      </c>
      <c r="E51" s="12" t="n">
        <f aca="false">D51*$J$5</f>
        <v>0</v>
      </c>
      <c r="F51" s="12" t="n">
        <f aca="false">E51-C51</f>
        <v>-4</v>
      </c>
      <c r="G51" s="21" t="n">
        <f aca="false">IF(AND(C51=0,E51=0),0,IF(C51=0,"New",(E51-C51)/C51))</f>
        <v>-1</v>
      </c>
      <c r="H51" s="12" t="n">
        <f aca="false">SUMIFS('סופר פארם Raw'!$D$6:$D$771,'סופר פארם Raw'!$E$6:$E$771,$A51,'סופר פארם Raw'!$B$6:$B$771,2025)</f>
        <v>524.2</v>
      </c>
      <c r="I51" s="12" t="n">
        <f aca="false">SUMIFS('סופר פארם Raw'!$D$6:$D$771,'סופר פארם Raw'!$E$6:$E$771,$A51,'סופר פארם Raw'!$B$6:$B$771,2026)</f>
        <v>0</v>
      </c>
      <c r="J51" s="12" t="n">
        <f aca="false">I51*$J$5</f>
        <v>0</v>
      </c>
    </row>
    <row r="52" customFormat="false" ht="15" hidden="false" customHeight="true" outlineLevel="0" collapsed="false">
      <c r="A52" s="12" t="n">
        <v>4408031</v>
      </c>
      <c r="B52" s="12" t="str">
        <f aca="false">IFERROR(INDEX('Catalog'!$B:$B,MATCH($A52,'Catalog'!$A:$A,0)),"")</f>
        <v>11 S""חגורת בטן""אורירית</v>
      </c>
      <c r="C52" s="12" t="n">
        <f aca="false">SUMIFS('סופר פארם Raw'!$C$6:$C$771,'סופר פארם Raw'!$E$6:$E$771,$A52,'סופר פארם Raw'!$B$6:$B$771,2025)</f>
        <v>147</v>
      </c>
      <c r="D52" s="12" t="n">
        <f aca="false">SUMIFS('סופר פארם Raw'!$C$6:$C$771,'סופר פארם Raw'!$E$6:$E$771,$A52,'סופר פארם Raw'!$B$6:$B$771,2026)</f>
        <v>92</v>
      </c>
      <c r="E52" s="12" t="n">
        <f aca="false">D52*$J$5</f>
        <v>116.210526315789</v>
      </c>
      <c r="F52" s="12" t="n">
        <f aca="false">E52-C52</f>
        <v>-30.7894736842105</v>
      </c>
      <c r="G52" s="21" t="n">
        <f aca="false">IF(AND(C52=0,E52=0),0,IF(C52=0,"New",(E52-C52)/C52))</f>
        <v>-0.209452201933405</v>
      </c>
      <c r="H52" s="12" t="n">
        <f aca="false">SUMIFS('סופר פארם Raw'!$D$6:$D$771,'סופר פארם Raw'!$E$6:$E$771,$A52,'סופר פארם Raw'!$B$6:$B$771,2025)</f>
        <v>13244.7</v>
      </c>
      <c r="I52" s="12" t="n">
        <f aca="false">SUMIFS('סופר פארם Raw'!$D$6:$D$771,'סופר פארם Raw'!$E$6:$E$771,$A52,'סופר פארם Raw'!$B$6:$B$771,2026)</f>
        <v>8511.5</v>
      </c>
      <c r="J52" s="12" t="n">
        <f aca="false">I52*$J$5</f>
        <v>10751.3684210526</v>
      </c>
    </row>
    <row r="53" customFormat="false" ht="15" hidden="false" customHeight="true" outlineLevel="0" collapsed="false">
      <c r="A53" s="12" t="n">
        <v>4408032</v>
      </c>
      <c r="B53" s="12" t="str">
        <f aca="false">IFERROR(INDEX('Catalog'!$B:$B,MATCH($A53,'Catalog'!$A:$A,0)),"")</f>
        <v>11 L""חגורת בטן""אורירית</v>
      </c>
      <c r="C53" s="12" t="n">
        <f aca="false">SUMIFS('סופר פארם Raw'!$C$6:$C$771,'סופר פארם Raw'!$E$6:$E$771,$A53,'סופר פארם Raw'!$B$6:$B$771,2025)</f>
        <v>412</v>
      </c>
      <c r="D53" s="12" t="n">
        <f aca="false">SUMIFS('סופר פארם Raw'!$C$6:$C$771,'סופר פארם Raw'!$E$6:$E$771,$A53,'סופר פארם Raw'!$B$6:$B$771,2026)</f>
        <v>249</v>
      </c>
      <c r="E53" s="12" t="n">
        <f aca="false">D53*$J$5</f>
        <v>314.526315789474</v>
      </c>
      <c r="F53" s="12" t="n">
        <f aca="false">E53-C53</f>
        <v>-97.4736842105264</v>
      </c>
      <c r="G53" s="21" t="n">
        <f aca="false">IF(AND(C53=0,E53=0),0,IF(C53=0,"New",(E53-C53)/C53))</f>
        <v>-0.236586612161472</v>
      </c>
      <c r="H53" s="12" t="n">
        <f aca="false">SUMIFS('סופר פארם Raw'!$D$6:$D$771,'סופר פארם Raw'!$E$6:$E$771,$A53,'סופר פארם Raw'!$B$6:$B$771,2025)</f>
        <v>37050.2</v>
      </c>
      <c r="I53" s="12" t="n">
        <f aca="false">SUMIFS('סופר פארם Raw'!$D$6:$D$771,'סופר פארם Raw'!$E$6:$E$771,$A53,'סופר פארם Raw'!$B$6:$B$771,2026)</f>
        <v>22569.3</v>
      </c>
      <c r="J53" s="12" t="n">
        <f aca="false">I53*$J$5</f>
        <v>28508.5894736842</v>
      </c>
    </row>
    <row r="54" customFormat="false" ht="15" hidden="false" customHeight="true" outlineLevel="0" collapsed="false">
      <c r="A54" s="12" t="n">
        <v>4408033</v>
      </c>
      <c r="B54" s="12" t="str">
        <f aca="false">IFERROR(INDEX('Catalog'!$B:$B,MATCH($A54,'Catalog'!$A:$A,0)),"")</f>
        <v>11 M""חגורת בטן""אורירית</v>
      </c>
      <c r="C54" s="12" t="n">
        <f aca="false">SUMIFS('סופר פארם Raw'!$C$6:$C$771,'סופר פארם Raw'!$E$6:$E$771,$A54,'סופר פארם Raw'!$B$6:$B$771,2025)</f>
        <v>313</v>
      </c>
      <c r="D54" s="12" t="n">
        <f aca="false">SUMIFS('סופר פארם Raw'!$C$6:$C$771,'סופר פארם Raw'!$E$6:$E$771,$A54,'סופר פארם Raw'!$B$6:$B$771,2026)</f>
        <v>177</v>
      </c>
      <c r="E54" s="12" t="n">
        <f aca="false">D54*$J$5</f>
        <v>223.578947368421</v>
      </c>
      <c r="F54" s="12" t="n">
        <f aca="false">E54-C54</f>
        <v>-89.421052631579</v>
      </c>
      <c r="G54" s="21" t="n">
        <f aca="false">IF(AND(C54=0,E54=0),0,IF(C54=0,"New",(E54-C54)/C54))</f>
        <v>-0.285690263998655</v>
      </c>
      <c r="H54" s="12" t="n">
        <f aca="false">SUMIFS('סופר פארם Raw'!$D$6:$D$771,'סופר פארם Raw'!$E$6:$E$771,$A54,'סופר פארם Raw'!$B$6:$B$771,2025)</f>
        <v>28070.8</v>
      </c>
      <c r="I54" s="12" t="n">
        <f aca="false">SUMIFS('סופר פארם Raw'!$D$6:$D$771,'סופר פארם Raw'!$E$6:$E$771,$A54,'סופר פארם Raw'!$B$6:$B$771,2026)</f>
        <v>16016.5</v>
      </c>
      <c r="J54" s="12" t="n">
        <f aca="false">I54*$J$5</f>
        <v>20231.3684210526</v>
      </c>
    </row>
    <row r="55" customFormat="false" ht="15" hidden="false" customHeight="true" outlineLevel="0" collapsed="false">
      <c r="A55" s="12" t="n">
        <v>4408034</v>
      </c>
      <c r="B55" s="12" t="str">
        <f aca="false">IFERROR(INDEX('Catalog'!$B:$B,MATCH($A55,'Catalog'!$A:$A,0)),"")</f>
        <v>11 XL""חגורת בטן""אורירית</v>
      </c>
      <c r="C55" s="12" t="n">
        <f aca="false">SUMIFS('סופר פארם Raw'!$C$6:$C$771,'סופר פארם Raw'!$E$6:$E$771,$A55,'סופר פארם Raw'!$B$6:$B$771,2025)</f>
        <v>399</v>
      </c>
      <c r="D55" s="12" t="n">
        <f aca="false">SUMIFS('סופר פארם Raw'!$C$6:$C$771,'סופר פארם Raw'!$E$6:$E$771,$A55,'סופר פארם Raw'!$B$6:$B$771,2026)</f>
        <v>241</v>
      </c>
      <c r="E55" s="12" t="n">
        <f aca="false">D55*$J$5</f>
        <v>304.421052631579</v>
      </c>
      <c r="F55" s="12" t="n">
        <f aca="false">E55-C55</f>
        <v>-94.5789473684211</v>
      </c>
      <c r="G55" s="21" t="n">
        <f aca="false">IF(AND(C55=0,E55=0),0,IF(C55=0,"New",(E55-C55)/C55))</f>
        <v>-0.237039968341908</v>
      </c>
      <c r="H55" s="12" t="n">
        <f aca="false">SUMIFS('סופר פארם Raw'!$D$6:$D$771,'סופר פארם Raw'!$E$6:$E$771,$A55,'סופר פארם Raw'!$B$6:$B$771,2025)</f>
        <v>35878.9</v>
      </c>
      <c r="I55" s="12" t="n">
        <f aca="false">SUMIFS('סופר פארם Raw'!$D$6:$D$771,'סופר פארם Raw'!$E$6:$E$771,$A55,'סופר פארם Raw'!$B$6:$B$771,2026)</f>
        <v>21722.1</v>
      </c>
      <c r="J55" s="12" t="n">
        <f aca="false">I55*$J$5</f>
        <v>27438.4421052632</v>
      </c>
    </row>
    <row r="56" customFormat="false" ht="15" hidden="false" customHeight="true" outlineLevel="0" collapsed="false">
      <c r="A56" s="12" t="n">
        <v>4408035</v>
      </c>
      <c r="B56" s="12" t="str">
        <f aca="false">IFERROR(INDEX('Catalog'!$B:$B,MATCH($A56,'Catalog'!$A:$A,0)),"")</f>
        <v>11 XXL""חגורת בטן""אורירית</v>
      </c>
      <c r="C56" s="12" t="n">
        <f aca="false">SUMIFS('סופר פארם Raw'!$C$6:$C$771,'סופר פארם Raw'!$E$6:$E$771,$A56,'סופר פארם Raw'!$B$6:$B$771,2025)</f>
        <v>98</v>
      </c>
      <c r="D56" s="12" t="n">
        <f aca="false">SUMIFS('סופר פארם Raw'!$C$6:$C$771,'סופר פארם Raw'!$E$6:$E$771,$A56,'סופר פארם Raw'!$B$6:$B$771,2026)</f>
        <v>46</v>
      </c>
      <c r="E56" s="12" t="n">
        <f aca="false">D56*$J$5</f>
        <v>58.1052631578947</v>
      </c>
      <c r="F56" s="12" t="n">
        <f aca="false">E56-C56</f>
        <v>-39.8947368421053</v>
      </c>
      <c r="G56" s="21" t="n">
        <f aca="false">IF(AND(C56=0,E56=0),0,IF(C56=0,"New",(E56-C56)/C56))</f>
        <v>-0.407089151450054</v>
      </c>
      <c r="H56" s="12" t="n">
        <f aca="false">SUMIFS('סופר פארם Raw'!$D$6:$D$771,'סופר פארם Raw'!$E$6:$E$771,$A56,'סופר פארם Raw'!$B$6:$B$771,2025)</f>
        <v>8750.6</v>
      </c>
      <c r="I56" s="12" t="n">
        <f aca="false">SUMIFS('סופר פארם Raw'!$D$6:$D$771,'סופר פארם Raw'!$E$6:$E$771,$A56,'סופר פארם Raw'!$B$6:$B$771,2026)</f>
        <v>4137.7</v>
      </c>
      <c r="J56" s="12" t="n">
        <f aca="false">I56*$J$5</f>
        <v>5226.56842105263</v>
      </c>
    </row>
    <row r="57" customFormat="false" ht="15" hidden="false" customHeight="true" outlineLevel="0" collapsed="false">
      <c r="A57" s="12" t="n">
        <v>4408038</v>
      </c>
      <c r="B57" s="12" t="str">
        <f aca="false">IFERROR(INDEX('Catalog'!$B:$B,MATCH($A57,'Catalog'!$A:$A,0)),"")</f>
        <v>12 M ח.גב מגנטית+מוטות תמיכה</v>
      </c>
      <c r="C57" s="12" t="n">
        <f aca="false">SUMIFS('סופר פארם Raw'!$C$6:$C$771,'סופר פארם Raw'!$E$6:$E$771,$A57,'סופר פארם Raw'!$B$6:$B$771,2025)</f>
        <v>-1</v>
      </c>
      <c r="D57" s="12" t="n">
        <f aca="false">SUMIFS('סופר פארם Raw'!$C$6:$C$771,'סופר פארם Raw'!$E$6:$E$771,$A57,'סופר פארם Raw'!$B$6:$B$771,2026)</f>
        <v>0</v>
      </c>
      <c r="E57" s="12" t="n">
        <f aca="false">D57*$J$5</f>
        <v>0</v>
      </c>
      <c r="F57" s="12" t="n">
        <f aca="false">E57-C57</f>
        <v>1</v>
      </c>
      <c r="G57" s="21" t="n">
        <f aca="false">IF(AND(C57=0,E57=0),0,IF(C57=0,"New",(E57-C57)/C57))</f>
        <v>-1</v>
      </c>
      <c r="H57" s="12" t="n">
        <f aca="false">SUMIFS('סופר פארם Raw'!$D$6:$D$771,'סופר פארם Raw'!$E$6:$E$771,$A57,'סופר פארם Raw'!$B$6:$B$771,2025)</f>
        <v>-178.6</v>
      </c>
      <c r="I57" s="12" t="n">
        <f aca="false">SUMIFS('סופר פארם Raw'!$D$6:$D$771,'סופר פארם Raw'!$E$6:$E$771,$A57,'סופר פארם Raw'!$B$6:$B$771,2026)</f>
        <v>0</v>
      </c>
      <c r="J57" s="12" t="n">
        <f aca="false">I57*$J$5</f>
        <v>0</v>
      </c>
    </row>
    <row r="58" customFormat="false" ht="15" hidden="false" customHeight="true" outlineLevel="0" collapsed="false">
      <c r="A58" s="12" t="n">
        <v>4408039</v>
      </c>
      <c r="B58" s="12" t="str">
        <f aca="false">IFERROR(INDEX('Catalog'!$B:$B,MATCH($A58,'Catalog'!$A:$A,0)),"")</f>
        <v>12 XL ח.גב מגנטית+מוטות תמיכה</v>
      </c>
      <c r="C58" s="12" t="n">
        <f aca="false">SUMIFS('סופר פארם Raw'!$C$6:$C$771,'סופר פארם Raw'!$E$6:$E$771,$A58,'סופר פארם Raw'!$B$6:$B$771,2025)</f>
        <v>0</v>
      </c>
      <c r="D58" s="12" t="n">
        <f aca="false">SUMIFS('סופר פארם Raw'!$C$6:$C$771,'סופר פארם Raw'!$E$6:$E$771,$A58,'סופר פארם Raw'!$B$6:$B$771,2026)</f>
        <v>-1</v>
      </c>
      <c r="E58" s="12" t="n">
        <f aca="false">D58*$J$5</f>
        <v>-1.26315789473684</v>
      </c>
      <c r="F58" s="12" t="n">
        <f aca="false">E58-C58</f>
        <v>-1.26315789473684</v>
      </c>
      <c r="G58" s="21" t="str">
        <f aca="false">IF(AND(C58=0,E58=0),0,IF(C58=0,"New",(E58-C58)/C58))</f>
        <v>New</v>
      </c>
      <c r="H58" s="12" t="n">
        <f aca="false">SUMIFS('סופר פארם Raw'!$D$6:$D$771,'סופר פארם Raw'!$E$6:$E$771,$A58,'סופר פארם Raw'!$B$6:$B$771,2025)</f>
        <v>0</v>
      </c>
      <c r="I58" s="12" t="n">
        <f aca="false">SUMIFS('סופר פארם Raw'!$D$6:$D$771,'סופר פארם Raw'!$E$6:$E$771,$A58,'סופר פארם Raw'!$B$6:$B$771,2026)</f>
        <v>-178.6</v>
      </c>
      <c r="J58" s="12" t="n">
        <f aca="false">I58*$J$5</f>
        <v>-225.6</v>
      </c>
    </row>
    <row r="59" customFormat="false" ht="15" hidden="false" customHeight="true" outlineLevel="0" collapsed="false">
      <c r="A59" s="12" t="n">
        <v>4408042</v>
      </c>
      <c r="B59" s="12" t="str">
        <f aca="false">IFERROR(INDEX('Catalog'!$B:$B,MATCH($A59,'Catalog'!$A:$A,0)),"")</f>
        <v>18 L ח.הריון מכנס למניעת כאבים</v>
      </c>
      <c r="C59" s="12" t="n">
        <f aca="false">SUMIFS('סופר פארם Raw'!$C$6:$C$771,'סופר פארם Raw'!$E$6:$E$771,$A59,'סופר פארם Raw'!$B$6:$B$771,2025)</f>
        <v>0</v>
      </c>
      <c r="D59" s="12" t="n">
        <f aca="false">SUMIFS('סופר פארם Raw'!$C$6:$C$771,'סופר פארם Raw'!$E$6:$E$771,$A59,'סופר פארם Raw'!$B$6:$B$771,2026)</f>
        <v>-1</v>
      </c>
      <c r="E59" s="12" t="n">
        <f aca="false">D59*$J$5</f>
        <v>-1.26315789473684</v>
      </c>
      <c r="F59" s="12" t="n">
        <f aca="false">E59-C59</f>
        <v>-1.26315789473684</v>
      </c>
      <c r="G59" s="21" t="str">
        <f aca="false">IF(AND(C59=0,E59=0),0,IF(C59=0,"New",(E59-C59)/C59))</f>
        <v>New</v>
      </c>
      <c r="H59" s="12" t="n">
        <f aca="false">SUMIFS('סופר פארם Raw'!$D$6:$D$771,'סופר פארם Raw'!$E$6:$E$771,$A59,'סופר פארם Raw'!$B$6:$B$771,2025)</f>
        <v>0</v>
      </c>
      <c r="I59" s="12" t="n">
        <f aca="false">SUMIFS('סופר פארם Raw'!$D$6:$D$771,'סופר פארם Raw'!$E$6:$E$771,$A59,'סופר פארם Raw'!$B$6:$B$771,2026)</f>
        <v>-266.2</v>
      </c>
      <c r="J59" s="12" t="n">
        <f aca="false">I59*$J$5</f>
        <v>-336.252631578947</v>
      </c>
    </row>
    <row r="60" customFormat="false" ht="15" hidden="false" customHeight="true" outlineLevel="0" collapsed="false">
      <c r="A60" s="12" t="n">
        <v>4408046</v>
      </c>
      <c r="B60" s="12" t="str">
        <f aca="false">IFERROR(INDEX('Catalog'!$B:$B,MATCH($A60,'Catalog'!$A:$A,0)),"")</f>
        <v>20 L חבק יד מתכוון עם צמדן</v>
      </c>
      <c r="C60" s="12" t="n">
        <f aca="false">SUMIFS('סופר פארם Raw'!$C$6:$C$771,'סופר פארם Raw'!$E$6:$E$771,$A60,'סופר פארם Raw'!$B$6:$B$771,2025)</f>
        <v>189</v>
      </c>
      <c r="D60" s="12" t="n">
        <f aca="false">SUMIFS('סופר פארם Raw'!$C$6:$C$771,'סופר פארם Raw'!$E$6:$E$771,$A60,'סופר פארם Raw'!$B$6:$B$771,2026)</f>
        <v>123</v>
      </c>
      <c r="E60" s="12" t="n">
        <f aca="false">D60*$J$5</f>
        <v>155.368421052632</v>
      </c>
      <c r="F60" s="12" t="n">
        <f aca="false">E60-C60</f>
        <v>-33.6315789473684</v>
      </c>
      <c r="G60" s="21" t="n">
        <f aca="false">IF(AND(C60=0,E60=0),0,IF(C60=0,"New",(E60-C60)/C60))</f>
        <v>-0.177944862155389</v>
      </c>
      <c r="H60" s="12" t="n">
        <f aca="false">SUMIFS('סופר פארם Raw'!$D$6:$D$771,'סופר פארם Raw'!$E$6:$E$771,$A60,'סופר פארם Raw'!$B$6:$B$771,2025)</f>
        <v>4743.3</v>
      </c>
      <c r="I60" s="12" t="n">
        <f aca="false">SUMIFS('סופר פארם Raw'!$D$6:$D$771,'סופר פארם Raw'!$E$6:$E$771,$A60,'סופר פארם Raw'!$B$6:$B$771,2026)</f>
        <v>3204.5</v>
      </c>
      <c r="J60" s="12" t="n">
        <f aca="false">I60*$J$5</f>
        <v>4047.78947368421</v>
      </c>
    </row>
    <row r="61" customFormat="false" ht="15" hidden="false" customHeight="true" outlineLevel="0" collapsed="false">
      <c r="A61" s="12" t="n">
        <v>4408047</v>
      </c>
      <c r="B61" s="12" t="str">
        <f aca="false">IFERROR(INDEX('Catalog'!$B:$B,MATCH($A61,'Catalog'!$A:$A,0)),"")</f>
        <v>20 M חבק יד מתכוון עם צמדן</v>
      </c>
      <c r="C61" s="12" t="n">
        <f aca="false">SUMIFS('סופר פארם Raw'!$C$6:$C$771,'סופר פארם Raw'!$E$6:$E$771,$A61,'סופר פארם Raw'!$B$6:$B$771,2025)</f>
        <v>282</v>
      </c>
      <c r="D61" s="12" t="n">
        <f aca="false">SUMIFS('סופר פארם Raw'!$C$6:$C$771,'סופר פארם Raw'!$E$6:$E$771,$A61,'סופר פארם Raw'!$B$6:$B$771,2026)</f>
        <v>138</v>
      </c>
      <c r="E61" s="12" t="n">
        <f aca="false">D61*$J$5</f>
        <v>174.315789473684</v>
      </c>
      <c r="F61" s="12" t="n">
        <f aca="false">E61-C61</f>
        <v>-107.684210526316</v>
      </c>
      <c r="G61" s="21" t="n">
        <f aca="false">IF(AND(C61=0,E61=0),0,IF(C61=0,"New",(E61-C61)/C61))</f>
        <v>-0.381858902575588</v>
      </c>
      <c r="H61" s="12" t="n">
        <f aca="false">SUMIFS('סופר פארם Raw'!$D$6:$D$771,'סופר פארם Raw'!$E$6:$E$771,$A61,'סופר פארם Raw'!$B$6:$B$771,2025)</f>
        <v>7085.9</v>
      </c>
      <c r="I61" s="12" t="n">
        <f aca="false">SUMIFS('סופר פארם Raw'!$D$6:$D$771,'סופר פארם Raw'!$E$6:$E$771,$A61,'סופר פארם Raw'!$B$6:$B$771,2026)</f>
        <v>3527.4</v>
      </c>
      <c r="J61" s="12" t="n">
        <f aca="false">I61*$J$5</f>
        <v>4455.66315789474</v>
      </c>
    </row>
    <row r="62" customFormat="false" ht="15" hidden="false" customHeight="true" outlineLevel="0" collapsed="false">
      <c r="A62" s="12" t="n">
        <v>4408048</v>
      </c>
      <c r="B62" s="12" t="str">
        <f aca="false">IFERROR(INDEX('Catalog'!$B:$B,MATCH($A62,'Catalog'!$A:$A,0)),"")</f>
        <v>20 S חבק יד מתכוון עם צמדן</v>
      </c>
      <c r="C62" s="12" t="n">
        <f aca="false">SUMIFS('סופר פארם Raw'!$C$6:$C$771,'סופר פארם Raw'!$E$6:$E$771,$A62,'סופר פארם Raw'!$B$6:$B$771,2025)</f>
        <v>183</v>
      </c>
      <c r="D62" s="12" t="n">
        <f aca="false">SUMIFS('סופר פארם Raw'!$C$6:$C$771,'סופר פארם Raw'!$E$6:$E$771,$A62,'סופר פארם Raw'!$B$6:$B$771,2026)</f>
        <v>102</v>
      </c>
      <c r="E62" s="12" t="n">
        <f aca="false">D62*$J$5</f>
        <v>128.842105263158</v>
      </c>
      <c r="F62" s="12" t="n">
        <f aca="false">E62-C62</f>
        <v>-54.1578947368421</v>
      </c>
      <c r="G62" s="21" t="n">
        <f aca="false">IF(AND(C62=0,E62=0),0,IF(C62=0,"New",(E62-C62)/C62))</f>
        <v>-0.295944779982744</v>
      </c>
      <c r="H62" s="12" t="n">
        <f aca="false">SUMIFS('סופר פארם Raw'!$D$6:$D$771,'סופר פארם Raw'!$E$6:$E$771,$A62,'סופר פארם Raw'!$B$6:$B$771,2025)</f>
        <v>4593.4</v>
      </c>
      <c r="I62" s="12" t="n">
        <f aca="false">SUMIFS('סופר פארם Raw'!$D$6:$D$771,'סופר פארם Raw'!$E$6:$E$771,$A62,'סופר פארם Raw'!$B$6:$B$771,2026)</f>
        <v>2639.1</v>
      </c>
      <c r="J62" s="12" t="n">
        <f aca="false">I62*$J$5</f>
        <v>3333.6</v>
      </c>
    </row>
    <row r="63" customFormat="false" ht="15" hidden="false" customHeight="true" outlineLevel="0" collapsed="false">
      <c r="A63" s="12" t="n">
        <v>4408049</v>
      </c>
      <c r="B63" s="12" t="str">
        <f aca="false">IFERROR(INDEX('Catalog'!$B:$B,MATCH($A63,'Catalog'!$A:$A,0)),"")</f>
        <v>20 XL חבק יד מתכוון עם צמדן</v>
      </c>
      <c r="C63" s="12" t="n">
        <f aca="false">SUMIFS('סופר פארם Raw'!$C$6:$C$771,'סופר פארם Raw'!$E$6:$E$771,$A63,'סופר פארם Raw'!$B$6:$B$771,2025)</f>
        <v>84</v>
      </c>
      <c r="D63" s="12" t="n">
        <f aca="false">SUMIFS('סופר פארם Raw'!$C$6:$C$771,'סופר פארם Raw'!$E$6:$E$771,$A63,'סופר פארם Raw'!$B$6:$B$771,2026)</f>
        <v>37</v>
      </c>
      <c r="E63" s="12" t="n">
        <f aca="false">D63*$J$5</f>
        <v>46.7368421052632</v>
      </c>
      <c r="F63" s="12" t="n">
        <f aca="false">E63-C63</f>
        <v>-37.2631578947368</v>
      </c>
      <c r="G63" s="21" t="n">
        <f aca="false">IF(AND(C63=0,E63=0),0,IF(C63=0,"New",(E63-C63)/C63))</f>
        <v>-0.443609022556391</v>
      </c>
      <c r="H63" s="12" t="n">
        <f aca="false">SUMIFS('סופר פארם Raw'!$D$6:$D$771,'סופר פארם Raw'!$E$6:$E$771,$A63,'סופר פארם Raw'!$B$6:$B$771,2025)</f>
        <v>2104.6</v>
      </c>
      <c r="I63" s="12" t="n">
        <f aca="false">SUMIFS('סופר פארם Raw'!$D$6:$D$771,'סופר פארם Raw'!$E$6:$E$771,$A63,'סופר פארם Raw'!$B$6:$B$771,2026)</f>
        <v>938.9</v>
      </c>
      <c r="J63" s="12" t="n">
        <f aca="false">I63*$J$5</f>
        <v>1185.97894736842</v>
      </c>
    </row>
    <row r="64" customFormat="false" ht="15" hidden="false" customHeight="true" outlineLevel="0" collapsed="false">
      <c r="A64" s="12" t="n">
        <v>4408050</v>
      </c>
      <c r="B64" s="12" t="str">
        <f aca="false">IFERROR(INDEX('Catalog'!$B:$B,MATCH($A64,'Catalog'!$A:$A,0)),"")</f>
        <v>20 XXL חבק יד מתכוון עם צמדן</v>
      </c>
      <c r="C64" s="12" t="n">
        <f aca="false">SUMIFS('סופר פארם Raw'!$C$6:$C$771,'סופר פארם Raw'!$E$6:$E$771,$A64,'סופר פארם Raw'!$B$6:$B$771,2025)</f>
        <v>1</v>
      </c>
      <c r="D64" s="12" t="n">
        <f aca="false">SUMIFS('סופר פארם Raw'!$C$6:$C$771,'סופר פארם Raw'!$E$6:$E$771,$A64,'סופר פארם Raw'!$B$6:$B$771,2026)</f>
        <v>-2</v>
      </c>
      <c r="E64" s="12" t="n">
        <f aca="false">D64*$J$5</f>
        <v>-2.52631578947368</v>
      </c>
      <c r="F64" s="12" t="n">
        <f aca="false">E64-C64</f>
        <v>-3.52631578947368</v>
      </c>
      <c r="G64" s="21" t="n">
        <f aca="false">IF(AND(C64=0,E64=0),0,IF(C64=0,"New",(E64-C64)/C64))</f>
        <v>-3.52631578947368</v>
      </c>
      <c r="H64" s="12" t="n">
        <f aca="false">SUMIFS('סופר פארם Raw'!$D$6:$D$771,'סופר פארם Raw'!$E$6:$E$771,$A64,'סופר פארם Raw'!$B$6:$B$771,2025)</f>
        <v>25.2</v>
      </c>
      <c r="I64" s="12" t="n">
        <f aca="false">SUMIFS('סופר פארם Raw'!$D$6:$D$771,'סופר פארם Raw'!$E$6:$E$771,$A64,'סופר פארם Raw'!$B$6:$B$771,2026)</f>
        <v>-47.9</v>
      </c>
      <c r="J64" s="12" t="n">
        <f aca="false">I64*$J$5</f>
        <v>-60.5052631578947</v>
      </c>
    </row>
    <row r="65" customFormat="false" ht="15" hidden="false" customHeight="true" outlineLevel="0" collapsed="false">
      <c r="A65" s="12" t="n">
        <v>4408051</v>
      </c>
      <c r="B65" s="12" t="str">
        <f aca="false">IFERROR(INDEX('Catalog'!$B:$B,MATCH($A65,'Catalog'!$A:$A,0)),"")</f>
        <v>21 S  חבק יד ארוך</v>
      </c>
      <c r="C65" s="12" t="n">
        <f aca="false">SUMIFS('סופר פארם Raw'!$C$6:$C$771,'סופר פארם Raw'!$E$6:$E$771,$A65,'סופר פארם Raw'!$B$6:$B$771,2025)</f>
        <v>2255</v>
      </c>
      <c r="D65" s="12" t="n">
        <f aca="false">SUMIFS('סופר פארם Raw'!$C$6:$C$771,'סופר פארם Raw'!$E$6:$E$771,$A65,'סופר פארם Raw'!$B$6:$B$771,2026)</f>
        <v>1476</v>
      </c>
      <c r="E65" s="12" t="n">
        <f aca="false">D65*$J$5</f>
        <v>1864.42105263158</v>
      </c>
      <c r="F65" s="12" t="n">
        <f aca="false">E65-C65</f>
        <v>-390.578947368421</v>
      </c>
      <c r="G65" s="21" t="n">
        <f aca="false">IF(AND(C65=0,E65=0),0,IF(C65=0,"New",(E65-C65)/C65))</f>
        <v>-0.173205741626794</v>
      </c>
      <c r="H65" s="12" t="n">
        <f aca="false">SUMIFS('סופר פארם Raw'!$D$6:$D$771,'סופר פארם Raw'!$E$6:$E$771,$A65,'סופר פארם Raw'!$B$6:$B$771,2025)</f>
        <v>73733</v>
      </c>
      <c r="I65" s="12" t="n">
        <f aca="false">SUMIFS('סופר פארם Raw'!$D$6:$D$771,'סופר פארם Raw'!$E$6:$E$771,$A65,'סופר פארם Raw'!$B$6:$B$771,2026)</f>
        <v>48676.6</v>
      </c>
      <c r="J65" s="12" t="n">
        <f aca="false">I65*$J$5</f>
        <v>61486.2315789474</v>
      </c>
    </row>
    <row r="66" customFormat="false" ht="15" hidden="false" customHeight="true" outlineLevel="0" collapsed="false">
      <c r="A66" s="12" t="n">
        <v>4408052</v>
      </c>
      <c r="B66" s="12" t="str">
        <f aca="false">IFERROR(INDEX('Catalog'!$B:$B,MATCH($A66,'Catalog'!$A:$A,0)),"")</f>
        <v>21 L  חבק יד ארוך</v>
      </c>
      <c r="C66" s="12" t="n">
        <f aca="false">SUMIFS('סופר פארם Raw'!$C$6:$C$771,'סופר פארם Raw'!$E$6:$E$771,$A66,'סופר פארם Raw'!$B$6:$B$771,2025)</f>
        <v>2160</v>
      </c>
      <c r="D66" s="12" t="n">
        <f aca="false">SUMIFS('סופר פארם Raw'!$C$6:$C$771,'סופר פארם Raw'!$E$6:$E$771,$A66,'סופר פארם Raw'!$B$6:$B$771,2026)</f>
        <v>1439</v>
      </c>
      <c r="E66" s="12" t="n">
        <f aca="false">D66*$J$5</f>
        <v>1817.68421052632</v>
      </c>
      <c r="F66" s="12" t="n">
        <f aca="false">E66-C66</f>
        <v>-342.315789473684</v>
      </c>
      <c r="G66" s="21" t="n">
        <f aca="false">IF(AND(C66=0,E66=0),0,IF(C66=0,"New",(E66-C66)/C66))</f>
        <v>-0.158479532163743</v>
      </c>
      <c r="H66" s="12" t="n">
        <f aca="false">SUMIFS('סופר פארם Raw'!$D$6:$D$771,'סופר פארם Raw'!$E$6:$E$771,$A66,'סופר פארם Raw'!$B$6:$B$771,2025)</f>
        <v>70516.7</v>
      </c>
      <c r="I66" s="12" t="n">
        <f aca="false">SUMIFS('סופר פארם Raw'!$D$6:$D$771,'סופר פארם Raw'!$E$6:$E$771,$A66,'סופר פארם Raw'!$B$6:$B$771,2026)</f>
        <v>47355.1</v>
      </c>
      <c r="J66" s="12" t="n">
        <f aca="false">I66*$J$5</f>
        <v>59816.9684210526</v>
      </c>
    </row>
    <row r="67" customFormat="false" ht="15" hidden="false" customHeight="true" outlineLevel="0" collapsed="false">
      <c r="A67" s="12" t="n">
        <v>4408053</v>
      </c>
      <c r="B67" s="12" t="str">
        <f aca="false">IFERROR(INDEX('Catalog'!$B:$B,MATCH($A67,'Catalog'!$A:$A,0)),"")</f>
        <v>21 M  חבק יד ארוך</v>
      </c>
      <c r="C67" s="12" t="n">
        <f aca="false">SUMIFS('סופר פארם Raw'!$C$6:$C$771,'סופר פארם Raw'!$E$6:$E$771,$A67,'סופר פארם Raw'!$B$6:$B$771,2025)</f>
        <v>3042</v>
      </c>
      <c r="D67" s="12" t="n">
        <f aca="false">SUMIFS('סופר פארם Raw'!$C$6:$C$771,'סופר פארם Raw'!$E$6:$E$771,$A67,'סופר פארם Raw'!$B$6:$B$771,2026)</f>
        <v>1964</v>
      </c>
      <c r="E67" s="12" t="n">
        <f aca="false">D67*$J$5</f>
        <v>2480.84210526316</v>
      </c>
      <c r="F67" s="12" t="n">
        <f aca="false">E67-C67</f>
        <v>-561.157894736842</v>
      </c>
      <c r="G67" s="21" t="n">
        <f aca="false">IF(AND(C67=0,E67=0),0,IF(C67=0,"New",(E67-C67)/C67))</f>
        <v>-0.184470050866812</v>
      </c>
      <c r="H67" s="12" t="n">
        <f aca="false">SUMIFS('סופר פארם Raw'!$D$6:$D$771,'סופר פארם Raw'!$E$6:$E$771,$A67,'סופר פארם Raw'!$B$6:$B$771,2025)</f>
        <v>99452.8</v>
      </c>
      <c r="I67" s="12" t="n">
        <f aca="false">SUMIFS('סופר פארם Raw'!$D$6:$D$771,'סופר פארם Raw'!$E$6:$E$771,$A67,'סופר פארם Raw'!$B$6:$B$771,2026)</f>
        <v>64731</v>
      </c>
      <c r="J67" s="12" t="n">
        <f aca="false">I67*$J$5</f>
        <v>81765.4736842105</v>
      </c>
    </row>
    <row r="68" customFormat="false" ht="15" hidden="false" customHeight="true" outlineLevel="0" collapsed="false">
      <c r="A68" s="12" t="n">
        <v>4408054</v>
      </c>
      <c r="B68" s="12" t="str">
        <f aca="false">IFERROR(INDEX('Catalog'!$B:$B,MATCH($A68,'Catalog'!$A:$A,0)),"")</f>
        <v>21 XL חבק יד ארוך</v>
      </c>
      <c r="C68" s="12" t="n">
        <f aca="false">SUMIFS('סופר פארם Raw'!$C$6:$C$771,'סופר פארם Raw'!$E$6:$E$771,$A68,'סופר פארם Raw'!$B$6:$B$771,2025)</f>
        <v>801</v>
      </c>
      <c r="D68" s="12" t="n">
        <f aca="false">SUMIFS('סופר פארם Raw'!$C$6:$C$771,'סופר פארם Raw'!$E$6:$E$771,$A68,'סופר פארם Raw'!$B$6:$B$771,2026)</f>
        <v>579</v>
      </c>
      <c r="E68" s="12" t="n">
        <f aca="false">D68*$J$5</f>
        <v>731.368421052632</v>
      </c>
      <c r="F68" s="12" t="n">
        <f aca="false">E68-C68</f>
        <v>-69.6315789473684</v>
      </c>
      <c r="G68" s="21" t="n">
        <f aca="false">IF(AND(C68=0,E68=0),0,IF(C68=0,"New",(E68-C68)/C68))</f>
        <v>-0.0869308101714962</v>
      </c>
      <c r="H68" s="12" t="n">
        <f aca="false">SUMIFS('סופר פארם Raw'!$D$6:$D$771,'סופר פארם Raw'!$E$6:$E$771,$A68,'סופר פארם Raw'!$B$6:$B$771,2025)</f>
        <v>26160</v>
      </c>
      <c r="I68" s="12" t="n">
        <f aca="false">SUMIFS('סופר פארם Raw'!$D$6:$D$771,'סופר פארם Raw'!$E$6:$E$771,$A68,'סופר פארם Raw'!$B$6:$B$771,2026)</f>
        <v>19076</v>
      </c>
      <c r="J68" s="12" t="n">
        <f aca="false">I68*$J$5</f>
        <v>24096</v>
      </c>
    </row>
    <row r="69" customFormat="false" ht="15" hidden="false" customHeight="true" outlineLevel="0" collapsed="false">
      <c r="A69" s="12" t="n">
        <v>4408059</v>
      </c>
      <c r="B69" s="12" t="str">
        <f aca="false">IFERROR(INDEX('Catalog'!$B:$B,MATCH($A69,'Catalog'!$A:$A,0)),"")</f>
        <v>25 L חבק יד אגודלי</v>
      </c>
      <c r="C69" s="12" t="n">
        <f aca="false">SUMIFS('סופר פארם Raw'!$C$6:$C$771,'סופר פארם Raw'!$E$6:$E$771,$A69,'סופר פארם Raw'!$B$6:$B$771,2025)</f>
        <v>-5</v>
      </c>
      <c r="D69" s="12" t="n">
        <f aca="false">SUMIFS('סופר פארם Raw'!$C$6:$C$771,'סופר פארם Raw'!$E$6:$E$771,$A69,'סופר פארם Raw'!$B$6:$B$771,2026)</f>
        <v>0</v>
      </c>
      <c r="E69" s="12" t="n">
        <f aca="false">D69*$J$5</f>
        <v>0</v>
      </c>
      <c r="F69" s="12" t="n">
        <f aca="false">E69-C69</f>
        <v>5</v>
      </c>
      <c r="G69" s="21" t="n">
        <f aca="false">IF(AND(C69=0,E69=0),0,IF(C69=0,"New",(E69-C69)/C69))</f>
        <v>-1</v>
      </c>
      <c r="H69" s="12" t="n">
        <f aca="false">SUMIFS('סופר פארם Raw'!$D$6:$D$771,'סופר פארם Raw'!$E$6:$E$771,$A69,'סופר פארם Raw'!$B$6:$B$771,2025)</f>
        <v>-318.1</v>
      </c>
      <c r="I69" s="12" t="n">
        <f aca="false">SUMIFS('סופר פארם Raw'!$D$6:$D$771,'סופר פארם Raw'!$E$6:$E$771,$A69,'סופר פארם Raw'!$B$6:$B$771,2026)</f>
        <v>0</v>
      </c>
      <c r="J69" s="12" t="n">
        <f aca="false">I69*$J$5</f>
        <v>0</v>
      </c>
    </row>
    <row r="70" customFormat="false" ht="15" hidden="false" customHeight="true" outlineLevel="0" collapsed="false">
      <c r="A70" s="12" t="n">
        <v>4408060</v>
      </c>
      <c r="B70" s="12" t="str">
        <f aca="false">IFERROR(INDEX('Catalog'!$B:$B,MATCH($A70,'Catalog'!$A:$A,0)),"")</f>
        <v>25 M חבק יד אגודלי</v>
      </c>
      <c r="C70" s="12" t="n">
        <f aca="false">SUMIFS('סופר פארם Raw'!$C$6:$C$771,'סופר פארם Raw'!$E$6:$E$771,$A70,'סופר פארם Raw'!$B$6:$B$771,2025)</f>
        <v>-1</v>
      </c>
      <c r="D70" s="12" t="n">
        <f aca="false">SUMIFS('סופר פארם Raw'!$C$6:$C$771,'סופר פארם Raw'!$E$6:$E$771,$A70,'סופר פארם Raw'!$B$6:$B$771,2026)</f>
        <v>-1</v>
      </c>
      <c r="E70" s="12" t="n">
        <f aca="false">D70*$J$5</f>
        <v>-1.26315789473684</v>
      </c>
      <c r="F70" s="12" t="n">
        <f aca="false">E70-C70</f>
        <v>-0.263157894736842</v>
      </c>
      <c r="G70" s="21" t="n">
        <f aca="false">IF(AND(C70=0,E70=0),0,IF(C70=0,"New",(E70-C70)/C70))</f>
        <v>0.263157894736842</v>
      </c>
      <c r="H70" s="12" t="n">
        <f aca="false">SUMIFS('סופר פארם Raw'!$D$6:$D$771,'סופר פארם Raw'!$E$6:$E$771,$A70,'סופר פארם Raw'!$B$6:$B$771,2025)</f>
        <v>-63.6</v>
      </c>
      <c r="I70" s="12" t="n">
        <f aca="false">SUMIFS('סופר פארם Raw'!$D$6:$D$771,'סופר פארם Raw'!$E$6:$E$771,$A70,'סופר פארם Raw'!$B$6:$B$771,2026)</f>
        <v>-63.6</v>
      </c>
      <c r="J70" s="12" t="n">
        <f aca="false">I70*$J$5</f>
        <v>-80.3368421052632</v>
      </c>
    </row>
    <row r="71" customFormat="false" ht="15" hidden="false" customHeight="true" outlineLevel="0" collapsed="false">
      <c r="A71" s="12" t="n">
        <v>4408062</v>
      </c>
      <c r="B71" s="12" t="str">
        <f aca="false">IFERROR(INDEX('Catalog'!$B:$B,MATCH($A71,'Catalog'!$A:$A,0)),"")</f>
        <v>25 XL חבק יד אגודלי</v>
      </c>
      <c r="C71" s="12" t="n">
        <f aca="false">SUMIFS('סופר פארם Raw'!$C$6:$C$771,'סופר פארם Raw'!$E$6:$E$771,$A71,'סופר פארם Raw'!$B$6:$B$771,2025)</f>
        <v>-5</v>
      </c>
      <c r="D71" s="12" t="n">
        <f aca="false">SUMIFS('סופר פארם Raw'!$C$6:$C$771,'סופר פארם Raw'!$E$6:$E$771,$A71,'סופר פארם Raw'!$B$6:$B$771,2026)</f>
        <v>-1</v>
      </c>
      <c r="E71" s="12" t="n">
        <f aca="false">D71*$J$5</f>
        <v>-1.26315789473684</v>
      </c>
      <c r="F71" s="12" t="n">
        <f aca="false">E71-C71</f>
        <v>3.73684210526316</v>
      </c>
      <c r="G71" s="21" t="n">
        <f aca="false">IF(AND(C71=0,E71=0),0,IF(C71=0,"New",(E71-C71)/C71))</f>
        <v>-0.747368421052632</v>
      </c>
      <c r="H71" s="12" t="n">
        <f aca="false">SUMIFS('סופר פארם Raw'!$D$6:$D$771,'סופר פארם Raw'!$E$6:$E$771,$A71,'סופר פארם Raw'!$B$6:$B$771,2025)</f>
        <v>-318.1</v>
      </c>
      <c r="I71" s="12" t="n">
        <f aca="false">SUMIFS('סופר פארם Raw'!$D$6:$D$771,'סופר פארם Raw'!$E$6:$E$771,$A71,'סופר פארם Raw'!$B$6:$B$771,2026)</f>
        <v>-60.4</v>
      </c>
      <c r="J71" s="12" t="n">
        <f aca="false">I71*$J$5</f>
        <v>-76.2947368421053</v>
      </c>
    </row>
    <row r="72" customFormat="false" ht="15" hidden="false" customHeight="true" outlineLevel="0" collapsed="false">
      <c r="A72" s="12" t="n">
        <v>4408069</v>
      </c>
      <c r="B72" s="12" t="str">
        <f aca="false">IFERROR(INDEX('Catalog'!$B:$B,MATCH($A72,'Catalog'!$A:$A,0)),"")</f>
        <v>38 .חבישת""הלוקס ולגוס""לאחר נית</v>
      </c>
      <c r="C72" s="12" t="n">
        <f aca="false">SUMIFS('סופר פארם Raw'!$C$6:$C$771,'סופר פארם Raw'!$E$6:$E$771,$A72,'סופר פארם Raw'!$B$6:$B$771,2025)</f>
        <v>-2</v>
      </c>
      <c r="D72" s="12" t="n">
        <f aca="false">SUMIFS('סופר פארם Raw'!$C$6:$C$771,'סופר פארם Raw'!$E$6:$E$771,$A72,'סופר פארם Raw'!$B$6:$B$771,2026)</f>
        <v>0</v>
      </c>
      <c r="E72" s="12" t="n">
        <f aca="false">D72*$J$5</f>
        <v>0</v>
      </c>
      <c r="F72" s="12" t="n">
        <f aca="false">E72-C72</f>
        <v>2</v>
      </c>
      <c r="G72" s="21" t="n">
        <f aca="false">IF(AND(C72=0,E72=0),0,IF(C72=0,"New",(E72-C72)/C72))</f>
        <v>-1</v>
      </c>
      <c r="H72" s="12" t="n">
        <f aca="false">SUMIFS('סופר פארם Raw'!$D$6:$D$771,'סופר פארם Raw'!$E$6:$E$771,$A72,'סופר פארם Raw'!$B$6:$B$771,2025)</f>
        <v>-136.3</v>
      </c>
      <c r="I72" s="12" t="n">
        <f aca="false">SUMIFS('סופר פארם Raw'!$D$6:$D$771,'סופר פארם Raw'!$E$6:$E$771,$A72,'סופר פארם Raw'!$B$6:$B$771,2026)</f>
        <v>0</v>
      </c>
      <c r="J72" s="12" t="n">
        <f aca="false">I72*$J$5</f>
        <v>0</v>
      </c>
    </row>
    <row r="73" customFormat="false" ht="15" hidden="false" customHeight="true" outlineLevel="0" collapsed="false">
      <c r="A73" s="12" t="n">
        <v>4408075</v>
      </c>
      <c r="B73" s="12" t="str">
        <f aca="false">IFERROR(INDEX('Catalog'!$B:$B,MATCH($A73,'Catalog'!$A:$A,0)),"")</f>
        <v>59L S חגורת שבר לצד שמאל</v>
      </c>
      <c r="C73" s="12" t="n">
        <f aca="false">SUMIFS('סופר פארם Raw'!$C$6:$C$771,'סופר פארם Raw'!$E$6:$E$771,$A73,'סופר פארם Raw'!$B$6:$B$771,2025)</f>
        <v>0</v>
      </c>
      <c r="D73" s="12" t="n">
        <f aca="false">SUMIFS('סופר פארם Raw'!$C$6:$C$771,'סופר פארם Raw'!$E$6:$E$771,$A73,'סופר פארם Raw'!$B$6:$B$771,2026)</f>
        <v>-1</v>
      </c>
      <c r="E73" s="12" t="n">
        <f aca="false">D73*$J$5</f>
        <v>-1.26315789473684</v>
      </c>
      <c r="F73" s="12" t="n">
        <f aca="false">E73-C73</f>
        <v>-1.26315789473684</v>
      </c>
      <c r="G73" s="21" t="str">
        <f aca="false">IF(AND(C73=0,E73=0),0,IF(C73=0,"New",(E73-C73)/C73))</f>
        <v>New</v>
      </c>
      <c r="H73" s="12" t="n">
        <f aca="false">SUMIFS('סופר פארם Raw'!$D$6:$D$771,'סופר פארם Raw'!$E$6:$E$771,$A73,'סופר פארם Raw'!$B$6:$B$771,2025)</f>
        <v>0</v>
      </c>
      <c r="I73" s="12" t="n">
        <f aca="false">SUMIFS('סופר פארם Raw'!$D$6:$D$771,'סופר פארם Raw'!$E$6:$E$771,$A73,'סופר פארם Raw'!$B$6:$B$771,2026)</f>
        <v>0</v>
      </c>
      <c r="J73" s="12" t="n">
        <f aca="false">I73*$J$5</f>
        <v>0</v>
      </c>
    </row>
    <row r="74" customFormat="false" ht="15" hidden="false" customHeight="true" outlineLevel="0" collapsed="false">
      <c r="A74" s="12" t="n">
        <v>4408076</v>
      </c>
      <c r="B74" s="12" t="str">
        <f aca="false">IFERROR(INDEX('Catalog'!$B:$B,MATCH($A74,'Catalog'!$A:$A,0)),"")</f>
        <v>59L L חגורת שבר לצד שמאל</v>
      </c>
      <c r="C74" s="12" t="n">
        <f aca="false">SUMIFS('סופר פארם Raw'!$C$6:$C$771,'סופר פארם Raw'!$E$6:$E$771,$A74,'סופר פארם Raw'!$B$6:$B$771,2025)</f>
        <v>0</v>
      </c>
      <c r="D74" s="12" t="n">
        <f aca="false">SUMIFS('סופר פארם Raw'!$C$6:$C$771,'סופר פארם Raw'!$E$6:$E$771,$A74,'סופר פארם Raw'!$B$6:$B$771,2026)</f>
        <v>1</v>
      </c>
      <c r="E74" s="12" t="n">
        <f aca="false">D74*$J$5</f>
        <v>1.26315789473684</v>
      </c>
      <c r="F74" s="12" t="n">
        <f aca="false">E74-C74</f>
        <v>1.26315789473684</v>
      </c>
      <c r="G74" s="21" t="str">
        <f aca="false">IF(AND(C74=0,E74=0),0,IF(C74=0,"New",(E74-C74)/C74))</f>
        <v>New</v>
      </c>
      <c r="H74" s="12" t="n">
        <f aca="false">SUMIFS('סופר פארם Raw'!$D$6:$D$771,'סופר פארם Raw'!$E$6:$E$771,$A74,'סופר פארם Raw'!$B$6:$B$771,2025)</f>
        <v>0</v>
      </c>
      <c r="I74" s="12" t="n">
        <f aca="false">SUMIFS('סופר פארם Raw'!$D$6:$D$771,'סופר פארם Raw'!$E$6:$E$771,$A74,'סופר פארם Raw'!$B$6:$B$771,2026)</f>
        <v>162.5</v>
      </c>
      <c r="J74" s="12" t="n">
        <f aca="false">I74*$J$5</f>
        <v>205.263157894737</v>
      </c>
    </row>
    <row r="75" customFormat="false" ht="15" hidden="false" customHeight="true" outlineLevel="0" collapsed="false">
      <c r="A75" s="12" t="n">
        <v>4408077</v>
      </c>
      <c r="B75" s="12" t="str">
        <f aca="false">IFERROR(INDEX('Catalog'!$B:$B,MATCH($A75,'Catalog'!$A:$A,0)),"")</f>
        <v>59L M חגורת שבר לצד שמאל</v>
      </c>
      <c r="C75" s="12" t="n">
        <f aca="false">SUMIFS('סופר פארם Raw'!$C$6:$C$771,'סופר פארם Raw'!$E$6:$E$771,$A75,'סופר פארם Raw'!$B$6:$B$771,2025)</f>
        <v>-1</v>
      </c>
      <c r="D75" s="12" t="n">
        <f aca="false">SUMIFS('סופר פארם Raw'!$C$6:$C$771,'סופר פארם Raw'!$E$6:$E$771,$A75,'סופר פארם Raw'!$B$6:$B$771,2026)</f>
        <v>0</v>
      </c>
      <c r="E75" s="12" t="n">
        <f aca="false">D75*$J$5</f>
        <v>0</v>
      </c>
      <c r="F75" s="12" t="n">
        <f aca="false">E75-C75</f>
        <v>1</v>
      </c>
      <c r="G75" s="21" t="n">
        <f aca="false">IF(AND(C75=0,E75=0),0,IF(C75=0,"New",(E75-C75)/C75))</f>
        <v>-1</v>
      </c>
      <c r="H75" s="12" t="n">
        <f aca="false">SUMIFS('סופר פארם Raw'!$D$6:$D$771,'סופר פארם Raw'!$E$6:$E$771,$A75,'סופר פארם Raw'!$B$6:$B$771,2025)</f>
        <v>-166.1</v>
      </c>
      <c r="I75" s="12" t="n">
        <f aca="false">SUMIFS('סופר פארם Raw'!$D$6:$D$771,'סופר פארם Raw'!$E$6:$E$771,$A75,'סופר פארם Raw'!$B$6:$B$771,2026)</f>
        <v>0</v>
      </c>
      <c r="J75" s="12" t="n">
        <f aca="false">I75*$J$5</f>
        <v>0</v>
      </c>
    </row>
    <row r="76" customFormat="false" ht="15" hidden="false" customHeight="true" outlineLevel="0" collapsed="false">
      <c r="A76" s="12" t="n">
        <v>4408080</v>
      </c>
      <c r="B76" s="12" t="str">
        <f aca="false">IFERROR(INDEX('Catalog'!$B:$B,MATCH($A76,'Catalog'!$A:$A,0)),"")</f>
        <v>59R L חגורת שבר לצד ימין</v>
      </c>
      <c r="C76" s="12" t="n">
        <f aca="false">SUMIFS('סופר פארם Raw'!$C$6:$C$771,'סופר פארם Raw'!$E$6:$E$771,$A76,'סופר פארם Raw'!$B$6:$B$771,2025)</f>
        <v>1</v>
      </c>
      <c r="D76" s="12" t="n">
        <f aca="false">SUMIFS('סופר פארם Raw'!$C$6:$C$771,'סופר פארם Raw'!$E$6:$E$771,$A76,'סופר פארם Raw'!$B$6:$B$771,2026)</f>
        <v>0</v>
      </c>
      <c r="E76" s="12" t="n">
        <f aca="false">D76*$J$5</f>
        <v>0</v>
      </c>
      <c r="F76" s="12" t="n">
        <f aca="false">E76-C76</f>
        <v>-1</v>
      </c>
      <c r="G76" s="21" t="n">
        <f aca="false">IF(AND(C76=0,E76=0),0,IF(C76=0,"New",(E76-C76)/C76))</f>
        <v>-1</v>
      </c>
      <c r="H76" s="12" t="n">
        <f aca="false">SUMIFS('סופר פארם Raw'!$D$6:$D$771,'סופר פארם Raw'!$E$6:$E$771,$A76,'סופר פארם Raw'!$B$6:$B$771,2025)</f>
        <v>166.1</v>
      </c>
      <c r="I76" s="12" t="n">
        <f aca="false">SUMIFS('סופר פארם Raw'!$D$6:$D$771,'סופר פארם Raw'!$E$6:$E$771,$A76,'סופר פארם Raw'!$B$6:$B$771,2026)</f>
        <v>0</v>
      </c>
      <c r="J76" s="12" t="n">
        <f aca="false">I76*$J$5</f>
        <v>0</v>
      </c>
    </row>
    <row r="77" customFormat="false" ht="15" hidden="false" customHeight="true" outlineLevel="0" collapsed="false">
      <c r="A77" s="12" t="n">
        <v>4408081</v>
      </c>
      <c r="B77" s="12" t="str">
        <f aca="false">IFERROR(INDEX('Catalog'!$B:$B,MATCH($A77,'Catalog'!$A:$A,0)),"")</f>
        <v>59R M חגורת שבר לצד ימין</v>
      </c>
      <c r="C77" s="12" t="n">
        <f aca="false">SUMIFS('סופר פארם Raw'!$C$6:$C$771,'סופר פארם Raw'!$E$6:$E$771,$A77,'סופר פארם Raw'!$B$6:$B$771,2025)</f>
        <v>-1</v>
      </c>
      <c r="D77" s="12" t="n">
        <f aca="false">SUMIFS('סופר פארם Raw'!$C$6:$C$771,'סופר פארם Raw'!$E$6:$E$771,$A77,'סופר פארם Raw'!$B$6:$B$771,2026)</f>
        <v>0</v>
      </c>
      <c r="E77" s="12" t="n">
        <f aca="false">D77*$J$5</f>
        <v>0</v>
      </c>
      <c r="F77" s="12" t="n">
        <f aca="false">E77-C77</f>
        <v>1</v>
      </c>
      <c r="G77" s="21" t="n">
        <f aca="false">IF(AND(C77=0,E77=0),0,IF(C77=0,"New",(E77-C77)/C77))</f>
        <v>-1</v>
      </c>
      <c r="H77" s="12" t="n">
        <f aca="false">SUMIFS('סופר פארם Raw'!$D$6:$D$771,'סופר פארם Raw'!$E$6:$E$771,$A77,'סופר פארם Raw'!$B$6:$B$771,2025)</f>
        <v>-166.1</v>
      </c>
      <c r="I77" s="12" t="n">
        <f aca="false">SUMIFS('סופר פארם Raw'!$D$6:$D$771,'סופר פארם Raw'!$E$6:$E$771,$A77,'סופר פארם Raw'!$B$6:$B$771,2026)</f>
        <v>0</v>
      </c>
      <c r="J77" s="12" t="n">
        <f aca="false">I77*$J$5</f>
        <v>0</v>
      </c>
    </row>
    <row r="78" customFormat="false" ht="15" hidden="false" customHeight="true" outlineLevel="0" collapsed="false">
      <c r="A78" s="12" t="n">
        <v>4408082</v>
      </c>
      <c r="B78" s="12" t="str">
        <f aca="false">IFERROR(INDEX('Catalog'!$B:$B,MATCH($A78,'Catalog'!$A:$A,0)),"")</f>
        <v>59R XL חגורת שבר לצד ימין</v>
      </c>
      <c r="C78" s="12" t="n">
        <f aca="false">SUMIFS('סופר פארם Raw'!$C$6:$C$771,'סופר פארם Raw'!$E$6:$E$771,$A78,'סופר פארם Raw'!$B$6:$B$771,2025)</f>
        <v>-2</v>
      </c>
      <c r="D78" s="12" t="n">
        <f aca="false">SUMIFS('סופר פארם Raw'!$C$6:$C$771,'סופר פארם Raw'!$E$6:$E$771,$A78,'סופר פארם Raw'!$B$6:$B$771,2026)</f>
        <v>0</v>
      </c>
      <c r="E78" s="12" t="n">
        <f aca="false">D78*$J$5</f>
        <v>0</v>
      </c>
      <c r="F78" s="12" t="n">
        <f aca="false">E78-C78</f>
        <v>2</v>
      </c>
      <c r="G78" s="21" t="n">
        <f aca="false">IF(AND(C78=0,E78=0),0,IF(C78=0,"New",(E78-C78)/C78))</f>
        <v>-1</v>
      </c>
      <c r="H78" s="12" t="n">
        <f aca="false">SUMIFS('סופר פארם Raw'!$D$6:$D$771,'סופר פארם Raw'!$E$6:$E$771,$A78,'סופר פארם Raw'!$B$6:$B$771,2025)</f>
        <v>-332.2</v>
      </c>
      <c r="I78" s="12" t="n">
        <f aca="false">SUMIFS('סופר פארם Raw'!$D$6:$D$771,'סופר פארם Raw'!$E$6:$E$771,$A78,'סופר פארם Raw'!$B$6:$B$771,2026)</f>
        <v>0</v>
      </c>
      <c r="J78" s="12" t="n">
        <f aca="false">I78*$J$5</f>
        <v>0</v>
      </c>
    </row>
    <row r="79" customFormat="false" ht="15" hidden="false" customHeight="true" outlineLevel="0" collapsed="false">
      <c r="A79" s="12" t="n">
        <v>4408085</v>
      </c>
      <c r="B79" s="12" t="str">
        <f aca="false">IFERROR(INDEX('Catalog'!$B:$B,MATCH($A79,'Catalog'!$A:$A,0)),"")</f>
        <v>922M.מחבק יד לטניס כרית סילי</v>
      </c>
      <c r="C79" s="12" t="n">
        <f aca="false">SUMIFS('סופר פארם Raw'!$C$6:$C$771,'סופר פארם Raw'!$E$6:$E$771,$A79,'סופר פארם Raw'!$B$6:$B$771,2025)</f>
        <v>-2</v>
      </c>
      <c r="D79" s="12" t="n">
        <f aca="false">SUMIFS('סופר פארם Raw'!$C$6:$C$771,'סופר פארם Raw'!$E$6:$E$771,$A79,'סופר פארם Raw'!$B$6:$B$771,2026)</f>
        <v>0</v>
      </c>
      <c r="E79" s="12" t="n">
        <f aca="false">D79*$J$5</f>
        <v>0</v>
      </c>
      <c r="F79" s="12" t="n">
        <f aca="false">E79-C79</f>
        <v>2</v>
      </c>
      <c r="G79" s="21" t="n">
        <f aca="false">IF(AND(C79=0,E79=0),0,IF(C79=0,"New",(E79-C79)/C79))</f>
        <v>-1</v>
      </c>
      <c r="H79" s="12" t="n">
        <f aca="false">SUMIFS('סופר פארם Raw'!$D$6:$D$771,'סופר פארם Raw'!$E$6:$E$771,$A79,'סופר פארם Raw'!$B$6:$B$771,2025)</f>
        <v>-262.1</v>
      </c>
      <c r="I79" s="12" t="n">
        <f aca="false">SUMIFS('סופר פארם Raw'!$D$6:$D$771,'סופר פארם Raw'!$E$6:$E$771,$A79,'סופר פארם Raw'!$B$6:$B$771,2026)</f>
        <v>0</v>
      </c>
      <c r="J79" s="12" t="n">
        <f aca="false">I79*$J$5</f>
        <v>0</v>
      </c>
    </row>
    <row r="80" customFormat="false" ht="15" hidden="false" customHeight="true" outlineLevel="0" collapsed="false">
      <c r="A80" s="12" t="n">
        <v>4408086</v>
      </c>
      <c r="B80" s="12" t="str">
        <f aca="false">IFERROR(INDEX('Catalog'!$B:$B,MATCH($A80,'Catalog'!$A:$A,0)),"")</f>
        <v>922S.חבק יד לטניס כרית סיליק</v>
      </c>
      <c r="C80" s="12" t="n">
        <f aca="false">SUMIFS('סופר פארם Raw'!$C$6:$C$771,'סופר פארם Raw'!$E$6:$E$771,$A80,'סופר פארם Raw'!$B$6:$B$771,2025)</f>
        <v>-1</v>
      </c>
      <c r="D80" s="12" t="n">
        <f aca="false">SUMIFS('סופר פארם Raw'!$C$6:$C$771,'סופר פארם Raw'!$E$6:$E$771,$A80,'סופר פארם Raw'!$B$6:$B$771,2026)</f>
        <v>-1</v>
      </c>
      <c r="E80" s="12" t="n">
        <f aca="false">D80*$J$5</f>
        <v>-1.26315789473684</v>
      </c>
      <c r="F80" s="12" t="n">
        <f aca="false">E80-C80</f>
        <v>-0.263157894736842</v>
      </c>
      <c r="G80" s="21" t="n">
        <f aca="false">IF(AND(C80=0,E80=0),0,IF(C80=0,"New",(E80-C80)/C80))</f>
        <v>0.263157894736842</v>
      </c>
      <c r="H80" s="12" t="n">
        <f aca="false">SUMIFS('סופר פארם Raw'!$D$6:$D$771,'סופר פארם Raw'!$E$6:$E$771,$A80,'סופר פארם Raw'!$B$6:$B$771,2025)</f>
        <v>0</v>
      </c>
      <c r="I80" s="12" t="n">
        <f aca="false">SUMIFS('סופר פארם Raw'!$D$6:$D$771,'סופר פארם Raw'!$E$6:$E$771,$A80,'סופר פארם Raw'!$B$6:$B$771,2026)</f>
        <v>0</v>
      </c>
      <c r="J80" s="12" t="n">
        <f aca="false">I80*$J$5</f>
        <v>0</v>
      </c>
    </row>
    <row r="81" customFormat="false" ht="15" hidden="false" customHeight="true" outlineLevel="0" collapsed="false">
      <c r="A81" s="12" t="n">
        <v>4408088</v>
      </c>
      <c r="B81" s="12" t="str">
        <f aca="false">IFERROR(INDEX('Catalog'!$B:$B,MATCH($A81,'Catalog'!$A:$A,0)),"")</f>
        <v>91  חבק ""טניס אלבו רצועה</v>
      </c>
      <c r="C81" s="12" t="n">
        <f aca="false">SUMIFS('סופר פארם Raw'!$C$6:$C$771,'סופר פארם Raw'!$E$6:$E$771,$A81,'סופר פארם Raw'!$B$6:$B$771,2025)</f>
        <v>224</v>
      </c>
      <c r="D81" s="12" t="n">
        <f aca="false">SUMIFS('סופר פארם Raw'!$C$6:$C$771,'סופר פארם Raw'!$E$6:$E$771,$A81,'סופר פארם Raw'!$B$6:$B$771,2026)</f>
        <v>-25</v>
      </c>
      <c r="E81" s="12" t="n">
        <f aca="false">D81*$J$5</f>
        <v>-31.5789473684211</v>
      </c>
      <c r="F81" s="12" t="n">
        <f aca="false">E81-C81</f>
        <v>-255.578947368421</v>
      </c>
      <c r="G81" s="21" t="n">
        <f aca="false">IF(AND(C81=0,E81=0),0,IF(C81=0,"New",(E81-C81)/C81))</f>
        <v>-1.14097744360902</v>
      </c>
      <c r="H81" s="12" t="n">
        <f aca="false">SUMIFS('סופר פארם Raw'!$D$6:$D$771,'סופר פארם Raw'!$E$6:$E$771,$A81,'סופר פארם Raw'!$B$6:$B$771,2025)</f>
        <v>15661.5</v>
      </c>
      <c r="I81" s="12" t="n">
        <f aca="false">SUMIFS('סופר פארם Raw'!$D$6:$D$771,'סופר פארם Raw'!$E$6:$E$771,$A81,'סופר פארם Raw'!$B$6:$B$771,2026)</f>
        <v>-1715.2</v>
      </c>
      <c r="J81" s="12" t="n">
        <f aca="false">I81*$J$5</f>
        <v>-2166.56842105263</v>
      </c>
    </row>
    <row r="82" customFormat="false" ht="15" hidden="false" customHeight="true" outlineLevel="0" collapsed="false">
      <c r="A82" s="12" t="n">
        <v>4408089</v>
      </c>
      <c r="B82" s="12" t="str">
        <f aca="false">IFERROR(INDEX('Catalog'!$B:$B,MATCH($A82,'Catalog'!$A:$A,0)),"")</f>
        <v>T11C S  חגורת גב פוג'יאמה</v>
      </c>
      <c r="C82" s="12" t="n">
        <f aca="false">SUMIFS('סופר פארם Raw'!$C$6:$C$771,'סופר פארם Raw'!$E$6:$E$771,$A82,'סופר פארם Raw'!$B$6:$B$771,2025)</f>
        <v>-1</v>
      </c>
      <c r="D82" s="12" t="n">
        <f aca="false">SUMIFS('סופר פארם Raw'!$C$6:$C$771,'סופר פארם Raw'!$E$6:$E$771,$A82,'סופר פארם Raw'!$B$6:$B$771,2026)</f>
        <v>-1</v>
      </c>
      <c r="E82" s="12" t="n">
        <f aca="false">D82*$J$5</f>
        <v>-1.26315789473684</v>
      </c>
      <c r="F82" s="12" t="n">
        <f aca="false">E82-C82</f>
        <v>-0.263157894736842</v>
      </c>
      <c r="G82" s="21" t="n">
        <f aca="false">IF(AND(C82=0,E82=0),0,IF(C82=0,"New",(E82-C82)/C82))</f>
        <v>0.263157894736842</v>
      </c>
      <c r="H82" s="12" t="n">
        <f aca="false">SUMIFS('סופר פארם Raw'!$D$6:$D$771,'סופר פארם Raw'!$E$6:$E$771,$A82,'סופר פארם Raw'!$B$6:$B$771,2025)</f>
        <v>-81.9</v>
      </c>
      <c r="I82" s="12" t="n">
        <f aca="false">SUMIFS('סופר פארם Raw'!$D$6:$D$771,'סופר פארם Raw'!$E$6:$E$771,$A82,'סופר פארם Raw'!$B$6:$B$771,2026)</f>
        <v>-81.9</v>
      </c>
      <c r="J82" s="12" t="n">
        <f aca="false">I82*$J$5</f>
        <v>-103.452631578947</v>
      </c>
    </row>
    <row r="83" customFormat="false" ht="15" hidden="false" customHeight="true" outlineLevel="0" collapsed="false">
      <c r="A83" s="12" t="n">
        <v>4408090</v>
      </c>
      <c r="B83" s="12" t="str">
        <f aca="false">IFERROR(INDEX('Catalog'!$B:$B,MATCH($A83,'Catalog'!$A:$A,0)),"")</f>
        <v>T11C L  חגורת גב פוג'יאמה</v>
      </c>
      <c r="C83" s="12" t="n">
        <f aca="false">SUMIFS('סופר פארם Raw'!$C$6:$C$771,'סופר פארם Raw'!$E$6:$E$771,$A83,'סופר פארם Raw'!$B$6:$B$771,2025)</f>
        <v>9</v>
      </c>
      <c r="D83" s="12" t="n">
        <f aca="false">SUMIFS('סופר פארם Raw'!$C$6:$C$771,'סופר פארם Raw'!$E$6:$E$771,$A83,'סופר פארם Raw'!$B$6:$B$771,2026)</f>
        <v>2</v>
      </c>
      <c r="E83" s="12" t="n">
        <f aca="false">D83*$J$5</f>
        <v>2.52631578947368</v>
      </c>
      <c r="F83" s="12" t="n">
        <f aca="false">E83-C83</f>
        <v>-6.47368421052632</v>
      </c>
      <c r="G83" s="21" t="n">
        <f aca="false">IF(AND(C83=0,E83=0),0,IF(C83=0,"New",(E83-C83)/C83))</f>
        <v>-0.719298245614035</v>
      </c>
      <c r="H83" s="12" t="n">
        <f aca="false">SUMIFS('סופר פארם Raw'!$D$6:$D$771,'סופר פארם Raw'!$E$6:$E$771,$A83,'סופר פארם Raw'!$B$6:$B$771,2025)</f>
        <v>728.9</v>
      </c>
      <c r="I83" s="12" t="n">
        <f aca="false">SUMIFS('סופר פארם Raw'!$D$6:$D$771,'סופר פארם Raw'!$E$6:$E$771,$A83,'סופר פארם Raw'!$B$6:$B$771,2026)</f>
        <v>159.8</v>
      </c>
      <c r="J83" s="12" t="n">
        <f aca="false">I83*$J$5</f>
        <v>201.852631578947</v>
      </c>
    </row>
    <row r="84" customFormat="false" ht="15" hidden="false" customHeight="true" outlineLevel="0" collapsed="false">
      <c r="A84" s="12" t="n">
        <v>4408091</v>
      </c>
      <c r="B84" s="12" t="str">
        <f aca="false">IFERROR(INDEX('Catalog'!$B:$B,MATCH($A84,'Catalog'!$A:$A,0)),"")</f>
        <v>T11C M  חגורת גב פוג'יאמה</v>
      </c>
      <c r="C84" s="12" t="n">
        <f aca="false">SUMIFS('סופר פארם Raw'!$C$6:$C$771,'סופר פארם Raw'!$E$6:$E$771,$A84,'סופר פארם Raw'!$B$6:$B$771,2025)</f>
        <v>7</v>
      </c>
      <c r="D84" s="12" t="n">
        <f aca="false">SUMIFS('סופר פארם Raw'!$C$6:$C$771,'סופר פארם Raw'!$E$6:$E$771,$A84,'סופר פארם Raw'!$B$6:$B$771,2026)</f>
        <v>5</v>
      </c>
      <c r="E84" s="12" t="n">
        <f aca="false">D84*$J$5</f>
        <v>6.31578947368421</v>
      </c>
      <c r="F84" s="12" t="n">
        <f aca="false">E84-C84</f>
        <v>-0.684210526315789</v>
      </c>
      <c r="G84" s="21" t="n">
        <f aca="false">IF(AND(C84=0,E84=0),0,IF(C84=0,"New",(E84-C84)/C84))</f>
        <v>-0.0977443609022556</v>
      </c>
      <c r="H84" s="12" t="n">
        <f aca="false">SUMIFS('סופר פארם Raw'!$D$6:$D$771,'סופר פארם Raw'!$E$6:$E$771,$A84,'סופר פארם Raw'!$B$6:$B$771,2025)</f>
        <v>573.3</v>
      </c>
      <c r="I84" s="12" t="n">
        <f aca="false">SUMIFS('סופר פארם Raw'!$D$6:$D$771,'סופר פארם Raw'!$E$6:$E$771,$A84,'סופר פארם Raw'!$B$6:$B$771,2026)</f>
        <v>401.3</v>
      </c>
      <c r="J84" s="12" t="n">
        <f aca="false">I84*$J$5</f>
        <v>506.905263157895</v>
      </c>
    </row>
    <row r="85" customFormat="false" ht="15" hidden="false" customHeight="true" outlineLevel="0" collapsed="false">
      <c r="A85" s="12" t="n">
        <v>4408092</v>
      </c>
      <c r="B85" s="12" t="str">
        <f aca="false">IFERROR(INDEX('Catalog'!$B:$B,MATCH($A85,'Catalog'!$A:$A,0)),"")</f>
        <v>T11C XL חגורת גב פוג'יאמה</v>
      </c>
      <c r="C85" s="12" t="n">
        <f aca="false">SUMIFS('סופר פארם Raw'!$C$6:$C$771,'סופר פארם Raw'!$E$6:$E$771,$A85,'סופר פארם Raw'!$B$6:$B$771,2025)</f>
        <v>13</v>
      </c>
      <c r="D85" s="12" t="n">
        <f aca="false">SUMIFS('סופר פארם Raw'!$C$6:$C$771,'סופר פארם Raw'!$E$6:$E$771,$A85,'סופר פארם Raw'!$B$6:$B$771,2026)</f>
        <v>3</v>
      </c>
      <c r="E85" s="12" t="n">
        <f aca="false">D85*$J$5</f>
        <v>3.78947368421053</v>
      </c>
      <c r="F85" s="12" t="n">
        <f aca="false">E85-C85</f>
        <v>-9.21052631578947</v>
      </c>
      <c r="G85" s="21" t="n">
        <f aca="false">IF(AND(C85=0,E85=0),0,IF(C85=0,"New",(E85-C85)/C85))</f>
        <v>-0.708502024291498</v>
      </c>
      <c r="H85" s="12" t="n">
        <f aca="false">SUMIFS('סופר פארם Raw'!$D$6:$D$771,'סופר פארם Raw'!$E$6:$E$771,$A85,'סופר פארם Raw'!$B$6:$B$771,2025)</f>
        <v>1052.4</v>
      </c>
      <c r="I85" s="12" t="n">
        <f aca="false">SUMIFS('סופר פארם Raw'!$D$6:$D$771,'סופר פארם Raw'!$E$6:$E$771,$A85,'סופר פארם Raw'!$B$6:$B$771,2026)</f>
        <v>249.8</v>
      </c>
      <c r="J85" s="12" t="n">
        <f aca="false">I85*$J$5</f>
        <v>315.536842105263</v>
      </c>
    </row>
    <row r="86" customFormat="false" ht="15" hidden="false" customHeight="true" outlineLevel="0" collapsed="false">
      <c r="A86" s="12" t="n">
        <v>4408093</v>
      </c>
      <c r="B86" s="12" t="str">
        <f aca="false">IFERROR(INDEX('Catalog'!$B:$B,MATCH($A86,'Catalog'!$A:$A,0)),"")</f>
        <v>T11C XXL חגורת גב פוג'יאמה</v>
      </c>
      <c r="C86" s="12" t="n">
        <f aca="false">SUMIFS('סופר פארם Raw'!$C$6:$C$771,'סופר פארם Raw'!$E$6:$E$771,$A86,'סופר פארם Raw'!$B$6:$B$771,2025)</f>
        <v>0</v>
      </c>
      <c r="D86" s="12" t="n">
        <f aca="false">SUMIFS('סופר פארם Raw'!$C$6:$C$771,'סופר פארם Raw'!$E$6:$E$771,$A86,'סופר פארם Raw'!$B$6:$B$771,2026)</f>
        <v>-1</v>
      </c>
      <c r="E86" s="12" t="n">
        <f aca="false">D86*$J$5</f>
        <v>-1.26315789473684</v>
      </c>
      <c r="F86" s="12" t="n">
        <f aca="false">E86-C86</f>
        <v>-1.26315789473684</v>
      </c>
      <c r="G86" s="21" t="str">
        <f aca="false">IF(AND(C86=0,E86=0),0,IF(C86=0,"New",(E86-C86)/C86))</f>
        <v>New</v>
      </c>
      <c r="H86" s="12" t="n">
        <f aca="false">SUMIFS('סופר פארם Raw'!$D$6:$D$771,'סופר פארם Raw'!$E$6:$E$771,$A86,'סופר פארם Raw'!$B$6:$B$771,2025)</f>
        <v>0</v>
      </c>
      <c r="I86" s="12" t="n">
        <f aca="false">SUMIFS('סופר פארם Raw'!$D$6:$D$771,'סופר פארם Raw'!$E$6:$E$771,$A86,'סופר פארם Raw'!$B$6:$B$771,2026)</f>
        <v>-81.9</v>
      </c>
      <c r="J86" s="12" t="n">
        <f aca="false">I86*$J$5</f>
        <v>-103.452631578947</v>
      </c>
    </row>
    <row r="87" customFormat="false" ht="15" hidden="false" customHeight="true" outlineLevel="0" collapsed="false">
      <c r="A87" s="12" t="n">
        <v>4408094</v>
      </c>
      <c r="B87" s="12" t="str">
        <f aca="false">IFERROR(INDEX('Catalog'!$B:$B,MATCH($A87,'Catalog'!$A:$A,0)),"")</f>
        <v>T20 S-M חבק יד עם צמדן</v>
      </c>
      <c r="C87" s="12" t="n">
        <f aca="false">SUMIFS('סופר פארם Raw'!$C$6:$C$771,'סופר פארם Raw'!$E$6:$E$771,$A87,'סופר פארם Raw'!$B$6:$B$771,2025)</f>
        <v>187</v>
      </c>
      <c r="D87" s="12" t="n">
        <f aca="false">SUMIFS('סופר פארם Raw'!$C$6:$C$771,'סופר פארם Raw'!$E$6:$E$771,$A87,'סופר פארם Raw'!$B$6:$B$771,2026)</f>
        <v>108</v>
      </c>
      <c r="E87" s="12" t="n">
        <f aca="false">D87*$J$5</f>
        <v>136.421052631579</v>
      </c>
      <c r="F87" s="12" t="n">
        <f aca="false">E87-C87</f>
        <v>-50.5789473684211</v>
      </c>
      <c r="G87" s="21" t="n">
        <f aca="false">IF(AND(C87=0,E87=0),0,IF(C87=0,"New",(E87-C87)/C87))</f>
        <v>-0.270475654376583</v>
      </c>
      <c r="H87" s="12" t="n">
        <f aca="false">SUMIFS('סופר פארם Raw'!$D$6:$D$771,'סופר פארם Raw'!$E$6:$E$771,$A87,'סופר פארם Raw'!$B$6:$B$771,2025)</f>
        <v>5949.8</v>
      </c>
      <c r="I87" s="12" t="n">
        <f aca="false">SUMIFS('סופר פארם Raw'!$D$6:$D$771,'סופר פארם Raw'!$E$6:$E$771,$A87,'סופר פארם Raw'!$B$6:$B$771,2026)</f>
        <v>3399.2</v>
      </c>
      <c r="J87" s="12" t="n">
        <f aca="false">I87*$J$5</f>
        <v>4293.72631578947</v>
      </c>
    </row>
    <row r="88" customFormat="false" ht="15" hidden="false" customHeight="true" outlineLevel="0" collapsed="false">
      <c r="A88" s="12" t="n">
        <v>4408095</v>
      </c>
      <c r="B88" s="12" t="str">
        <f aca="false">IFERROR(INDEX('Catalog'!$B:$B,MATCH($A88,'Catalog'!$A:$A,0)),"")</f>
        <v>T20 L-XL  חבק יד עם צמדן</v>
      </c>
      <c r="C88" s="12" t="n">
        <f aca="false">SUMIFS('סופר פארם Raw'!$C$6:$C$771,'סופר פארם Raw'!$E$6:$E$771,$A88,'סופר פארם Raw'!$B$6:$B$771,2025)</f>
        <v>121</v>
      </c>
      <c r="D88" s="12" t="n">
        <f aca="false">SUMIFS('סופר פארם Raw'!$C$6:$C$771,'סופר פארם Raw'!$E$6:$E$771,$A88,'סופר פארם Raw'!$B$6:$B$771,2026)</f>
        <v>77</v>
      </c>
      <c r="E88" s="12" t="n">
        <f aca="false">D88*$J$5</f>
        <v>97.2631578947368</v>
      </c>
      <c r="F88" s="12" t="n">
        <f aca="false">E88-C88</f>
        <v>-23.7368421052632</v>
      </c>
      <c r="G88" s="21" t="n">
        <f aca="false">IF(AND(C88=0,E88=0),0,IF(C88=0,"New",(E88-C88)/C88))</f>
        <v>-0.196172248803828</v>
      </c>
      <c r="H88" s="12" t="n">
        <f aca="false">SUMIFS('סופר פארם Raw'!$D$6:$D$771,'סופר פארם Raw'!$E$6:$E$771,$A88,'סופר פארם Raw'!$B$6:$B$771,2025)</f>
        <v>3854.3</v>
      </c>
      <c r="I88" s="12" t="n">
        <f aca="false">SUMIFS('סופר פארם Raw'!$D$6:$D$771,'סופר פארם Raw'!$E$6:$E$771,$A88,'סופר פארם Raw'!$B$6:$B$771,2026)</f>
        <v>2409.5</v>
      </c>
      <c r="J88" s="12" t="n">
        <f aca="false">I88*$J$5</f>
        <v>3043.57894736842</v>
      </c>
    </row>
    <row r="89" customFormat="false" ht="15" hidden="false" customHeight="true" outlineLevel="0" collapsed="false">
      <c r="A89" s="12" t="n">
        <v>4408096</v>
      </c>
      <c r="B89" s="12" t="str">
        <f aca="false">IFERROR(INDEX('Catalog'!$B:$B,MATCH($A89,'Catalog'!$A:$A,0)),"")</f>
        <v>T20C S-M חבק יד עם צמדןחום</v>
      </c>
      <c r="C89" s="12" t="n">
        <f aca="false">SUMIFS('סופר פארם Raw'!$C$6:$C$771,'סופר פארם Raw'!$E$6:$E$771,$A89,'סופר פארם Raw'!$B$6:$B$771,2025)</f>
        <v>102</v>
      </c>
      <c r="D89" s="12" t="n">
        <f aca="false">SUMIFS('סופר פארם Raw'!$C$6:$C$771,'סופר פארם Raw'!$E$6:$E$771,$A89,'סופר פארם Raw'!$B$6:$B$771,2026)</f>
        <v>58</v>
      </c>
      <c r="E89" s="12" t="n">
        <f aca="false">D89*$J$5</f>
        <v>73.2631578947368</v>
      </c>
      <c r="F89" s="12" t="n">
        <f aca="false">E89-C89</f>
        <v>-28.7368421052632</v>
      </c>
      <c r="G89" s="21" t="n">
        <f aca="false">IF(AND(C89=0,E89=0),0,IF(C89=0,"New",(E89-C89)/C89))</f>
        <v>-0.281733746130031</v>
      </c>
      <c r="H89" s="12" t="n">
        <f aca="false">SUMIFS('סופר פארם Raw'!$D$6:$D$771,'סופר פארם Raw'!$E$6:$E$771,$A89,'סופר פארם Raw'!$B$6:$B$771,2025)</f>
        <v>3246.9</v>
      </c>
      <c r="I89" s="12" t="n">
        <f aca="false">SUMIFS('סופר פארם Raw'!$D$6:$D$771,'סופר פארם Raw'!$E$6:$E$771,$A89,'סופר פארם Raw'!$B$6:$B$771,2026)</f>
        <v>1829.6</v>
      </c>
      <c r="J89" s="12" t="n">
        <f aca="false">I89*$J$5</f>
        <v>2311.07368421053</v>
      </c>
    </row>
    <row r="90" customFormat="false" ht="15" hidden="false" customHeight="true" outlineLevel="0" collapsed="false">
      <c r="A90" s="12" t="n">
        <v>4408097</v>
      </c>
      <c r="B90" s="12" t="str">
        <f aca="false">IFERROR(INDEX('Catalog'!$B:$B,MATCH($A90,'Catalog'!$A:$A,0)),"")</f>
        <v>T20C L-XL חבק יד עם צמדן חום</v>
      </c>
      <c r="C90" s="12" t="n">
        <f aca="false">SUMIFS('סופר פארם Raw'!$C$6:$C$771,'סופר פארם Raw'!$E$6:$E$771,$A90,'סופר פארם Raw'!$B$6:$B$771,2025)</f>
        <v>116</v>
      </c>
      <c r="D90" s="12" t="n">
        <f aca="false">SUMIFS('סופר פארם Raw'!$C$6:$C$771,'סופר פארם Raw'!$E$6:$E$771,$A90,'סופר פארם Raw'!$B$6:$B$771,2026)</f>
        <v>60</v>
      </c>
      <c r="E90" s="12" t="n">
        <f aca="false">D90*$J$5</f>
        <v>75.7894736842105</v>
      </c>
      <c r="F90" s="12" t="n">
        <f aca="false">E90-C90</f>
        <v>-40.2105263157895</v>
      </c>
      <c r="G90" s="21" t="n">
        <f aca="false">IF(AND(C90=0,E90=0),0,IF(C90=0,"New",(E90-C90)/C90))</f>
        <v>-0.346642468239564</v>
      </c>
      <c r="H90" s="12" t="n">
        <f aca="false">SUMIFS('סופר פארם Raw'!$D$6:$D$771,'סופר פארם Raw'!$E$6:$E$771,$A90,'סופר פארם Raw'!$B$6:$B$771,2025)</f>
        <v>3688.3</v>
      </c>
      <c r="I90" s="12" t="n">
        <f aca="false">SUMIFS('סופר פארם Raw'!$D$6:$D$771,'סופר פארם Raw'!$E$6:$E$771,$A90,'סופר פארם Raw'!$B$6:$B$771,2026)</f>
        <v>1877.7</v>
      </c>
      <c r="J90" s="12" t="n">
        <f aca="false">I90*$J$5</f>
        <v>2371.83157894737</v>
      </c>
    </row>
    <row r="91" customFormat="false" ht="15" hidden="false" customHeight="true" outlineLevel="0" collapsed="false">
      <c r="A91" s="12" t="n">
        <v>4408098</v>
      </c>
      <c r="B91" s="12" t="str">
        <f aca="false">IFERROR(INDEX('Catalog'!$B:$B,MATCH($A91,'Catalog'!$A:$A,0)),"")</f>
        <v>T25-חבק יד אגודלי</v>
      </c>
      <c r="C91" s="12" t="n">
        <f aca="false">SUMIFS('סופר פארם Raw'!$C$6:$C$771,'סופר פארם Raw'!$E$6:$E$771,$A91,'סופר פארם Raw'!$B$6:$B$771,2025)</f>
        <v>4392</v>
      </c>
      <c r="D91" s="12" t="n">
        <f aca="false">SUMIFS('סופר פארם Raw'!$C$6:$C$771,'סופר פארם Raw'!$E$6:$E$771,$A91,'סופר פארם Raw'!$B$6:$B$771,2026)</f>
        <v>3316</v>
      </c>
      <c r="E91" s="12" t="n">
        <f aca="false">D91*$J$5</f>
        <v>4188.63157894737</v>
      </c>
      <c r="F91" s="12" t="n">
        <f aca="false">E91-C91</f>
        <v>-203.368421052632</v>
      </c>
      <c r="G91" s="21" t="n">
        <f aca="false">IF(AND(C91=0,E91=0),0,IF(C91=0,"New",(E91-C91)/C91))</f>
        <v>-0.0463042853034225</v>
      </c>
      <c r="H91" s="12" t="n">
        <f aca="false">SUMIFS('סופר פארם Raw'!$D$6:$D$771,'סופר פארם Raw'!$E$6:$E$771,$A91,'סופר פארם Raw'!$B$6:$B$771,2025)</f>
        <v>161481.4</v>
      </c>
      <c r="I91" s="12" t="n">
        <f aca="false">SUMIFS('סופר פארם Raw'!$D$6:$D$771,'סופר פארם Raw'!$E$6:$E$771,$A91,'סופר פארם Raw'!$B$6:$B$771,2026)</f>
        <v>123767.5</v>
      </c>
      <c r="J91" s="12" t="n">
        <f aca="false">I91*$J$5</f>
        <v>156337.894736842</v>
      </c>
    </row>
    <row r="92" customFormat="false" ht="15" hidden="false" customHeight="true" outlineLevel="0" collapsed="false">
      <c r="A92" s="12" t="n">
        <v>4408099</v>
      </c>
      <c r="B92" s="12" t="str">
        <f aca="false">IFERROR(INDEX('Catalog'!$B:$B,MATCH($A92,'Catalog'!$A:$A,0)),"")</f>
        <v>T25C-חבק יד אגודלי</v>
      </c>
      <c r="C92" s="12" t="n">
        <f aca="false">SUMIFS('סופר פארם Raw'!$C$6:$C$771,'סופר פארם Raw'!$E$6:$E$771,$A92,'סופר פארם Raw'!$B$6:$B$771,2025)</f>
        <v>5414</v>
      </c>
      <c r="D92" s="12" t="n">
        <f aca="false">SUMIFS('סופר פארם Raw'!$C$6:$C$771,'סופר פארם Raw'!$E$6:$E$771,$A92,'סופר פארם Raw'!$B$6:$B$771,2026)</f>
        <v>4087</v>
      </c>
      <c r="E92" s="12" t="n">
        <f aca="false">D92*$J$5</f>
        <v>5162.52631578947</v>
      </c>
      <c r="F92" s="12" t="n">
        <f aca="false">E92-C92</f>
        <v>-251.473684210527</v>
      </c>
      <c r="G92" s="21" t="n">
        <f aca="false">IF(AND(C92=0,E92=0),0,IF(C92=0,"New",(E92-C92)/C92))</f>
        <v>-0.0464487780218926</v>
      </c>
      <c r="H92" s="12" t="n">
        <f aca="false">SUMIFS('סופר פארם Raw'!$D$6:$D$771,'סופר פארם Raw'!$E$6:$E$771,$A92,'סופר פארם Raw'!$B$6:$B$771,2025)</f>
        <v>199054.3</v>
      </c>
      <c r="I92" s="12" t="n">
        <f aca="false">SUMIFS('סופר פארם Raw'!$D$6:$D$771,'סופר פארם Raw'!$E$6:$E$771,$A92,'סופר פארם Raw'!$B$6:$B$771,2026)</f>
        <v>152480.8</v>
      </c>
      <c r="J92" s="12" t="n">
        <f aca="false">I92*$J$5</f>
        <v>192607.326315789</v>
      </c>
    </row>
    <row r="93" customFormat="false" ht="15" hidden="false" customHeight="true" outlineLevel="0" collapsed="false">
      <c r="A93" s="12" t="n">
        <v>4408104</v>
      </c>
      <c r="B93" s="12" t="str">
        <f aca="false">IFERROR(INDEX('Catalog'!$B:$B,MATCH($A93,'Catalog'!$A:$A,0)),"")</f>
        <v>19 L-XLחגורת הריון בכאב.חזק</v>
      </c>
      <c r="C93" s="12" t="n">
        <f aca="false">SUMIFS('סופר פארם Raw'!$C$6:$C$771,'סופר פארם Raw'!$E$6:$E$771,$A93,'סופר פארם Raw'!$B$6:$B$771,2025)</f>
        <v>0</v>
      </c>
      <c r="D93" s="12" t="n">
        <f aca="false">SUMIFS('סופר פארם Raw'!$C$6:$C$771,'סופר פארם Raw'!$E$6:$E$771,$A93,'סופר פארם Raw'!$B$6:$B$771,2026)</f>
        <v>-1</v>
      </c>
      <c r="E93" s="12" t="n">
        <f aca="false">D93*$J$5</f>
        <v>-1.26315789473684</v>
      </c>
      <c r="F93" s="12" t="n">
        <f aca="false">E93-C93</f>
        <v>-1.26315789473684</v>
      </c>
      <c r="G93" s="21" t="str">
        <f aca="false">IF(AND(C93=0,E93=0),0,IF(C93=0,"New",(E93-C93)/C93))</f>
        <v>New</v>
      </c>
      <c r="H93" s="12" t="n">
        <f aca="false">SUMIFS('סופר פארם Raw'!$D$6:$D$771,'סופר פארם Raw'!$E$6:$E$771,$A93,'סופר פארם Raw'!$B$6:$B$771,2025)</f>
        <v>0</v>
      </c>
      <c r="I93" s="12" t="n">
        <f aca="false">SUMIFS('סופר פארם Raw'!$D$6:$D$771,'סופר פארם Raw'!$E$6:$E$771,$A93,'סופר פארם Raw'!$B$6:$B$771,2026)</f>
        <v>-207.2</v>
      </c>
      <c r="J93" s="12" t="n">
        <f aca="false">I93*$J$5</f>
        <v>-261.726315789474</v>
      </c>
    </row>
    <row r="94" customFormat="false" ht="15" hidden="false" customHeight="true" outlineLevel="0" collapsed="false">
      <c r="A94" s="12" t="n">
        <v>4408114</v>
      </c>
      <c r="B94" s="12" t="str">
        <f aca="false">IFERROR(INDEX('Catalog'!$B:$B,MATCH($A94,'Catalog'!$A:$A,0)),"")</f>
        <v>11EU M ח.בטן לאחר ניתוח</v>
      </c>
      <c r="C94" s="12" t="n">
        <f aca="false">SUMIFS('סופר פארם Raw'!$C$6:$C$771,'סופר פארם Raw'!$E$6:$E$771,$A94,'סופר פארם Raw'!$B$6:$B$771,2025)</f>
        <v>10</v>
      </c>
      <c r="D94" s="12" t="n">
        <f aca="false">SUMIFS('סופר פארם Raw'!$C$6:$C$771,'סופר פארם Raw'!$E$6:$E$771,$A94,'סופר פארם Raw'!$B$6:$B$771,2026)</f>
        <v>14</v>
      </c>
      <c r="E94" s="12" t="n">
        <f aca="false">D94*$J$5</f>
        <v>17.6842105263158</v>
      </c>
      <c r="F94" s="12" t="n">
        <f aca="false">E94-C94</f>
        <v>7.68421052631579</v>
      </c>
      <c r="G94" s="21" t="n">
        <f aca="false">IF(AND(C94=0,E94=0),0,IF(C94=0,"New",(E94-C94)/C94))</f>
        <v>0.768421052631579</v>
      </c>
      <c r="H94" s="12" t="n">
        <f aca="false">SUMIFS('סופר פארם Raw'!$D$6:$D$771,'סופר פארם Raw'!$E$6:$E$771,$A94,'סופר פארם Raw'!$B$6:$B$771,2025)</f>
        <v>882.9</v>
      </c>
      <c r="I94" s="12" t="n">
        <f aca="false">SUMIFS('סופר פארם Raw'!$D$6:$D$771,'סופר פארם Raw'!$E$6:$E$771,$A94,'סופר פארם Raw'!$B$6:$B$771,2026)</f>
        <v>1249.8</v>
      </c>
      <c r="J94" s="12" t="n">
        <f aca="false">I94*$J$5</f>
        <v>1578.69473684211</v>
      </c>
    </row>
    <row r="95" customFormat="false" ht="15" hidden="false" customHeight="true" outlineLevel="0" collapsed="false">
      <c r="A95" s="12" t="n">
        <v>4408145</v>
      </c>
      <c r="B95" s="12" t="str">
        <f aca="false">IFERROR(INDEX('Catalog'!$B:$B,MATCH($A95,'Catalog'!$A:$A,0)),"")</f>
        <v>11PS Sחגורה למנותחי בטן</v>
      </c>
      <c r="C95" s="12" t="n">
        <f aca="false">SUMIFS('סופר פארם Raw'!$C$6:$C$771,'סופר פארם Raw'!$E$6:$E$771,$A95,'סופר פארם Raw'!$B$6:$B$771,2025)</f>
        <v>0</v>
      </c>
      <c r="D95" s="12" t="n">
        <f aca="false">SUMIFS('סופר פארם Raw'!$C$6:$C$771,'סופר פארם Raw'!$E$6:$E$771,$A95,'סופר פארם Raw'!$B$6:$B$771,2026)</f>
        <v>1</v>
      </c>
      <c r="E95" s="12" t="n">
        <f aca="false">D95*$J$5</f>
        <v>1.26315789473684</v>
      </c>
      <c r="F95" s="12" t="n">
        <f aca="false">E95-C95</f>
        <v>1.26315789473684</v>
      </c>
      <c r="G95" s="21" t="str">
        <f aca="false">IF(AND(C95=0,E95=0),0,IF(C95=0,"New",(E95-C95)/C95))</f>
        <v>New</v>
      </c>
      <c r="H95" s="12" t="n">
        <f aca="false">SUMIFS('סופר פארם Raw'!$D$6:$D$771,'סופר פארם Raw'!$E$6:$E$771,$A95,'סופר פארם Raw'!$B$6:$B$771,2025)</f>
        <v>0</v>
      </c>
      <c r="I95" s="12" t="n">
        <f aca="false">SUMIFS('סופר פארם Raw'!$D$6:$D$771,'סופר פארם Raw'!$E$6:$E$771,$A95,'סופר פארם Raw'!$B$6:$B$771,2026)</f>
        <v>104.7</v>
      </c>
      <c r="J95" s="12" t="n">
        <f aca="false">I95*$J$5</f>
        <v>132.252631578947</v>
      </c>
    </row>
    <row r="96" customFormat="false" ht="15" hidden="false" customHeight="true" outlineLevel="0" collapsed="false">
      <c r="A96" s="12" t="n">
        <v>4408147</v>
      </c>
      <c r="B96" s="12" t="str">
        <f aca="false">IFERROR(INDEX('Catalog'!$B:$B,MATCH($A96,'Catalog'!$A:$A,0)),"")</f>
        <v>11PS Lחגורה למנותחי בטן</v>
      </c>
      <c r="C96" s="12" t="n">
        <f aca="false">SUMIFS('סופר פארם Raw'!$C$6:$C$771,'סופר פארם Raw'!$E$6:$E$771,$A96,'סופר פארם Raw'!$B$6:$B$771,2025)</f>
        <v>3</v>
      </c>
      <c r="D96" s="12" t="n">
        <f aca="false">SUMIFS('סופר פארם Raw'!$C$6:$C$771,'סופר פארם Raw'!$E$6:$E$771,$A96,'סופר פארם Raw'!$B$6:$B$771,2026)</f>
        <v>0</v>
      </c>
      <c r="E96" s="12" t="n">
        <f aca="false">D96*$J$5</f>
        <v>0</v>
      </c>
      <c r="F96" s="12" t="n">
        <f aca="false">E96-C96</f>
        <v>-3</v>
      </c>
      <c r="G96" s="21" t="n">
        <f aca="false">IF(AND(C96=0,E96=0),0,IF(C96=0,"New",(E96-C96)/C96))</f>
        <v>-1</v>
      </c>
      <c r="H96" s="12" t="n">
        <f aca="false">SUMIFS('סופר פארם Raw'!$D$6:$D$771,'סופר פארם Raw'!$E$6:$E$771,$A96,'סופר פארם Raw'!$B$6:$B$771,2025)</f>
        <v>315.2</v>
      </c>
      <c r="I96" s="12" t="n">
        <f aca="false">SUMIFS('סופר פארם Raw'!$D$6:$D$771,'סופר פארם Raw'!$E$6:$E$771,$A96,'סופר פארם Raw'!$B$6:$B$771,2026)</f>
        <v>0</v>
      </c>
      <c r="J96" s="12" t="n">
        <f aca="false">I96*$J$5</f>
        <v>0</v>
      </c>
    </row>
    <row r="97" customFormat="false" ht="15" hidden="false" customHeight="true" outlineLevel="0" collapsed="false">
      <c r="A97" s="12" t="n">
        <v>4408148</v>
      </c>
      <c r="B97" s="12" t="str">
        <f aca="false">IFERROR(INDEX('Catalog'!$B:$B,MATCH($A97,'Catalog'!$A:$A,0)),"")</f>
        <v>11PS XLחגורה למנותחי בטן</v>
      </c>
      <c r="C97" s="12" t="n">
        <f aca="false">SUMIFS('סופר פארם Raw'!$C$6:$C$771,'סופר פארם Raw'!$E$6:$E$771,$A97,'סופר פארם Raw'!$B$6:$B$771,2025)</f>
        <v>3</v>
      </c>
      <c r="D97" s="12" t="n">
        <f aca="false">SUMIFS('סופר פארם Raw'!$C$6:$C$771,'סופר פארם Raw'!$E$6:$E$771,$A97,'סופר פארם Raw'!$B$6:$B$771,2026)</f>
        <v>0</v>
      </c>
      <c r="E97" s="12" t="n">
        <f aca="false">D97*$J$5</f>
        <v>0</v>
      </c>
      <c r="F97" s="12" t="n">
        <f aca="false">E97-C97</f>
        <v>-3</v>
      </c>
      <c r="G97" s="21" t="n">
        <f aca="false">IF(AND(C97=0,E97=0),0,IF(C97=0,"New",(E97-C97)/C97))</f>
        <v>-1</v>
      </c>
      <c r="H97" s="12" t="n">
        <f aca="false">SUMIFS('סופר פארם Raw'!$D$6:$D$771,'סופר פארם Raw'!$E$6:$E$771,$A97,'סופר פארם Raw'!$B$6:$B$771,2025)</f>
        <v>315.2</v>
      </c>
      <c r="I97" s="12" t="n">
        <f aca="false">SUMIFS('סופר פארם Raw'!$D$6:$D$771,'סופר פארם Raw'!$E$6:$E$771,$A97,'סופר פארם Raw'!$B$6:$B$771,2026)</f>
        <v>-5.5</v>
      </c>
      <c r="J97" s="12" t="n">
        <f aca="false">I97*$J$5</f>
        <v>-6.94736842105263</v>
      </c>
    </row>
    <row r="98" customFormat="false" ht="15" hidden="false" customHeight="true" outlineLevel="0" collapsed="false">
      <c r="A98" s="12" t="n">
        <v>4408150</v>
      </c>
      <c r="B98" s="12" t="str">
        <f aca="false">IFERROR(INDEX('Catalog'!$B:$B,MATCH($A98,'Catalog'!$A:$A,0)),"")</f>
        <v>11TO S חגורה למנותחי בית החזה</v>
      </c>
      <c r="C98" s="12" t="n">
        <f aca="false">SUMIFS('סופר פארם Raw'!$C$6:$C$771,'סופר פארם Raw'!$E$6:$E$771,$A98,'סופר פארם Raw'!$B$6:$B$771,2025)</f>
        <v>0</v>
      </c>
      <c r="D98" s="12" t="n">
        <f aca="false">SUMIFS('סופר פארם Raw'!$C$6:$C$771,'סופר פארם Raw'!$E$6:$E$771,$A98,'סופר פארם Raw'!$B$6:$B$771,2026)</f>
        <v>-1</v>
      </c>
      <c r="E98" s="12" t="n">
        <f aca="false">D98*$J$5</f>
        <v>-1.26315789473684</v>
      </c>
      <c r="F98" s="12" t="n">
        <f aca="false">E98-C98</f>
        <v>-1.26315789473684</v>
      </c>
      <c r="G98" s="21" t="str">
        <f aca="false">IF(AND(C98=0,E98=0),0,IF(C98=0,"New",(E98-C98)/C98))</f>
        <v>New</v>
      </c>
      <c r="H98" s="12" t="n">
        <f aca="false">SUMIFS('סופר פארם Raw'!$D$6:$D$771,'סופר פארם Raw'!$E$6:$E$771,$A98,'סופר פארם Raw'!$B$6:$B$771,2025)</f>
        <v>0</v>
      </c>
      <c r="I98" s="12" t="n">
        <f aca="false">SUMIFS('סופר פארם Raw'!$D$6:$D$771,'סופר פארם Raw'!$E$6:$E$771,$A98,'סופר פארם Raw'!$B$6:$B$771,2026)</f>
        <v>-128.4</v>
      </c>
      <c r="J98" s="12" t="n">
        <f aca="false">I98*$J$5</f>
        <v>-162.189473684211</v>
      </c>
    </row>
    <row r="99" customFormat="false" ht="15" hidden="false" customHeight="true" outlineLevel="0" collapsed="false">
      <c r="A99" s="12" t="n">
        <v>4408151</v>
      </c>
      <c r="B99" s="12" t="str">
        <f aca="false">IFERROR(INDEX('Catalog'!$B:$B,MATCH($A99,'Catalog'!$A:$A,0)),"")</f>
        <v>11TO M חגורה למנותחי בית החזה</v>
      </c>
      <c r="C99" s="12" t="n">
        <f aca="false">SUMIFS('סופר פארם Raw'!$C$6:$C$771,'סופר פארם Raw'!$E$6:$E$771,$A99,'סופר פארם Raw'!$B$6:$B$771,2025)</f>
        <v>13</v>
      </c>
      <c r="D99" s="12" t="n">
        <f aca="false">SUMIFS('סופר פארם Raw'!$C$6:$C$771,'סופר פארם Raw'!$E$6:$E$771,$A99,'סופר פארם Raw'!$B$6:$B$771,2026)</f>
        <v>9</v>
      </c>
      <c r="E99" s="12" t="n">
        <f aca="false">D99*$J$5</f>
        <v>11.3684210526316</v>
      </c>
      <c r="F99" s="12" t="n">
        <f aca="false">E99-C99</f>
        <v>-1.63157894736842</v>
      </c>
      <c r="G99" s="21" t="n">
        <f aca="false">IF(AND(C99=0,E99=0),0,IF(C99=0,"New",(E99-C99)/C99))</f>
        <v>-0.125506072874494</v>
      </c>
      <c r="H99" s="12" t="n">
        <f aca="false">SUMIFS('סופר פארם Raw'!$D$6:$D$771,'סופר פארם Raw'!$E$6:$E$771,$A99,'סופר פארם Raw'!$B$6:$B$771,2025)</f>
        <v>1743.6</v>
      </c>
      <c r="I99" s="12" t="n">
        <f aca="false">SUMIFS('סופר פארם Raw'!$D$6:$D$771,'סופר פארם Raw'!$E$6:$E$771,$A99,'סופר פארם Raw'!$B$6:$B$771,2026)</f>
        <v>1185.2</v>
      </c>
      <c r="J99" s="12" t="n">
        <f aca="false">I99*$J$5</f>
        <v>1497.09473684211</v>
      </c>
    </row>
    <row r="100" customFormat="false" ht="15" hidden="false" customHeight="true" outlineLevel="0" collapsed="false">
      <c r="A100" s="12" t="n">
        <v>4408152</v>
      </c>
      <c r="B100" s="12" t="str">
        <f aca="false">IFERROR(INDEX('Catalog'!$B:$B,MATCH($A100,'Catalog'!$A:$A,0)),"")</f>
        <v>11TO L חגורה למנותחי בית החזה</v>
      </c>
      <c r="C100" s="12" t="n">
        <f aca="false">SUMIFS('סופר פארם Raw'!$C$6:$C$771,'סופר פארם Raw'!$E$6:$E$771,$A100,'סופר פארם Raw'!$B$6:$B$771,2025)</f>
        <v>10</v>
      </c>
      <c r="D100" s="12" t="n">
        <f aca="false">SUMIFS('סופר פארם Raw'!$C$6:$C$771,'סופר פארם Raw'!$E$6:$E$771,$A100,'סופר פארם Raw'!$B$6:$B$771,2026)</f>
        <v>23</v>
      </c>
      <c r="E100" s="12" t="n">
        <f aca="false">D100*$J$5</f>
        <v>29.0526315789474</v>
      </c>
      <c r="F100" s="12" t="n">
        <f aca="false">E100-C100</f>
        <v>19.0526315789474</v>
      </c>
      <c r="G100" s="21" t="n">
        <f aca="false">IF(AND(C100=0,E100=0),0,IF(C100=0,"New",(E100-C100)/C100))</f>
        <v>1.90526315789474</v>
      </c>
      <c r="H100" s="12" t="n">
        <f aca="false">SUMIFS('סופר פארם Raw'!$D$6:$D$771,'סופר פארם Raw'!$E$6:$E$771,$A100,'סופר פארם Raw'!$B$6:$B$771,2025)</f>
        <v>1304.3</v>
      </c>
      <c r="I100" s="12" t="n">
        <f aca="false">SUMIFS('סופר פארם Raw'!$D$6:$D$771,'סופר פארם Raw'!$E$6:$E$771,$A100,'סופר פארם Raw'!$B$6:$B$771,2026)</f>
        <v>3060.8</v>
      </c>
      <c r="J100" s="12" t="n">
        <f aca="false">I100*$J$5</f>
        <v>3866.27368421053</v>
      </c>
    </row>
    <row r="101" customFormat="false" ht="15" hidden="false" customHeight="true" outlineLevel="0" collapsed="false">
      <c r="A101" s="12" t="n">
        <v>4408153</v>
      </c>
      <c r="B101" s="12" t="str">
        <f aca="false">IFERROR(INDEX('Catalog'!$B:$B,MATCH($A101,'Catalog'!$A:$A,0)),"")</f>
        <v>11TO XLחגורה למנותחי בית החזה</v>
      </c>
      <c r="C101" s="12" t="n">
        <f aca="false">SUMIFS('סופר פארם Raw'!$C$6:$C$771,'סופר פארם Raw'!$E$6:$E$771,$A101,'סופר פארם Raw'!$B$6:$B$771,2025)</f>
        <v>19</v>
      </c>
      <c r="D101" s="12" t="n">
        <f aca="false">SUMIFS('סופר פארם Raw'!$C$6:$C$771,'סופר פארם Raw'!$E$6:$E$771,$A101,'סופר פארם Raw'!$B$6:$B$771,2026)</f>
        <v>22</v>
      </c>
      <c r="E101" s="12" t="n">
        <f aca="false">D101*$J$5</f>
        <v>27.7894736842105</v>
      </c>
      <c r="F101" s="12" t="n">
        <f aca="false">E101-C101</f>
        <v>8.78947368421052</v>
      </c>
      <c r="G101" s="21" t="n">
        <f aca="false">IF(AND(C101=0,E101=0),0,IF(C101=0,"New",(E101-C101)/C101))</f>
        <v>0.462603878116343</v>
      </c>
      <c r="H101" s="12" t="n">
        <f aca="false">SUMIFS('סופר פארם Raw'!$D$6:$D$771,'סופר פארם Raw'!$E$6:$E$771,$A101,'סופר פארם Raw'!$B$6:$B$771,2025)</f>
        <v>2500.4</v>
      </c>
      <c r="I101" s="12" t="n">
        <f aca="false">SUMIFS('סופר פארם Raw'!$D$6:$D$771,'סופר פארם Raw'!$E$6:$E$771,$A101,'סופר פארם Raw'!$B$6:$B$771,2026)</f>
        <v>2922</v>
      </c>
      <c r="J101" s="12" t="n">
        <f aca="false">I101*$J$5</f>
        <v>3690.94736842105</v>
      </c>
    </row>
    <row r="102" customFormat="false" ht="15" hidden="false" customHeight="true" outlineLevel="0" collapsed="false">
      <c r="A102" s="12" t="n">
        <v>4408154</v>
      </c>
      <c r="B102" s="12" t="str">
        <f aca="false">IFERROR(INDEX('Catalog'!$B:$B,MATCH($A102,'Catalog'!$A:$A,0)),"")</f>
        <v>11TO XXLחגורה למנותחי בית החזה</v>
      </c>
      <c r="C102" s="12" t="n">
        <f aca="false">SUMIFS('סופר פארם Raw'!$C$6:$C$771,'סופר פארם Raw'!$E$6:$E$771,$A102,'סופר פארם Raw'!$B$6:$B$771,2025)</f>
        <v>21</v>
      </c>
      <c r="D102" s="12" t="n">
        <f aca="false">SUMIFS('סופר פארם Raw'!$C$6:$C$771,'סופר פארם Raw'!$E$6:$E$771,$A102,'סופר פארם Raw'!$B$6:$B$771,2026)</f>
        <v>41</v>
      </c>
      <c r="E102" s="12" t="n">
        <f aca="false">D102*$J$5</f>
        <v>51.7894736842105</v>
      </c>
      <c r="F102" s="12" t="n">
        <f aca="false">E102-C102</f>
        <v>30.7894736842105</v>
      </c>
      <c r="G102" s="21" t="n">
        <f aca="false">IF(AND(C102=0,E102=0),0,IF(C102=0,"New",(E102-C102)/C102))</f>
        <v>1.46616541353383</v>
      </c>
      <c r="H102" s="12" t="n">
        <f aca="false">SUMIFS('סופר פארם Raw'!$D$6:$D$771,'סופר פארם Raw'!$E$6:$E$771,$A102,'סופר פארם Raw'!$B$6:$B$771,2025)</f>
        <v>2777.5</v>
      </c>
      <c r="I102" s="12" t="n">
        <f aca="false">SUMIFS('סופר פארם Raw'!$D$6:$D$771,'סופר פארם Raw'!$E$6:$E$771,$A102,'סופר פארם Raw'!$B$6:$B$771,2026)</f>
        <v>5469.3</v>
      </c>
      <c r="J102" s="12" t="n">
        <f aca="false">I102*$J$5</f>
        <v>6908.58947368421</v>
      </c>
    </row>
    <row r="103" customFormat="false" ht="15" hidden="false" customHeight="true" outlineLevel="0" collapsed="false">
      <c r="A103" s="12" t="n">
        <v>4408178</v>
      </c>
      <c r="B103" s="12" t="str">
        <f aca="false">IFERROR(INDEX('Catalog'!$B:$B,MATCH($A103,'Catalog'!$A:$A,0)),"")</f>
        <v>13 L חגורה לשבר טבור</v>
      </c>
      <c r="C103" s="12" t="n">
        <f aca="false">SUMIFS('סופר פארם Raw'!$C$6:$C$771,'סופר פארם Raw'!$E$6:$E$771,$A103,'סופר פארם Raw'!$B$6:$B$771,2025)</f>
        <v>-1</v>
      </c>
      <c r="D103" s="12" t="n">
        <f aca="false">SUMIFS('סופר פארם Raw'!$C$6:$C$771,'סופר פארם Raw'!$E$6:$E$771,$A103,'סופר פארם Raw'!$B$6:$B$771,2026)</f>
        <v>-1</v>
      </c>
      <c r="E103" s="12" t="n">
        <f aca="false">D103*$J$5</f>
        <v>-1.26315789473684</v>
      </c>
      <c r="F103" s="12" t="n">
        <f aca="false">E103-C103</f>
        <v>-0.263157894736842</v>
      </c>
      <c r="G103" s="21" t="n">
        <f aca="false">IF(AND(C103=0,E103=0),0,IF(C103=0,"New",(E103-C103)/C103))</f>
        <v>0.263157894736842</v>
      </c>
      <c r="H103" s="12" t="n">
        <f aca="false">SUMIFS('סופר פארם Raw'!$D$6:$D$771,'סופר פארם Raw'!$E$6:$E$771,$A103,'סופר פארם Raw'!$B$6:$B$771,2025)</f>
        <v>-135</v>
      </c>
      <c r="I103" s="12" t="n">
        <f aca="false">SUMIFS('סופר פארם Raw'!$D$6:$D$771,'סופר פארם Raw'!$E$6:$E$771,$A103,'סופר פארם Raw'!$B$6:$B$771,2026)</f>
        <v>-135</v>
      </c>
      <c r="J103" s="12" t="n">
        <f aca="false">I103*$J$5</f>
        <v>-170.526315789474</v>
      </c>
    </row>
    <row r="104" customFormat="false" ht="15" hidden="false" customHeight="true" outlineLevel="0" collapsed="false">
      <c r="A104" s="12" t="n">
        <v>4408190</v>
      </c>
      <c r="B104" s="12" t="str">
        <f aca="false">IFERROR(INDEX('Catalog'!$B:$B,MATCH($A104,'Catalog'!$A:$A,0)),"")</f>
        <v>M078 חגורת גב +סגירה כפולה</v>
      </c>
      <c r="C104" s="12" t="n">
        <f aca="false">SUMIFS('סופר פארם Raw'!$C$6:$C$771,'סופר פארם Raw'!$E$6:$E$771,$A104,'סופר פארם Raw'!$B$6:$B$771,2025)</f>
        <v>65</v>
      </c>
      <c r="D104" s="12" t="n">
        <f aca="false">SUMIFS('סופר פארם Raw'!$C$6:$C$771,'סופר פארם Raw'!$E$6:$E$771,$A104,'סופר פארם Raw'!$B$6:$B$771,2026)</f>
        <v>36</v>
      </c>
      <c r="E104" s="12" t="n">
        <f aca="false">D104*$J$5</f>
        <v>45.4736842105263</v>
      </c>
      <c r="F104" s="12" t="n">
        <f aca="false">E104-C104</f>
        <v>-19.5263157894737</v>
      </c>
      <c r="G104" s="21" t="n">
        <f aca="false">IF(AND(C104=0,E104=0),0,IF(C104=0,"New",(E104-C104)/C104))</f>
        <v>-0.300404858299595</v>
      </c>
      <c r="H104" s="12" t="n">
        <f aca="false">SUMIFS('סופר פארם Raw'!$D$6:$D$771,'סופר פארם Raw'!$E$6:$E$771,$A104,'סופר פארם Raw'!$B$6:$B$771,2025)</f>
        <v>6213.6</v>
      </c>
      <c r="I104" s="12" t="n">
        <f aca="false">SUMIFS('סופר פארם Raw'!$D$6:$D$771,'סופר פארם Raw'!$E$6:$E$771,$A104,'סופר פארם Raw'!$B$6:$B$771,2026)</f>
        <v>3644.6</v>
      </c>
      <c r="J104" s="12" t="n">
        <f aca="false">I104*$J$5</f>
        <v>4603.70526315789</v>
      </c>
    </row>
    <row r="105" customFormat="false" ht="15" hidden="false" customHeight="true" outlineLevel="0" collapsed="false">
      <c r="A105" s="12" t="n">
        <v>4408192</v>
      </c>
      <c r="B105" s="12" t="str">
        <f aca="false">IFERROR(INDEX('Catalog'!$B:$B,MATCH($A105,'Catalog'!$A:$A,0)),"")</f>
        <v>078 L חגורת גב +סגירה</v>
      </c>
      <c r="C105" s="12" t="n">
        <f aca="false">SUMIFS('סופר פארם Raw'!$C$6:$C$771,'סופר פארם Raw'!$E$6:$E$771,$A105,'סופר פארם Raw'!$B$6:$B$771,2025)</f>
        <v>164</v>
      </c>
      <c r="D105" s="12" t="n">
        <f aca="false">SUMIFS('סופר פארם Raw'!$C$6:$C$771,'סופר פארם Raw'!$E$6:$E$771,$A105,'סופר פארם Raw'!$B$6:$B$771,2026)</f>
        <v>82</v>
      </c>
      <c r="E105" s="12" t="n">
        <f aca="false">D105*$J$5</f>
        <v>103.578947368421</v>
      </c>
      <c r="F105" s="12" t="n">
        <f aca="false">E105-C105</f>
        <v>-60.421052631579</v>
      </c>
      <c r="G105" s="21" t="n">
        <f aca="false">IF(AND(C105=0,E105=0),0,IF(C105=0,"New",(E105-C105)/C105))</f>
        <v>-0.368421052631579</v>
      </c>
      <c r="H105" s="12" t="n">
        <f aca="false">SUMIFS('סופר פארם Raw'!$D$6:$D$771,'סופר פארם Raw'!$E$6:$E$771,$A105,'סופר פארם Raw'!$B$6:$B$771,2025)</f>
        <v>15702.7</v>
      </c>
      <c r="I105" s="12" t="n">
        <f aca="false">SUMIFS('סופר פארם Raw'!$D$6:$D$771,'סופר פארם Raw'!$E$6:$E$771,$A105,'סופר פארם Raw'!$B$6:$B$771,2026)</f>
        <v>8230.7</v>
      </c>
      <c r="J105" s="12" t="n">
        <f aca="false">I105*$J$5</f>
        <v>10396.6736842105</v>
      </c>
    </row>
    <row r="106" customFormat="false" ht="15" hidden="false" customHeight="true" outlineLevel="0" collapsed="false">
      <c r="A106" s="12" t="n">
        <v>4408203</v>
      </c>
      <c r="B106" s="12" t="str">
        <f aca="false">IFERROR(INDEX('Catalog'!$B:$B,MATCH($A106,'Catalog'!$A:$A,0)),"")</f>
        <v>14 0 חגורה למנותחי בית חזה</v>
      </c>
      <c r="C106" s="12" t="n">
        <f aca="false">SUMIFS('סופר פארם Raw'!$C$6:$C$771,'סופר פארם Raw'!$E$6:$E$771,$A106,'סופר פארם Raw'!$B$6:$B$771,2025)</f>
        <v>2</v>
      </c>
      <c r="D106" s="12" t="n">
        <f aca="false">SUMIFS('סופר פארם Raw'!$C$6:$C$771,'סופר פארם Raw'!$E$6:$E$771,$A106,'סופר פארם Raw'!$B$6:$B$771,2026)</f>
        <v>11</v>
      </c>
      <c r="E106" s="12" t="n">
        <f aca="false">D106*$J$5</f>
        <v>13.8947368421053</v>
      </c>
      <c r="F106" s="12" t="n">
        <f aca="false">E106-C106</f>
        <v>11.8947368421053</v>
      </c>
      <c r="G106" s="21" t="n">
        <f aca="false">IF(AND(C106=0,E106=0),0,IF(C106=0,"New",(E106-C106)/C106))</f>
        <v>5.94736842105263</v>
      </c>
      <c r="H106" s="12" t="n">
        <f aca="false">SUMIFS('סופר פארם Raw'!$D$6:$D$771,'סופר פארם Raw'!$E$6:$E$771,$A106,'סופר פארם Raw'!$B$6:$B$771,2025)</f>
        <v>442.1</v>
      </c>
      <c r="I106" s="12" t="n">
        <f aca="false">SUMIFS('סופר פארם Raw'!$D$6:$D$771,'סופר פארם Raw'!$E$6:$E$771,$A106,'סופר פארם Raw'!$B$6:$B$771,2026)</f>
        <v>1896.4</v>
      </c>
      <c r="J106" s="12" t="n">
        <f aca="false">I106*$J$5</f>
        <v>2395.45263157895</v>
      </c>
    </row>
    <row r="107" customFormat="false" ht="15" hidden="false" customHeight="true" outlineLevel="0" collapsed="false">
      <c r="A107" s="12" t="n">
        <v>4408208</v>
      </c>
      <c r="B107" s="12" t="str">
        <f aca="false">IFERROR(INDEX('Catalog'!$B:$B,MATCH($A107,'Catalog'!$A:$A,0)),"")</f>
        <v>AC91 חבק טניס</v>
      </c>
      <c r="C107" s="12" t="n">
        <f aca="false">SUMIFS('סופר פארם Raw'!$C$6:$C$771,'סופר פארם Raw'!$E$6:$E$771,$A107,'סופר פארם Raw'!$B$6:$B$771,2025)</f>
        <v>803</v>
      </c>
      <c r="D107" s="12" t="n">
        <f aca="false">SUMIFS('סופר פארם Raw'!$C$6:$C$771,'סופר פארם Raw'!$E$6:$E$771,$A107,'סופר פארם Raw'!$B$6:$B$771,2026)</f>
        <v>571</v>
      </c>
      <c r="E107" s="12" t="n">
        <f aca="false">D107*$J$5</f>
        <v>721.263157894737</v>
      </c>
      <c r="F107" s="12" t="n">
        <f aca="false">E107-C107</f>
        <v>-81.7368421052632</v>
      </c>
      <c r="G107" s="21" t="n">
        <f aca="false">IF(AND(C107=0,E107=0),0,IF(C107=0,"New",(E107-C107)/C107))</f>
        <v>-0.101789342596841</v>
      </c>
      <c r="H107" s="12" t="n">
        <f aca="false">SUMIFS('סופר פארם Raw'!$D$6:$D$771,'סופר פארם Raw'!$E$6:$E$771,$A107,'סופר פארם Raw'!$B$6:$B$771,2025)</f>
        <v>21410.6</v>
      </c>
      <c r="I107" s="12" t="n">
        <f aca="false">SUMIFS('סופר פארם Raw'!$D$6:$D$771,'סופר פארם Raw'!$E$6:$E$771,$A107,'סופר פארם Raw'!$B$6:$B$771,2026)</f>
        <v>15737.5</v>
      </c>
      <c r="J107" s="12" t="n">
        <f aca="false">I107*$J$5</f>
        <v>19878.9473684211</v>
      </c>
    </row>
    <row r="108" customFormat="false" ht="15" hidden="false" customHeight="true" outlineLevel="0" collapsed="false">
      <c r="A108" s="12" t="n">
        <v>4408217</v>
      </c>
      <c r="B108" s="12" t="str">
        <f aca="false">IFERROR(INDEX('Catalog'!$B:$B,MATCH($A108,'Catalog'!$A:$A,0)),"")</f>
        <v>S078 חגורת גב +סגירה כפולה</v>
      </c>
      <c r="C108" s="12" t="n">
        <f aca="false">SUMIFS('סופר פארם Raw'!$C$6:$C$771,'סופר פארם Raw'!$E$6:$E$771,$A108,'סופר פארם Raw'!$B$6:$B$771,2025)</f>
        <v>11</v>
      </c>
      <c r="D108" s="12" t="n">
        <f aca="false">SUMIFS('סופר פארם Raw'!$C$6:$C$771,'סופר פארם Raw'!$E$6:$E$771,$A108,'סופר פארם Raw'!$B$6:$B$771,2026)</f>
        <v>3</v>
      </c>
      <c r="E108" s="12" t="n">
        <f aca="false">D108*$J$5</f>
        <v>3.78947368421053</v>
      </c>
      <c r="F108" s="12" t="n">
        <f aca="false">E108-C108</f>
        <v>-7.21052631578947</v>
      </c>
      <c r="G108" s="21" t="n">
        <f aca="false">IF(AND(C108=0,E108=0),0,IF(C108=0,"New",(E108-C108)/C108))</f>
        <v>-0.655502392344498</v>
      </c>
      <c r="H108" s="12" t="n">
        <f aca="false">SUMIFS('סופר פארם Raw'!$D$6:$D$771,'סופר פארם Raw'!$E$6:$E$771,$A108,'סופר פארם Raw'!$B$6:$B$771,2025)</f>
        <v>1035.5</v>
      </c>
      <c r="I108" s="12" t="n">
        <f aca="false">SUMIFS('סופר פארם Raw'!$D$6:$D$771,'סופר פארם Raw'!$E$6:$E$771,$A108,'סופר פארם Raw'!$B$6:$B$771,2026)</f>
        <v>314.7</v>
      </c>
      <c r="J108" s="12" t="n">
        <f aca="false">I108*$J$5</f>
        <v>397.515789473684</v>
      </c>
    </row>
    <row r="109" customFormat="false" ht="15" hidden="false" customHeight="true" outlineLevel="0" collapsed="false">
      <c r="A109" s="12" t="n">
        <v>4408218</v>
      </c>
      <c r="B109" s="12" t="str">
        <f aca="false">IFERROR(INDEX('Catalog'!$B:$B,MATCH($A109,'Catalog'!$A:$A,0)),"")</f>
        <v>078XL חגורת גב +סגירה כפולה</v>
      </c>
      <c r="C109" s="12" t="n">
        <f aca="false">SUMIFS('סופר פארם Raw'!$C$6:$C$771,'סופר פארם Raw'!$E$6:$E$771,$A109,'סופר פארם Raw'!$B$6:$B$771,2025)</f>
        <v>132</v>
      </c>
      <c r="D109" s="12" t="n">
        <f aca="false">SUMIFS('סופר פארם Raw'!$C$6:$C$771,'סופר פארם Raw'!$E$6:$E$771,$A109,'סופר פארם Raw'!$B$6:$B$771,2026)</f>
        <v>42</v>
      </c>
      <c r="E109" s="12" t="n">
        <f aca="false">D109*$J$5</f>
        <v>53.0526315789474</v>
      </c>
      <c r="F109" s="12" t="n">
        <f aca="false">E109-C109</f>
        <v>-78.9473684210526</v>
      </c>
      <c r="G109" s="21" t="n">
        <f aca="false">IF(AND(C109=0,E109=0),0,IF(C109=0,"New",(E109-C109)/C109))</f>
        <v>-0.598086124401914</v>
      </c>
      <c r="H109" s="12" t="n">
        <f aca="false">SUMIFS('סופר פארם Raw'!$D$6:$D$771,'סופר פארם Raw'!$E$6:$E$771,$A109,'סופר פארם Raw'!$B$6:$B$771,2025)</f>
        <v>12600.2</v>
      </c>
      <c r="I109" s="12" t="n">
        <f aca="false">SUMIFS('סופר פארם Raw'!$D$6:$D$771,'סופר פארם Raw'!$E$6:$E$771,$A109,'סופר פארם Raw'!$B$6:$B$771,2026)</f>
        <v>4263.8</v>
      </c>
      <c r="J109" s="12" t="n">
        <f aca="false">I109*$J$5</f>
        <v>5385.85263157895</v>
      </c>
    </row>
    <row r="110" customFormat="false" ht="15" hidden="false" customHeight="true" outlineLevel="0" collapsed="false">
      <c r="A110" s="12" t="n">
        <v>4408219</v>
      </c>
      <c r="B110" s="12" t="str">
        <f aca="false">IFERROR(INDEX('Catalog'!$B:$B,MATCH($A110,'Catalog'!$A:$A,0)),"")</f>
        <v>078G-S חגורת גב אפורה</v>
      </c>
      <c r="C110" s="12" t="n">
        <f aca="false">SUMIFS('סופר פארם Raw'!$C$6:$C$771,'סופר פארם Raw'!$E$6:$E$771,$A110,'סופר פארם Raw'!$B$6:$B$771,2025)</f>
        <v>359</v>
      </c>
      <c r="D110" s="12" t="n">
        <f aca="false">SUMIFS('סופר פארם Raw'!$C$6:$C$771,'סופר פארם Raw'!$E$6:$E$771,$A110,'סופר פארם Raw'!$B$6:$B$771,2026)</f>
        <v>263</v>
      </c>
      <c r="E110" s="12" t="n">
        <f aca="false">D110*$J$5</f>
        <v>332.21052631579</v>
      </c>
      <c r="F110" s="12" t="n">
        <f aca="false">E110-C110</f>
        <v>-26.7894736842105</v>
      </c>
      <c r="G110" s="21" t="n">
        <f aca="false">IF(AND(C110=0,E110=0),0,IF(C110=0,"New",(E110-C110)/C110))</f>
        <v>-0.07462248937106</v>
      </c>
      <c r="H110" s="12" t="n">
        <f aca="false">SUMIFS('סופר פארם Raw'!$D$6:$D$771,'סופר פארם Raw'!$E$6:$E$771,$A110,'סופר פארם Raw'!$B$6:$B$771,2025)</f>
        <v>33059.8</v>
      </c>
      <c r="I110" s="12" t="n">
        <f aca="false">SUMIFS('סופר פארם Raw'!$D$6:$D$771,'סופר פארם Raw'!$E$6:$E$771,$A110,'סופר פארם Raw'!$B$6:$B$771,2026)</f>
        <v>24607.7</v>
      </c>
      <c r="J110" s="12" t="n">
        <f aca="false">I110*$J$5</f>
        <v>31083.4105263158</v>
      </c>
    </row>
    <row r="111" customFormat="false" ht="15" hidden="false" customHeight="true" outlineLevel="0" collapsed="false">
      <c r="A111" s="12" t="n">
        <v>4408220</v>
      </c>
      <c r="B111" s="12" t="str">
        <f aca="false">IFERROR(INDEX('Catalog'!$B:$B,MATCH($A111,'Catalog'!$A:$A,0)),"")</f>
        <v>078G-M חגורת גב אפורה</v>
      </c>
      <c r="C111" s="12" t="n">
        <f aca="false">SUMIFS('סופר פארם Raw'!$C$6:$C$771,'סופר פארם Raw'!$E$6:$E$771,$A111,'סופר פארם Raw'!$B$6:$B$771,2025)</f>
        <v>1204</v>
      </c>
      <c r="D111" s="12" t="n">
        <f aca="false">SUMIFS('סופר פארם Raw'!$C$6:$C$771,'סופר פארם Raw'!$E$6:$E$771,$A111,'סופר פארם Raw'!$B$6:$B$771,2026)</f>
        <v>807</v>
      </c>
      <c r="E111" s="12" t="n">
        <f aca="false">D111*$J$5</f>
        <v>1019.36842105263</v>
      </c>
      <c r="F111" s="12" t="n">
        <f aca="false">E111-C111</f>
        <v>-184.631578947368</v>
      </c>
      <c r="G111" s="21" t="n">
        <f aca="false">IF(AND(C111=0,E111=0),0,IF(C111=0,"New",(E111-C111)/C111))</f>
        <v>-0.153348487497814</v>
      </c>
      <c r="H111" s="12" t="n">
        <f aca="false">SUMIFS('סופר פארם Raw'!$D$6:$D$771,'סופר פארם Raw'!$E$6:$E$771,$A111,'סופר פארם Raw'!$B$6:$B$771,2025)</f>
        <v>110749.4</v>
      </c>
      <c r="I111" s="12" t="n">
        <f aca="false">SUMIFS('סופר פארם Raw'!$D$6:$D$771,'סופר פארם Raw'!$E$6:$E$771,$A111,'סופר פארם Raw'!$B$6:$B$771,2026)</f>
        <v>75572.3</v>
      </c>
      <c r="J111" s="12" t="n">
        <f aca="false">I111*$J$5</f>
        <v>95459.7473684211</v>
      </c>
    </row>
    <row r="112" customFormat="false" ht="15" hidden="false" customHeight="true" outlineLevel="0" collapsed="false">
      <c r="A112" s="12" t="n">
        <v>4408221</v>
      </c>
      <c r="B112" s="12" t="str">
        <f aca="false">IFERROR(INDEX('Catalog'!$B:$B,MATCH($A112,'Catalog'!$A:$A,0)),"")</f>
        <v>078G-L חגורת גב אפורה</v>
      </c>
      <c r="C112" s="12" t="n">
        <f aca="false">SUMIFS('סופר פארם Raw'!$C$6:$C$771,'סופר פארם Raw'!$E$6:$E$771,$A112,'סופר פארם Raw'!$B$6:$B$771,2025)</f>
        <v>1760</v>
      </c>
      <c r="D112" s="12" t="n">
        <f aca="false">SUMIFS('סופר פארם Raw'!$C$6:$C$771,'סופר פארם Raw'!$E$6:$E$771,$A112,'סופר פארם Raw'!$B$6:$B$771,2026)</f>
        <v>1180</v>
      </c>
      <c r="E112" s="12" t="n">
        <f aca="false">D112*$J$5</f>
        <v>1490.52631578947</v>
      </c>
      <c r="F112" s="12" t="n">
        <f aca="false">E112-C112</f>
        <v>-269.473684210526</v>
      </c>
      <c r="G112" s="21" t="n">
        <f aca="false">IF(AND(C112=0,E112=0),0,IF(C112=0,"New",(E112-C112)/C112))</f>
        <v>-0.15311004784689</v>
      </c>
      <c r="H112" s="12" t="n">
        <f aca="false">SUMIFS('סופר פארם Raw'!$D$6:$D$771,'סופר פארם Raw'!$E$6:$E$771,$A112,'סופר פארם Raw'!$B$6:$B$771,2025)</f>
        <v>161994.9</v>
      </c>
      <c r="I112" s="12" t="n">
        <f aca="false">SUMIFS('סופר פארם Raw'!$D$6:$D$771,'סופר פארם Raw'!$E$6:$E$771,$A112,'סופר פארם Raw'!$B$6:$B$771,2026)</f>
        <v>110437.7</v>
      </c>
      <c r="J112" s="12" t="n">
        <f aca="false">I112*$J$5</f>
        <v>139500.252631579</v>
      </c>
    </row>
    <row r="113" customFormat="false" ht="15" hidden="false" customHeight="true" outlineLevel="0" collapsed="false">
      <c r="A113" s="12" t="n">
        <v>4408222</v>
      </c>
      <c r="B113" s="12" t="str">
        <f aca="false">IFERROR(INDEX('Catalog'!$B:$B,MATCH($A113,'Catalog'!$A:$A,0)),"")</f>
        <v>078G-XLחגורת גב אפורה</v>
      </c>
      <c r="C113" s="12" t="n">
        <f aca="false">SUMIFS('סופר פארם Raw'!$C$6:$C$771,'סופר פארם Raw'!$E$6:$E$771,$A113,'סופר פארם Raw'!$B$6:$B$771,2025)</f>
        <v>1499</v>
      </c>
      <c r="D113" s="12" t="n">
        <f aca="false">SUMIFS('סופר פארם Raw'!$C$6:$C$771,'סופר פארם Raw'!$E$6:$E$771,$A113,'סופר פארם Raw'!$B$6:$B$771,2026)</f>
        <v>892</v>
      </c>
      <c r="E113" s="12" t="n">
        <f aca="false">D113*$J$5</f>
        <v>1126.73684210526</v>
      </c>
      <c r="F113" s="12" t="n">
        <f aca="false">E113-C113</f>
        <v>-372.263157894737</v>
      </c>
      <c r="G113" s="21" t="n">
        <f aca="false">IF(AND(C113=0,E113=0),0,IF(C113=0,"New",(E113-C113)/C113))</f>
        <v>-0.248340999262666</v>
      </c>
      <c r="H113" s="12" t="n">
        <f aca="false">SUMIFS('סופר פארם Raw'!$D$6:$D$771,'סופר פארם Raw'!$E$6:$E$771,$A113,'סופר פארם Raw'!$B$6:$B$771,2025)</f>
        <v>137916.9</v>
      </c>
      <c r="I113" s="12" t="n">
        <f aca="false">SUMIFS('סופר פארם Raw'!$D$6:$D$771,'סופר פארם Raw'!$E$6:$E$771,$A113,'סופר פארם Raw'!$B$6:$B$771,2026)</f>
        <v>83552.7</v>
      </c>
      <c r="J113" s="12" t="n">
        <f aca="false">I113*$J$5</f>
        <v>105540.252631579</v>
      </c>
    </row>
    <row r="114" customFormat="false" ht="15" hidden="false" customHeight="true" outlineLevel="0" collapsed="false">
      <c r="A114" s="12" t="n">
        <v>4408223</v>
      </c>
      <c r="B114" s="12" t="str">
        <f aca="false">IFERROR(INDEX('Catalog'!$B:$B,MATCH($A114,'Catalog'!$A:$A,0)),"")</f>
        <v>078G-XXLחגורת גב אפורה</v>
      </c>
      <c r="C114" s="12" t="n">
        <f aca="false">SUMIFS('סופר פארם Raw'!$C$6:$C$771,'סופר פארם Raw'!$E$6:$E$771,$A114,'סופר פארם Raw'!$B$6:$B$771,2025)</f>
        <v>161</v>
      </c>
      <c r="D114" s="12" t="n">
        <f aca="false">SUMIFS('סופר פארם Raw'!$C$6:$C$771,'סופר פארם Raw'!$E$6:$E$771,$A114,'סופר פארם Raw'!$B$6:$B$771,2026)</f>
        <v>95</v>
      </c>
      <c r="E114" s="12" t="n">
        <f aca="false">D114*$J$5</f>
        <v>120</v>
      </c>
      <c r="F114" s="12" t="n">
        <f aca="false">E114-C114</f>
        <v>-41</v>
      </c>
      <c r="G114" s="21" t="n">
        <f aca="false">IF(AND(C114=0,E114=0),0,IF(C114=0,"New",(E114-C114)/C114))</f>
        <v>-0.254658385093168</v>
      </c>
      <c r="H114" s="12" t="n">
        <f aca="false">SUMIFS('סופר פארם Raw'!$D$6:$D$771,'סופר פארם Raw'!$E$6:$E$771,$A114,'סופר פארם Raw'!$B$6:$B$771,2025)</f>
        <v>14776.5</v>
      </c>
      <c r="I114" s="12" t="n">
        <f aca="false">SUMIFS('סופר פארם Raw'!$D$6:$D$771,'סופר פארם Raw'!$E$6:$E$771,$A114,'סופר פארם Raw'!$B$6:$B$771,2026)</f>
        <v>8894.8</v>
      </c>
      <c r="J114" s="12" t="n">
        <f aca="false">I114*$J$5</f>
        <v>11235.5368421053</v>
      </c>
    </row>
    <row r="115" customFormat="false" ht="15" hidden="false" customHeight="true" outlineLevel="0" collapsed="false">
      <c r="A115" s="12" t="n">
        <v>4408224</v>
      </c>
      <c r="B115" s="12" t="str">
        <f aca="false">IFERROR(INDEX('Catalog'!$B:$B,MATCH($A115,'Catalog'!$A:$A,0)),"")</f>
        <v>S 11 אפורUGחגורת בטן</v>
      </c>
      <c r="C115" s="12" t="n">
        <f aca="false">SUMIFS('סופר פארם Raw'!$C$6:$C$771,'סופר פארם Raw'!$E$6:$E$771,$A115,'סופר פארם Raw'!$B$6:$B$771,2025)</f>
        <v>15</v>
      </c>
      <c r="D115" s="12" t="n">
        <f aca="false">SUMIFS('סופר פארם Raw'!$C$6:$C$771,'סופר פארם Raw'!$E$6:$E$771,$A115,'סופר פארם Raw'!$B$6:$B$771,2026)</f>
        <v>0</v>
      </c>
      <c r="E115" s="12" t="n">
        <f aca="false">D115*$J$5</f>
        <v>0</v>
      </c>
      <c r="F115" s="12" t="n">
        <f aca="false">E115-C115</f>
        <v>-15</v>
      </c>
      <c r="G115" s="21" t="n">
        <f aca="false">IF(AND(C115=0,E115=0),0,IF(C115=0,"New",(E115-C115)/C115))</f>
        <v>-1</v>
      </c>
      <c r="H115" s="12" t="n">
        <f aca="false">SUMIFS('סופר פארם Raw'!$D$6:$D$771,'סופר פארם Raw'!$E$6:$E$771,$A115,'סופר פארם Raw'!$B$6:$B$771,2025)</f>
        <v>1210.5</v>
      </c>
      <c r="I115" s="12" t="n">
        <f aca="false">SUMIFS('סופר פארם Raw'!$D$6:$D$771,'סופר פארם Raw'!$E$6:$E$771,$A115,'סופר פארם Raw'!$B$6:$B$771,2026)</f>
        <v>25.9</v>
      </c>
      <c r="J115" s="12" t="n">
        <f aca="false">I115*$J$5</f>
        <v>32.7157894736842</v>
      </c>
    </row>
    <row r="116" customFormat="false" ht="15" hidden="false" customHeight="true" outlineLevel="0" collapsed="false">
      <c r="A116" s="12" t="n">
        <v>4408225</v>
      </c>
      <c r="B116" s="12" t="str">
        <f aca="false">IFERROR(INDEX('Catalog'!$B:$B,MATCH($A116,'Catalog'!$A:$A,0)),"")</f>
        <v>M 11 אפורUG חגורת בטן</v>
      </c>
      <c r="C116" s="12" t="n">
        <f aca="false">SUMIFS('סופר פארם Raw'!$C$6:$C$771,'סופר פארם Raw'!$E$6:$E$771,$A116,'סופר פארם Raw'!$B$6:$B$771,2025)</f>
        <v>34</v>
      </c>
      <c r="D116" s="12" t="n">
        <f aca="false">SUMIFS('סופר פארם Raw'!$C$6:$C$771,'סופר פארם Raw'!$E$6:$E$771,$A116,'סופר פארם Raw'!$B$6:$B$771,2026)</f>
        <v>0</v>
      </c>
      <c r="E116" s="12" t="n">
        <f aca="false">D116*$J$5</f>
        <v>0</v>
      </c>
      <c r="F116" s="12" t="n">
        <f aca="false">E116-C116</f>
        <v>-34</v>
      </c>
      <c r="G116" s="21" t="n">
        <f aca="false">IF(AND(C116=0,E116=0),0,IF(C116=0,"New",(E116-C116)/C116))</f>
        <v>-1</v>
      </c>
      <c r="H116" s="12" t="n">
        <f aca="false">SUMIFS('סופר פארם Raw'!$D$6:$D$771,'סופר פארם Raw'!$E$6:$E$771,$A116,'סופר פארם Raw'!$B$6:$B$771,2025)</f>
        <v>2730.6</v>
      </c>
      <c r="I116" s="12" t="n">
        <f aca="false">SUMIFS('סופר פארם Raw'!$D$6:$D$771,'סופר פארם Raw'!$E$6:$E$771,$A116,'סופר פארם Raw'!$B$6:$B$771,2026)</f>
        <v>68.2</v>
      </c>
      <c r="J116" s="12" t="n">
        <f aca="false">I116*$J$5</f>
        <v>86.1473684210526</v>
      </c>
    </row>
    <row r="117" customFormat="false" ht="15" hidden="false" customHeight="true" outlineLevel="0" collapsed="false">
      <c r="A117" s="12" t="n">
        <v>4408226</v>
      </c>
      <c r="B117" s="12" t="str">
        <f aca="false">IFERROR(INDEX('Catalog'!$B:$B,MATCH($A117,'Catalog'!$A:$A,0)),"")</f>
        <v>L 11 אפורUG חגורת בטן</v>
      </c>
      <c r="C117" s="12" t="n">
        <f aca="false">SUMIFS('סופר פארם Raw'!$C$6:$C$771,'סופר פארם Raw'!$E$6:$E$771,$A117,'סופר פארם Raw'!$B$6:$B$771,2025)</f>
        <v>45</v>
      </c>
      <c r="D117" s="12" t="n">
        <f aca="false">SUMIFS('סופר פארם Raw'!$C$6:$C$771,'סופר פארם Raw'!$E$6:$E$771,$A117,'סופר פארם Raw'!$B$6:$B$771,2026)</f>
        <v>2</v>
      </c>
      <c r="E117" s="12" t="n">
        <f aca="false">D117*$J$5</f>
        <v>2.52631578947368</v>
      </c>
      <c r="F117" s="12" t="n">
        <f aca="false">E117-C117</f>
        <v>-42.4736842105263</v>
      </c>
      <c r="G117" s="21" t="n">
        <f aca="false">IF(AND(C117=0,E117=0),0,IF(C117=0,"New",(E117-C117)/C117))</f>
        <v>-0.943859649122807</v>
      </c>
      <c r="H117" s="12" t="n">
        <f aca="false">SUMIFS('סופר פארם Raw'!$D$6:$D$771,'סופר פארם Raw'!$E$6:$E$771,$A117,'סופר פארם Raw'!$B$6:$B$771,2025)</f>
        <v>3611.3</v>
      </c>
      <c r="I117" s="12" t="n">
        <f aca="false">SUMIFS('סופר פארם Raw'!$D$6:$D$771,'סופר פארם Raw'!$E$6:$E$771,$A117,'סופר פארם Raw'!$B$6:$B$771,2026)</f>
        <v>203.1</v>
      </c>
      <c r="J117" s="12" t="n">
        <f aca="false">I117*$J$5</f>
        <v>256.547368421053</v>
      </c>
    </row>
    <row r="118" customFormat="false" ht="15" hidden="false" customHeight="true" outlineLevel="0" collapsed="false">
      <c r="A118" s="12" t="n">
        <v>4408227</v>
      </c>
      <c r="B118" s="12" t="str">
        <f aca="false">IFERROR(INDEX('Catalog'!$B:$B,MATCH($A118,'Catalog'!$A:$A,0)),"")</f>
        <v>XL 11 אפורUG חגורת בטן</v>
      </c>
      <c r="C118" s="12" t="n">
        <f aca="false">SUMIFS('סופר פארם Raw'!$C$6:$C$771,'סופר פארם Raw'!$E$6:$E$771,$A118,'סופר פארם Raw'!$B$6:$B$771,2025)</f>
        <v>32</v>
      </c>
      <c r="D118" s="12" t="n">
        <f aca="false">SUMIFS('סופר פארם Raw'!$C$6:$C$771,'סופר פארם Raw'!$E$6:$E$771,$A118,'סופר פארם Raw'!$B$6:$B$771,2026)</f>
        <v>1</v>
      </c>
      <c r="E118" s="12" t="n">
        <f aca="false">D118*$J$5</f>
        <v>1.26315789473684</v>
      </c>
      <c r="F118" s="12" t="n">
        <f aca="false">E118-C118</f>
        <v>-30.7368421052632</v>
      </c>
      <c r="G118" s="21" t="n">
        <f aca="false">IF(AND(C118=0,E118=0),0,IF(C118=0,"New",(E118-C118)/C118))</f>
        <v>-0.960526315789474</v>
      </c>
      <c r="H118" s="12" t="n">
        <f aca="false">SUMIFS('סופר פארם Raw'!$D$6:$D$771,'סופר פארם Raw'!$E$6:$E$771,$A118,'סופר פארם Raw'!$B$6:$B$771,2025)</f>
        <v>2549.6</v>
      </c>
      <c r="I118" s="12" t="n">
        <f aca="false">SUMIFS('סופר פארם Raw'!$D$6:$D$771,'סופר פארם Raw'!$E$6:$E$771,$A118,'סופר פארם Raw'!$B$6:$B$771,2026)</f>
        <v>132.3</v>
      </c>
      <c r="J118" s="12" t="n">
        <f aca="false">I118*$J$5</f>
        <v>167.115789473684</v>
      </c>
    </row>
    <row r="119" customFormat="false" ht="15" hidden="false" customHeight="true" outlineLevel="0" collapsed="false">
      <c r="A119" s="12" t="n">
        <v>4408229</v>
      </c>
      <c r="B119" s="12" t="str">
        <f aca="false">IFERROR(INDEX('Catalog'!$B:$B,MATCH($A119,'Catalog'!$A:$A,0)),"")</f>
        <v>XXL 11אפורUGחגורת בטן</v>
      </c>
      <c r="C119" s="12" t="n">
        <f aca="false">SUMIFS('סופר פארם Raw'!$C$6:$C$771,'סופר פארם Raw'!$E$6:$E$771,$A119,'סופר פארם Raw'!$B$6:$B$771,2025)</f>
        <v>8</v>
      </c>
      <c r="D119" s="12" t="n">
        <f aca="false">SUMIFS('סופר פארם Raw'!$C$6:$C$771,'סופר פארם Raw'!$E$6:$E$771,$A119,'סופר פארם Raw'!$B$6:$B$771,2026)</f>
        <v>0</v>
      </c>
      <c r="E119" s="12" t="n">
        <f aca="false">D119*$J$5</f>
        <v>0</v>
      </c>
      <c r="F119" s="12" t="n">
        <f aca="false">E119-C119</f>
        <v>-8</v>
      </c>
      <c r="G119" s="21" t="n">
        <f aca="false">IF(AND(C119=0,E119=0),0,IF(C119=0,"New",(E119-C119)/C119))</f>
        <v>-1</v>
      </c>
      <c r="H119" s="12" t="n">
        <f aca="false">SUMIFS('סופר פארם Raw'!$D$6:$D$771,'סופר פארם Raw'!$E$6:$E$771,$A119,'סופר פארם Raw'!$B$6:$B$771,2025)</f>
        <v>635.4</v>
      </c>
      <c r="I119" s="12" t="n">
        <f aca="false">SUMIFS('סופר פארם Raw'!$D$6:$D$771,'סופר פארם Raw'!$E$6:$E$771,$A119,'סופר פארם Raw'!$B$6:$B$771,2026)</f>
        <v>17</v>
      </c>
      <c r="J119" s="12" t="n">
        <f aca="false">I119*$J$5</f>
        <v>21.4736842105263</v>
      </c>
    </row>
    <row r="120" customFormat="false" ht="15" hidden="false" customHeight="true" outlineLevel="0" collapsed="false">
      <c r="A120" s="12" t="n">
        <v>4408230</v>
      </c>
      <c r="B120" s="12" t="str">
        <f aca="false">IFERROR(INDEX('Catalog'!$B:$B,MATCH($A120,'Catalog'!$A:$A,0)),"")</f>
        <v>16 L-XL חגורת הריון</v>
      </c>
      <c r="C120" s="12" t="n">
        <f aca="false">SUMIFS('סופר פארם Raw'!$C$6:$C$771,'סופר פארם Raw'!$E$6:$E$771,$A120,'סופר פארם Raw'!$B$6:$B$771,2025)</f>
        <v>44</v>
      </c>
      <c r="D120" s="12" t="n">
        <f aca="false">SUMIFS('סופר פארם Raw'!$C$6:$C$771,'סופר פארם Raw'!$E$6:$E$771,$A120,'סופר פארם Raw'!$B$6:$B$771,2026)</f>
        <v>30</v>
      </c>
      <c r="E120" s="12" t="n">
        <f aca="false">D120*$J$5</f>
        <v>37.8947368421053</v>
      </c>
      <c r="F120" s="12" t="n">
        <f aca="false">E120-C120</f>
        <v>-6.10526315789474</v>
      </c>
      <c r="G120" s="21" t="n">
        <f aca="false">IF(AND(C120=0,E120=0),0,IF(C120=0,"New",(E120-C120)/C120))</f>
        <v>-0.138755980861244</v>
      </c>
      <c r="H120" s="12" t="n">
        <f aca="false">SUMIFS('סופר פארם Raw'!$D$6:$D$771,'סופר פארם Raw'!$E$6:$E$771,$A120,'סופר פארם Raw'!$B$6:$B$771,2025)</f>
        <v>4430.4</v>
      </c>
      <c r="I120" s="12" t="n">
        <f aca="false">SUMIFS('סופר פארם Raw'!$D$6:$D$771,'סופר פארם Raw'!$E$6:$E$771,$A120,'סופר פארם Raw'!$B$6:$B$771,2026)</f>
        <v>3110.5</v>
      </c>
      <c r="J120" s="12" t="n">
        <f aca="false">I120*$J$5</f>
        <v>3929.05263157895</v>
      </c>
    </row>
    <row r="121" customFormat="false" ht="15" hidden="false" customHeight="true" outlineLevel="0" collapsed="false">
      <c r="A121" s="12" t="n">
        <v>4408231</v>
      </c>
      <c r="B121" s="12" t="str">
        <f aca="false">IFERROR(INDEX('Catalog'!$B:$B,MATCH($A121,'Catalog'!$A:$A,0)),"")</f>
        <v>16 S-M חגורת הריון</v>
      </c>
      <c r="C121" s="12" t="n">
        <f aca="false">SUMIFS('סופר פארם Raw'!$C$6:$C$771,'סופר פארם Raw'!$E$6:$E$771,$A121,'סופר פארם Raw'!$B$6:$B$771,2025)</f>
        <v>19</v>
      </c>
      <c r="D121" s="12" t="n">
        <f aca="false">SUMIFS('סופר פארם Raw'!$C$6:$C$771,'סופר פארם Raw'!$E$6:$E$771,$A121,'סופר פארם Raw'!$B$6:$B$771,2026)</f>
        <v>14</v>
      </c>
      <c r="E121" s="12" t="n">
        <f aca="false">D121*$J$5</f>
        <v>17.6842105263158</v>
      </c>
      <c r="F121" s="12" t="n">
        <f aca="false">E121-C121</f>
        <v>-1.31578947368421</v>
      </c>
      <c r="G121" s="21" t="n">
        <f aca="false">IF(AND(C121=0,E121=0),0,IF(C121=0,"New",(E121-C121)/C121))</f>
        <v>-0.069252077562327</v>
      </c>
      <c r="H121" s="12" t="n">
        <f aca="false">SUMIFS('סופר פארם Raw'!$D$6:$D$771,'סופר פארם Raw'!$E$6:$E$771,$A121,'סופר פארם Raw'!$B$6:$B$771,2025)</f>
        <v>1926.9</v>
      </c>
      <c r="I121" s="12" t="n">
        <f aca="false">SUMIFS('סופר פארם Raw'!$D$6:$D$771,'סופר פארם Raw'!$E$6:$E$771,$A121,'סופר פארם Raw'!$B$6:$B$771,2026)</f>
        <v>1394.5</v>
      </c>
      <c r="J121" s="12" t="n">
        <f aca="false">I121*$J$5</f>
        <v>1761.47368421053</v>
      </c>
    </row>
    <row r="122" customFormat="false" ht="15" hidden="false" customHeight="true" outlineLevel="0" collapsed="false">
      <c r="A122" s="12" t="n">
        <v>4408232</v>
      </c>
      <c r="B122" s="12" t="str">
        <f aca="false">IFERROR(INDEX('Catalog'!$B:$B,MATCH($A122,'Catalog'!$A:$A,0)),"")</f>
        <v>16 XXL חגורת הריון</v>
      </c>
      <c r="C122" s="12" t="n">
        <f aca="false">SUMIFS('סופר פארם Raw'!$C$6:$C$771,'סופר פארם Raw'!$E$6:$E$771,$A122,'סופר פארם Raw'!$B$6:$B$771,2025)</f>
        <v>-1</v>
      </c>
      <c r="D122" s="12" t="n">
        <f aca="false">SUMIFS('סופר פארם Raw'!$C$6:$C$771,'סופר פארם Raw'!$E$6:$E$771,$A122,'סופר פארם Raw'!$B$6:$B$771,2026)</f>
        <v>0</v>
      </c>
      <c r="E122" s="12" t="n">
        <f aca="false">D122*$J$5</f>
        <v>0</v>
      </c>
      <c r="F122" s="12" t="n">
        <f aca="false">E122-C122</f>
        <v>1</v>
      </c>
      <c r="G122" s="21" t="n">
        <f aca="false">IF(AND(C122=0,E122=0),0,IF(C122=0,"New",(E122-C122)/C122))</f>
        <v>-1</v>
      </c>
      <c r="H122" s="12" t="n">
        <f aca="false">SUMIFS('סופר פארם Raw'!$D$6:$D$771,'סופר פארם Raw'!$E$6:$E$771,$A122,'סופר פארם Raw'!$B$6:$B$771,2025)</f>
        <v>-101.1</v>
      </c>
      <c r="I122" s="12" t="n">
        <f aca="false">SUMIFS('סופר פארם Raw'!$D$6:$D$771,'סופר פארם Raw'!$E$6:$E$771,$A122,'סופר פארם Raw'!$B$6:$B$771,2026)</f>
        <v>0</v>
      </c>
      <c r="J122" s="12" t="n">
        <f aca="false">I122*$J$5</f>
        <v>0</v>
      </c>
    </row>
    <row r="123" customFormat="false" ht="15" hidden="false" customHeight="true" outlineLevel="0" collapsed="false">
      <c r="A123" s="12" t="n">
        <v>4408233</v>
      </c>
      <c r="B123" s="12" t="str">
        <f aca="false">IFERROR(INDEX('Catalog'!$B:$B,MATCH($A123,'Catalog'!$A:$A,0)),"")</f>
        <v>078C L'חגורת גב+סגירה כפו בז</v>
      </c>
      <c r="C123" s="12" t="n">
        <f aca="false">SUMIFS('סופר פארם Raw'!$C$6:$C$771,'סופר פארם Raw'!$E$6:$E$771,$A123,'סופר פארם Raw'!$B$6:$B$771,2025)</f>
        <v>-1</v>
      </c>
      <c r="D123" s="12" t="n">
        <f aca="false">SUMIFS('סופר פארם Raw'!$C$6:$C$771,'סופר פארם Raw'!$E$6:$E$771,$A123,'סופר פארם Raw'!$B$6:$B$771,2026)</f>
        <v>0</v>
      </c>
      <c r="E123" s="12" t="n">
        <f aca="false">D123*$J$5</f>
        <v>0</v>
      </c>
      <c r="F123" s="12" t="n">
        <f aca="false">E123-C123</f>
        <v>1</v>
      </c>
      <c r="G123" s="21" t="n">
        <f aca="false">IF(AND(C123=0,E123=0),0,IF(C123=0,"New",(E123-C123)/C123))</f>
        <v>-1</v>
      </c>
      <c r="H123" s="12" t="n">
        <f aca="false">SUMIFS('סופר פארם Raw'!$D$6:$D$771,'סופר פארם Raw'!$E$6:$E$771,$A123,'סופר פארם Raw'!$B$6:$B$771,2025)</f>
        <v>-85.7</v>
      </c>
      <c r="I123" s="12" t="n">
        <f aca="false">SUMIFS('סופר פארם Raw'!$D$6:$D$771,'סופר פארם Raw'!$E$6:$E$771,$A123,'סופר פארם Raw'!$B$6:$B$771,2026)</f>
        <v>0</v>
      </c>
      <c r="J123" s="12" t="n">
        <f aca="false">I123*$J$5</f>
        <v>0</v>
      </c>
    </row>
    <row r="124" customFormat="false" ht="15" hidden="false" customHeight="true" outlineLevel="0" collapsed="false">
      <c r="A124" s="12" t="n">
        <v>4408234</v>
      </c>
      <c r="B124" s="12" t="str">
        <f aca="false">IFERROR(INDEX('Catalog'!$B:$B,MATCH($A124,'Catalog'!$A:$A,0)),"")</f>
        <v>078C M'חגורת גב+סגירה כפו בז</v>
      </c>
      <c r="C124" s="12" t="n">
        <f aca="false">SUMIFS('סופר פארם Raw'!$C$6:$C$771,'סופר פארם Raw'!$E$6:$E$771,$A124,'סופר פארם Raw'!$B$6:$B$771,2025)</f>
        <v>-1</v>
      </c>
      <c r="D124" s="12" t="n">
        <f aca="false">SUMIFS('סופר פארם Raw'!$C$6:$C$771,'סופר פארם Raw'!$E$6:$E$771,$A124,'סופר פארם Raw'!$B$6:$B$771,2026)</f>
        <v>-2</v>
      </c>
      <c r="E124" s="12" t="n">
        <f aca="false">D124*$J$5</f>
        <v>-2.52631578947368</v>
      </c>
      <c r="F124" s="12" t="n">
        <f aca="false">E124-C124</f>
        <v>-1.52631578947368</v>
      </c>
      <c r="G124" s="21" t="n">
        <f aca="false">IF(AND(C124=0,E124=0),0,IF(C124=0,"New",(E124-C124)/C124))</f>
        <v>1.52631578947368</v>
      </c>
      <c r="H124" s="12" t="n">
        <f aca="false">SUMIFS('סופר פארם Raw'!$D$6:$D$771,'סופר פארם Raw'!$E$6:$E$771,$A124,'סופר פארם Raw'!$B$6:$B$771,2025)</f>
        <v>-92.1</v>
      </c>
      <c r="I124" s="12" t="n">
        <f aca="false">SUMIFS('סופר פארם Raw'!$D$6:$D$771,'סופר פארם Raw'!$E$6:$E$771,$A124,'סופר פארם Raw'!$B$6:$B$771,2026)</f>
        <v>-179.7</v>
      </c>
      <c r="J124" s="12" t="n">
        <f aca="false">I124*$J$5</f>
        <v>-226.989473684211</v>
      </c>
    </row>
    <row r="125" customFormat="false" ht="15" hidden="false" customHeight="true" outlineLevel="0" collapsed="false">
      <c r="A125" s="12" t="n">
        <v>4408235</v>
      </c>
      <c r="B125" s="12" t="str">
        <f aca="false">IFERROR(INDEX('Catalog'!$B:$B,MATCH($A125,'Catalog'!$A:$A,0)),"")</f>
        <v>078C S'חגורת גב+סגירה כפו בז</v>
      </c>
      <c r="C125" s="12" t="n">
        <f aca="false">SUMIFS('סופר פארם Raw'!$C$6:$C$771,'סופר פארם Raw'!$E$6:$E$771,$A125,'סופר פארם Raw'!$B$6:$B$771,2025)</f>
        <v>-10</v>
      </c>
      <c r="D125" s="12" t="n">
        <f aca="false">SUMIFS('סופר פארם Raw'!$C$6:$C$771,'סופר פארם Raw'!$E$6:$E$771,$A125,'סופר פארם Raw'!$B$6:$B$771,2026)</f>
        <v>-14</v>
      </c>
      <c r="E125" s="12" t="n">
        <f aca="false">D125*$J$5</f>
        <v>-17.6842105263158</v>
      </c>
      <c r="F125" s="12" t="n">
        <f aca="false">E125-C125</f>
        <v>-7.68421052631579</v>
      </c>
      <c r="G125" s="21" t="n">
        <f aca="false">IF(AND(C125=0,E125=0),0,IF(C125=0,"New",(E125-C125)/C125))</f>
        <v>0.768421052631579</v>
      </c>
      <c r="H125" s="12" t="n">
        <f aca="false">SUMIFS('סופר פארם Raw'!$D$6:$D$771,'סופר פארם Raw'!$E$6:$E$771,$A125,'סופר פארם Raw'!$B$6:$B$771,2025)</f>
        <v>-921.4</v>
      </c>
      <c r="I125" s="12" t="n">
        <f aca="false">SUMIFS('סופר פארם Raw'!$D$6:$D$771,'סופר פארם Raw'!$E$6:$E$771,$A125,'סופר פארם Raw'!$B$6:$B$771,2026)</f>
        <v>-1290</v>
      </c>
      <c r="J125" s="12" t="n">
        <f aca="false">I125*$J$5</f>
        <v>-1629.47368421053</v>
      </c>
    </row>
    <row r="126" customFormat="false" ht="15" hidden="false" customHeight="true" outlineLevel="0" collapsed="false">
      <c r="A126" s="12" t="n">
        <v>4408236</v>
      </c>
      <c r="B126" s="12" t="str">
        <f aca="false">IFERROR(INDEX('Catalog'!$B:$B,MATCH($A126,'Catalog'!$A:$A,0)),"")</f>
        <v>078C XLתתחגורת גב+סגירה כפו בז</v>
      </c>
      <c r="C126" s="12" t="n">
        <f aca="false">SUMIFS('סופר פארם Raw'!$C$6:$C$771,'סופר פארם Raw'!$E$6:$E$771,$A126,'סופר פארם Raw'!$B$6:$B$771,2025)</f>
        <v>0</v>
      </c>
      <c r="D126" s="12" t="n">
        <f aca="false">SUMIFS('סופר פארם Raw'!$C$6:$C$771,'סופר פארם Raw'!$E$6:$E$771,$A126,'סופר פארם Raw'!$B$6:$B$771,2026)</f>
        <v>-1</v>
      </c>
      <c r="E126" s="12" t="n">
        <f aca="false">D126*$J$5</f>
        <v>-1.26315789473684</v>
      </c>
      <c r="F126" s="12" t="n">
        <f aca="false">E126-C126</f>
        <v>-1.26315789473684</v>
      </c>
      <c r="G126" s="21" t="str">
        <f aca="false">IF(AND(C126=0,E126=0),0,IF(C126=0,"New",(E126-C126)/C126))</f>
        <v>New</v>
      </c>
      <c r="H126" s="12" t="n">
        <f aca="false">SUMIFS('סופר פארם Raw'!$D$6:$D$771,'סופר פארם Raw'!$E$6:$E$771,$A126,'סופר פארם Raw'!$B$6:$B$771,2025)</f>
        <v>0</v>
      </c>
      <c r="I126" s="12" t="n">
        <f aca="false">SUMIFS('סופר פארם Raw'!$D$6:$D$771,'סופר פארם Raw'!$E$6:$E$771,$A126,'סופר פארם Raw'!$B$6:$B$771,2026)</f>
        <v>-92.1</v>
      </c>
      <c r="J126" s="12" t="n">
        <f aca="false">I126*$J$5</f>
        <v>-116.336842105263</v>
      </c>
    </row>
    <row r="127" customFormat="false" ht="15" hidden="false" customHeight="true" outlineLevel="0" collapsed="false">
      <c r="A127" s="12" t="n">
        <v>4408240</v>
      </c>
      <c r="B127" s="12" t="str">
        <f aca="false">IFERROR(INDEX('Catalog'!$B:$B,MATCH($A127,'Catalog'!$A:$A,0)),"")</f>
        <v>11UC S'תתחגורת בטן עממית בז</v>
      </c>
      <c r="C127" s="12" t="n">
        <f aca="false">SUMIFS('סופר פארם Raw'!$C$6:$C$771,'סופר פארם Raw'!$E$6:$E$771,$A127,'סופר פארם Raw'!$B$6:$B$771,2025)</f>
        <v>0</v>
      </c>
      <c r="D127" s="12" t="n">
        <f aca="false">SUMIFS('סופר פארם Raw'!$C$6:$C$771,'סופר פארם Raw'!$E$6:$E$771,$A127,'סופר פארם Raw'!$B$6:$B$771,2026)</f>
        <v>-1</v>
      </c>
      <c r="E127" s="12" t="n">
        <f aca="false">D127*$J$5</f>
        <v>-1.26315789473684</v>
      </c>
      <c r="F127" s="12" t="n">
        <f aca="false">E127-C127</f>
        <v>-1.26315789473684</v>
      </c>
      <c r="G127" s="21" t="str">
        <f aca="false">IF(AND(C127=0,E127=0),0,IF(C127=0,"New",(E127-C127)/C127))</f>
        <v>New</v>
      </c>
      <c r="H127" s="12" t="n">
        <f aca="false">SUMIFS('סופר פארם Raw'!$D$6:$D$771,'סופר פארם Raw'!$E$6:$E$771,$A127,'סופר פארם Raw'!$B$6:$B$771,2025)</f>
        <v>0</v>
      </c>
      <c r="I127" s="12" t="n">
        <f aca="false">SUMIFS('סופר פארם Raw'!$D$6:$D$771,'סופר פארם Raw'!$E$6:$E$771,$A127,'סופר פארם Raw'!$B$6:$B$771,2026)</f>
        <v>-77.8</v>
      </c>
      <c r="J127" s="12" t="n">
        <f aca="false">I127*$J$5</f>
        <v>-98.2736842105263</v>
      </c>
    </row>
    <row r="128" customFormat="false" ht="15" hidden="false" customHeight="true" outlineLevel="0" collapsed="false">
      <c r="A128" s="12" t="n">
        <v>4408248</v>
      </c>
      <c r="B128" s="12" t="str">
        <f aca="false">IFERROR(INDEX('Catalog'!$B:$B,MATCH($A128,'Catalog'!$A:$A,0)),"")</f>
        <v>SC25  M חבק יד</v>
      </c>
      <c r="C128" s="12" t="n">
        <f aca="false">SUMIFS('סופר פארם Raw'!$C$6:$C$771,'סופר פארם Raw'!$E$6:$E$771,$A128,'סופר פארם Raw'!$B$6:$B$771,2025)</f>
        <v>13</v>
      </c>
      <c r="D128" s="12" t="n">
        <f aca="false">SUMIFS('סופר פארם Raw'!$C$6:$C$771,'סופר פארם Raw'!$E$6:$E$771,$A128,'סופר פארם Raw'!$B$6:$B$771,2026)</f>
        <v>8</v>
      </c>
      <c r="E128" s="12" t="n">
        <f aca="false">D128*$J$5</f>
        <v>10.1052631578947</v>
      </c>
      <c r="F128" s="12" t="n">
        <f aca="false">E128-C128</f>
        <v>-2.89473684210526</v>
      </c>
      <c r="G128" s="21" t="n">
        <f aca="false">IF(AND(C128=0,E128=0),0,IF(C128=0,"New",(E128-C128)/C128))</f>
        <v>-0.222672064777328</v>
      </c>
      <c r="H128" s="12" t="n">
        <f aca="false">SUMIFS('סופר פארם Raw'!$D$6:$D$771,'סופר פארם Raw'!$E$6:$E$771,$A128,'סופר פארם Raw'!$B$6:$B$771,2025)</f>
        <v>964.7</v>
      </c>
      <c r="I128" s="12" t="n">
        <f aca="false">SUMIFS('סופר פארם Raw'!$D$6:$D$771,'סופר פארם Raw'!$E$6:$E$771,$A128,'סופר פארם Raw'!$B$6:$B$771,2026)</f>
        <v>598.2</v>
      </c>
      <c r="J128" s="12" t="n">
        <f aca="false">I128*$J$5</f>
        <v>755.621052631579</v>
      </c>
    </row>
    <row r="129" customFormat="false" ht="15" hidden="false" customHeight="true" outlineLevel="0" collapsed="false">
      <c r="A129" s="12" t="n">
        <v>4408249</v>
      </c>
      <c r="B129" s="12" t="str">
        <f aca="false">IFERROR(INDEX('Catalog'!$B:$B,MATCH($A129,'Catalog'!$A:$A,0)),"")</f>
        <v>SC25  L חבק יד</v>
      </c>
      <c r="C129" s="12" t="n">
        <f aca="false">SUMIFS('סופר פארם Raw'!$C$6:$C$771,'סופר פארם Raw'!$E$6:$E$771,$A129,'סופר פארם Raw'!$B$6:$B$771,2025)</f>
        <v>6</v>
      </c>
      <c r="D129" s="12" t="n">
        <f aca="false">SUMIFS('סופר פארם Raw'!$C$6:$C$771,'סופר פארם Raw'!$E$6:$E$771,$A129,'סופר פארם Raw'!$B$6:$B$771,2026)</f>
        <v>11</v>
      </c>
      <c r="E129" s="12" t="n">
        <f aca="false">D129*$J$5</f>
        <v>13.8947368421053</v>
      </c>
      <c r="F129" s="12" t="n">
        <f aca="false">E129-C129</f>
        <v>7.89473684210526</v>
      </c>
      <c r="G129" s="21" t="n">
        <f aca="false">IF(AND(C129=0,E129=0),0,IF(C129=0,"New",(E129-C129)/C129))</f>
        <v>1.31578947368421</v>
      </c>
      <c r="H129" s="12" t="n">
        <f aca="false">SUMIFS('סופר פארם Raw'!$D$6:$D$771,'סופר פארם Raw'!$E$6:$E$771,$A129,'סופר פארם Raw'!$B$6:$B$771,2025)</f>
        <v>452.2</v>
      </c>
      <c r="I129" s="12" t="n">
        <f aca="false">SUMIFS('סופר פארם Raw'!$D$6:$D$771,'סופר פארם Raw'!$E$6:$E$771,$A129,'סופר פארם Raw'!$B$6:$B$771,2026)</f>
        <v>821.7</v>
      </c>
      <c r="J129" s="12" t="n">
        <f aca="false">I129*$J$5</f>
        <v>1037.93684210526</v>
      </c>
    </row>
    <row r="130" customFormat="false" ht="15" hidden="false" customHeight="true" outlineLevel="0" collapsed="false">
      <c r="A130" s="12" t="n">
        <v>4408250</v>
      </c>
      <c r="B130" s="12" t="str">
        <f aca="false">IFERROR(INDEX('Catalog'!$B:$B,MATCH($A130,'Catalog'!$A:$A,0)),"")</f>
        <v>SC25 XL חבק יד</v>
      </c>
      <c r="C130" s="12" t="n">
        <f aca="false">SUMIFS('סופר פארם Raw'!$C$6:$C$771,'סופר פארם Raw'!$E$6:$E$771,$A130,'סופר פארם Raw'!$B$6:$B$771,2025)</f>
        <v>15</v>
      </c>
      <c r="D130" s="12" t="n">
        <f aca="false">SUMIFS('סופר פארם Raw'!$C$6:$C$771,'סופר פארם Raw'!$E$6:$E$771,$A130,'סופר פארם Raw'!$B$6:$B$771,2026)</f>
        <v>7</v>
      </c>
      <c r="E130" s="12" t="n">
        <f aca="false">D130*$J$5</f>
        <v>8.84210526315789</v>
      </c>
      <c r="F130" s="12" t="n">
        <f aca="false">E130-C130</f>
        <v>-6.15789473684211</v>
      </c>
      <c r="G130" s="21" t="n">
        <f aca="false">IF(AND(C130=0,E130=0),0,IF(C130=0,"New",(E130-C130)/C130))</f>
        <v>-0.410526315789474</v>
      </c>
      <c r="H130" s="12" t="n">
        <f aca="false">SUMIFS('סופר פארם Raw'!$D$6:$D$771,'סופר פארם Raw'!$E$6:$E$771,$A130,'סופר פארם Raw'!$B$6:$B$771,2025)</f>
        <v>1117.4</v>
      </c>
      <c r="I130" s="12" t="n">
        <f aca="false">SUMIFS('סופר פארם Raw'!$D$6:$D$771,'סופר פארם Raw'!$E$6:$E$771,$A130,'סופר פארם Raw'!$B$6:$B$771,2026)</f>
        <v>524.4</v>
      </c>
      <c r="J130" s="12" t="n">
        <f aca="false">I130*$J$5</f>
        <v>662.4</v>
      </c>
    </row>
    <row r="131" customFormat="false" ht="15" hidden="false" customHeight="true" outlineLevel="0" collapsed="false">
      <c r="A131" s="12" t="n">
        <v>4408251</v>
      </c>
      <c r="B131" s="12" t="str">
        <f aca="false">IFERROR(INDEX('Catalog'!$B:$B,MATCH($A131,'Catalog'!$A:$A,0)),"")</f>
        <v>S-M 099 חגורת גב שרוכים</v>
      </c>
      <c r="C131" s="12" t="n">
        <f aca="false">SUMIFS('סופר פארם Raw'!$C$6:$C$771,'סופר פארם Raw'!$E$6:$E$771,$A131,'סופר פארם Raw'!$B$6:$B$771,2025)</f>
        <v>0</v>
      </c>
      <c r="D131" s="12" t="n">
        <f aca="false">SUMIFS('סופר פארם Raw'!$C$6:$C$771,'סופר פארם Raw'!$E$6:$E$771,$A131,'סופר פארם Raw'!$B$6:$B$771,2026)</f>
        <v>-1</v>
      </c>
      <c r="E131" s="12" t="n">
        <f aca="false">D131*$J$5</f>
        <v>-1.26315789473684</v>
      </c>
      <c r="F131" s="12" t="n">
        <f aca="false">E131-C131</f>
        <v>-1.26315789473684</v>
      </c>
      <c r="G131" s="21" t="str">
        <f aca="false">IF(AND(C131=0,E131=0),0,IF(C131=0,"New",(E131-C131)/C131))</f>
        <v>New</v>
      </c>
      <c r="H131" s="12" t="n">
        <f aca="false">SUMIFS('סופר פארם Raw'!$D$6:$D$771,'סופר פארם Raw'!$E$6:$E$771,$A131,'סופר פארם Raw'!$B$6:$B$771,2025)</f>
        <v>0</v>
      </c>
      <c r="I131" s="12" t="n">
        <f aca="false">SUMIFS('סופר פארם Raw'!$D$6:$D$771,'סופר פארם Raw'!$E$6:$E$771,$A131,'סופר פארם Raw'!$B$6:$B$771,2026)</f>
        <v>-118.8</v>
      </c>
      <c r="J131" s="12" t="n">
        <f aca="false">I131*$J$5</f>
        <v>-150.063157894737</v>
      </c>
    </row>
    <row r="132" customFormat="false" ht="15" hidden="false" customHeight="true" outlineLevel="0" collapsed="false">
      <c r="A132" s="12" t="n">
        <v>4408252</v>
      </c>
      <c r="B132" s="12" t="str">
        <f aca="false">IFERROR(INDEX('Catalog'!$B:$B,MATCH($A132,'Catalog'!$A:$A,0)),"")</f>
        <v>L-XL 099 חגורת גב שרוכים</v>
      </c>
      <c r="C132" s="12" t="n">
        <f aca="false">SUMIFS('סופר פארם Raw'!$C$6:$C$771,'סופר פארם Raw'!$E$6:$E$771,$A132,'סופר פארם Raw'!$B$6:$B$771,2025)</f>
        <v>0</v>
      </c>
      <c r="D132" s="12" t="n">
        <f aca="false">SUMIFS('סופר פארם Raw'!$C$6:$C$771,'סופר פארם Raw'!$E$6:$E$771,$A132,'סופר פארם Raw'!$B$6:$B$771,2026)</f>
        <v>-1</v>
      </c>
      <c r="E132" s="12" t="n">
        <f aca="false">D132*$J$5</f>
        <v>-1.26315789473684</v>
      </c>
      <c r="F132" s="12" t="n">
        <f aca="false">E132-C132</f>
        <v>-1.26315789473684</v>
      </c>
      <c r="G132" s="21" t="str">
        <f aca="false">IF(AND(C132=0,E132=0),0,IF(C132=0,"New",(E132-C132)/C132))</f>
        <v>New</v>
      </c>
      <c r="H132" s="12" t="n">
        <f aca="false">SUMIFS('סופר פארם Raw'!$D$6:$D$771,'סופר פארם Raw'!$E$6:$E$771,$A132,'סופר פארם Raw'!$B$6:$B$771,2025)</f>
        <v>0</v>
      </c>
      <c r="I132" s="12" t="n">
        <f aca="false">SUMIFS('סופר פארם Raw'!$D$6:$D$771,'סופר פארם Raw'!$E$6:$E$771,$A132,'סופר פארם Raw'!$B$6:$B$771,2026)</f>
        <v>-118.8</v>
      </c>
      <c r="J132" s="12" t="n">
        <f aca="false">I132*$J$5</f>
        <v>-150.063157894737</v>
      </c>
    </row>
    <row r="133" customFormat="false" ht="15" hidden="false" customHeight="true" outlineLevel="0" collapsed="false">
      <c r="A133" s="12" t="n">
        <v>4408265</v>
      </c>
      <c r="B133" s="12" t="str">
        <f aca="false">IFERROR(INDEX('Catalog'!$B:$B,MATCH($A133,'Catalog'!$A:$A,0)),"")</f>
        <v>078XXL חגורת גב +סגירה כפולה</v>
      </c>
      <c r="C133" s="12" t="n">
        <f aca="false">SUMIFS('סופר פארם Raw'!$C$6:$C$771,'סופר פארם Raw'!$E$6:$E$771,$A133,'סופר פארם Raw'!$B$6:$B$771,2025)</f>
        <v>28</v>
      </c>
      <c r="D133" s="12" t="n">
        <f aca="false">SUMIFS('סופר פארם Raw'!$C$6:$C$771,'סופר פארם Raw'!$E$6:$E$771,$A133,'סופר פארם Raw'!$B$6:$B$771,2026)</f>
        <v>26</v>
      </c>
      <c r="E133" s="12" t="n">
        <f aca="false">D133*$J$5</f>
        <v>32.8421052631579</v>
      </c>
      <c r="F133" s="12" t="n">
        <f aca="false">E133-C133</f>
        <v>4.84210526315789</v>
      </c>
      <c r="G133" s="21" t="n">
        <f aca="false">IF(AND(C133=0,E133=0),0,IF(C133=0,"New",(E133-C133)/C133))</f>
        <v>0.172932330827068</v>
      </c>
      <c r="H133" s="12" t="n">
        <f aca="false">SUMIFS('סופר פארם Raw'!$D$6:$D$771,'סופר פארם Raw'!$E$6:$E$771,$A133,'סופר פארם Raw'!$B$6:$B$771,2025)</f>
        <v>2640.1</v>
      </c>
      <c r="I133" s="12" t="n">
        <f aca="false">SUMIFS('סופר פארם Raw'!$D$6:$D$771,'סופר פארם Raw'!$E$6:$E$771,$A133,'סופר פארם Raw'!$B$6:$B$771,2026)</f>
        <v>2509.6</v>
      </c>
      <c r="J133" s="12" t="n">
        <f aca="false">I133*$J$5</f>
        <v>3170.02105263158</v>
      </c>
    </row>
    <row r="134" customFormat="false" ht="15" hidden="false" customHeight="true" outlineLevel="0" collapsed="false">
      <c r="A134" s="12" t="n">
        <v>4408266</v>
      </c>
      <c r="B134" s="12" t="str">
        <f aca="false">IFERROR(INDEX('Catalog'!$B:$B,MATCH($A134,'Catalog'!$A:$A,0)),"")</f>
        <v>91B חבק טניס אלבו</v>
      </c>
      <c r="C134" s="12" t="n">
        <f aca="false">SUMIFS('סופר פארם Raw'!$C$6:$C$771,'סופר פארם Raw'!$E$6:$E$771,$A134,'סופר פארם Raw'!$B$6:$B$771,2025)</f>
        <v>922</v>
      </c>
      <c r="D134" s="12" t="n">
        <f aca="false">SUMIFS('סופר פארם Raw'!$C$6:$C$771,'סופר פארם Raw'!$E$6:$E$771,$A134,'סופר פארם Raw'!$B$6:$B$771,2026)</f>
        <v>909</v>
      </c>
      <c r="E134" s="12" t="n">
        <f aca="false">D134*$J$5</f>
        <v>1148.21052631579</v>
      </c>
      <c r="F134" s="12" t="n">
        <f aca="false">E134-C134</f>
        <v>226.210526315789</v>
      </c>
      <c r="G134" s="21" t="n">
        <f aca="false">IF(AND(C134=0,E134=0),0,IF(C134=0,"New",(E134-C134)/C134))</f>
        <v>0.245347642424934</v>
      </c>
      <c r="H134" s="12" t="n">
        <f aca="false">SUMIFS('סופר פארם Raw'!$D$6:$D$771,'סופר פארם Raw'!$E$6:$E$771,$A134,'סופר פארם Raw'!$B$6:$B$771,2025)</f>
        <v>62831.2</v>
      </c>
      <c r="I134" s="12" t="n">
        <f aca="false">SUMIFS('סופר פארם Raw'!$D$6:$D$771,'סופר פארם Raw'!$E$6:$E$771,$A134,'סופר פארם Raw'!$B$6:$B$771,2026)</f>
        <v>66257.5</v>
      </c>
      <c r="J134" s="12" t="n">
        <f aca="false">I134*$J$5</f>
        <v>83693.6842105263</v>
      </c>
    </row>
    <row r="135" customFormat="false" ht="15" hidden="false" customHeight="true" outlineLevel="0" collapsed="false">
      <c r="A135" s="12" t="n">
        <v>4408271</v>
      </c>
      <c r="B135" s="12" t="str">
        <f aca="false">IFERROR(INDEX('Catalog'!$B:$B,MATCH($A135,'Catalog'!$A:$A,0)),"")</f>
        <v>70N XS חגורת פאבליק</v>
      </c>
      <c r="C135" s="12" t="n">
        <f aca="false">SUMIFS('סופר פארם Raw'!$C$6:$C$771,'סופר פארם Raw'!$E$6:$E$771,$A135,'סופר פארם Raw'!$B$6:$B$771,2025)</f>
        <v>0</v>
      </c>
      <c r="D135" s="12" t="n">
        <f aca="false">SUMIFS('סופר פארם Raw'!$C$6:$C$771,'סופר פארם Raw'!$E$6:$E$771,$A135,'סופר פארם Raw'!$B$6:$B$771,2026)</f>
        <v>11</v>
      </c>
      <c r="E135" s="12" t="n">
        <f aca="false">D135*$J$5</f>
        <v>13.8947368421053</v>
      </c>
      <c r="F135" s="12" t="n">
        <f aca="false">E135-C135</f>
        <v>13.8947368421053</v>
      </c>
      <c r="G135" s="21" t="str">
        <f aca="false">IF(AND(C135=0,E135=0),0,IF(C135=0,"New",(E135-C135)/C135))</f>
        <v>New</v>
      </c>
      <c r="H135" s="12" t="n">
        <f aca="false">SUMIFS('סופר פארם Raw'!$D$6:$D$771,'סופר פארם Raw'!$E$6:$E$771,$A135,'סופר פארם Raw'!$B$6:$B$771,2025)</f>
        <v>0</v>
      </c>
      <c r="I135" s="12" t="n">
        <f aca="false">SUMIFS('סופר פארם Raw'!$D$6:$D$771,'סופר פארם Raw'!$E$6:$E$771,$A135,'סופר פארם Raw'!$B$6:$B$771,2026)</f>
        <v>3068.9</v>
      </c>
      <c r="J135" s="12" t="n">
        <f aca="false">I135*$J$5</f>
        <v>3876.50526315789</v>
      </c>
    </row>
    <row r="136" customFormat="false" ht="15" hidden="false" customHeight="true" outlineLevel="0" collapsed="false">
      <c r="A136" s="12" t="n">
        <v>4408272</v>
      </c>
      <c r="B136" s="12" t="str">
        <f aca="false">IFERROR(INDEX('Catalog'!$B:$B,MATCH($A136,'Catalog'!$A:$A,0)),"")</f>
        <v>70N S חגורת פאבליק</v>
      </c>
      <c r="C136" s="12" t="n">
        <f aca="false">SUMIFS('סופר פארם Raw'!$C$6:$C$771,'סופר פארם Raw'!$E$6:$E$771,$A136,'סופר פארם Raw'!$B$6:$B$771,2025)</f>
        <v>0</v>
      </c>
      <c r="D136" s="12" t="n">
        <f aca="false">SUMIFS('סופר פארם Raw'!$C$6:$C$771,'סופר פארם Raw'!$E$6:$E$771,$A136,'סופר פארם Raw'!$B$6:$B$771,2026)</f>
        <v>11</v>
      </c>
      <c r="E136" s="12" t="n">
        <f aca="false">D136*$J$5</f>
        <v>13.8947368421053</v>
      </c>
      <c r="F136" s="12" t="n">
        <f aca="false">E136-C136</f>
        <v>13.8947368421053</v>
      </c>
      <c r="G136" s="21" t="str">
        <f aca="false">IF(AND(C136=0,E136=0),0,IF(C136=0,"New",(E136-C136)/C136))</f>
        <v>New</v>
      </c>
      <c r="H136" s="12" t="n">
        <f aca="false">SUMIFS('סופר פארם Raw'!$D$6:$D$771,'סופר פארם Raw'!$E$6:$E$771,$A136,'סופר פארם Raw'!$B$6:$B$771,2025)</f>
        <v>0</v>
      </c>
      <c r="I136" s="12" t="n">
        <f aca="false">SUMIFS('סופר פארם Raw'!$D$6:$D$771,'סופר פארם Raw'!$E$6:$E$771,$A136,'סופר פארם Raw'!$B$6:$B$771,2026)</f>
        <v>3082.9</v>
      </c>
      <c r="J136" s="12" t="n">
        <f aca="false">I136*$J$5</f>
        <v>3894.18947368421</v>
      </c>
    </row>
    <row r="137" customFormat="false" ht="15" hidden="false" customHeight="true" outlineLevel="0" collapsed="false">
      <c r="A137" s="12" t="n">
        <v>4408273</v>
      </c>
      <c r="B137" s="12" t="str">
        <f aca="false">IFERROR(INDEX('Catalog'!$B:$B,MATCH($A137,'Catalog'!$A:$A,0)),"")</f>
        <v>70N M חגורת פאבליק</v>
      </c>
      <c r="C137" s="12" t="n">
        <f aca="false">SUMIFS('סופר פארם Raw'!$C$6:$C$771,'סופר פארם Raw'!$E$6:$E$771,$A137,'סופר פארם Raw'!$B$6:$B$771,2025)</f>
        <v>0</v>
      </c>
      <c r="D137" s="12" t="n">
        <f aca="false">SUMIFS('סופר פארם Raw'!$C$6:$C$771,'סופר פארם Raw'!$E$6:$E$771,$A137,'סופר פארם Raw'!$B$6:$B$771,2026)</f>
        <v>13</v>
      </c>
      <c r="E137" s="12" t="n">
        <f aca="false">D137*$J$5</f>
        <v>16.4210526315789</v>
      </c>
      <c r="F137" s="12" t="n">
        <f aca="false">E137-C137</f>
        <v>16.4210526315789</v>
      </c>
      <c r="G137" s="21" t="str">
        <f aca="false">IF(AND(C137=0,E137=0),0,IF(C137=0,"New",(E137-C137)/C137))</f>
        <v>New</v>
      </c>
      <c r="H137" s="12" t="n">
        <f aca="false">SUMIFS('סופר פארם Raw'!$D$6:$D$771,'סופר פארם Raw'!$E$6:$E$771,$A137,'סופר פארם Raw'!$B$6:$B$771,2025)</f>
        <v>0</v>
      </c>
      <c r="I137" s="12" t="n">
        <f aca="false">SUMIFS('סופר פארם Raw'!$D$6:$D$771,'סופר פארם Raw'!$E$6:$E$771,$A137,'סופר פארם Raw'!$B$6:$B$771,2026)</f>
        <v>3629.4</v>
      </c>
      <c r="J137" s="12" t="n">
        <f aca="false">I137*$J$5</f>
        <v>4584.5052631579</v>
      </c>
    </row>
    <row r="138" customFormat="false" ht="15" hidden="false" customHeight="true" outlineLevel="0" collapsed="false">
      <c r="A138" s="12" t="n">
        <v>4408274</v>
      </c>
      <c r="B138" s="12" t="str">
        <f aca="false">IFERROR(INDEX('Catalog'!$B:$B,MATCH($A138,'Catalog'!$A:$A,0)),"")</f>
        <v>70N L חגורת פאבליק</v>
      </c>
      <c r="C138" s="12" t="n">
        <f aca="false">SUMIFS('סופר פארם Raw'!$C$6:$C$771,'סופר פארם Raw'!$E$6:$E$771,$A138,'סופר פארם Raw'!$B$6:$B$771,2025)</f>
        <v>0</v>
      </c>
      <c r="D138" s="12" t="n">
        <f aca="false">SUMIFS('סופר פארם Raw'!$C$6:$C$771,'סופר פארם Raw'!$E$6:$E$771,$A138,'סופר פארם Raw'!$B$6:$B$771,2026)</f>
        <v>12</v>
      </c>
      <c r="E138" s="12" t="n">
        <f aca="false">D138*$J$5</f>
        <v>15.1578947368421</v>
      </c>
      <c r="F138" s="12" t="n">
        <f aca="false">E138-C138</f>
        <v>15.1578947368421</v>
      </c>
      <c r="G138" s="21" t="str">
        <f aca="false">IF(AND(C138=0,E138=0),0,IF(C138=0,"New",(E138-C138)/C138))</f>
        <v>New</v>
      </c>
      <c r="H138" s="12" t="n">
        <f aca="false">SUMIFS('סופר פארם Raw'!$D$6:$D$771,'סופר פארם Raw'!$E$6:$E$771,$A138,'סופר פארם Raw'!$B$6:$B$771,2025)</f>
        <v>0</v>
      </c>
      <c r="I138" s="12" t="n">
        <f aca="false">SUMIFS('סופר פארם Raw'!$D$6:$D$771,'סופר פארם Raw'!$E$6:$E$771,$A138,'סופר פארם Raw'!$B$6:$B$771,2026)</f>
        <v>3349.1</v>
      </c>
      <c r="J138" s="12" t="n">
        <f aca="false">I138*$J$5</f>
        <v>4230.44210526316</v>
      </c>
    </row>
    <row r="139" customFormat="false" ht="15" hidden="false" customHeight="true" outlineLevel="0" collapsed="false">
      <c r="A139" s="12" t="n">
        <v>4409000</v>
      </c>
      <c r="B139" s="12" t="str">
        <f aca="false">IFERROR(INDEX('Catalog'!$B:$B,MATCH($A139,'Catalog'!$A:$A,0)),"")</f>
        <v>365 S-Lטבעת אלסטית מסיליקון</v>
      </c>
      <c r="C139" s="12" t="n">
        <f aca="false">SUMIFS('סופר פארם Raw'!$C$6:$C$771,'סופר פארם Raw'!$E$6:$E$771,$A139,'סופר פארם Raw'!$B$6:$B$771,2025)</f>
        <v>0</v>
      </c>
      <c r="D139" s="12" t="n">
        <f aca="false">SUMIFS('סופר פארם Raw'!$C$6:$C$771,'סופר פארם Raw'!$E$6:$E$771,$A139,'סופר פארם Raw'!$B$6:$B$771,2026)</f>
        <v>-2</v>
      </c>
      <c r="E139" s="12" t="n">
        <f aca="false">D139*$J$5</f>
        <v>-2.52631578947368</v>
      </c>
      <c r="F139" s="12" t="n">
        <f aca="false">E139-C139</f>
        <v>-2.52631578947368</v>
      </c>
      <c r="G139" s="21" t="str">
        <f aca="false">IF(AND(C139=0,E139=0),0,IF(C139=0,"New",(E139-C139)/C139))</f>
        <v>New</v>
      </c>
      <c r="H139" s="12" t="n">
        <f aca="false">SUMIFS('סופר פארם Raw'!$D$6:$D$771,'סופר פארם Raw'!$E$6:$E$771,$A139,'סופר פארם Raw'!$B$6:$B$771,2025)</f>
        <v>0</v>
      </c>
      <c r="I139" s="12" t="n">
        <f aca="false">SUMIFS('סופר פארם Raw'!$D$6:$D$771,'סופר פארם Raw'!$E$6:$E$771,$A139,'סופר פארם Raw'!$B$6:$B$771,2026)</f>
        <v>-23.1</v>
      </c>
      <c r="J139" s="12" t="n">
        <f aca="false">I139*$J$5</f>
        <v>-29.1789473684211</v>
      </c>
    </row>
    <row r="140" customFormat="false" ht="15" hidden="false" customHeight="true" outlineLevel="0" collapsed="false">
      <c r="A140" s="12" t="n">
        <v>4409001</v>
      </c>
      <c r="B140" s="12" t="str">
        <f aca="false">IFERROR(INDEX('Catalog'!$B:$B,MATCH($A140,'Catalog'!$A:$A,0)),"")</f>
        <v>365  X-Lטבעת אלסטית מסיליקון</v>
      </c>
      <c r="C140" s="12" t="n">
        <f aca="false">SUMIFS('סופר פארם Raw'!$C$6:$C$771,'סופר פארם Raw'!$E$6:$E$771,$A140,'סופר פארם Raw'!$B$6:$B$771,2025)</f>
        <v>223</v>
      </c>
      <c r="D140" s="12" t="n">
        <f aca="false">SUMIFS('סופר פארם Raw'!$C$6:$C$771,'סופר פארם Raw'!$E$6:$E$771,$A140,'סופר פארם Raw'!$B$6:$B$771,2026)</f>
        <v>133</v>
      </c>
      <c r="E140" s="12" t="n">
        <f aca="false">D140*$J$5</f>
        <v>168</v>
      </c>
      <c r="F140" s="12" t="n">
        <f aca="false">E140-C140</f>
        <v>-55</v>
      </c>
      <c r="G140" s="21" t="n">
        <f aca="false">IF(AND(C140=0,E140=0),0,IF(C140=0,"New",(E140-C140)/C140))</f>
        <v>-0.246636771300448</v>
      </c>
      <c r="H140" s="12" t="n">
        <f aca="false">SUMIFS('סופר פארם Raw'!$D$6:$D$771,'סופר פארם Raw'!$E$6:$E$771,$A140,'סופר פארם Raw'!$B$6:$B$771,2025)</f>
        <v>2310.4</v>
      </c>
      <c r="I140" s="12" t="n">
        <f aca="false">SUMIFS('סופר פארם Raw'!$D$6:$D$771,'סופר פארם Raw'!$E$6:$E$771,$A140,'סופר פארם Raw'!$B$6:$B$771,2026)</f>
        <v>1401.1</v>
      </c>
      <c r="J140" s="12" t="n">
        <f aca="false">I140*$J$5</f>
        <v>1769.81052631579</v>
      </c>
    </row>
    <row r="141" customFormat="false" ht="15" hidden="false" customHeight="true" outlineLevel="0" collapsed="false">
      <c r="A141" s="12" t="n">
        <v>4409002</v>
      </c>
      <c r="B141" s="12" t="str">
        <f aca="false">IFERROR(INDEX('Catalog'!$B:$B,MATCH($A141,'Catalog'!$A:$A,0)),"")</f>
        <v>FC341-טיפות נגד פטרת הציפורן</v>
      </c>
      <c r="C141" s="12" t="n">
        <f aca="false">SUMIFS('סופר פארם Raw'!$C$6:$C$771,'סופר פארם Raw'!$E$6:$E$771,$A141,'סופר פארם Raw'!$B$6:$B$771,2025)</f>
        <v>-8</v>
      </c>
      <c r="D141" s="12" t="n">
        <f aca="false">SUMIFS('סופר פארם Raw'!$C$6:$C$771,'סופר פארם Raw'!$E$6:$E$771,$A141,'סופר פארם Raw'!$B$6:$B$771,2026)</f>
        <v>-2</v>
      </c>
      <c r="E141" s="12" t="n">
        <f aca="false">D141*$J$5</f>
        <v>-2.52631578947368</v>
      </c>
      <c r="F141" s="12" t="n">
        <f aca="false">E141-C141</f>
        <v>5.47368421052632</v>
      </c>
      <c r="G141" s="21" t="n">
        <f aca="false">IF(AND(C141=0,E141=0),0,IF(C141=0,"New",(E141-C141)/C141))</f>
        <v>-0.68421052631579</v>
      </c>
      <c r="H141" s="12" t="n">
        <f aca="false">SUMIFS('סופר פארם Raw'!$D$6:$D$771,'סופר פארם Raw'!$E$6:$E$771,$A141,'סופר פארם Raw'!$B$6:$B$771,2025)</f>
        <v>-235.1</v>
      </c>
      <c r="I141" s="12" t="n">
        <f aca="false">SUMIFS('סופר פארם Raw'!$D$6:$D$771,'סופר פארם Raw'!$E$6:$E$771,$A141,'סופר פארם Raw'!$B$6:$B$771,2026)</f>
        <v>-57.8</v>
      </c>
      <c r="J141" s="12" t="n">
        <f aca="false">I141*$J$5</f>
        <v>-73.0105263157895</v>
      </c>
    </row>
    <row r="142" customFormat="false" ht="15" hidden="false" customHeight="true" outlineLevel="0" collapsed="false">
      <c r="A142" s="12" t="n">
        <v>4409004</v>
      </c>
      <c r="B142" s="12" t="str">
        <f aca="false">IFERROR(INDEX('Catalog'!$B:$B,MATCH($A142,'Catalog'!$A:$A,0)),"")</f>
        <v>FC335 טלק מעושר באלוורה</v>
      </c>
      <c r="C142" s="12" t="n">
        <f aca="false">SUMIFS('סופר פארם Raw'!$C$6:$C$771,'סופר פארם Raw'!$E$6:$E$771,$A142,'סופר פארם Raw'!$B$6:$B$771,2025)</f>
        <v>1282</v>
      </c>
      <c r="D142" s="12" t="n">
        <f aca="false">SUMIFS('סופר פארם Raw'!$C$6:$C$771,'סופר פארם Raw'!$E$6:$E$771,$A142,'סופר פארם Raw'!$B$6:$B$771,2026)</f>
        <v>562</v>
      </c>
      <c r="E142" s="12" t="n">
        <f aca="false">D142*$J$5</f>
        <v>709.894736842105</v>
      </c>
      <c r="F142" s="12" t="n">
        <f aca="false">E142-C142</f>
        <v>-572.105263157895</v>
      </c>
      <c r="G142" s="21" t="n">
        <f aca="false">IF(AND(C142=0,E142=0),0,IF(C142=0,"New",(E142-C142)/C142))</f>
        <v>-0.446259955661384</v>
      </c>
      <c r="H142" s="12" t="n">
        <f aca="false">SUMIFS('סופר פארם Raw'!$D$6:$D$771,'סופר פארם Raw'!$E$6:$E$771,$A142,'סופר פארם Raw'!$B$6:$B$771,2025)</f>
        <v>20668.1</v>
      </c>
      <c r="I142" s="12" t="n">
        <f aca="false">SUMIFS('סופר פארם Raw'!$D$6:$D$771,'סופר פארם Raw'!$E$6:$E$771,$A142,'סופר פארם Raw'!$B$6:$B$771,2026)</f>
        <v>9322</v>
      </c>
      <c r="J142" s="12" t="n">
        <f aca="false">I142*$J$5</f>
        <v>11775.1578947368</v>
      </c>
    </row>
    <row r="143" customFormat="false" ht="15" hidden="false" customHeight="true" outlineLevel="0" collapsed="false">
      <c r="A143" s="12" t="n">
        <v>4409014</v>
      </c>
      <c r="B143" s="12" t="str">
        <f aca="false">IFERROR(INDEX('Catalog'!$B:$B,MATCH($A143,'Catalog'!$A:$A,0)),"")</f>
        <v>808KT-P        טייפ קינזיולוגי</v>
      </c>
      <c r="C143" s="12" t="n">
        <f aca="false">SUMIFS('סופר פארם Raw'!$C$6:$C$771,'סופר פארם Raw'!$E$6:$E$771,$A143,'סופר פארם Raw'!$B$6:$B$771,2025)</f>
        <v>796</v>
      </c>
      <c r="D143" s="12" t="n">
        <f aca="false">SUMIFS('סופר פארם Raw'!$C$6:$C$771,'סופר פארם Raw'!$E$6:$E$771,$A143,'סופר פארם Raw'!$B$6:$B$771,2026)</f>
        <v>387</v>
      </c>
      <c r="E143" s="12" t="n">
        <f aca="false">D143*$J$5</f>
        <v>488.842105263158</v>
      </c>
      <c r="F143" s="12" t="n">
        <f aca="false">E143-C143</f>
        <v>-307.157894736842</v>
      </c>
      <c r="G143" s="21" t="n">
        <f aca="false">IF(AND(C143=0,E143=0),0,IF(C143=0,"New",(E143-C143)/C143))</f>
        <v>-0.385876752181963</v>
      </c>
      <c r="H143" s="12" t="n">
        <f aca="false">SUMIFS('סופר פארם Raw'!$D$6:$D$771,'סופר פארם Raw'!$E$6:$E$771,$A143,'סופר פארם Raw'!$B$6:$B$771,2025)</f>
        <v>32148.2</v>
      </c>
      <c r="I143" s="12" t="n">
        <f aca="false">SUMIFS('סופר פארם Raw'!$D$6:$D$771,'סופר פארם Raw'!$E$6:$E$771,$A143,'סופר פארם Raw'!$B$6:$B$771,2026)</f>
        <v>15624.9</v>
      </c>
      <c r="J143" s="12" t="n">
        <f aca="false">I143*$J$5</f>
        <v>19736.7157894737</v>
      </c>
    </row>
    <row r="144" customFormat="false" ht="15" hidden="false" customHeight="true" outlineLevel="0" collapsed="false">
      <c r="A144" s="12" t="n">
        <v>4409015</v>
      </c>
      <c r="B144" s="12" t="str">
        <f aca="false">IFERROR(INDEX('Catalog'!$B:$B,MATCH($A144,'Catalog'!$A:$A,0)),"")</f>
        <v>808KT-BL       טייפ קינזיולוגי</v>
      </c>
      <c r="C144" s="12" t="n">
        <f aca="false">SUMIFS('סופר פארם Raw'!$C$6:$C$771,'סופר פארם Raw'!$E$6:$E$771,$A144,'סופר פארם Raw'!$B$6:$B$771,2025)</f>
        <v>1200</v>
      </c>
      <c r="D144" s="12" t="n">
        <f aca="false">SUMIFS('סופר פארם Raw'!$C$6:$C$771,'סופר פארם Raw'!$E$6:$E$771,$A144,'סופר פארם Raw'!$B$6:$B$771,2026)</f>
        <v>711</v>
      </c>
      <c r="E144" s="12" t="n">
        <f aca="false">D144*$J$5</f>
        <v>898.105263157895</v>
      </c>
      <c r="F144" s="12" t="n">
        <f aca="false">E144-C144</f>
        <v>-301.894736842105</v>
      </c>
      <c r="G144" s="21" t="n">
        <f aca="false">IF(AND(C144=0,E144=0),0,IF(C144=0,"New",(E144-C144)/C144))</f>
        <v>-0.251578947368421</v>
      </c>
      <c r="H144" s="12" t="n">
        <f aca="false">SUMIFS('סופר פארם Raw'!$D$6:$D$771,'סופר פארם Raw'!$E$6:$E$771,$A144,'סופר פארם Raw'!$B$6:$B$771,2025)</f>
        <v>48495.6</v>
      </c>
      <c r="I144" s="12" t="n">
        <f aca="false">SUMIFS('סופר פארם Raw'!$D$6:$D$771,'סופר פארם Raw'!$E$6:$E$771,$A144,'סופר פארם Raw'!$B$6:$B$771,2026)</f>
        <v>28682.6</v>
      </c>
      <c r="J144" s="12" t="n">
        <f aca="false">I144*$J$5</f>
        <v>36230.6526315789</v>
      </c>
    </row>
    <row r="145" customFormat="false" ht="15" hidden="false" customHeight="true" outlineLevel="0" collapsed="false">
      <c r="A145" s="12" t="n">
        <v>4409016</v>
      </c>
      <c r="B145" s="12" t="str">
        <f aca="false">IFERROR(INDEX('Catalog'!$B:$B,MATCH($A145,'Catalog'!$A:$A,0)),"")</f>
        <v>808KT-C        טייפ קינזיולוגי</v>
      </c>
      <c r="C145" s="12" t="n">
        <f aca="false">SUMIFS('סופר פארם Raw'!$C$6:$C$771,'סופר פארם Raw'!$E$6:$E$771,$A145,'סופר פארם Raw'!$B$6:$B$771,2025)</f>
        <v>1251</v>
      </c>
      <c r="D145" s="12" t="n">
        <f aca="false">SUMIFS('סופר פארם Raw'!$C$6:$C$771,'סופר פארם Raw'!$E$6:$E$771,$A145,'סופר פארם Raw'!$B$6:$B$771,2026)</f>
        <v>779</v>
      </c>
      <c r="E145" s="12" t="n">
        <f aca="false">D145*$J$5</f>
        <v>984</v>
      </c>
      <c r="F145" s="12" t="n">
        <f aca="false">E145-C145</f>
        <v>-267</v>
      </c>
      <c r="G145" s="21" t="n">
        <f aca="false">IF(AND(C145=0,E145=0),0,IF(C145=0,"New",(E145-C145)/C145))</f>
        <v>-0.213429256594724</v>
      </c>
      <c r="H145" s="12" t="n">
        <f aca="false">SUMIFS('סופר פארם Raw'!$D$6:$D$771,'סופר פארם Raw'!$E$6:$E$771,$A145,'סופר פארם Raw'!$B$6:$B$771,2025)</f>
        <v>49688.4</v>
      </c>
      <c r="I145" s="12" t="n">
        <f aca="false">SUMIFS('סופר פארם Raw'!$D$6:$D$771,'סופר פארם Raw'!$E$6:$E$771,$A145,'סופר פארם Raw'!$B$6:$B$771,2026)</f>
        <v>31161.7</v>
      </c>
      <c r="J145" s="12" t="n">
        <f aca="false">I145*$J$5</f>
        <v>39362.1473684211</v>
      </c>
    </row>
    <row r="146" customFormat="false" ht="15" hidden="false" customHeight="true" outlineLevel="0" collapsed="false">
      <c r="A146" s="12" t="n">
        <v>4409017</v>
      </c>
      <c r="B146" s="12" t="str">
        <f aca="false">IFERROR(INDEX('Catalog'!$B:$B,MATCH($A146,'Catalog'!$A:$A,0)),"")</f>
        <v>808KT-B        טייפ קינזיולוגי</v>
      </c>
      <c r="C146" s="12" t="n">
        <f aca="false">SUMIFS('סופר פארם Raw'!$C$6:$C$771,'סופר פארם Raw'!$E$6:$E$771,$A146,'סופר פארם Raw'!$B$6:$B$771,2025)</f>
        <v>1150</v>
      </c>
      <c r="D146" s="12" t="n">
        <f aca="false">SUMIFS('סופר פארם Raw'!$C$6:$C$771,'סופר פארם Raw'!$E$6:$E$771,$A146,'סופר פארם Raw'!$B$6:$B$771,2026)</f>
        <v>705</v>
      </c>
      <c r="E146" s="12" t="n">
        <f aca="false">D146*$J$5</f>
        <v>890.526315789474</v>
      </c>
      <c r="F146" s="12" t="n">
        <f aca="false">E146-C146</f>
        <v>-259.473684210526</v>
      </c>
      <c r="G146" s="21" t="n">
        <f aca="false">IF(AND(C146=0,E146=0),0,IF(C146=0,"New",(E146-C146)/C146))</f>
        <v>-0.225629290617849</v>
      </c>
      <c r="H146" s="12" t="n">
        <f aca="false">SUMIFS('סופר פארם Raw'!$D$6:$D$771,'סופר פארם Raw'!$E$6:$E$771,$A146,'סופר פארם Raw'!$B$6:$B$771,2025)</f>
        <v>45598.1</v>
      </c>
      <c r="I146" s="12" t="n">
        <f aca="false">SUMIFS('סופר פארם Raw'!$D$6:$D$771,'סופר פארם Raw'!$E$6:$E$771,$A146,'סופר פארם Raw'!$B$6:$B$771,2026)</f>
        <v>28253.3</v>
      </c>
      <c r="J146" s="12" t="n">
        <f aca="false">I146*$J$5</f>
        <v>35688.3789473684</v>
      </c>
    </row>
    <row r="147" customFormat="false" ht="15" hidden="false" customHeight="true" outlineLevel="0" collapsed="false">
      <c r="A147" s="12" t="n">
        <v>4411000</v>
      </c>
      <c r="B147" s="12" t="str">
        <f aca="false">IFERROR(INDEX('Catalog'!$B:$B,MATCH($A147,'Catalog'!$A:$A,0)),"")</f>
        <v>כרית מטטרזלי סיליקון362</v>
      </c>
      <c r="C147" s="12" t="n">
        <f aca="false">SUMIFS('סופר פארם Raw'!$C$6:$C$771,'סופר פארם Raw'!$E$6:$E$771,$A147,'סופר פארם Raw'!$B$6:$B$771,2025)</f>
        <v>2204</v>
      </c>
      <c r="D147" s="12" t="n">
        <f aca="false">SUMIFS('סופר פארם Raw'!$C$6:$C$771,'סופר פארם Raw'!$E$6:$E$771,$A147,'סופר פארם Raw'!$B$6:$B$771,2026)</f>
        <v>1727</v>
      </c>
      <c r="E147" s="12" t="n">
        <f aca="false">D147*$J$5</f>
        <v>2181.47368421053</v>
      </c>
      <c r="F147" s="12" t="n">
        <f aca="false">E147-C147</f>
        <v>-22.5263157894738</v>
      </c>
      <c r="G147" s="21" t="n">
        <f aca="false">IF(AND(C147=0,E147=0),0,IF(C147=0,"New",(E147-C147)/C147))</f>
        <v>-0.0102206514471297</v>
      </c>
      <c r="H147" s="12" t="n">
        <f aca="false">SUMIFS('סופר פארם Raw'!$D$6:$D$771,'סופר פארם Raw'!$E$6:$E$771,$A147,'סופר פארם Raw'!$B$6:$B$771,2025)</f>
        <v>51118.9</v>
      </c>
      <c r="I147" s="12" t="n">
        <f aca="false">SUMIFS('סופר פארם Raw'!$D$6:$D$771,'סופר פארם Raw'!$E$6:$E$771,$A147,'סופר פארם Raw'!$B$6:$B$771,2026)</f>
        <v>41072.9</v>
      </c>
      <c r="J147" s="12" t="n">
        <f aca="false">I147*$J$5</f>
        <v>51881.5578947368</v>
      </c>
    </row>
    <row r="148" customFormat="false" ht="15" hidden="false" customHeight="true" outlineLevel="0" collapsed="false">
      <c r="A148" s="12" t="n">
        <v>4411001</v>
      </c>
      <c r="B148" s="12" t="str">
        <f aca="false">IFERROR(INDEX('Catalog'!$B:$B,MATCH($A148,'Catalog'!$A:$A,0)),"")</f>
        <v>3623 כרית ליישור אצבע פטיש</v>
      </c>
      <c r="C148" s="12" t="n">
        <f aca="false">SUMIFS('סופר פארם Raw'!$C$6:$C$771,'סופר פארם Raw'!$E$6:$E$771,$A148,'סופר פארם Raw'!$B$6:$B$771,2025)</f>
        <v>235</v>
      </c>
      <c r="D148" s="12" t="n">
        <f aca="false">SUMIFS('סופר פארם Raw'!$C$6:$C$771,'סופר פארם Raw'!$E$6:$E$771,$A148,'סופר פארם Raw'!$B$6:$B$771,2026)</f>
        <v>177</v>
      </c>
      <c r="E148" s="12" t="n">
        <f aca="false">D148*$J$5</f>
        <v>223.578947368421</v>
      </c>
      <c r="F148" s="12" t="n">
        <f aca="false">E148-C148</f>
        <v>-11.421052631579</v>
      </c>
      <c r="G148" s="21" t="n">
        <f aca="false">IF(AND(C148=0,E148=0),0,IF(C148=0,"New",(E148-C148)/C148))</f>
        <v>-0.0486002239641658</v>
      </c>
      <c r="H148" s="12" t="n">
        <f aca="false">SUMIFS('סופר פארם Raw'!$D$6:$D$771,'סופר פארם Raw'!$E$6:$E$771,$A148,'סופר פארם Raw'!$B$6:$B$771,2025)</f>
        <v>5701.6</v>
      </c>
      <c r="I148" s="12" t="n">
        <f aca="false">SUMIFS('סופר פארם Raw'!$D$6:$D$771,'סופר פארם Raw'!$E$6:$E$771,$A148,'סופר פארם Raw'!$B$6:$B$771,2026)</f>
        <v>4296.7</v>
      </c>
      <c r="J148" s="12" t="n">
        <f aca="false">I148*$J$5</f>
        <v>5427.41052631579</v>
      </c>
    </row>
    <row r="149" customFormat="false" ht="15" hidden="false" customHeight="true" outlineLevel="0" collapsed="false">
      <c r="A149" s="12" t="n">
        <v>4411002</v>
      </c>
      <c r="B149" s="12" t="str">
        <f aca="false">IFERROR(INDEX('Catalog'!$B:$B,MATCH($A149,'Catalog'!$A:$A,0)),"")</f>
        <v>67 כרית שינה חלומי</v>
      </c>
      <c r="C149" s="12" t="n">
        <f aca="false">SUMIFS('סופר פארם Raw'!$C$6:$C$771,'סופר פארם Raw'!$E$6:$E$771,$A149,'סופר פארם Raw'!$B$6:$B$771,2025)</f>
        <v>-3</v>
      </c>
      <c r="D149" s="12" t="n">
        <f aca="false">SUMIFS('סופר פארם Raw'!$C$6:$C$771,'סופר פארם Raw'!$E$6:$E$771,$A149,'סופר פארם Raw'!$B$6:$B$771,2026)</f>
        <v>0</v>
      </c>
      <c r="E149" s="12" t="n">
        <f aca="false">D149*$J$5</f>
        <v>0</v>
      </c>
      <c r="F149" s="12" t="n">
        <f aca="false">E149-C149</f>
        <v>3</v>
      </c>
      <c r="G149" s="21" t="n">
        <f aca="false">IF(AND(C149=0,E149=0),0,IF(C149=0,"New",(E149-C149)/C149))</f>
        <v>-1</v>
      </c>
      <c r="H149" s="12" t="n">
        <f aca="false">SUMIFS('סופר פארם Raw'!$D$6:$D$771,'סופר פארם Raw'!$E$6:$E$771,$A149,'סופר פארם Raw'!$B$6:$B$771,2025)</f>
        <v>-393.2</v>
      </c>
      <c r="I149" s="12" t="n">
        <f aca="false">SUMIFS('סופר פארם Raw'!$D$6:$D$771,'סופר פארם Raw'!$E$6:$E$771,$A149,'סופר פארם Raw'!$B$6:$B$771,2026)</f>
        <v>0</v>
      </c>
      <c r="J149" s="12" t="n">
        <f aca="false">I149*$J$5</f>
        <v>0</v>
      </c>
    </row>
    <row r="150" customFormat="false" ht="15" hidden="false" customHeight="true" outlineLevel="0" collapsed="false">
      <c r="A150" s="12" t="n">
        <v>4411015</v>
      </c>
      <c r="B150" s="12" t="str">
        <f aca="false">IFERROR(INDEX('Catalog'!$B:$B,MATCH($A150,'Catalog'!$A:$A,0)),"")</f>
        <v>820 0 כרית חום וקור</v>
      </c>
      <c r="C150" s="12" t="n">
        <f aca="false">SUMIFS('סופר פארם Raw'!$C$6:$C$771,'סופר פארם Raw'!$E$6:$E$771,$A150,'סופר פארם Raw'!$B$6:$B$771,2025)</f>
        <v>21</v>
      </c>
      <c r="D150" s="12" t="n">
        <f aca="false">SUMIFS('סופר פארם Raw'!$C$6:$C$771,'סופר פארם Raw'!$E$6:$E$771,$A150,'סופר פארם Raw'!$B$6:$B$771,2026)</f>
        <v>67</v>
      </c>
      <c r="E150" s="12" t="n">
        <f aca="false">D150*$J$5</f>
        <v>84.6315789473684</v>
      </c>
      <c r="F150" s="12" t="n">
        <f aca="false">E150-C150</f>
        <v>63.6315789473684</v>
      </c>
      <c r="G150" s="21" t="n">
        <f aca="false">IF(AND(C150=0,E150=0),0,IF(C150=0,"New",(E150-C150)/C150))</f>
        <v>3.03007518796992</v>
      </c>
      <c r="H150" s="12" t="n">
        <f aca="false">SUMIFS('סופר פארם Raw'!$D$6:$D$771,'סופר פארם Raw'!$E$6:$E$771,$A150,'סופר פארם Raw'!$B$6:$B$771,2025)</f>
        <v>826.4</v>
      </c>
      <c r="I150" s="12" t="n">
        <f aca="false">SUMIFS('סופר פארם Raw'!$D$6:$D$771,'סופר פארם Raw'!$E$6:$E$771,$A150,'סופר פארם Raw'!$B$6:$B$771,2026)</f>
        <v>2616.2</v>
      </c>
      <c r="J150" s="12" t="n">
        <f aca="false">I150*$J$5</f>
        <v>3304.67368421053</v>
      </c>
    </row>
    <row r="151" customFormat="false" ht="15" hidden="false" customHeight="true" outlineLevel="0" collapsed="false">
      <c r="A151" s="12" t="n">
        <v>4411016</v>
      </c>
      <c r="B151" s="12" t="str">
        <f aca="false">IFERROR(INDEX('Catalog'!$B:$B,MATCH($A151,'Catalog'!$A:$A,0)),"")</f>
        <v>307 XL כרית סיליקון לעקב</v>
      </c>
      <c r="C151" s="12" t="n">
        <f aca="false">SUMIFS('סופר פארם Raw'!$C$6:$C$771,'סופר פארם Raw'!$E$6:$E$771,$A151,'סופר פארם Raw'!$B$6:$B$771,2025)</f>
        <v>278</v>
      </c>
      <c r="D151" s="12" t="n">
        <f aca="false">SUMIFS('סופר פארם Raw'!$C$6:$C$771,'סופר פארם Raw'!$E$6:$E$771,$A151,'סופר פארם Raw'!$B$6:$B$771,2026)</f>
        <v>216</v>
      </c>
      <c r="E151" s="12" t="n">
        <f aca="false">D151*$J$5</f>
        <v>272.842105263158</v>
      </c>
      <c r="F151" s="12" t="n">
        <f aca="false">E151-C151</f>
        <v>-5.15789473684214</v>
      </c>
      <c r="G151" s="21" t="n">
        <f aca="false">IF(AND(C151=0,E151=0),0,IF(C151=0,"New",(E151-C151)/C151))</f>
        <v>-0.0185535781900796</v>
      </c>
      <c r="H151" s="12" t="n">
        <f aca="false">SUMIFS('סופר פארם Raw'!$D$6:$D$771,'סופר פארם Raw'!$E$6:$E$771,$A151,'סופר פארם Raw'!$B$6:$B$771,2025)</f>
        <v>22578.4</v>
      </c>
      <c r="I151" s="12" t="n">
        <f aca="false">SUMIFS('סופר פארם Raw'!$D$6:$D$771,'סופר פארם Raw'!$E$6:$E$771,$A151,'סופר פארם Raw'!$B$6:$B$771,2026)</f>
        <v>17427.9</v>
      </c>
      <c r="J151" s="12" t="n">
        <f aca="false">I151*$J$5</f>
        <v>22014.1894736842</v>
      </c>
    </row>
    <row r="152" customFormat="false" ht="15" hidden="false" customHeight="true" outlineLevel="0" collapsed="false">
      <c r="A152" s="12" t="n">
        <v>4411017</v>
      </c>
      <c r="B152" s="12" t="str">
        <f aca="false">IFERROR(INDEX('Catalog'!$B:$B,MATCH($A152,'Catalog'!$A:$A,0)),"")</f>
        <v>211L כפפות לחץ</v>
      </c>
      <c r="C152" s="12" t="n">
        <f aca="false">SUMIFS('סופר פארם Raw'!$C$6:$C$771,'סופר פארם Raw'!$E$6:$E$771,$A152,'סופר פארם Raw'!$B$6:$B$771,2025)</f>
        <v>180</v>
      </c>
      <c r="D152" s="12" t="n">
        <f aca="false">SUMIFS('סופר פארם Raw'!$C$6:$C$771,'סופר פארם Raw'!$E$6:$E$771,$A152,'סופר פארם Raw'!$B$6:$B$771,2026)</f>
        <v>113</v>
      </c>
      <c r="E152" s="12" t="n">
        <f aca="false">D152*$J$5</f>
        <v>142.736842105263</v>
      </c>
      <c r="F152" s="12" t="n">
        <f aca="false">E152-C152</f>
        <v>-37.2631578947369</v>
      </c>
      <c r="G152" s="21" t="n">
        <f aca="false">IF(AND(C152=0,E152=0),0,IF(C152=0,"New",(E152-C152)/C152))</f>
        <v>-0.207017543859649</v>
      </c>
      <c r="H152" s="12" t="n">
        <f aca="false">SUMIFS('סופר פארם Raw'!$D$6:$D$771,'סופר פארם Raw'!$E$6:$E$771,$A152,'סופר פארם Raw'!$B$6:$B$771,2025)</f>
        <v>5113.7</v>
      </c>
      <c r="I152" s="12" t="n">
        <f aca="false">SUMIFS('סופר פארם Raw'!$D$6:$D$771,'סופר פארם Raw'!$E$6:$E$771,$A152,'סופר פארם Raw'!$B$6:$B$771,2026)</f>
        <v>3300.4</v>
      </c>
      <c r="J152" s="12" t="n">
        <f aca="false">I152*$J$5</f>
        <v>4168.92631578947</v>
      </c>
    </row>
    <row r="153" customFormat="false" ht="15" hidden="false" customHeight="true" outlineLevel="0" collapsed="false">
      <c r="A153" s="12" t="n">
        <v>4411018</v>
      </c>
      <c r="B153" s="12" t="str">
        <f aca="false">IFERROR(INDEX('Catalog'!$B:$B,MATCH($A153,'Catalog'!$A:$A,0)),"")</f>
        <v>211M כפפות לחץ</v>
      </c>
      <c r="C153" s="12" t="n">
        <f aca="false">SUMIFS('סופר פארם Raw'!$C$6:$C$771,'סופר פארם Raw'!$E$6:$E$771,$A153,'סופר פארם Raw'!$B$6:$B$771,2025)</f>
        <v>258</v>
      </c>
      <c r="D153" s="12" t="n">
        <f aca="false">SUMIFS('סופר פארם Raw'!$C$6:$C$771,'סופר פארם Raw'!$E$6:$E$771,$A153,'סופר פארם Raw'!$B$6:$B$771,2026)</f>
        <v>162</v>
      </c>
      <c r="E153" s="12" t="n">
        <f aca="false">D153*$J$5</f>
        <v>204.631578947368</v>
      </c>
      <c r="F153" s="12" t="n">
        <f aca="false">E153-C153</f>
        <v>-53.3684210526316</v>
      </c>
      <c r="G153" s="21" t="n">
        <f aca="false">IF(AND(C153=0,E153=0),0,IF(C153=0,"New",(E153-C153)/C153))</f>
        <v>-0.206854345165239</v>
      </c>
      <c r="H153" s="12" t="n">
        <f aca="false">SUMIFS('סופר פארם Raw'!$D$6:$D$771,'סופר פארם Raw'!$E$6:$E$771,$A153,'סופר פארם Raw'!$B$6:$B$771,2025)</f>
        <v>7344.8</v>
      </c>
      <c r="I153" s="12" t="n">
        <f aca="false">SUMIFS('סופר פארם Raw'!$D$6:$D$771,'סופר פארם Raw'!$E$6:$E$771,$A153,'סופר פארם Raw'!$B$6:$B$771,2026)</f>
        <v>4690.8</v>
      </c>
      <c r="J153" s="12" t="n">
        <f aca="false">I153*$J$5</f>
        <v>5925.22105263158</v>
      </c>
    </row>
    <row r="154" customFormat="false" ht="15" hidden="false" customHeight="true" outlineLevel="0" collapsed="false">
      <c r="A154" s="12" t="n">
        <v>4411019</v>
      </c>
      <c r="B154" s="12" t="str">
        <f aca="false">IFERROR(INDEX('Catalog'!$B:$B,MATCH($A154,'Catalog'!$A:$A,0)),"")</f>
        <v>211S כפפות לחץ</v>
      </c>
      <c r="C154" s="12" t="n">
        <f aca="false">SUMIFS('סופר פארם Raw'!$C$6:$C$771,'סופר פארם Raw'!$E$6:$E$771,$A154,'סופר פארם Raw'!$B$6:$B$771,2025)</f>
        <v>246</v>
      </c>
      <c r="D154" s="12" t="n">
        <f aca="false">SUMIFS('סופר פארם Raw'!$C$6:$C$771,'סופר פארם Raw'!$E$6:$E$771,$A154,'סופר פארם Raw'!$B$6:$B$771,2026)</f>
        <v>155</v>
      </c>
      <c r="E154" s="12" t="n">
        <f aca="false">D154*$J$5</f>
        <v>195.789473684211</v>
      </c>
      <c r="F154" s="12" t="n">
        <f aca="false">E154-C154</f>
        <v>-50.2105263157895</v>
      </c>
      <c r="G154" s="21" t="n">
        <f aca="false">IF(AND(C154=0,E154=0),0,IF(C154=0,"New",(E154-C154)/C154))</f>
        <v>-0.20410783055199</v>
      </c>
      <c r="H154" s="12" t="n">
        <f aca="false">SUMIFS('סופר פארם Raw'!$D$6:$D$771,'סופר פארם Raw'!$E$6:$E$771,$A154,'סופר פארם Raw'!$B$6:$B$771,2025)</f>
        <v>6998.3</v>
      </c>
      <c r="I154" s="12" t="n">
        <f aca="false">SUMIFS('סופר פארם Raw'!$D$6:$D$771,'סופר פארם Raw'!$E$6:$E$771,$A154,'סופר פארם Raw'!$B$6:$B$771,2026)</f>
        <v>4476.9</v>
      </c>
      <c r="J154" s="12" t="n">
        <f aca="false">I154*$J$5</f>
        <v>5655.03157894737</v>
      </c>
    </row>
    <row r="155" customFormat="false" ht="15" hidden="false" customHeight="true" outlineLevel="0" collapsed="false">
      <c r="A155" s="12" t="n">
        <v>4411020</v>
      </c>
      <c r="B155" s="12" t="str">
        <f aca="false">IFERROR(INDEX('Catalog'!$B:$B,MATCH($A155,'Catalog'!$A:$A,0)),"")</f>
        <v>211XL כפפות לחץ</v>
      </c>
      <c r="C155" s="12" t="n">
        <f aca="false">SUMIFS('סופר פארם Raw'!$C$6:$C$771,'סופר פארם Raw'!$E$6:$E$771,$A155,'סופר פארם Raw'!$B$6:$B$771,2025)</f>
        <v>76</v>
      </c>
      <c r="D155" s="12" t="n">
        <f aca="false">SUMIFS('סופר פארם Raw'!$C$6:$C$771,'סופר פארם Raw'!$E$6:$E$771,$A155,'סופר פארם Raw'!$B$6:$B$771,2026)</f>
        <v>34</v>
      </c>
      <c r="E155" s="12" t="n">
        <f aca="false">D155*$J$5</f>
        <v>42.9473684210526</v>
      </c>
      <c r="F155" s="12" t="n">
        <f aca="false">E155-C155</f>
        <v>-33.0526315789474</v>
      </c>
      <c r="G155" s="21" t="n">
        <f aca="false">IF(AND(C155=0,E155=0),0,IF(C155=0,"New",(E155-C155)/C155))</f>
        <v>-0.434903047091413</v>
      </c>
      <c r="H155" s="12" t="n">
        <f aca="false">SUMIFS('סופר פארם Raw'!$D$6:$D$771,'סופר פארם Raw'!$E$6:$E$771,$A155,'סופר פארם Raw'!$B$6:$B$771,2025)</f>
        <v>2156.6</v>
      </c>
      <c r="I155" s="12" t="n">
        <f aca="false">SUMIFS('סופר פארם Raw'!$D$6:$D$771,'סופר פארם Raw'!$E$6:$E$771,$A155,'סופר פארם Raw'!$B$6:$B$771,2026)</f>
        <v>993.8</v>
      </c>
      <c r="J155" s="12" t="n">
        <f aca="false">I155*$J$5</f>
        <v>1255.32631578947</v>
      </c>
    </row>
    <row r="156" customFormat="false" ht="15" hidden="false" customHeight="true" outlineLevel="0" collapsed="false">
      <c r="A156" s="12" t="n">
        <v>4411021</v>
      </c>
      <c r="B156" s="12" t="str">
        <f aca="false">IFERROR(INDEX('Catalog'!$B:$B,MATCH($A156,'Catalog'!$A:$A,0)),"")</f>
        <v>212L כפפות אגודל לחץ</v>
      </c>
      <c r="C156" s="12" t="n">
        <f aca="false">SUMIFS('סופר פארם Raw'!$C$6:$C$771,'סופר פארם Raw'!$E$6:$E$771,$A156,'סופר פארם Raw'!$B$6:$B$771,2025)</f>
        <v>244</v>
      </c>
      <c r="D156" s="12" t="n">
        <f aca="false">SUMIFS('סופר פארם Raw'!$C$6:$C$771,'סופר פארם Raw'!$E$6:$E$771,$A156,'סופר פארם Raw'!$B$6:$B$771,2026)</f>
        <v>183</v>
      </c>
      <c r="E156" s="12" t="n">
        <f aca="false">D156*$J$5</f>
        <v>231.157894736842</v>
      </c>
      <c r="F156" s="12" t="n">
        <f aca="false">E156-C156</f>
        <v>-12.8421052631579</v>
      </c>
      <c r="G156" s="21" t="n">
        <f aca="false">IF(AND(C156=0,E156=0),0,IF(C156=0,"New",(E156-C156)/C156))</f>
        <v>-0.0526315789473685</v>
      </c>
      <c r="H156" s="12" t="n">
        <f aca="false">SUMIFS('סופר פארם Raw'!$D$6:$D$771,'סופר פארם Raw'!$E$6:$E$771,$A156,'סופר פארם Raw'!$B$6:$B$771,2025)</f>
        <v>6942.4</v>
      </c>
      <c r="I156" s="12" t="n">
        <f aca="false">SUMIFS('סופר פארם Raw'!$D$6:$D$771,'סופר פארם Raw'!$E$6:$E$771,$A156,'סופר פארם Raw'!$B$6:$B$771,2026)</f>
        <v>5400.6</v>
      </c>
      <c r="J156" s="12" t="n">
        <f aca="false">I156*$J$5</f>
        <v>6821.81052631579</v>
      </c>
    </row>
    <row r="157" customFormat="false" ht="15" hidden="false" customHeight="true" outlineLevel="0" collapsed="false">
      <c r="A157" s="12" t="n">
        <v>4411022</v>
      </c>
      <c r="B157" s="12" t="str">
        <f aca="false">IFERROR(INDEX('Catalog'!$B:$B,MATCH($A157,'Catalog'!$A:$A,0)),"")</f>
        <v>212M כפפות אגודל לחץ</v>
      </c>
      <c r="C157" s="12" t="n">
        <f aca="false">SUMIFS('סופר פארם Raw'!$C$6:$C$771,'סופר פארם Raw'!$E$6:$E$771,$A157,'סופר פארם Raw'!$B$6:$B$771,2025)</f>
        <v>419</v>
      </c>
      <c r="D157" s="12" t="n">
        <f aca="false">SUMIFS('סופר פארם Raw'!$C$6:$C$771,'סופר פארם Raw'!$E$6:$E$771,$A157,'סופר פארם Raw'!$B$6:$B$771,2026)</f>
        <v>324</v>
      </c>
      <c r="E157" s="12" t="n">
        <f aca="false">D157*$J$5</f>
        <v>409.263157894737</v>
      </c>
      <c r="F157" s="12" t="n">
        <f aca="false">E157-C157</f>
        <v>-9.73684210526318</v>
      </c>
      <c r="G157" s="21" t="n">
        <f aca="false">IF(AND(C157=0,E157=0),0,IF(C157=0,"New",(E157-C157)/C157))</f>
        <v>-0.0232382866474062</v>
      </c>
      <c r="H157" s="12" t="n">
        <f aca="false">SUMIFS('סופר פארם Raw'!$D$6:$D$771,'סופר פארם Raw'!$E$6:$E$771,$A157,'סופר פארם Raw'!$B$6:$B$771,2025)</f>
        <v>11927.2</v>
      </c>
      <c r="I157" s="12" t="n">
        <f aca="false">SUMIFS('סופר פארם Raw'!$D$6:$D$771,'סופר פארם Raw'!$E$6:$E$771,$A157,'סופר פארם Raw'!$B$6:$B$771,2026)</f>
        <v>9579</v>
      </c>
      <c r="J157" s="12" t="n">
        <f aca="false">I157*$J$5</f>
        <v>12099.7894736842</v>
      </c>
    </row>
    <row r="158" customFormat="false" ht="15" hidden="false" customHeight="true" outlineLevel="0" collapsed="false">
      <c r="A158" s="12" t="n">
        <v>4411023</v>
      </c>
      <c r="B158" s="12" t="str">
        <f aca="false">IFERROR(INDEX('Catalog'!$B:$B,MATCH($A158,'Catalog'!$A:$A,0)),"")</f>
        <v>212S כפפות אגודל לחץ</v>
      </c>
      <c r="C158" s="12" t="n">
        <f aca="false">SUMIFS('סופר פארם Raw'!$C$6:$C$771,'סופר פארם Raw'!$E$6:$E$771,$A158,'סופר פארם Raw'!$B$6:$B$771,2025)</f>
        <v>395</v>
      </c>
      <c r="D158" s="12" t="n">
        <f aca="false">SUMIFS('סופר פארם Raw'!$C$6:$C$771,'סופר פארם Raw'!$E$6:$E$771,$A158,'סופר פארם Raw'!$B$6:$B$771,2026)</f>
        <v>247</v>
      </c>
      <c r="E158" s="12" t="n">
        <f aca="false">D158*$J$5</f>
        <v>312</v>
      </c>
      <c r="F158" s="12" t="n">
        <f aca="false">E158-C158</f>
        <v>-83</v>
      </c>
      <c r="G158" s="21" t="n">
        <f aca="false">IF(AND(C158=0,E158=0),0,IF(C158=0,"New",(E158-C158)/C158))</f>
        <v>-0.210126582278481</v>
      </c>
      <c r="H158" s="12" t="n">
        <f aca="false">SUMIFS('סופר פארם Raw'!$D$6:$D$771,'סופר פארם Raw'!$E$6:$E$771,$A158,'סופר פארם Raw'!$B$6:$B$771,2025)</f>
        <v>11254.2</v>
      </c>
      <c r="I158" s="12" t="n">
        <f aca="false">SUMIFS('סופר פארם Raw'!$D$6:$D$771,'סופר פארם Raw'!$E$6:$E$771,$A158,'סופר פארם Raw'!$B$6:$B$771,2026)</f>
        <v>7189.1</v>
      </c>
      <c r="J158" s="12" t="n">
        <f aca="false">I158*$J$5</f>
        <v>9080.96842105263</v>
      </c>
    </row>
    <row r="159" customFormat="false" ht="15" hidden="false" customHeight="true" outlineLevel="0" collapsed="false">
      <c r="A159" s="12" t="n">
        <v>4411024</v>
      </c>
      <c r="B159" s="12" t="str">
        <f aca="false">IFERROR(INDEX('Catalog'!$B:$B,MATCH($A159,'Catalog'!$A:$A,0)),"")</f>
        <v>212XL כפפות אגודל לחץ</v>
      </c>
      <c r="C159" s="12" t="n">
        <f aca="false">SUMIFS('סופר פארם Raw'!$C$6:$C$771,'סופר פארם Raw'!$E$6:$E$771,$A159,'סופר פארם Raw'!$B$6:$B$771,2025)</f>
        <v>62</v>
      </c>
      <c r="D159" s="12" t="n">
        <f aca="false">SUMIFS('סופר פארם Raw'!$C$6:$C$771,'סופר פארם Raw'!$E$6:$E$771,$A159,'סופר פארם Raw'!$B$6:$B$771,2026)</f>
        <v>54</v>
      </c>
      <c r="E159" s="12" t="n">
        <f aca="false">D159*$J$5</f>
        <v>68.2105263157895</v>
      </c>
      <c r="F159" s="12" t="n">
        <f aca="false">E159-C159</f>
        <v>6.21052631578947</v>
      </c>
      <c r="G159" s="21" t="n">
        <f aca="false">IF(AND(C159=0,E159=0),0,IF(C159=0,"New",(E159-C159)/C159))</f>
        <v>0.100169779286927</v>
      </c>
      <c r="H159" s="12" t="n">
        <f aca="false">SUMIFS('סופר פארם Raw'!$D$6:$D$771,'סופר פארם Raw'!$E$6:$E$771,$A159,'סופר פארם Raw'!$B$6:$B$771,2025)</f>
        <v>1770</v>
      </c>
      <c r="I159" s="12" t="n">
        <f aca="false">SUMIFS('סופר פארם Raw'!$D$6:$D$771,'סופר פארם Raw'!$E$6:$E$771,$A159,'סופר פארם Raw'!$B$6:$B$771,2026)</f>
        <v>1600</v>
      </c>
      <c r="J159" s="12" t="n">
        <f aca="false">I159*$J$5</f>
        <v>2021.05263157895</v>
      </c>
    </row>
    <row r="160" customFormat="false" ht="15" hidden="false" customHeight="true" outlineLevel="0" collapsed="false">
      <c r="A160" s="12" t="n">
        <v>4411026</v>
      </c>
      <c r="B160" s="12" t="str">
        <f aca="false">IFERROR(INDEX('Catalog'!$B:$B,MATCH($A160,'Catalog'!$A:$A,0)),"")</f>
        <v>213CTSL L שמאל CTS כפפות</v>
      </c>
      <c r="C160" s="12" t="n">
        <f aca="false">SUMIFS('סופר פארם Raw'!$C$6:$C$771,'סופר פארם Raw'!$E$6:$E$771,$A160,'סופר פארם Raw'!$B$6:$B$771,2025)</f>
        <v>0</v>
      </c>
      <c r="D160" s="12" t="n">
        <f aca="false">SUMIFS('סופר פארם Raw'!$C$6:$C$771,'סופר פארם Raw'!$E$6:$E$771,$A160,'סופר פארם Raw'!$B$6:$B$771,2026)</f>
        <v>22</v>
      </c>
      <c r="E160" s="12" t="n">
        <f aca="false">D160*$J$5</f>
        <v>27.7894736842105</v>
      </c>
      <c r="F160" s="12" t="n">
        <f aca="false">E160-C160</f>
        <v>27.7894736842105</v>
      </c>
      <c r="G160" s="21" t="str">
        <f aca="false">IF(AND(C160=0,E160=0),0,IF(C160=0,"New",(E160-C160)/C160))</f>
        <v>New</v>
      </c>
      <c r="H160" s="12" t="n">
        <f aca="false">SUMIFS('סופר פארם Raw'!$D$6:$D$771,'סופר פארם Raw'!$E$6:$E$771,$A160,'סופר פארם Raw'!$B$6:$B$771,2025)</f>
        <v>0</v>
      </c>
      <c r="I160" s="12" t="n">
        <f aca="false">SUMIFS('סופר פארם Raw'!$D$6:$D$771,'סופר פארם Raw'!$E$6:$E$771,$A160,'סופר פארם Raw'!$B$6:$B$771,2026)</f>
        <v>2203</v>
      </c>
      <c r="J160" s="12" t="n">
        <f aca="false">I160*$J$5</f>
        <v>2782.73684210526</v>
      </c>
    </row>
    <row r="161" customFormat="false" ht="15" hidden="false" customHeight="true" outlineLevel="0" collapsed="false">
      <c r="A161" s="12" t="n">
        <v>4411027</v>
      </c>
      <c r="B161" s="12" t="str">
        <f aca="false">IFERROR(INDEX('Catalog'!$B:$B,MATCH($A161,'Catalog'!$A:$A,0)),"")</f>
        <v>213CTSL M שמאל CTS כפפות</v>
      </c>
      <c r="C161" s="12" t="n">
        <f aca="false">SUMIFS('סופר פארם Raw'!$C$6:$C$771,'סופר פארם Raw'!$E$6:$E$771,$A161,'סופר פארם Raw'!$B$6:$B$771,2025)</f>
        <v>0</v>
      </c>
      <c r="D161" s="12" t="n">
        <f aca="false">SUMIFS('סופר פארם Raw'!$C$6:$C$771,'סופר פארם Raw'!$E$6:$E$771,$A161,'סופר פארם Raw'!$B$6:$B$771,2026)</f>
        <v>42</v>
      </c>
      <c r="E161" s="12" t="n">
        <f aca="false">D161*$J$5</f>
        <v>53.0526315789474</v>
      </c>
      <c r="F161" s="12" t="n">
        <f aca="false">E161-C161</f>
        <v>53.0526315789474</v>
      </c>
      <c r="G161" s="21" t="str">
        <f aca="false">IF(AND(C161=0,E161=0),0,IF(C161=0,"New",(E161-C161)/C161))</f>
        <v>New</v>
      </c>
      <c r="H161" s="12" t="n">
        <f aca="false">SUMIFS('סופר פארם Raw'!$D$6:$D$771,'סופר פארם Raw'!$E$6:$E$771,$A161,'סופר פארם Raw'!$B$6:$B$771,2025)</f>
        <v>0</v>
      </c>
      <c r="I161" s="12" t="n">
        <f aca="false">SUMIFS('סופר פארם Raw'!$D$6:$D$771,'סופר פארם Raw'!$E$6:$E$771,$A161,'סופר פארם Raw'!$B$6:$B$771,2026)</f>
        <v>4233.4</v>
      </c>
      <c r="J161" s="12" t="n">
        <f aca="false">I161*$J$5</f>
        <v>5347.45263157895</v>
      </c>
    </row>
    <row r="162" customFormat="false" ht="15" hidden="false" customHeight="true" outlineLevel="0" collapsed="false">
      <c r="A162" s="12" t="n">
        <v>4411028</v>
      </c>
      <c r="B162" s="12" t="str">
        <f aca="false">IFERROR(INDEX('Catalog'!$B:$B,MATCH($A162,'Catalog'!$A:$A,0)),"")</f>
        <v>213CTSL S שמאל CTS כפפות</v>
      </c>
      <c r="C162" s="12" t="n">
        <f aca="false">SUMIFS('סופר פארם Raw'!$C$6:$C$771,'סופר פארם Raw'!$E$6:$E$771,$A162,'סופר פארם Raw'!$B$6:$B$771,2025)</f>
        <v>0</v>
      </c>
      <c r="D162" s="12" t="n">
        <f aca="false">SUMIFS('סופר פארם Raw'!$C$6:$C$771,'סופר פארם Raw'!$E$6:$E$771,$A162,'סופר פארם Raw'!$B$6:$B$771,2026)</f>
        <v>29</v>
      </c>
      <c r="E162" s="12" t="n">
        <f aca="false">D162*$J$5</f>
        <v>36.6315789473684</v>
      </c>
      <c r="F162" s="12" t="n">
        <f aca="false">E162-C162</f>
        <v>36.6315789473684</v>
      </c>
      <c r="G162" s="21" t="str">
        <f aca="false">IF(AND(C162=0,E162=0),0,IF(C162=0,"New",(E162-C162)/C162))</f>
        <v>New</v>
      </c>
      <c r="H162" s="12" t="n">
        <f aca="false">SUMIFS('סופר פארם Raw'!$D$6:$D$771,'סופר פארם Raw'!$E$6:$E$771,$A162,'סופר פארם Raw'!$B$6:$B$771,2025)</f>
        <v>0</v>
      </c>
      <c r="I162" s="12" t="n">
        <f aca="false">SUMIFS('סופר פארם Raw'!$D$6:$D$771,'סופר פארם Raw'!$E$6:$E$771,$A162,'סופר פארם Raw'!$B$6:$B$771,2026)</f>
        <v>2908.5</v>
      </c>
      <c r="J162" s="12" t="n">
        <f aca="false">I162*$J$5</f>
        <v>3673.89473684211</v>
      </c>
    </row>
    <row r="163" customFormat="false" ht="15" hidden="false" customHeight="true" outlineLevel="0" collapsed="false">
      <c r="A163" s="12" t="n">
        <v>4411029</v>
      </c>
      <c r="B163" s="12" t="str">
        <f aca="false">IFERROR(INDEX('Catalog'!$B:$B,MATCH($A163,'Catalog'!$A:$A,0)),"")</f>
        <v>213CTSR L ימין CTS כפפות</v>
      </c>
      <c r="C163" s="12" t="n">
        <f aca="false">SUMIFS('סופר פארם Raw'!$C$6:$C$771,'סופר פארם Raw'!$E$6:$E$771,$A163,'סופר פארם Raw'!$B$6:$B$771,2025)</f>
        <v>0</v>
      </c>
      <c r="D163" s="12" t="n">
        <f aca="false">SUMIFS('סופר פארם Raw'!$C$6:$C$771,'סופר פארם Raw'!$E$6:$E$771,$A163,'סופר פארם Raw'!$B$6:$B$771,2026)</f>
        <v>23</v>
      </c>
      <c r="E163" s="12" t="n">
        <f aca="false">D163*$J$5</f>
        <v>29.0526315789474</v>
      </c>
      <c r="F163" s="12" t="n">
        <f aca="false">E163-C163</f>
        <v>29.0526315789474</v>
      </c>
      <c r="G163" s="21" t="str">
        <f aca="false">IF(AND(C163=0,E163=0),0,IF(C163=0,"New",(E163-C163)/C163))</f>
        <v>New</v>
      </c>
      <c r="H163" s="12" t="n">
        <f aca="false">SUMIFS('סופר פארם Raw'!$D$6:$D$771,'סופר פארם Raw'!$E$6:$E$771,$A163,'סופר פארם Raw'!$B$6:$B$771,2025)</f>
        <v>0</v>
      </c>
      <c r="I163" s="12" t="n">
        <f aca="false">SUMIFS('סופר פארם Raw'!$D$6:$D$771,'סופר פארם Raw'!$E$6:$E$771,$A163,'סופר פארם Raw'!$B$6:$B$771,2026)</f>
        <v>2299.4</v>
      </c>
      <c r="J163" s="12" t="n">
        <f aca="false">I163*$J$5</f>
        <v>2904.50526315789</v>
      </c>
    </row>
    <row r="164" customFormat="false" ht="15" hidden="false" customHeight="true" outlineLevel="0" collapsed="false">
      <c r="A164" s="12" t="n">
        <v>4411030</v>
      </c>
      <c r="B164" s="12" t="str">
        <f aca="false">IFERROR(INDEX('Catalog'!$B:$B,MATCH($A164,'Catalog'!$A:$A,0)),"")</f>
        <v>213CTSR M ימין CTS כפפות</v>
      </c>
      <c r="C164" s="12" t="n">
        <f aca="false">SUMIFS('סופר פארם Raw'!$C$6:$C$771,'סופר פארם Raw'!$E$6:$E$771,$A164,'סופר פארם Raw'!$B$6:$B$771,2025)</f>
        <v>0</v>
      </c>
      <c r="D164" s="12" t="n">
        <f aca="false">SUMIFS('סופר פארם Raw'!$C$6:$C$771,'סופר פארם Raw'!$E$6:$E$771,$A164,'סופר פארם Raw'!$B$6:$B$771,2026)</f>
        <v>41</v>
      </c>
      <c r="E164" s="12" t="n">
        <f aca="false">D164*$J$5</f>
        <v>51.7894736842105</v>
      </c>
      <c r="F164" s="12" t="n">
        <f aca="false">E164-C164</f>
        <v>51.7894736842105</v>
      </c>
      <c r="G164" s="21" t="str">
        <f aca="false">IF(AND(C164=0,E164=0),0,IF(C164=0,"New",(E164-C164)/C164))</f>
        <v>New</v>
      </c>
      <c r="H164" s="12" t="n">
        <f aca="false">SUMIFS('סופר פארם Raw'!$D$6:$D$771,'סופר פארם Raw'!$E$6:$E$771,$A164,'סופר פארם Raw'!$B$6:$B$771,2025)</f>
        <v>0</v>
      </c>
      <c r="I164" s="12" t="n">
        <f aca="false">SUMIFS('סופר פארם Raw'!$D$6:$D$771,'סופר פארם Raw'!$E$6:$E$771,$A164,'סופר פארם Raw'!$B$6:$B$771,2026)</f>
        <v>4131.8</v>
      </c>
      <c r="J164" s="12" t="n">
        <f aca="false">I164*$J$5</f>
        <v>5219.11578947368</v>
      </c>
    </row>
    <row r="165" customFormat="false" ht="15" hidden="false" customHeight="true" outlineLevel="0" collapsed="false">
      <c r="A165" s="12" t="n">
        <v>4411031</v>
      </c>
      <c r="B165" s="12" t="str">
        <f aca="false">IFERROR(INDEX('Catalog'!$B:$B,MATCH($A165,'Catalog'!$A:$A,0)),"")</f>
        <v>213CTS  S ימין CTS כפפות</v>
      </c>
      <c r="C165" s="12" t="n">
        <f aca="false">SUMIFS('סופר פארם Raw'!$C$6:$C$771,'סופר פארם Raw'!$E$6:$E$771,$A165,'סופר פארם Raw'!$B$6:$B$771,2025)</f>
        <v>0</v>
      </c>
      <c r="D165" s="12" t="n">
        <f aca="false">SUMIFS('סופר פארם Raw'!$C$6:$C$771,'סופר פארם Raw'!$E$6:$E$771,$A165,'סופר פארם Raw'!$B$6:$B$771,2026)</f>
        <v>31</v>
      </c>
      <c r="E165" s="12" t="n">
        <f aca="false">D165*$J$5</f>
        <v>39.1578947368421</v>
      </c>
      <c r="F165" s="12" t="n">
        <f aca="false">E165-C165</f>
        <v>39.1578947368421</v>
      </c>
      <c r="G165" s="21" t="str">
        <f aca="false">IF(AND(C165=0,E165=0),0,IF(C165=0,"New",(E165-C165)/C165))</f>
        <v>New</v>
      </c>
      <c r="H165" s="12" t="n">
        <f aca="false">SUMIFS('סופר פארם Raw'!$D$6:$D$771,'סופר פארם Raw'!$E$6:$E$771,$A165,'סופר פארם Raw'!$B$6:$B$771,2025)</f>
        <v>0</v>
      </c>
      <c r="I165" s="12" t="n">
        <f aca="false">SUMIFS('סופר פארם Raw'!$D$6:$D$771,'סופר פארם Raw'!$E$6:$E$771,$A165,'סופר פארם Raw'!$B$6:$B$771,2026)</f>
        <v>3111.6</v>
      </c>
      <c r="J165" s="12" t="n">
        <f aca="false">I165*$J$5</f>
        <v>3930.44210526316</v>
      </c>
    </row>
    <row r="166" customFormat="false" ht="15" hidden="false" customHeight="true" outlineLevel="0" collapsed="false">
      <c r="A166" s="12" t="n">
        <v>4413000</v>
      </c>
      <c r="B166" s="12" t="str">
        <f aca="false">IFERROR(INDEX('Catalog'!$B:$B,MATCH($A166,'Catalog'!$A:$A,0)),"")</f>
        <v>30 S מגן קרסול מתכוון עם סקוטש</v>
      </c>
      <c r="C166" s="12" t="n">
        <f aca="false">SUMIFS('סופר פארם Raw'!$C$6:$C$771,'סופר פארם Raw'!$E$6:$E$771,$A166,'סופר פארם Raw'!$B$6:$B$771,2025)</f>
        <v>26</v>
      </c>
      <c r="D166" s="12" t="n">
        <f aca="false">SUMIFS('סופר פארם Raw'!$C$6:$C$771,'סופר פארם Raw'!$E$6:$E$771,$A166,'סופר פארם Raw'!$B$6:$B$771,2026)</f>
        <v>-8</v>
      </c>
      <c r="E166" s="12" t="n">
        <f aca="false">D166*$J$5</f>
        <v>-10.1052631578947</v>
      </c>
      <c r="F166" s="12" t="n">
        <f aca="false">E166-C166</f>
        <v>-36.1052631578947</v>
      </c>
      <c r="G166" s="21" t="n">
        <f aca="false">IF(AND(C166=0,E166=0),0,IF(C166=0,"New",(E166-C166)/C166))</f>
        <v>-1.38866396761134</v>
      </c>
      <c r="H166" s="12" t="n">
        <f aca="false">SUMIFS('סופר פארם Raw'!$D$6:$D$771,'סופר פארם Raw'!$E$6:$E$771,$A166,'סופר פארם Raw'!$B$6:$B$771,2025)</f>
        <v>1507.5</v>
      </c>
      <c r="I166" s="12" t="n">
        <f aca="false">SUMIFS('סופר פארם Raw'!$D$6:$D$771,'סופר פארם Raw'!$E$6:$E$771,$A166,'סופר פארם Raw'!$B$6:$B$771,2026)</f>
        <v>-435.6</v>
      </c>
      <c r="J166" s="12" t="n">
        <f aca="false">I166*$J$5</f>
        <v>-550.231578947369</v>
      </c>
    </row>
    <row r="167" customFormat="false" ht="15" hidden="false" customHeight="true" outlineLevel="0" collapsed="false">
      <c r="A167" s="12" t="n">
        <v>4413002</v>
      </c>
      <c r="B167" s="12" t="str">
        <f aca="false">IFERROR(INDEX('Catalog'!$B:$B,MATCH($A167,'Catalog'!$A:$A,0)),"")</f>
        <v>30 L מגן קרסול מתכוון עם סקוטש</v>
      </c>
      <c r="C167" s="12" t="n">
        <f aca="false">SUMIFS('סופר פארם Raw'!$C$6:$C$771,'סופר פארם Raw'!$E$6:$E$771,$A167,'סופר פארם Raw'!$B$6:$B$771,2025)</f>
        <v>30</v>
      </c>
      <c r="D167" s="12" t="n">
        <f aca="false">SUMIFS('סופר פארם Raw'!$C$6:$C$771,'סופר פארם Raw'!$E$6:$E$771,$A167,'סופר פארם Raw'!$B$6:$B$771,2026)</f>
        <v>-7</v>
      </c>
      <c r="E167" s="12" t="n">
        <f aca="false">D167*$J$5</f>
        <v>-8.84210526315789</v>
      </c>
      <c r="F167" s="12" t="n">
        <f aca="false">E167-C167</f>
        <v>-38.8421052631579</v>
      </c>
      <c r="G167" s="21" t="n">
        <f aca="false">IF(AND(C167=0,E167=0),0,IF(C167=0,"New",(E167-C167)/C167))</f>
        <v>-1.29473684210526</v>
      </c>
      <c r="H167" s="12" t="n">
        <f aca="false">SUMIFS('סופר פארם Raw'!$D$6:$D$771,'סופר פארם Raw'!$E$6:$E$771,$A167,'סופר פארם Raw'!$B$6:$B$771,2025)</f>
        <v>1755.2</v>
      </c>
      <c r="I167" s="12" t="n">
        <f aca="false">SUMIFS('סופר פארם Raw'!$D$6:$D$771,'סופר פארם Raw'!$E$6:$E$771,$A167,'סופר פארם Raw'!$B$6:$B$771,2026)</f>
        <v>-392.6</v>
      </c>
      <c r="J167" s="12" t="n">
        <f aca="false">I167*$J$5</f>
        <v>-495.915789473684</v>
      </c>
    </row>
    <row r="168" customFormat="false" ht="15" hidden="false" customHeight="true" outlineLevel="0" collapsed="false">
      <c r="A168" s="12" t="n">
        <v>4413003</v>
      </c>
      <c r="B168" s="12" t="str">
        <f aca="false">IFERROR(INDEX('Catalog'!$B:$B,MATCH($A168,'Catalog'!$A:$A,0)),"")</f>
        <v>30 M מגן קרסול מתכוון עם סקוטש</v>
      </c>
      <c r="C168" s="12" t="n">
        <f aca="false">SUMIFS('סופר פארם Raw'!$C$6:$C$771,'סופר פארם Raw'!$E$6:$E$771,$A168,'סופר פארם Raw'!$B$6:$B$771,2025)</f>
        <v>31</v>
      </c>
      <c r="D168" s="12" t="n">
        <f aca="false">SUMIFS('סופר פארם Raw'!$C$6:$C$771,'סופר פארם Raw'!$E$6:$E$771,$A168,'סופר פארם Raw'!$B$6:$B$771,2026)</f>
        <v>-9</v>
      </c>
      <c r="E168" s="12" t="n">
        <f aca="false">D168*$J$5</f>
        <v>-11.3684210526316</v>
      </c>
      <c r="F168" s="12" t="n">
        <f aca="false">E168-C168</f>
        <v>-42.3684210526316</v>
      </c>
      <c r="G168" s="21" t="n">
        <f aca="false">IF(AND(C168=0,E168=0),0,IF(C168=0,"New",(E168-C168)/C168))</f>
        <v>-1.36672325976231</v>
      </c>
      <c r="H168" s="12" t="n">
        <f aca="false">SUMIFS('סופר פארם Raw'!$D$6:$D$771,'סופר פארם Raw'!$E$6:$E$771,$A168,'סופר פארם Raw'!$B$6:$B$771,2025)</f>
        <v>1802.1</v>
      </c>
      <c r="I168" s="12" t="n">
        <f aca="false">SUMIFS('סופר פארם Raw'!$D$6:$D$771,'סופר פארם Raw'!$E$6:$E$771,$A168,'סופר פארם Raw'!$B$6:$B$771,2026)</f>
        <v>-483.8</v>
      </c>
      <c r="J168" s="12" t="n">
        <f aca="false">I168*$J$5</f>
        <v>-611.115789473684</v>
      </c>
    </row>
    <row r="169" customFormat="false" ht="15" hidden="false" customHeight="true" outlineLevel="0" collapsed="false">
      <c r="A169" s="12" t="n">
        <v>4413004</v>
      </c>
      <c r="B169" s="12" t="str">
        <f aca="false">IFERROR(INDEX('Catalog'!$B:$B,MATCH($A169,'Catalog'!$A:$A,0)),"")</f>
        <v>30 XL מגן קרסול מתכוון סקוטש</v>
      </c>
      <c r="C169" s="12" t="n">
        <f aca="false">SUMIFS('סופר פארם Raw'!$C$6:$C$771,'סופר פארם Raw'!$E$6:$E$771,$A169,'סופר פארם Raw'!$B$6:$B$771,2025)</f>
        <v>11</v>
      </c>
      <c r="D169" s="12" t="n">
        <f aca="false">SUMIFS('סופר פארם Raw'!$C$6:$C$771,'סופר פארם Raw'!$E$6:$E$771,$A169,'סופר פארם Raw'!$B$6:$B$771,2026)</f>
        <v>-11</v>
      </c>
      <c r="E169" s="12" t="n">
        <f aca="false">D169*$J$5</f>
        <v>-13.8947368421053</v>
      </c>
      <c r="F169" s="12" t="n">
        <f aca="false">E169-C169</f>
        <v>-24.8947368421053</v>
      </c>
      <c r="G169" s="21" t="n">
        <f aca="false">IF(AND(C169=0,E169=0),0,IF(C169=0,"New",(E169-C169)/C169))</f>
        <v>-2.26315789473684</v>
      </c>
      <c r="H169" s="12" t="n">
        <f aca="false">SUMIFS('סופר פארם Raw'!$D$6:$D$771,'סופר פארם Raw'!$E$6:$E$771,$A169,'סופר פארם Raw'!$B$6:$B$771,2025)</f>
        <v>659.2</v>
      </c>
      <c r="I169" s="12" t="n">
        <f aca="false">SUMIFS('סופר פארם Raw'!$D$6:$D$771,'סופר פארם Raw'!$E$6:$E$771,$A169,'סופר פארם Raw'!$B$6:$B$771,2026)</f>
        <v>-616.2</v>
      </c>
      <c r="J169" s="12" t="n">
        <f aca="false">I169*$J$5</f>
        <v>-778.357894736842</v>
      </c>
    </row>
    <row r="170" customFormat="false" ht="15" hidden="false" customHeight="true" outlineLevel="0" collapsed="false">
      <c r="A170" s="12" t="n">
        <v>4413005</v>
      </c>
      <c r="B170" s="12" t="str">
        <f aca="false">IFERROR(INDEX('Catalog'!$B:$B,MATCH($A170,'Catalog'!$A:$A,0)),"")</f>
        <v>30 XXL מגן קרסול מתכוון+סקוטש</v>
      </c>
      <c r="C170" s="12" t="n">
        <f aca="false">SUMIFS('סופר פארם Raw'!$C$6:$C$771,'סופר פארם Raw'!$E$6:$E$771,$A170,'סופר פארם Raw'!$B$6:$B$771,2025)</f>
        <v>-1</v>
      </c>
      <c r="D170" s="12" t="n">
        <f aca="false">SUMIFS('סופר פארם Raw'!$C$6:$C$771,'סופר פארם Raw'!$E$6:$E$771,$A170,'סופר פארם Raw'!$B$6:$B$771,2026)</f>
        <v>-1</v>
      </c>
      <c r="E170" s="12" t="n">
        <f aca="false">D170*$J$5</f>
        <v>-1.26315789473684</v>
      </c>
      <c r="F170" s="12" t="n">
        <f aca="false">E170-C170</f>
        <v>-0.263157894736842</v>
      </c>
      <c r="G170" s="21" t="n">
        <f aca="false">IF(AND(C170=0,E170=0),0,IF(C170=0,"New",(E170-C170)/C170))</f>
        <v>0.263157894736842</v>
      </c>
      <c r="H170" s="12" t="n">
        <f aca="false">SUMIFS('סופר פארם Raw'!$D$6:$D$771,'סופר פארם Raw'!$E$6:$E$771,$A170,'סופר פארם Raw'!$B$6:$B$771,2025)</f>
        <v>-54.5</v>
      </c>
      <c r="I170" s="12" t="n">
        <f aca="false">SUMIFS('סופר פארם Raw'!$D$6:$D$771,'סופר פארם Raw'!$E$6:$E$771,$A170,'סופר פארם Raw'!$B$6:$B$771,2026)</f>
        <v>-54.5</v>
      </c>
      <c r="J170" s="12" t="n">
        <f aca="false">I170*$J$5</f>
        <v>-68.8421052631579</v>
      </c>
    </row>
    <row r="171" customFormat="false" ht="15" hidden="false" customHeight="true" outlineLevel="0" collapsed="false">
      <c r="A171" s="12" t="n">
        <v>4413020</v>
      </c>
      <c r="B171" s="12" t="str">
        <f aca="false">IFERROR(INDEX('Catalog'!$B:$B,MATCH($A171,'Catalog'!$A:$A,0)),"")</f>
        <v>303 41-42 מדרסי סיליק.לח.סכרת</v>
      </c>
      <c r="C171" s="12" t="n">
        <f aca="false">SUMIFS('סופר פארם Raw'!$C$6:$C$771,'סופר פארם Raw'!$E$6:$E$771,$A171,'סופר פארם Raw'!$B$6:$B$771,2025)</f>
        <v>-1</v>
      </c>
      <c r="D171" s="12" t="n">
        <f aca="false">SUMIFS('סופר פארם Raw'!$C$6:$C$771,'סופר פארם Raw'!$E$6:$E$771,$A171,'סופר פארם Raw'!$B$6:$B$771,2026)</f>
        <v>0</v>
      </c>
      <c r="E171" s="12" t="n">
        <f aca="false">D171*$J$5</f>
        <v>0</v>
      </c>
      <c r="F171" s="12" t="n">
        <f aca="false">E171-C171</f>
        <v>1</v>
      </c>
      <c r="G171" s="21" t="n">
        <f aca="false">IF(AND(C171=0,E171=0),0,IF(C171=0,"New",(E171-C171)/C171))</f>
        <v>-1</v>
      </c>
      <c r="H171" s="12" t="n">
        <f aca="false">SUMIFS('סופר פארם Raw'!$D$6:$D$771,'סופר פארם Raw'!$E$6:$E$771,$A171,'סופר פארם Raw'!$B$6:$B$771,2025)</f>
        <v>-102.6</v>
      </c>
      <c r="I171" s="12" t="n">
        <f aca="false">SUMIFS('סופר פארם Raw'!$D$6:$D$771,'סופר פארם Raw'!$E$6:$E$771,$A171,'סופר פארם Raw'!$B$6:$B$771,2026)</f>
        <v>0</v>
      </c>
      <c r="J171" s="12" t="n">
        <f aca="false">I171*$J$5</f>
        <v>0</v>
      </c>
    </row>
    <row r="172" customFormat="false" ht="15" hidden="false" customHeight="true" outlineLevel="0" collapsed="false">
      <c r="A172" s="12" t="n">
        <v>4413022</v>
      </c>
      <c r="B172" s="12" t="str">
        <f aca="false">IFERROR(INDEX('Catalog'!$B:$B,MATCH($A172,'Catalog'!$A:$A,0)),"")</f>
        <v>303 45-46 מדרסי סיליק.לח.סכרת</v>
      </c>
      <c r="C172" s="12" t="n">
        <f aca="false">SUMIFS('סופר פארם Raw'!$C$6:$C$771,'סופר פארם Raw'!$E$6:$E$771,$A172,'סופר פארם Raw'!$B$6:$B$771,2025)</f>
        <v>-5</v>
      </c>
      <c r="D172" s="12" t="n">
        <f aca="false">SUMIFS('סופר פארם Raw'!$C$6:$C$771,'סופר פארם Raw'!$E$6:$E$771,$A172,'סופר פארם Raw'!$B$6:$B$771,2026)</f>
        <v>0</v>
      </c>
      <c r="E172" s="12" t="n">
        <f aca="false">D172*$J$5</f>
        <v>0</v>
      </c>
      <c r="F172" s="12" t="n">
        <f aca="false">E172-C172</f>
        <v>5</v>
      </c>
      <c r="G172" s="21" t="n">
        <f aca="false">IF(AND(C172=0,E172=0),0,IF(C172=0,"New",(E172-C172)/C172))</f>
        <v>-1</v>
      </c>
      <c r="H172" s="12" t="n">
        <f aca="false">SUMIFS('סופר פארם Raw'!$D$6:$D$771,'סופר פארם Raw'!$E$6:$E$771,$A172,'סופר פארם Raw'!$B$6:$B$771,2025)</f>
        <v>-513</v>
      </c>
      <c r="I172" s="12" t="n">
        <f aca="false">SUMIFS('סופר פארם Raw'!$D$6:$D$771,'סופר פארם Raw'!$E$6:$E$771,$A172,'סופר פארם Raw'!$B$6:$B$771,2026)</f>
        <v>0</v>
      </c>
      <c r="J172" s="12" t="n">
        <f aca="false">I172*$J$5</f>
        <v>0</v>
      </c>
    </row>
    <row r="173" customFormat="false" ht="15" hidden="false" customHeight="true" outlineLevel="0" collapsed="false">
      <c r="A173" s="12" t="n">
        <v>4413033</v>
      </c>
      <c r="B173" s="12" t="str">
        <f aca="false">IFERROR(INDEX('Catalog'!$B:$B,MATCH($A173,'Catalog'!$A:$A,0)),"")</f>
        <v>311'מדב.ג'ל למניעת שפשוף 5 יח</v>
      </c>
      <c r="C173" s="12" t="n">
        <f aca="false">SUMIFS('סופר פארם Raw'!$C$6:$C$771,'סופר פארם Raw'!$E$6:$E$771,$A173,'סופר פארם Raw'!$B$6:$B$771,2025)</f>
        <v>4057</v>
      </c>
      <c r="D173" s="12" t="n">
        <f aca="false">SUMIFS('סופר פארם Raw'!$C$6:$C$771,'סופר פארם Raw'!$E$6:$E$771,$A173,'סופר פארם Raw'!$B$6:$B$771,2026)</f>
        <v>2898</v>
      </c>
      <c r="E173" s="12" t="n">
        <f aca="false">D173*$J$5</f>
        <v>3660.63157894737</v>
      </c>
      <c r="F173" s="12" t="n">
        <f aca="false">E173-C173</f>
        <v>-396.368421052632</v>
      </c>
      <c r="G173" s="21" t="n">
        <f aca="false">IF(AND(C173=0,E173=0),0,IF(C173=0,"New",(E173-C173)/C173))</f>
        <v>-0.0976998819454355</v>
      </c>
      <c r="H173" s="12" t="n">
        <f aca="false">SUMIFS('סופר פארם Raw'!$D$6:$D$771,'סופר פארם Raw'!$E$6:$E$771,$A173,'סופר פארם Raw'!$B$6:$B$771,2025)</f>
        <v>50190</v>
      </c>
      <c r="I173" s="12" t="n">
        <f aca="false">SUMIFS('סופר פארם Raw'!$D$6:$D$771,'סופר פארם Raw'!$E$6:$E$771,$A173,'סופר פארם Raw'!$B$6:$B$771,2026)</f>
        <v>39121.1</v>
      </c>
      <c r="J173" s="12" t="n">
        <f aca="false">I173*$J$5</f>
        <v>49416.1263157895</v>
      </c>
    </row>
    <row r="174" customFormat="false" ht="15" hidden="false" customHeight="true" outlineLevel="0" collapsed="false">
      <c r="A174" s="12" t="n">
        <v>4413034</v>
      </c>
      <c r="B174" s="12" t="str">
        <f aca="false">IFERROR(INDEX('Catalog'!$B:$B,MATCH($A174,'Catalog'!$A:$A,0)),"")</f>
        <v>312 9 מ""ס להתאמהX5 מדבקה גדולה</v>
      </c>
      <c r="C174" s="12" t="n">
        <f aca="false">SUMIFS('סופר פארם Raw'!$C$6:$C$771,'סופר פארם Raw'!$E$6:$E$771,$A174,'סופר פארם Raw'!$B$6:$B$771,2025)</f>
        <v>208</v>
      </c>
      <c r="D174" s="12" t="n">
        <f aca="false">SUMIFS('סופר פארם Raw'!$C$6:$C$771,'סופר פארם Raw'!$E$6:$E$771,$A174,'סופר פארם Raw'!$B$6:$B$771,2026)</f>
        <v>102</v>
      </c>
      <c r="E174" s="12" t="n">
        <f aca="false">D174*$J$5</f>
        <v>128.842105263158</v>
      </c>
      <c r="F174" s="12" t="n">
        <f aca="false">E174-C174</f>
        <v>-79.1578947368421</v>
      </c>
      <c r="G174" s="21" t="n">
        <f aca="false">IF(AND(C174=0,E174=0),0,IF(C174=0,"New",(E174-C174)/C174))</f>
        <v>-0.380566801619433</v>
      </c>
      <c r="H174" s="12" t="n">
        <f aca="false">SUMIFS('סופר פארם Raw'!$D$6:$D$771,'סופר פארם Raw'!$E$6:$E$771,$A174,'סופר פארם Raw'!$B$6:$B$771,2025)</f>
        <v>4120.4</v>
      </c>
      <c r="I174" s="12" t="n">
        <f aca="false">SUMIFS('סופר פארם Raw'!$D$6:$D$771,'סופר פארם Raw'!$E$6:$E$771,$A174,'סופר פארם Raw'!$B$6:$B$771,2026)</f>
        <v>2001.2</v>
      </c>
      <c r="J174" s="12" t="n">
        <f aca="false">I174*$J$5</f>
        <v>2527.83157894737</v>
      </c>
    </row>
    <row r="175" customFormat="false" ht="15" hidden="false" customHeight="true" outlineLevel="0" collapsed="false">
      <c r="A175" s="12" t="n">
        <v>4413041</v>
      </c>
      <c r="B175" s="12" t="str">
        <f aca="false">IFERROR(INDEX('Catalog'!$B:$B,MATCH($A175,'Catalog'!$A:$A,0)),"")</f>
        <v>34  M מגן קרסול עקב סגור</v>
      </c>
      <c r="C175" s="12" t="n">
        <f aca="false">SUMIFS('סופר פארם Raw'!$C$6:$C$771,'סופר פארם Raw'!$E$6:$E$771,$A175,'סופר פארם Raw'!$B$6:$B$771,2025)</f>
        <v>1906</v>
      </c>
      <c r="D175" s="12" t="n">
        <f aca="false">SUMIFS('סופר פארם Raw'!$C$6:$C$771,'סופר פארם Raw'!$E$6:$E$771,$A175,'סופר פארם Raw'!$B$6:$B$771,2026)</f>
        <v>1281</v>
      </c>
      <c r="E175" s="12" t="n">
        <f aca="false">D175*$J$5</f>
        <v>1618.10526315789</v>
      </c>
      <c r="F175" s="12" t="n">
        <f aca="false">E175-C175</f>
        <v>-287.894736842105</v>
      </c>
      <c r="G175" s="21" t="n">
        <f aca="false">IF(AND(C175=0,E175=0),0,IF(C175=0,"New",(E175-C175)/C175))</f>
        <v>-0.151046556580328</v>
      </c>
      <c r="H175" s="12" t="n">
        <f aca="false">SUMIFS('סופר פארם Raw'!$D$6:$D$771,'סופר פארם Raw'!$E$6:$E$771,$A175,'סופר פארם Raw'!$B$6:$B$771,2025)</f>
        <v>71558.8</v>
      </c>
      <c r="I175" s="12" t="n">
        <f aca="false">SUMIFS('סופר פארם Raw'!$D$6:$D$771,'סופר פארם Raw'!$E$6:$E$771,$A175,'סופר פארם Raw'!$B$6:$B$771,2026)</f>
        <v>48785.8</v>
      </c>
      <c r="J175" s="12" t="n">
        <f aca="false">I175*$J$5</f>
        <v>61624.1684210526</v>
      </c>
    </row>
    <row r="176" customFormat="false" ht="15" hidden="false" customHeight="true" outlineLevel="0" collapsed="false">
      <c r="A176" s="12" t="n">
        <v>4413042</v>
      </c>
      <c r="B176" s="12" t="str">
        <f aca="false">IFERROR(INDEX('Catalog'!$B:$B,MATCH($A176,'Catalog'!$A:$A,0)),"")</f>
        <v>34  S מגן קרסול עקב סגור</v>
      </c>
      <c r="C176" s="12" t="n">
        <f aca="false">SUMIFS('סופר פארם Raw'!$C$6:$C$771,'סופר פארם Raw'!$E$6:$E$771,$A176,'סופר פארם Raw'!$B$6:$B$771,2025)</f>
        <v>1192</v>
      </c>
      <c r="D176" s="12" t="n">
        <f aca="false">SUMIFS('סופר פארם Raw'!$C$6:$C$771,'סופר פארם Raw'!$E$6:$E$771,$A176,'סופר פארם Raw'!$B$6:$B$771,2026)</f>
        <v>817</v>
      </c>
      <c r="E176" s="12" t="n">
        <f aca="false">D176*$J$5</f>
        <v>1032</v>
      </c>
      <c r="F176" s="12" t="n">
        <f aca="false">E176-C176</f>
        <v>-160</v>
      </c>
      <c r="G176" s="21" t="n">
        <f aca="false">IF(AND(C176=0,E176=0),0,IF(C176=0,"New",(E176-C176)/C176))</f>
        <v>-0.134228187919463</v>
      </c>
      <c r="H176" s="12" t="n">
        <f aca="false">SUMIFS('סופר פארם Raw'!$D$6:$D$771,'סופר פארם Raw'!$E$6:$E$771,$A176,'סופר פארם Raw'!$B$6:$B$771,2025)</f>
        <v>44734.6</v>
      </c>
      <c r="I176" s="12" t="n">
        <f aca="false">SUMIFS('סופר פארם Raw'!$D$6:$D$771,'סופר פארם Raw'!$E$6:$E$771,$A176,'סופר פארם Raw'!$B$6:$B$771,2026)</f>
        <v>31014.7</v>
      </c>
      <c r="J176" s="12" t="n">
        <f aca="false">I176*$J$5</f>
        <v>39176.4631578947</v>
      </c>
    </row>
    <row r="177" customFormat="false" ht="15" hidden="false" customHeight="true" outlineLevel="0" collapsed="false">
      <c r="A177" s="12" t="n">
        <v>4413043</v>
      </c>
      <c r="B177" s="12" t="str">
        <f aca="false">IFERROR(INDEX('Catalog'!$B:$B,MATCH($A177,'Catalog'!$A:$A,0)),"")</f>
        <v>34  L מגן קרסול עקב סגור</v>
      </c>
      <c r="C177" s="12" t="n">
        <f aca="false">SUMIFS('סופר פארם Raw'!$C$6:$C$771,'סופר פארם Raw'!$E$6:$E$771,$A177,'סופר פארם Raw'!$B$6:$B$771,2025)</f>
        <v>1793</v>
      </c>
      <c r="D177" s="12" t="n">
        <f aca="false">SUMIFS('סופר פארם Raw'!$C$6:$C$771,'סופר פארם Raw'!$E$6:$E$771,$A177,'סופר פארם Raw'!$B$6:$B$771,2026)</f>
        <v>1253</v>
      </c>
      <c r="E177" s="12" t="n">
        <f aca="false">D177*$J$5</f>
        <v>1582.73684210526</v>
      </c>
      <c r="F177" s="12" t="n">
        <f aca="false">E177-C177</f>
        <v>-210.263157894737</v>
      </c>
      <c r="G177" s="21" t="n">
        <f aca="false">IF(AND(C177=0,E177=0),0,IF(C177=0,"New",(E177-C177)/C177))</f>
        <v>-0.117268911263099</v>
      </c>
      <c r="H177" s="12" t="n">
        <f aca="false">SUMIFS('סופר פארם Raw'!$D$6:$D$771,'סופר פארם Raw'!$E$6:$E$771,$A177,'סופר פארם Raw'!$B$6:$B$771,2025)</f>
        <v>67283.3</v>
      </c>
      <c r="I177" s="12" t="n">
        <f aca="false">SUMIFS('סופר פארם Raw'!$D$6:$D$771,'סופר פארם Raw'!$E$6:$E$771,$A177,'סופר פארם Raw'!$B$6:$B$771,2026)</f>
        <v>47682.1</v>
      </c>
      <c r="J177" s="12" t="n">
        <f aca="false">I177*$J$5</f>
        <v>60230.0210526316</v>
      </c>
    </row>
    <row r="178" customFormat="false" ht="15" hidden="false" customHeight="true" outlineLevel="0" collapsed="false">
      <c r="A178" s="12" t="n">
        <v>4413044</v>
      </c>
      <c r="B178" s="12" t="str">
        <f aca="false">IFERROR(INDEX('Catalog'!$B:$B,MATCH($A178,'Catalog'!$A:$A,0)),"")</f>
        <v>34 XL מגן קרסול עקב סגור</v>
      </c>
      <c r="C178" s="12" t="n">
        <f aca="false">SUMIFS('סופר פארם Raw'!$C$6:$C$771,'סופר פארם Raw'!$E$6:$E$771,$A178,'סופר פארם Raw'!$B$6:$B$771,2025)</f>
        <v>1232</v>
      </c>
      <c r="D178" s="12" t="n">
        <f aca="false">SUMIFS('סופר פארם Raw'!$C$6:$C$771,'סופר פארם Raw'!$E$6:$E$771,$A178,'סופר פארם Raw'!$B$6:$B$771,2026)</f>
        <v>813</v>
      </c>
      <c r="E178" s="12" t="n">
        <f aca="false">D178*$J$5</f>
        <v>1026.94736842105</v>
      </c>
      <c r="F178" s="12" t="n">
        <f aca="false">E178-C178</f>
        <v>-205.052631578948</v>
      </c>
      <c r="G178" s="21" t="n">
        <f aca="false">IF(AND(C178=0,E178=0),0,IF(C178=0,"New",(E178-C178)/C178))</f>
        <v>-0.166438824333561</v>
      </c>
      <c r="H178" s="12" t="n">
        <f aca="false">SUMIFS('סופר פארם Raw'!$D$6:$D$771,'סופר פארם Raw'!$E$6:$E$771,$A178,'סופר פארם Raw'!$B$6:$B$771,2025)</f>
        <v>46241.2</v>
      </c>
      <c r="I178" s="12" t="n">
        <f aca="false">SUMIFS('סופר פארם Raw'!$D$6:$D$771,'סופר פארם Raw'!$E$6:$E$771,$A178,'סופר פארם Raw'!$B$6:$B$771,2026)</f>
        <v>30955.6</v>
      </c>
      <c r="J178" s="12" t="n">
        <f aca="false">I178*$J$5</f>
        <v>39101.8105263158</v>
      </c>
    </row>
    <row r="179" customFormat="false" ht="15" hidden="false" customHeight="true" outlineLevel="0" collapsed="false">
      <c r="A179" s="12" t="n">
        <v>4413046</v>
      </c>
      <c r="B179" s="12" t="str">
        <f aca="false">IFERROR(INDEX('Catalog'!$B:$B,MATCH($A179,'Catalog'!$A:$A,0)),"")</f>
        <v>34 XXL מגן קרסול עקב סגור</v>
      </c>
      <c r="C179" s="12" t="n">
        <f aca="false">SUMIFS('סופר פארם Raw'!$C$6:$C$771,'סופר פארם Raw'!$E$6:$E$771,$A179,'סופר פארם Raw'!$B$6:$B$771,2025)</f>
        <v>54</v>
      </c>
      <c r="D179" s="12" t="n">
        <f aca="false">SUMIFS('סופר פארם Raw'!$C$6:$C$771,'סופר פארם Raw'!$E$6:$E$771,$A179,'סופר פארם Raw'!$B$6:$B$771,2026)</f>
        <v>36</v>
      </c>
      <c r="E179" s="12" t="n">
        <f aca="false">D179*$J$5</f>
        <v>45.4736842105263</v>
      </c>
      <c r="F179" s="12" t="n">
        <f aca="false">E179-C179</f>
        <v>-8.52631578947369</v>
      </c>
      <c r="G179" s="21" t="n">
        <f aca="false">IF(AND(C179=0,E179=0),0,IF(C179=0,"New",(E179-C179)/C179))</f>
        <v>-0.157894736842105</v>
      </c>
      <c r="H179" s="12" t="n">
        <f aca="false">SUMIFS('סופר פארם Raw'!$D$6:$D$771,'סופר פארם Raw'!$E$6:$E$771,$A179,'סופר פארם Raw'!$B$6:$B$771,2025)</f>
        <v>2028.5</v>
      </c>
      <c r="I179" s="12" t="n">
        <f aca="false">SUMIFS('סופר פארם Raw'!$D$6:$D$771,'סופר פארם Raw'!$E$6:$E$771,$A179,'סופר פארם Raw'!$B$6:$B$771,2026)</f>
        <v>1372.6</v>
      </c>
      <c r="J179" s="12" t="n">
        <f aca="false">I179*$J$5</f>
        <v>1733.81052631579</v>
      </c>
    </row>
    <row r="180" customFormat="false" ht="15" hidden="false" customHeight="true" outlineLevel="0" collapsed="false">
      <c r="A180" s="12" t="n">
        <v>4413047</v>
      </c>
      <c r="B180" s="12" t="str">
        <f aca="false">IFERROR(INDEX('Catalog'!$B:$B,MATCH($A180,'Catalog'!$A:$A,0)),"")</f>
        <v>35 S מגן קרסול לבן</v>
      </c>
      <c r="C180" s="12" t="n">
        <f aca="false">SUMIFS('סופר פארם Raw'!$C$6:$C$771,'סופר פארם Raw'!$E$6:$E$771,$A180,'סופר פארם Raw'!$B$6:$B$771,2025)</f>
        <v>1156</v>
      </c>
      <c r="D180" s="12" t="n">
        <f aca="false">SUMIFS('סופר פארם Raw'!$C$6:$C$771,'סופר פארם Raw'!$E$6:$E$771,$A180,'סופר פארם Raw'!$B$6:$B$771,2026)</f>
        <v>804</v>
      </c>
      <c r="E180" s="12" t="n">
        <f aca="false">D180*$J$5</f>
        <v>1015.57894736842</v>
      </c>
      <c r="F180" s="12" t="n">
        <f aca="false">E180-C180</f>
        <v>-140.421052631579</v>
      </c>
      <c r="G180" s="21" t="n">
        <f aca="false">IF(AND(C180=0,E180=0),0,IF(C180=0,"New",(E180-C180)/C180))</f>
        <v>-0.121471498816245</v>
      </c>
      <c r="H180" s="12" t="n">
        <f aca="false">SUMIFS('סופר פארם Raw'!$D$6:$D$771,'סופר פארם Raw'!$E$6:$E$771,$A180,'סופר פארם Raw'!$B$6:$B$771,2025)</f>
        <v>29720.7</v>
      </c>
      <c r="I180" s="12" t="n">
        <f aca="false">SUMIFS('סופר פארם Raw'!$D$6:$D$771,'סופר פארם Raw'!$E$6:$E$771,$A180,'סופר פארם Raw'!$B$6:$B$771,2026)</f>
        <v>20905.3</v>
      </c>
      <c r="J180" s="12" t="n">
        <f aca="false">I180*$J$5</f>
        <v>26406.6947368421</v>
      </c>
    </row>
    <row r="181" customFormat="false" ht="15" hidden="false" customHeight="true" outlineLevel="0" collapsed="false">
      <c r="A181" s="12" t="n">
        <v>4413048</v>
      </c>
      <c r="B181" s="12" t="str">
        <f aca="false">IFERROR(INDEX('Catalog'!$B:$B,MATCH($A181,'Catalog'!$A:$A,0)),"")</f>
        <v>35 L מגן קרסול לבן</v>
      </c>
      <c r="C181" s="12" t="n">
        <f aca="false">SUMIFS('סופר פארם Raw'!$C$6:$C$771,'סופר פארם Raw'!$E$6:$E$771,$A181,'סופר פארם Raw'!$B$6:$B$771,2025)</f>
        <v>1656</v>
      </c>
      <c r="D181" s="12" t="n">
        <f aca="false">SUMIFS('סופר פארם Raw'!$C$6:$C$771,'סופר פארם Raw'!$E$6:$E$771,$A181,'סופר פארם Raw'!$B$6:$B$771,2026)</f>
        <v>1121</v>
      </c>
      <c r="E181" s="12" t="n">
        <f aca="false">D181*$J$5</f>
        <v>1416</v>
      </c>
      <c r="F181" s="12" t="n">
        <f aca="false">E181-C181</f>
        <v>-240</v>
      </c>
      <c r="G181" s="21" t="n">
        <f aca="false">IF(AND(C181=0,E181=0),0,IF(C181=0,"New",(E181-C181)/C181))</f>
        <v>-0.144927536231884</v>
      </c>
      <c r="H181" s="12" t="n">
        <f aca="false">SUMIFS('סופר פארם Raw'!$D$6:$D$771,'סופר פארם Raw'!$E$6:$E$771,$A181,'סופר פארם Raw'!$B$6:$B$771,2025)</f>
        <v>42561.6</v>
      </c>
      <c r="I181" s="12" t="n">
        <f aca="false">SUMIFS('סופר פארם Raw'!$D$6:$D$771,'סופר פארם Raw'!$E$6:$E$771,$A181,'סופר פארם Raw'!$B$6:$B$771,2026)</f>
        <v>29265.8</v>
      </c>
      <c r="J181" s="12" t="n">
        <f aca="false">I181*$J$5</f>
        <v>36967.3263157895</v>
      </c>
    </row>
    <row r="182" customFormat="false" ht="15" hidden="false" customHeight="true" outlineLevel="0" collapsed="false">
      <c r="A182" s="12" t="n">
        <v>4413049</v>
      </c>
      <c r="B182" s="12" t="str">
        <f aca="false">IFERROR(INDEX('Catalog'!$B:$B,MATCH($A182,'Catalog'!$A:$A,0)),"")</f>
        <v>35 M מגן קרסול לבן</v>
      </c>
      <c r="C182" s="12" t="n">
        <f aca="false">SUMIFS('סופר פארם Raw'!$C$6:$C$771,'סופר פארם Raw'!$E$6:$E$771,$A182,'סופר פארם Raw'!$B$6:$B$771,2025)</f>
        <v>1895</v>
      </c>
      <c r="D182" s="12" t="n">
        <f aca="false">SUMIFS('סופר פארם Raw'!$C$6:$C$771,'סופר פארם Raw'!$E$6:$E$771,$A182,'סופר פארם Raw'!$B$6:$B$771,2026)</f>
        <v>1124</v>
      </c>
      <c r="E182" s="12" t="n">
        <f aca="false">D182*$J$5</f>
        <v>1419.78947368421</v>
      </c>
      <c r="F182" s="12" t="n">
        <f aca="false">E182-C182</f>
        <v>-475.21052631579</v>
      </c>
      <c r="G182" s="21" t="n">
        <f aca="false">IF(AND(C182=0,E182=0),0,IF(C182=0,"New",(E182-C182)/C182))</f>
        <v>-0.250770726288016</v>
      </c>
      <c r="H182" s="12" t="n">
        <f aca="false">SUMIFS('סופר פארם Raw'!$D$6:$D$771,'סופר פארם Raw'!$E$6:$E$771,$A182,'סופר פארם Raw'!$B$6:$B$771,2025)</f>
        <v>48710.8</v>
      </c>
      <c r="I182" s="12" t="n">
        <f aca="false">SUMIFS('סופר פארם Raw'!$D$6:$D$771,'סופר פארם Raw'!$E$6:$E$771,$A182,'סופר פארם Raw'!$B$6:$B$771,2026)</f>
        <v>29255.5</v>
      </c>
      <c r="J182" s="12" t="n">
        <f aca="false">I182*$J$5</f>
        <v>36954.3157894737</v>
      </c>
    </row>
    <row r="183" customFormat="false" ht="15" hidden="false" customHeight="true" outlineLevel="0" collapsed="false">
      <c r="A183" s="12" t="n">
        <v>4413050</v>
      </c>
      <c r="B183" s="12" t="str">
        <f aca="false">IFERROR(INDEX('Catalog'!$B:$B,MATCH($A183,'Catalog'!$A:$A,0)),"")</f>
        <v>35 XL מגן קרסול לבן</v>
      </c>
      <c r="C183" s="12" t="n">
        <f aca="false">SUMIFS('סופר פארם Raw'!$C$6:$C$771,'סופר פארם Raw'!$E$6:$E$771,$A183,'סופר פארם Raw'!$B$6:$B$771,2025)</f>
        <v>1115</v>
      </c>
      <c r="D183" s="12" t="n">
        <f aca="false">SUMIFS('סופר פארם Raw'!$C$6:$C$771,'סופר פארם Raw'!$E$6:$E$771,$A183,'סופר פארם Raw'!$B$6:$B$771,2026)</f>
        <v>766</v>
      </c>
      <c r="E183" s="12" t="n">
        <f aca="false">D183*$J$5</f>
        <v>967.578947368421</v>
      </c>
      <c r="F183" s="12" t="n">
        <f aca="false">E183-C183</f>
        <v>-147.421052631579</v>
      </c>
      <c r="G183" s="21" t="n">
        <f aca="false">IF(AND(C183=0,E183=0),0,IF(C183=0,"New",(E183-C183)/C183))</f>
        <v>-0.132216190700968</v>
      </c>
      <c r="H183" s="12" t="n">
        <f aca="false">SUMIFS('סופר פארם Raw'!$D$6:$D$771,'סופר פארם Raw'!$E$6:$E$771,$A183,'סופר פארם Raw'!$B$6:$B$771,2025)</f>
        <v>28674.2</v>
      </c>
      <c r="I183" s="12" t="n">
        <f aca="false">SUMIFS('סופר פארם Raw'!$D$6:$D$771,'סופר פארם Raw'!$E$6:$E$771,$A183,'סופר פארם Raw'!$B$6:$B$771,2026)</f>
        <v>19980.8</v>
      </c>
      <c r="J183" s="12" t="n">
        <f aca="false">I183*$J$5</f>
        <v>25238.9052631579</v>
      </c>
    </row>
    <row r="184" customFormat="false" ht="15" hidden="false" customHeight="true" outlineLevel="0" collapsed="false">
      <c r="A184" s="12" t="n">
        <v>4413051</v>
      </c>
      <c r="B184" s="12" t="str">
        <f aca="false">IFERROR(INDEX('Catalog'!$B:$B,MATCH($A184,'Catalog'!$A:$A,0)),"")</f>
        <v>35 XXL מגן קרסול לבן</v>
      </c>
      <c r="C184" s="12" t="n">
        <f aca="false">SUMIFS('סופר פארם Raw'!$C$6:$C$771,'סופר פארם Raw'!$E$6:$E$771,$A184,'סופר פארם Raw'!$B$6:$B$771,2025)</f>
        <v>88</v>
      </c>
      <c r="D184" s="12" t="n">
        <f aca="false">SUMIFS('סופר פארם Raw'!$C$6:$C$771,'סופר פארם Raw'!$E$6:$E$771,$A184,'סופר פארם Raw'!$B$6:$B$771,2026)</f>
        <v>74</v>
      </c>
      <c r="E184" s="12" t="n">
        <f aca="false">D184*$J$5</f>
        <v>93.4736842105263</v>
      </c>
      <c r="F184" s="12" t="n">
        <f aca="false">E184-C184</f>
        <v>5.47368421052632</v>
      </c>
      <c r="G184" s="21" t="n">
        <f aca="false">IF(AND(C184=0,E184=0),0,IF(C184=0,"New",(E184-C184)/C184))</f>
        <v>0.062200956937799</v>
      </c>
      <c r="H184" s="12" t="n">
        <f aca="false">SUMIFS('סופר פארם Raw'!$D$6:$D$771,'סופר פארם Raw'!$E$6:$E$771,$A184,'סופר פארם Raw'!$B$6:$B$771,2025)</f>
        <v>2262.6</v>
      </c>
      <c r="I184" s="12" t="n">
        <f aca="false">SUMIFS('סופר פארם Raw'!$D$6:$D$771,'סופר פארם Raw'!$E$6:$E$771,$A184,'סופר פארם Raw'!$B$6:$B$771,2026)</f>
        <v>1929.6</v>
      </c>
      <c r="J184" s="12" t="n">
        <f aca="false">I184*$J$5</f>
        <v>2437.38947368421</v>
      </c>
    </row>
    <row r="185" customFormat="false" ht="15" hidden="false" customHeight="true" outlineLevel="0" collapsed="false">
      <c r="A185" s="12" t="n">
        <v>4413052</v>
      </c>
      <c r="B185" s="12" t="str">
        <f aca="false">IFERROR(INDEX('Catalog'!$B:$B,MATCH($A185,'Catalog'!$A:$A,0)),"")</f>
        <v>35C S מגן קרסול חום</v>
      </c>
      <c r="C185" s="12" t="n">
        <f aca="false">SUMIFS('סופר פארם Raw'!$C$6:$C$771,'סופר פארם Raw'!$E$6:$E$771,$A185,'סופר פארם Raw'!$B$6:$B$771,2025)</f>
        <v>2476</v>
      </c>
      <c r="D185" s="12" t="n">
        <f aca="false">SUMIFS('סופר פארם Raw'!$C$6:$C$771,'סופר פארם Raw'!$E$6:$E$771,$A185,'סופר פארם Raw'!$B$6:$B$771,2026)</f>
        <v>1364</v>
      </c>
      <c r="E185" s="12" t="n">
        <f aca="false">D185*$J$5</f>
        <v>1722.94736842105</v>
      </c>
      <c r="F185" s="12" t="n">
        <f aca="false">E185-C185</f>
        <v>-753.052631578948</v>
      </c>
      <c r="G185" s="21" t="n">
        <f aca="false">IF(AND(C185=0,E185=0),0,IF(C185=0,"New",(E185-C185)/C185))</f>
        <v>-0.304140804353371</v>
      </c>
      <c r="H185" s="12" t="n">
        <f aca="false">SUMIFS('סופר פארם Raw'!$D$6:$D$771,'סופר פארם Raw'!$E$6:$E$771,$A185,'סופר פארם Raw'!$B$6:$B$771,2025)</f>
        <v>63730.9</v>
      </c>
      <c r="I185" s="12" t="n">
        <f aca="false">SUMIFS('סופר פארם Raw'!$D$6:$D$771,'סופר פארם Raw'!$E$6:$E$771,$A185,'סופר פארם Raw'!$B$6:$B$771,2026)</f>
        <v>35627</v>
      </c>
      <c r="J185" s="12" t="n">
        <f aca="false">I185*$J$5</f>
        <v>45002.5263157895</v>
      </c>
    </row>
    <row r="186" customFormat="false" ht="15" hidden="false" customHeight="true" outlineLevel="0" collapsed="false">
      <c r="A186" s="12" t="n">
        <v>4413053</v>
      </c>
      <c r="B186" s="12" t="str">
        <f aca="false">IFERROR(INDEX('Catalog'!$B:$B,MATCH($A186,'Catalog'!$A:$A,0)),"")</f>
        <v>35C L מגן קרסול חום</v>
      </c>
      <c r="C186" s="12" t="n">
        <f aca="false">SUMIFS('סופר פארם Raw'!$C$6:$C$771,'סופר פארם Raw'!$E$6:$E$771,$A186,'סופר פארם Raw'!$B$6:$B$771,2025)</f>
        <v>3121</v>
      </c>
      <c r="D186" s="12" t="n">
        <f aca="false">SUMIFS('סופר פארם Raw'!$C$6:$C$771,'סופר פארם Raw'!$E$6:$E$771,$A186,'סופר פארם Raw'!$B$6:$B$771,2026)</f>
        <v>1979</v>
      </c>
      <c r="E186" s="12" t="n">
        <f aca="false">D186*$J$5</f>
        <v>2499.78947368421</v>
      </c>
      <c r="F186" s="12" t="n">
        <f aca="false">E186-C186</f>
        <v>-621.21052631579</v>
      </c>
      <c r="G186" s="21" t="n">
        <f aca="false">IF(AND(C186=0,E186=0),0,IF(C186=0,"New",(E186-C186)/C186))</f>
        <v>-0.199042142363278</v>
      </c>
      <c r="H186" s="12" t="n">
        <f aca="false">SUMIFS('סופר פארם Raw'!$D$6:$D$771,'סופר פארם Raw'!$E$6:$E$771,$A186,'סופר פארם Raw'!$B$6:$B$771,2025)</f>
        <v>80301.8</v>
      </c>
      <c r="I186" s="12" t="n">
        <f aca="false">SUMIFS('סופר פארם Raw'!$D$6:$D$771,'סופר פארם Raw'!$E$6:$E$771,$A186,'סופר פארם Raw'!$B$6:$B$771,2026)</f>
        <v>51924.5</v>
      </c>
      <c r="J186" s="12" t="n">
        <f aca="false">I186*$J$5</f>
        <v>65588.8421052632</v>
      </c>
    </row>
    <row r="187" customFormat="false" ht="15" hidden="false" customHeight="true" outlineLevel="0" collapsed="false">
      <c r="A187" s="12" t="n">
        <v>4413054</v>
      </c>
      <c r="B187" s="12" t="str">
        <f aca="false">IFERROR(INDEX('Catalog'!$B:$B,MATCH($A187,'Catalog'!$A:$A,0)),"")</f>
        <v>35C M מגן קרסול חום</v>
      </c>
      <c r="C187" s="12" t="n">
        <f aca="false">SUMIFS('סופר פארם Raw'!$C$6:$C$771,'סופר פארם Raw'!$E$6:$E$771,$A187,'סופר פארם Raw'!$B$6:$B$771,2025)</f>
        <v>3288</v>
      </c>
      <c r="D187" s="12" t="n">
        <f aca="false">SUMIFS('סופר פארם Raw'!$C$6:$C$771,'סופר פארם Raw'!$E$6:$E$771,$A187,'סופר פארם Raw'!$B$6:$B$771,2026)</f>
        <v>2393</v>
      </c>
      <c r="E187" s="12" t="n">
        <f aca="false">D187*$J$5</f>
        <v>3022.73684210526</v>
      </c>
      <c r="F187" s="12" t="n">
        <f aca="false">E187-C187</f>
        <v>-265.263157894737</v>
      </c>
      <c r="G187" s="21" t="n">
        <f aca="false">IF(AND(C187=0,E187=0),0,IF(C187=0,"New",(E187-C187)/C187))</f>
        <v>-0.0806761429120247</v>
      </c>
      <c r="H187" s="12" t="n">
        <f aca="false">SUMIFS('סופר פארם Raw'!$D$6:$D$771,'סופר פארם Raw'!$E$6:$E$771,$A187,'סופר פארם Raw'!$B$6:$B$771,2025)</f>
        <v>84599.4</v>
      </c>
      <c r="I187" s="12" t="n">
        <f aca="false">SUMIFS('סופר פארם Raw'!$D$6:$D$771,'סופר פארם Raw'!$E$6:$E$771,$A187,'סופר פארם Raw'!$B$6:$B$771,2026)</f>
        <v>62436.3</v>
      </c>
      <c r="J187" s="12" t="n">
        <f aca="false">I187*$J$5</f>
        <v>78866.9052631579</v>
      </c>
    </row>
    <row r="188" customFormat="false" ht="15" hidden="false" customHeight="true" outlineLevel="0" collapsed="false">
      <c r="A188" s="12" t="n">
        <v>4413055</v>
      </c>
      <c r="B188" s="12" t="str">
        <f aca="false">IFERROR(INDEX('Catalog'!$B:$B,MATCH($A188,'Catalog'!$A:$A,0)),"")</f>
        <v>35C XL מגן קרסול חום</v>
      </c>
      <c r="C188" s="12" t="n">
        <f aca="false">SUMIFS('סופר פארם Raw'!$C$6:$C$771,'סופר פארם Raw'!$E$6:$E$771,$A188,'סופר פארם Raw'!$B$6:$B$771,2025)</f>
        <v>1866</v>
      </c>
      <c r="D188" s="12" t="n">
        <f aca="false">SUMIFS('סופר פארם Raw'!$C$6:$C$771,'סופר פארם Raw'!$E$6:$E$771,$A188,'סופר פארם Raw'!$B$6:$B$771,2026)</f>
        <v>1271</v>
      </c>
      <c r="E188" s="12" t="n">
        <f aca="false">D188*$J$5</f>
        <v>1605.47368421053</v>
      </c>
      <c r="F188" s="12" t="n">
        <f aca="false">E188-C188</f>
        <v>-260.526315789474</v>
      </c>
      <c r="G188" s="21" t="n">
        <f aca="false">IF(AND(C188=0,E188=0),0,IF(C188=0,"New",(E188-C188)/C188))</f>
        <v>-0.139617532577424</v>
      </c>
      <c r="H188" s="12" t="n">
        <f aca="false">SUMIFS('סופר פארם Raw'!$D$6:$D$771,'סופר פארם Raw'!$E$6:$E$771,$A188,'סופר פארם Raw'!$B$6:$B$771,2025)</f>
        <v>47984.9</v>
      </c>
      <c r="I188" s="12" t="n">
        <f aca="false">SUMIFS('סופר פארם Raw'!$D$6:$D$771,'סופר פארם Raw'!$E$6:$E$771,$A188,'סופר פארם Raw'!$B$6:$B$771,2026)</f>
        <v>33192.2</v>
      </c>
      <c r="J188" s="12" t="n">
        <f aca="false">I188*$J$5</f>
        <v>41926.9894736842</v>
      </c>
    </row>
    <row r="189" customFormat="false" ht="15" hidden="false" customHeight="true" outlineLevel="0" collapsed="false">
      <c r="A189" s="12" t="n">
        <v>4413056</v>
      </c>
      <c r="B189" s="12" t="str">
        <f aca="false">IFERROR(INDEX('Catalog'!$B:$B,MATCH($A189,'Catalog'!$A:$A,0)),"")</f>
        <v>LF360 מדרס מטטרזלי לנעלי עקב</v>
      </c>
      <c r="C189" s="12" t="n">
        <f aca="false">SUMIFS('סופר פארם Raw'!$C$6:$C$771,'סופר פארם Raw'!$E$6:$E$771,$A189,'סופר פארם Raw'!$B$6:$B$771,2025)</f>
        <v>44</v>
      </c>
      <c r="D189" s="12" t="n">
        <f aca="false">SUMIFS('סופר פארם Raw'!$C$6:$C$771,'סופר פארם Raw'!$E$6:$E$771,$A189,'סופר פארם Raw'!$B$6:$B$771,2026)</f>
        <v>13</v>
      </c>
      <c r="E189" s="12" t="n">
        <f aca="false">D189*$J$5</f>
        <v>16.4210526315789</v>
      </c>
      <c r="F189" s="12" t="n">
        <f aca="false">E189-C189</f>
        <v>-27.5789473684211</v>
      </c>
      <c r="G189" s="21" t="n">
        <f aca="false">IF(AND(C189=0,E189=0),0,IF(C189=0,"New",(E189-C189)/C189))</f>
        <v>-0.626794258373206</v>
      </c>
      <c r="H189" s="12" t="n">
        <f aca="false">SUMIFS('סופר פארם Raw'!$D$6:$D$771,'סופר פארם Raw'!$E$6:$E$771,$A189,'סופר פארם Raw'!$B$6:$B$771,2025)</f>
        <v>891.9</v>
      </c>
      <c r="I189" s="12" t="n">
        <f aca="false">SUMIFS('סופר פארם Raw'!$D$6:$D$771,'סופר פארם Raw'!$E$6:$E$771,$A189,'סופר פארם Raw'!$B$6:$B$771,2026)</f>
        <v>266.4</v>
      </c>
      <c r="J189" s="12" t="n">
        <f aca="false">I189*$J$5</f>
        <v>336.505263157895</v>
      </c>
    </row>
    <row r="190" customFormat="false" ht="15" hidden="false" customHeight="true" outlineLevel="0" collapsed="false">
      <c r="A190" s="12" t="n">
        <v>4413058</v>
      </c>
      <c r="B190" s="12" t="str">
        <f aca="false">IFERROR(INDEX('Catalog'!$B:$B,MATCH($A190,'Catalog'!$A:$A,0)),"")</f>
        <v>3622S מדבקה לשחרור לחץ 2 יח</v>
      </c>
      <c r="C190" s="12" t="n">
        <f aca="false">SUMIFS('סופר פארם Raw'!$C$6:$C$771,'סופר פארם Raw'!$E$6:$E$771,$A190,'סופר פארם Raw'!$B$6:$B$771,2025)</f>
        <v>571</v>
      </c>
      <c r="D190" s="12" t="n">
        <f aca="false">SUMIFS('סופר פארם Raw'!$C$6:$C$771,'סופר פארם Raw'!$E$6:$E$771,$A190,'סופר פארם Raw'!$B$6:$B$771,2026)</f>
        <v>409</v>
      </c>
      <c r="E190" s="12" t="n">
        <f aca="false">D190*$J$5</f>
        <v>516.631578947368</v>
      </c>
      <c r="F190" s="12" t="n">
        <f aca="false">E190-C190</f>
        <v>-54.3684210526316</v>
      </c>
      <c r="G190" s="21" t="n">
        <f aca="false">IF(AND(C190=0,E190=0),0,IF(C190=0,"New",(E190-C190)/C190))</f>
        <v>-0.0952161489538206</v>
      </c>
      <c r="H190" s="12" t="n">
        <f aca="false">SUMIFS('סופר פארם Raw'!$D$6:$D$771,'סופר פארם Raw'!$E$6:$E$771,$A190,'סופר פארם Raw'!$B$6:$B$771,2025)</f>
        <v>15313.6</v>
      </c>
      <c r="I190" s="12" t="n">
        <f aca="false">SUMIFS('סופר פארם Raw'!$D$6:$D$771,'סופר פארם Raw'!$E$6:$E$771,$A190,'סופר פארם Raw'!$B$6:$B$771,2026)</f>
        <v>11036.9</v>
      </c>
      <c r="J190" s="12" t="n">
        <f aca="false">I190*$J$5</f>
        <v>13941.3473684211</v>
      </c>
    </row>
    <row r="191" customFormat="false" ht="15" hidden="false" customHeight="true" outlineLevel="0" collapsed="false">
      <c r="A191" s="12" t="n">
        <v>4413059</v>
      </c>
      <c r="B191" s="12" t="str">
        <f aca="false">IFERROR(INDEX('Catalog'!$B:$B,MATCH($A191,'Catalog'!$A:$A,0)),"")</f>
        <v>364S Lמפר.אצבע סיליק. ליבל.זוג</v>
      </c>
      <c r="C191" s="12" t="n">
        <f aca="false">SUMIFS('סופר פארם Raw'!$C$6:$C$771,'סופר פארם Raw'!$E$6:$E$771,$A191,'סופר פארם Raw'!$B$6:$B$771,2025)</f>
        <v>-4</v>
      </c>
      <c r="D191" s="12" t="n">
        <f aca="false">SUMIFS('סופר פארם Raw'!$C$6:$C$771,'סופר פארם Raw'!$E$6:$E$771,$A191,'סופר פארם Raw'!$B$6:$B$771,2026)</f>
        <v>0</v>
      </c>
      <c r="E191" s="12" t="n">
        <f aca="false">D191*$J$5</f>
        <v>0</v>
      </c>
      <c r="F191" s="12" t="n">
        <f aca="false">E191-C191</f>
        <v>4</v>
      </c>
      <c r="G191" s="21" t="n">
        <f aca="false">IF(AND(C191=0,E191=0),0,IF(C191=0,"New",(E191-C191)/C191))</f>
        <v>-1</v>
      </c>
      <c r="H191" s="12" t="n">
        <f aca="false">SUMIFS('סופר פארם Raw'!$D$6:$D$771,'סופר פארם Raw'!$E$6:$E$771,$A191,'סופר פארם Raw'!$B$6:$B$771,2025)</f>
        <v>-47.7</v>
      </c>
      <c r="I191" s="12" t="n">
        <f aca="false">SUMIFS('סופר פארם Raw'!$D$6:$D$771,'סופר פארם Raw'!$E$6:$E$771,$A191,'סופר פארם Raw'!$B$6:$B$771,2026)</f>
        <v>0</v>
      </c>
      <c r="J191" s="12" t="n">
        <f aca="false">I191*$J$5</f>
        <v>0</v>
      </c>
    </row>
    <row r="192" customFormat="false" ht="15" hidden="false" customHeight="true" outlineLevel="0" collapsed="false">
      <c r="A192" s="12" t="n">
        <v>4413060</v>
      </c>
      <c r="B192" s="12" t="str">
        <f aca="false">IFERROR(INDEX('Catalog'!$B:$B,MATCH($A192,'Catalog'!$A:$A,0)),"")</f>
        <v>364 XLמפריד אצבע סיליקון ליבלת</v>
      </c>
      <c r="C192" s="12" t="n">
        <f aca="false">SUMIFS('סופר פארם Raw'!$C$6:$C$771,'סופר פארם Raw'!$E$6:$E$771,$A192,'סופר פארם Raw'!$B$6:$B$771,2025)</f>
        <v>0</v>
      </c>
      <c r="D192" s="12" t="n">
        <f aca="false">SUMIFS('סופר פארם Raw'!$C$6:$C$771,'סופר פארם Raw'!$E$6:$E$771,$A192,'סופר פארם Raw'!$B$6:$B$771,2026)</f>
        <v>-2</v>
      </c>
      <c r="E192" s="12" t="n">
        <f aca="false">D192*$J$5</f>
        <v>-2.52631578947368</v>
      </c>
      <c r="F192" s="12" t="n">
        <f aca="false">E192-C192</f>
        <v>-2.52631578947368</v>
      </c>
      <c r="G192" s="21" t="str">
        <f aca="false">IF(AND(C192=0,E192=0),0,IF(C192=0,"New",(E192-C192)/C192))</f>
        <v>New</v>
      </c>
      <c r="H192" s="12" t="n">
        <f aca="false">SUMIFS('סופר פארם Raw'!$D$6:$D$771,'סופר פארם Raw'!$E$6:$E$771,$A192,'סופר פארם Raw'!$B$6:$B$771,2025)</f>
        <v>0</v>
      </c>
      <c r="I192" s="12" t="n">
        <f aca="false">SUMIFS('סופר פארם Raw'!$D$6:$D$771,'סופר פארם Raw'!$E$6:$E$771,$A192,'סופר פארם Raw'!$B$6:$B$771,2026)</f>
        <v>-25.1</v>
      </c>
      <c r="J192" s="12" t="n">
        <f aca="false">I192*$J$5</f>
        <v>-31.7052631578947</v>
      </c>
    </row>
    <row r="193" customFormat="false" ht="15" hidden="false" customHeight="true" outlineLevel="0" collapsed="false">
      <c r="A193" s="12" t="n">
        <v>4413069</v>
      </c>
      <c r="B193" s="12" t="str">
        <f aca="false">IFERROR(INDEX('Catalog'!$B:$B,MATCH($A193,'Catalog'!$A:$A,0)),"")</f>
        <v>388L סד לילה לבוהן</v>
      </c>
      <c r="C193" s="12" t="n">
        <f aca="false">SUMIFS('סופר פארם Raw'!$C$6:$C$771,'סופר פארם Raw'!$E$6:$E$771,$A193,'סופר פארם Raw'!$B$6:$B$771,2025)</f>
        <v>-16</v>
      </c>
      <c r="D193" s="12" t="n">
        <f aca="false">SUMIFS('סופר פארם Raw'!$C$6:$C$771,'סופר פארם Raw'!$E$6:$E$771,$A193,'סופר פארם Raw'!$B$6:$B$771,2026)</f>
        <v>-3</v>
      </c>
      <c r="E193" s="12" t="n">
        <f aca="false">D193*$J$5</f>
        <v>-3.78947368421053</v>
      </c>
      <c r="F193" s="12" t="n">
        <f aca="false">E193-C193</f>
        <v>12.2105263157895</v>
      </c>
      <c r="G193" s="21" t="n">
        <f aca="false">IF(AND(C193=0,E193=0),0,IF(C193=0,"New",(E193-C193)/C193))</f>
        <v>-0.763157894736842</v>
      </c>
      <c r="H193" s="12" t="n">
        <f aca="false">SUMIFS('סופר פארם Raw'!$D$6:$D$771,'סופר פארם Raw'!$E$6:$E$771,$A193,'סופר פארם Raw'!$B$6:$B$771,2025)</f>
        <v>-1026.6</v>
      </c>
      <c r="I193" s="12" t="n">
        <f aca="false">SUMIFS('סופר פארם Raw'!$D$6:$D$771,'סופר פארם Raw'!$E$6:$E$771,$A193,'סופר פארם Raw'!$B$6:$B$771,2026)</f>
        <v>-192.5</v>
      </c>
      <c r="J193" s="12" t="n">
        <f aca="false">I193*$J$5</f>
        <v>-243.157894736842</v>
      </c>
    </row>
    <row r="194" customFormat="false" ht="15" hidden="false" customHeight="true" outlineLevel="0" collapsed="false">
      <c r="A194" s="12" t="n">
        <v>4413070</v>
      </c>
      <c r="B194" s="12" t="str">
        <f aca="false">IFERROR(INDEX('Catalog'!$B:$B,MATCH($A194,'Catalog'!$A:$A,0)),"")</f>
        <v>388R סד לילה לבוהן</v>
      </c>
      <c r="C194" s="12" t="n">
        <f aca="false">SUMIFS('סופר פארם Raw'!$C$6:$C$771,'סופר פארם Raw'!$E$6:$E$771,$A194,'סופר פארם Raw'!$B$6:$B$771,2025)</f>
        <v>-12</v>
      </c>
      <c r="D194" s="12" t="n">
        <f aca="false">SUMIFS('סופר פארם Raw'!$C$6:$C$771,'סופר פארם Raw'!$E$6:$E$771,$A194,'סופר פארם Raw'!$B$6:$B$771,2026)</f>
        <v>-4</v>
      </c>
      <c r="E194" s="12" t="n">
        <f aca="false">D194*$J$5</f>
        <v>-5.05263157894737</v>
      </c>
      <c r="F194" s="12" t="n">
        <f aca="false">E194-C194</f>
        <v>6.94736842105263</v>
      </c>
      <c r="G194" s="21" t="n">
        <f aca="false">IF(AND(C194=0,E194=0),0,IF(C194=0,"New",(E194-C194)/C194))</f>
        <v>-0.578947368421053</v>
      </c>
      <c r="H194" s="12" t="n">
        <f aca="false">SUMIFS('סופר פארם Raw'!$D$6:$D$771,'סופר פארם Raw'!$E$6:$E$771,$A194,'סופר פארם Raw'!$B$6:$B$771,2025)</f>
        <v>-769.9</v>
      </c>
      <c r="I194" s="12" t="n">
        <f aca="false">SUMIFS('סופר פארם Raw'!$D$6:$D$771,'סופר פארם Raw'!$E$6:$E$771,$A194,'סופר פארם Raw'!$B$6:$B$771,2026)</f>
        <v>-256.6</v>
      </c>
      <c r="J194" s="12" t="n">
        <f aca="false">I194*$J$5</f>
        <v>-324.126315789474</v>
      </c>
    </row>
    <row r="195" customFormat="false" ht="15" hidden="false" customHeight="true" outlineLevel="0" collapsed="false">
      <c r="A195" s="12" t="n">
        <v>4413072</v>
      </c>
      <c r="B195" s="12" t="str">
        <f aca="false">IFERROR(INDEX('Catalog'!$B:$B,MATCH($A195,'Catalog'!$A:$A,0)),"")</f>
        <v>41 Lמ.ברך מוצלב+ספירלות בצדדים</v>
      </c>
      <c r="C195" s="12" t="n">
        <f aca="false">SUMIFS('סופר פארם Raw'!$C$6:$C$771,'סופר פארם Raw'!$E$6:$E$771,$A195,'סופר פארם Raw'!$B$6:$B$771,2025)</f>
        <v>3</v>
      </c>
      <c r="D195" s="12" t="n">
        <f aca="false">SUMIFS('סופר פארם Raw'!$C$6:$C$771,'סופר פארם Raw'!$E$6:$E$771,$A195,'סופר פארם Raw'!$B$6:$B$771,2026)</f>
        <v>2</v>
      </c>
      <c r="E195" s="12" t="n">
        <f aca="false">D195*$J$5</f>
        <v>2.52631578947368</v>
      </c>
      <c r="F195" s="12" t="n">
        <f aca="false">E195-C195</f>
        <v>-0.473684210526316</v>
      </c>
      <c r="G195" s="21" t="n">
        <f aca="false">IF(AND(C195=0,E195=0),0,IF(C195=0,"New",(E195-C195)/C195))</f>
        <v>-0.157894736842105</v>
      </c>
      <c r="H195" s="12" t="n">
        <f aca="false">SUMIFS('סופר פארם Raw'!$D$6:$D$771,'סופר פארם Raw'!$E$6:$E$771,$A195,'סופר פארם Raw'!$B$6:$B$771,2025)</f>
        <v>319.4</v>
      </c>
      <c r="I195" s="12" t="n">
        <f aca="false">SUMIFS('סופר פארם Raw'!$D$6:$D$771,'סופר פארם Raw'!$E$6:$E$771,$A195,'סופר פארם Raw'!$B$6:$B$771,2026)</f>
        <v>216.1</v>
      </c>
      <c r="J195" s="12" t="n">
        <f aca="false">I195*$J$5</f>
        <v>272.968421052632</v>
      </c>
    </row>
    <row r="196" customFormat="false" ht="15" hidden="false" customHeight="true" outlineLevel="0" collapsed="false">
      <c r="A196" s="12" t="n">
        <v>4413073</v>
      </c>
      <c r="B196" s="12" t="str">
        <f aca="false">IFERROR(INDEX('Catalog'!$B:$B,MATCH($A196,'Catalog'!$A:$A,0)),"")</f>
        <v>41 Mמ.ברך מוצלב+ספירלות בצדדים</v>
      </c>
      <c r="C196" s="12" t="n">
        <f aca="false">SUMIFS('סופר פארם Raw'!$C$6:$C$771,'סופר פארם Raw'!$E$6:$E$771,$A196,'סופר פארם Raw'!$B$6:$B$771,2025)</f>
        <v>1</v>
      </c>
      <c r="D196" s="12" t="n">
        <f aca="false">SUMIFS('סופר פארם Raw'!$C$6:$C$771,'סופר פארם Raw'!$E$6:$E$771,$A196,'סופר פארם Raw'!$B$6:$B$771,2026)</f>
        <v>2</v>
      </c>
      <c r="E196" s="12" t="n">
        <f aca="false">D196*$J$5</f>
        <v>2.52631578947368</v>
      </c>
      <c r="F196" s="12" t="n">
        <f aca="false">E196-C196</f>
        <v>1.52631578947368</v>
      </c>
      <c r="G196" s="21" t="n">
        <f aca="false">IF(AND(C196=0,E196=0),0,IF(C196=0,"New",(E196-C196)/C196))</f>
        <v>1.52631578947368</v>
      </c>
      <c r="H196" s="12" t="n">
        <f aca="false">SUMIFS('סופר פארם Raw'!$D$6:$D$771,'סופר פארם Raw'!$E$6:$E$771,$A196,'סופר פארם Raw'!$B$6:$B$771,2025)</f>
        <v>106.5</v>
      </c>
      <c r="I196" s="12" t="n">
        <f aca="false">SUMIFS('סופר פארם Raw'!$D$6:$D$771,'סופר פארם Raw'!$E$6:$E$771,$A196,'סופר פארם Raw'!$B$6:$B$771,2026)</f>
        <v>213</v>
      </c>
      <c r="J196" s="12" t="n">
        <f aca="false">I196*$J$5</f>
        <v>269.052631578947</v>
      </c>
    </row>
    <row r="197" customFormat="false" ht="15" hidden="false" customHeight="true" outlineLevel="0" collapsed="false">
      <c r="A197" s="12" t="n">
        <v>4413074</v>
      </c>
      <c r="B197" s="12" t="str">
        <f aca="false">IFERROR(INDEX('Catalog'!$B:$B,MATCH($A197,'Catalog'!$A:$A,0)),"")</f>
        <v>41  XL.מ.ברך מוצלב+ספירלות בצד</v>
      </c>
      <c r="C197" s="12" t="n">
        <f aca="false">SUMIFS('סופר פארם Raw'!$C$6:$C$771,'סופר פארם Raw'!$E$6:$E$771,$A197,'סופר פארם Raw'!$B$6:$B$771,2025)</f>
        <v>3</v>
      </c>
      <c r="D197" s="12" t="n">
        <f aca="false">SUMIFS('סופר פארם Raw'!$C$6:$C$771,'סופר פארם Raw'!$E$6:$E$771,$A197,'סופר פארם Raw'!$B$6:$B$771,2026)</f>
        <v>-1</v>
      </c>
      <c r="E197" s="12" t="n">
        <f aca="false">D197*$J$5</f>
        <v>-1.26315789473684</v>
      </c>
      <c r="F197" s="12" t="n">
        <f aca="false">E197-C197</f>
        <v>-4.26315789473684</v>
      </c>
      <c r="G197" s="21" t="n">
        <f aca="false">IF(AND(C197=0,E197=0),0,IF(C197=0,"New",(E197-C197)/C197))</f>
        <v>-1.42105263157895</v>
      </c>
      <c r="H197" s="12" t="n">
        <f aca="false">SUMIFS('סופר פארם Raw'!$D$6:$D$771,'סופר פארם Raw'!$E$6:$E$771,$A197,'סופר פארם Raw'!$B$6:$B$771,2025)</f>
        <v>319.4</v>
      </c>
      <c r="I197" s="12" t="n">
        <f aca="false">SUMIFS('סופר פארם Raw'!$D$6:$D$771,'סופר פארם Raw'!$E$6:$E$771,$A197,'סופר פארם Raw'!$B$6:$B$771,2026)</f>
        <v>-106.5</v>
      </c>
      <c r="J197" s="12" t="n">
        <f aca="false">I197*$J$5</f>
        <v>-134.526315789474</v>
      </c>
    </row>
    <row r="198" customFormat="false" ht="15" hidden="false" customHeight="true" outlineLevel="0" collapsed="false">
      <c r="A198" s="12" t="n">
        <v>4413078</v>
      </c>
      <c r="B198" s="12" t="str">
        <f aca="false">IFERROR(INDEX('Catalog'!$B:$B,MATCH($A198,'Catalog'!$A:$A,0)),"")</f>
        <v>41X S מגן ברך מוצלב+מוט</v>
      </c>
      <c r="C198" s="12" t="n">
        <f aca="false">SUMIFS('סופר פארם Raw'!$C$6:$C$771,'סופר פארם Raw'!$E$6:$E$771,$A198,'סופר פארם Raw'!$B$6:$B$771,2025)</f>
        <v>-1</v>
      </c>
      <c r="D198" s="12" t="n">
        <f aca="false">SUMIFS('סופר פארם Raw'!$C$6:$C$771,'סופר פארם Raw'!$E$6:$E$771,$A198,'סופר פארם Raw'!$B$6:$B$771,2026)</f>
        <v>-1</v>
      </c>
      <c r="E198" s="12" t="n">
        <f aca="false">D198*$J$5</f>
        <v>-1.26315789473684</v>
      </c>
      <c r="F198" s="12" t="n">
        <f aca="false">E198-C198</f>
        <v>-0.263157894736842</v>
      </c>
      <c r="G198" s="21" t="n">
        <f aca="false">IF(AND(C198=0,E198=0),0,IF(C198=0,"New",(E198-C198)/C198))</f>
        <v>0.263157894736842</v>
      </c>
      <c r="H198" s="12" t="n">
        <f aca="false">SUMIFS('סופר פארם Raw'!$D$6:$D$771,'סופר פארם Raw'!$E$6:$E$771,$A198,'סופר פארם Raw'!$B$6:$B$771,2025)</f>
        <v>-116.7</v>
      </c>
      <c r="I198" s="12" t="n">
        <f aca="false">SUMIFS('סופר פארם Raw'!$D$6:$D$771,'סופר פארם Raw'!$E$6:$E$771,$A198,'סופר פארם Raw'!$B$6:$B$771,2026)</f>
        <v>-116.7</v>
      </c>
      <c r="J198" s="12" t="n">
        <f aca="false">I198*$J$5</f>
        <v>-147.410526315789</v>
      </c>
    </row>
    <row r="199" customFormat="false" ht="15" hidden="false" customHeight="true" outlineLevel="0" collapsed="false">
      <c r="A199" s="12" t="n">
        <v>4413079</v>
      </c>
      <c r="B199" s="12" t="str">
        <f aca="false">IFERROR(INDEX('Catalog'!$B:$B,MATCH($A199,'Catalog'!$A:$A,0)),"")</f>
        <v>41X XL מגן ברך מוצלב+מוט</v>
      </c>
      <c r="C199" s="12" t="n">
        <f aca="false">SUMIFS('סופר פארם Raw'!$C$6:$C$771,'סופר פארם Raw'!$E$6:$E$771,$A199,'סופר פארם Raw'!$B$6:$B$771,2025)</f>
        <v>0</v>
      </c>
      <c r="D199" s="12" t="n">
        <f aca="false">SUMIFS('סופר פארם Raw'!$C$6:$C$771,'סופר פארם Raw'!$E$6:$E$771,$A199,'סופר פארם Raw'!$B$6:$B$771,2026)</f>
        <v>-1</v>
      </c>
      <c r="E199" s="12" t="n">
        <f aca="false">D199*$J$5</f>
        <v>-1.26315789473684</v>
      </c>
      <c r="F199" s="12" t="n">
        <f aca="false">E199-C199</f>
        <v>-1.26315789473684</v>
      </c>
      <c r="G199" s="21" t="str">
        <f aca="false">IF(AND(C199=0,E199=0),0,IF(C199=0,"New",(E199-C199)/C199))</f>
        <v>New</v>
      </c>
      <c r="H199" s="12" t="n">
        <f aca="false">SUMIFS('סופר פארם Raw'!$D$6:$D$771,'סופר פארם Raw'!$E$6:$E$771,$A199,'סופר פארם Raw'!$B$6:$B$771,2025)</f>
        <v>0</v>
      </c>
      <c r="I199" s="12" t="n">
        <f aca="false">SUMIFS('סופר פארם Raw'!$D$6:$D$771,'סופר פארם Raw'!$E$6:$E$771,$A199,'סופר פארם Raw'!$B$6:$B$771,2026)</f>
        <v>-116.7</v>
      </c>
      <c r="J199" s="12" t="n">
        <f aca="false">I199*$J$5</f>
        <v>-147.410526315789</v>
      </c>
    </row>
    <row r="200" customFormat="false" ht="15" hidden="false" customHeight="true" outlineLevel="0" collapsed="false">
      <c r="A200" s="12" t="n">
        <v>4413087</v>
      </c>
      <c r="B200" s="12" t="str">
        <f aca="false">IFERROR(INDEX('Catalog'!$B:$B,MATCH($A200,'Catalog'!$A:$A,0)),"")</f>
        <v>422 Lמ.ברך+כרית סיל.סביב לפיקה</v>
      </c>
      <c r="C200" s="12" t="n">
        <f aca="false">SUMIFS('סופר פארם Raw'!$C$6:$C$771,'סופר פארם Raw'!$E$6:$E$771,$A200,'סופר פארם Raw'!$B$6:$B$771,2025)</f>
        <v>-2</v>
      </c>
      <c r="D200" s="12" t="n">
        <f aca="false">SUMIFS('סופר פארם Raw'!$C$6:$C$771,'סופר פארם Raw'!$E$6:$E$771,$A200,'סופר פארם Raw'!$B$6:$B$771,2026)</f>
        <v>-2</v>
      </c>
      <c r="E200" s="12" t="n">
        <f aca="false">D200*$J$5</f>
        <v>-2.52631578947368</v>
      </c>
      <c r="F200" s="12" t="n">
        <f aca="false">E200-C200</f>
        <v>-0.526315789473684</v>
      </c>
      <c r="G200" s="21" t="n">
        <f aca="false">IF(AND(C200=0,E200=0),0,IF(C200=0,"New",(E200-C200)/C200))</f>
        <v>0.263157894736842</v>
      </c>
      <c r="H200" s="12" t="n">
        <f aca="false">SUMIFS('סופר פארם Raw'!$D$6:$D$771,'סופר פארם Raw'!$E$6:$E$771,$A200,'סופר פארם Raw'!$B$6:$B$771,2025)</f>
        <v>-272.8</v>
      </c>
      <c r="I200" s="12" t="n">
        <f aca="false">SUMIFS('סופר פארם Raw'!$D$6:$D$771,'סופר פארם Raw'!$E$6:$E$771,$A200,'סופר פארם Raw'!$B$6:$B$771,2026)</f>
        <v>-295.5</v>
      </c>
      <c r="J200" s="12" t="n">
        <f aca="false">I200*$J$5</f>
        <v>-373.263157894737</v>
      </c>
    </row>
    <row r="201" customFormat="false" ht="15" hidden="false" customHeight="true" outlineLevel="0" collapsed="false">
      <c r="A201" s="12" t="n">
        <v>4413088</v>
      </c>
      <c r="B201" s="12" t="str">
        <f aca="false">IFERROR(INDEX('Catalog'!$B:$B,MATCH($A201,'Catalog'!$A:$A,0)),"")</f>
        <v>422 Mמ.ברך+כרית סיל.סביב לפיקה</v>
      </c>
      <c r="C201" s="12" t="n">
        <f aca="false">SUMIFS('סופר פארם Raw'!$C$6:$C$771,'סופר פארם Raw'!$E$6:$E$771,$A201,'סופר פארם Raw'!$B$6:$B$771,2025)</f>
        <v>0</v>
      </c>
      <c r="D201" s="12" t="n">
        <f aca="false">SUMIFS('סופר פארם Raw'!$C$6:$C$771,'סופר פארם Raw'!$E$6:$E$771,$A201,'סופר פארם Raw'!$B$6:$B$771,2026)</f>
        <v>-3</v>
      </c>
      <c r="E201" s="12" t="n">
        <f aca="false">D201*$J$5</f>
        <v>-3.78947368421053</v>
      </c>
      <c r="F201" s="12" t="n">
        <f aca="false">E201-C201</f>
        <v>-3.78947368421053</v>
      </c>
      <c r="G201" s="21" t="str">
        <f aca="false">IF(AND(C201=0,E201=0),0,IF(C201=0,"New",(E201-C201)/C201))</f>
        <v>New</v>
      </c>
      <c r="H201" s="12" t="n">
        <f aca="false">SUMIFS('סופר פארם Raw'!$D$6:$D$771,'סופר פארם Raw'!$E$6:$E$771,$A201,'סופר פארם Raw'!$B$6:$B$771,2025)</f>
        <v>30.3</v>
      </c>
      <c r="I201" s="12" t="n">
        <f aca="false">SUMIFS('סופר פארם Raw'!$D$6:$D$771,'סופר פארם Raw'!$E$6:$E$771,$A201,'סופר פארם Raw'!$B$6:$B$771,2026)</f>
        <v>-439.5</v>
      </c>
      <c r="J201" s="12" t="n">
        <f aca="false">I201*$J$5</f>
        <v>-555.157894736842</v>
      </c>
    </row>
    <row r="202" customFormat="false" ht="15" hidden="false" customHeight="true" outlineLevel="0" collapsed="false">
      <c r="A202" s="12" t="n">
        <v>4413089</v>
      </c>
      <c r="B202" s="12" t="str">
        <f aca="false">IFERROR(INDEX('Catalog'!$B:$B,MATCH($A202,'Catalog'!$A:$A,0)),"")</f>
        <v>422 Sמ.ברך+כרית סיל.סביב לפיקה</v>
      </c>
      <c r="C202" s="12" t="n">
        <f aca="false">SUMIFS('סופר פארם Raw'!$C$6:$C$771,'סופר פארם Raw'!$E$6:$E$771,$A202,'סופר פארם Raw'!$B$6:$B$771,2025)</f>
        <v>-3</v>
      </c>
      <c r="D202" s="12" t="n">
        <f aca="false">SUMIFS('סופר פארם Raw'!$C$6:$C$771,'סופר פארם Raw'!$E$6:$E$771,$A202,'סופר פארם Raw'!$B$6:$B$771,2026)</f>
        <v>-2</v>
      </c>
      <c r="E202" s="12" t="n">
        <f aca="false">D202*$J$5</f>
        <v>-2.52631578947368</v>
      </c>
      <c r="F202" s="12" t="n">
        <f aca="false">E202-C202</f>
        <v>0.473684210526316</v>
      </c>
      <c r="G202" s="21" t="n">
        <f aca="false">IF(AND(C202=0,E202=0),0,IF(C202=0,"New",(E202-C202)/C202))</f>
        <v>-0.157894736842105</v>
      </c>
      <c r="H202" s="12" t="n">
        <f aca="false">SUMIFS('סופר פארם Raw'!$D$6:$D$771,'סופר פארם Raw'!$E$6:$E$771,$A202,'סופר פארם Raw'!$B$6:$B$771,2025)</f>
        <v>-454.6</v>
      </c>
      <c r="I202" s="12" t="n">
        <f aca="false">SUMIFS('סופר פארם Raw'!$D$6:$D$771,'סופר פארם Raw'!$E$6:$E$771,$A202,'סופר פארם Raw'!$B$6:$B$771,2026)</f>
        <v>-177.3</v>
      </c>
      <c r="J202" s="12" t="n">
        <f aca="false">I202*$J$5</f>
        <v>-223.957894736842</v>
      </c>
    </row>
    <row r="203" customFormat="false" ht="15" hidden="false" customHeight="true" outlineLevel="0" collapsed="false">
      <c r="A203" s="12" t="n">
        <v>4413090</v>
      </c>
      <c r="B203" s="12" t="str">
        <f aca="false">IFERROR(INDEX('Catalog'!$B:$B,MATCH($A203,'Catalog'!$A:$A,0)),"")</f>
        <v>422 XLמ.ברך+כרית סיל.סביב לפיק</v>
      </c>
      <c r="C203" s="12" t="n">
        <f aca="false">SUMIFS('סופר פארם Raw'!$C$6:$C$771,'סופר פארם Raw'!$E$6:$E$771,$A203,'סופר פארם Raw'!$B$6:$B$771,2025)</f>
        <v>0</v>
      </c>
      <c r="D203" s="12" t="n">
        <f aca="false">SUMIFS('סופר פארם Raw'!$C$6:$C$771,'סופר פארם Raw'!$E$6:$E$771,$A203,'סופר פארם Raw'!$B$6:$B$771,2026)</f>
        <v>-1</v>
      </c>
      <c r="E203" s="12" t="n">
        <f aca="false">D203*$J$5</f>
        <v>-1.26315789473684</v>
      </c>
      <c r="F203" s="12" t="n">
        <f aca="false">E203-C203</f>
        <v>-1.26315789473684</v>
      </c>
      <c r="G203" s="21" t="str">
        <f aca="false">IF(AND(C203=0,E203=0),0,IF(C203=0,"New",(E203-C203)/C203))</f>
        <v>New</v>
      </c>
      <c r="H203" s="12" t="n">
        <f aca="false">SUMIFS('סופר פארם Raw'!$D$6:$D$771,'סופר פארם Raw'!$E$6:$E$771,$A203,'סופר פארם Raw'!$B$6:$B$771,2025)</f>
        <v>7.6</v>
      </c>
      <c r="I203" s="12" t="n">
        <f aca="false">SUMIFS('סופר פארם Raw'!$D$6:$D$771,'סופר פארם Raw'!$E$6:$E$771,$A203,'סופר פארם Raw'!$B$6:$B$771,2026)</f>
        <v>-151.6</v>
      </c>
      <c r="J203" s="12" t="n">
        <f aca="false">I203*$J$5</f>
        <v>-191.494736842105</v>
      </c>
    </row>
    <row r="204" customFormat="false" ht="15" hidden="false" customHeight="true" outlineLevel="0" collapsed="false">
      <c r="A204" s="12" t="n">
        <v>4413091</v>
      </c>
      <c r="B204" s="12" t="str">
        <f aca="false">IFERROR(INDEX('Catalog'!$B:$B,MATCH($A204,'Catalog'!$A:$A,0)),"")</f>
        <v>422 XXLמ.ברך+כרית סיל.סב. פיקה</v>
      </c>
      <c r="C204" s="12" t="n">
        <f aca="false">SUMIFS('סופר פארם Raw'!$C$6:$C$771,'סופר פארם Raw'!$E$6:$E$771,$A204,'סופר פארם Raw'!$B$6:$B$771,2025)</f>
        <v>2</v>
      </c>
      <c r="D204" s="12" t="n">
        <f aca="false">SUMIFS('סופר פארם Raw'!$C$6:$C$771,'סופר פארם Raw'!$E$6:$E$771,$A204,'סופר פארם Raw'!$B$6:$B$771,2026)</f>
        <v>-1</v>
      </c>
      <c r="E204" s="12" t="n">
        <f aca="false">D204*$J$5</f>
        <v>-1.26315789473684</v>
      </c>
      <c r="F204" s="12" t="n">
        <f aca="false">E204-C204</f>
        <v>-3.26315789473684</v>
      </c>
      <c r="G204" s="21" t="n">
        <f aca="false">IF(AND(C204=0,E204=0),0,IF(C204=0,"New",(E204-C204)/C204))</f>
        <v>-1.63157894736842</v>
      </c>
      <c r="H204" s="12" t="n">
        <f aca="false">SUMIFS('סופר פארם Raw'!$D$6:$D$771,'סופר פארם Raw'!$E$6:$E$771,$A204,'סופר פארם Raw'!$B$6:$B$771,2025)</f>
        <v>303.1</v>
      </c>
      <c r="I204" s="12" t="n">
        <f aca="false">SUMIFS('סופר פארם Raw'!$D$6:$D$771,'סופר פארם Raw'!$E$6:$E$771,$A204,'סופר פארם Raw'!$B$6:$B$771,2026)</f>
        <v>-144</v>
      </c>
      <c r="J204" s="12" t="n">
        <f aca="false">I204*$J$5</f>
        <v>-181.894736842105</v>
      </c>
    </row>
    <row r="205" customFormat="false" ht="15" hidden="false" customHeight="true" outlineLevel="0" collapsed="false">
      <c r="A205" s="12" t="n">
        <v>4413092</v>
      </c>
      <c r="B205" s="12" t="str">
        <f aca="false">IFERROR(INDEX('Catalog'!$B:$B,MATCH($A205,'Catalog'!$A:$A,0)),"")</f>
        <v>45 L מגן ברך לבן</v>
      </c>
      <c r="C205" s="12" t="n">
        <f aca="false">SUMIFS('סופר פארם Raw'!$C$6:$C$771,'סופר פארם Raw'!$E$6:$E$771,$A205,'סופר פארם Raw'!$B$6:$B$771,2025)</f>
        <v>1539</v>
      </c>
      <c r="D205" s="12" t="n">
        <f aca="false">SUMIFS('סופר פארם Raw'!$C$6:$C$771,'סופר פארם Raw'!$E$6:$E$771,$A205,'סופר פארם Raw'!$B$6:$B$771,2026)</f>
        <v>1045</v>
      </c>
      <c r="E205" s="12" t="n">
        <f aca="false">D205*$J$5</f>
        <v>1320</v>
      </c>
      <c r="F205" s="12" t="n">
        <f aca="false">E205-C205</f>
        <v>-219</v>
      </c>
      <c r="G205" s="21" t="n">
        <f aca="false">IF(AND(C205=0,E205=0),0,IF(C205=0,"New",(E205-C205)/C205))</f>
        <v>-0.142300194931774</v>
      </c>
      <c r="H205" s="12" t="n">
        <f aca="false">SUMIFS('סופר פארם Raw'!$D$6:$D$771,'סופר פארם Raw'!$E$6:$E$771,$A205,'סופר פארם Raw'!$B$6:$B$771,2025)</f>
        <v>39564.5</v>
      </c>
      <c r="I205" s="12" t="n">
        <f aca="false">SUMIFS('סופר פארם Raw'!$D$6:$D$771,'סופר פארם Raw'!$E$6:$E$771,$A205,'סופר פארם Raw'!$B$6:$B$771,2026)</f>
        <v>27235.5</v>
      </c>
      <c r="J205" s="12" t="n">
        <f aca="false">I205*$J$5</f>
        <v>34402.7368421053</v>
      </c>
    </row>
    <row r="206" customFormat="false" ht="15" hidden="false" customHeight="true" outlineLevel="0" collapsed="false">
      <c r="A206" s="12" t="n">
        <v>4413093</v>
      </c>
      <c r="B206" s="12" t="str">
        <f aca="false">IFERROR(INDEX('Catalog'!$B:$B,MATCH($A206,'Catalog'!$A:$A,0)),"")</f>
        <v>45 M מגן ברך לבן</v>
      </c>
      <c r="C206" s="12" t="n">
        <f aca="false">SUMIFS('סופר פארם Raw'!$C$6:$C$771,'סופר פארם Raw'!$E$6:$E$771,$A206,'סופר פארם Raw'!$B$6:$B$771,2025)</f>
        <v>1665</v>
      </c>
      <c r="D206" s="12" t="n">
        <f aca="false">SUMIFS('סופר פארם Raw'!$C$6:$C$771,'סופר פארם Raw'!$E$6:$E$771,$A206,'סופר פארם Raw'!$B$6:$B$771,2026)</f>
        <v>1027</v>
      </c>
      <c r="E206" s="12" t="n">
        <f aca="false">D206*$J$5</f>
        <v>1297.26315789474</v>
      </c>
      <c r="F206" s="12" t="n">
        <f aca="false">E206-C206</f>
        <v>-367.736842105263</v>
      </c>
      <c r="G206" s="21" t="n">
        <f aca="false">IF(AND(C206=0,E206=0),0,IF(C206=0,"New",(E206-C206)/C206))</f>
        <v>-0.220862968231389</v>
      </c>
      <c r="H206" s="12" t="n">
        <f aca="false">SUMIFS('סופר פארם Raw'!$D$6:$D$771,'סופר פארם Raw'!$E$6:$E$771,$A206,'סופר פארם Raw'!$B$6:$B$771,2025)</f>
        <v>42810</v>
      </c>
      <c r="I206" s="12" t="n">
        <f aca="false">SUMIFS('סופר פארם Raw'!$D$6:$D$771,'סופר פארם Raw'!$E$6:$E$771,$A206,'סופר פארם Raw'!$B$6:$B$771,2026)</f>
        <v>26730.1</v>
      </c>
      <c r="J206" s="12" t="n">
        <f aca="false">I206*$J$5</f>
        <v>33764.3368421053</v>
      </c>
    </row>
    <row r="207" customFormat="false" ht="15" hidden="false" customHeight="true" outlineLevel="0" collapsed="false">
      <c r="A207" s="12" t="n">
        <v>4413094</v>
      </c>
      <c r="B207" s="12" t="str">
        <f aca="false">IFERROR(INDEX('Catalog'!$B:$B,MATCH($A207,'Catalog'!$A:$A,0)),"")</f>
        <v>45 S מגן ברך לבן</v>
      </c>
      <c r="C207" s="12" t="n">
        <f aca="false">SUMIFS('סופר פארם Raw'!$C$6:$C$771,'סופר פארם Raw'!$E$6:$E$771,$A207,'סופר פארם Raw'!$B$6:$B$771,2025)</f>
        <v>956</v>
      </c>
      <c r="D207" s="12" t="n">
        <f aca="false">SUMIFS('סופר פארם Raw'!$C$6:$C$771,'סופר פארם Raw'!$E$6:$E$771,$A207,'סופר פארם Raw'!$B$6:$B$771,2026)</f>
        <v>589</v>
      </c>
      <c r="E207" s="12" t="n">
        <f aca="false">D207*$J$5</f>
        <v>744</v>
      </c>
      <c r="F207" s="12" t="n">
        <f aca="false">E207-C207</f>
        <v>-212</v>
      </c>
      <c r="G207" s="21" t="n">
        <f aca="false">IF(AND(C207=0,E207=0),0,IF(C207=0,"New",(E207-C207)/C207))</f>
        <v>-0.221757322175732</v>
      </c>
      <c r="H207" s="12" t="n">
        <f aca="false">SUMIFS('סופר פארם Raw'!$D$6:$D$771,'סופר פארם Raw'!$E$6:$E$771,$A207,'סופר פארם Raw'!$B$6:$B$771,2025)</f>
        <v>24598.1</v>
      </c>
      <c r="I207" s="12" t="n">
        <f aca="false">SUMIFS('סופר פארם Raw'!$D$6:$D$771,'סופר פארם Raw'!$E$6:$E$771,$A207,'סופר פארם Raw'!$B$6:$B$771,2026)</f>
        <v>15278.4</v>
      </c>
      <c r="J207" s="12" t="n">
        <f aca="false">I207*$J$5</f>
        <v>19299.0315789474</v>
      </c>
    </row>
    <row r="208" customFormat="false" ht="15" hidden="false" customHeight="true" outlineLevel="0" collapsed="false">
      <c r="A208" s="12" t="n">
        <v>4413095</v>
      </c>
      <c r="B208" s="12" t="str">
        <f aca="false">IFERROR(INDEX('Catalog'!$B:$B,MATCH($A208,'Catalog'!$A:$A,0)),"")</f>
        <v>45 XL מגן ברך לבן</v>
      </c>
      <c r="C208" s="12" t="n">
        <f aca="false">SUMIFS('סופר פארם Raw'!$C$6:$C$771,'סופר פארם Raw'!$E$6:$E$771,$A208,'סופר פארם Raw'!$B$6:$B$771,2025)</f>
        <v>1001</v>
      </c>
      <c r="D208" s="12" t="n">
        <f aca="false">SUMIFS('סופר פארם Raw'!$C$6:$C$771,'סופר פארם Raw'!$E$6:$E$771,$A208,'סופר פארם Raw'!$B$6:$B$771,2026)</f>
        <v>638</v>
      </c>
      <c r="E208" s="12" t="n">
        <f aca="false">D208*$J$5</f>
        <v>805.894736842105</v>
      </c>
      <c r="F208" s="12" t="n">
        <f aca="false">E208-C208</f>
        <v>-195.105263157895</v>
      </c>
      <c r="G208" s="21" t="n">
        <f aca="false">IF(AND(C208=0,E208=0),0,IF(C208=0,"New",(E208-C208)/C208))</f>
        <v>-0.19491035280509</v>
      </c>
      <c r="H208" s="12" t="n">
        <f aca="false">SUMIFS('סופר פארם Raw'!$D$6:$D$771,'סופר פארם Raw'!$E$6:$E$771,$A208,'סופר פארם Raw'!$B$6:$B$771,2025)</f>
        <v>25735.4</v>
      </c>
      <c r="I208" s="12" t="n">
        <f aca="false">SUMIFS('סופר פארם Raw'!$D$6:$D$771,'סופר פארם Raw'!$E$6:$E$771,$A208,'סופר פארם Raw'!$B$6:$B$771,2026)</f>
        <v>16625.5</v>
      </c>
      <c r="J208" s="12" t="n">
        <f aca="false">I208*$J$5</f>
        <v>21000.6315789474</v>
      </c>
    </row>
    <row r="209" customFormat="false" ht="15" hidden="false" customHeight="true" outlineLevel="0" collapsed="false">
      <c r="A209" s="12" t="n">
        <v>4413096</v>
      </c>
      <c r="B209" s="12" t="str">
        <f aca="false">IFERROR(INDEX('Catalog'!$B:$B,MATCH($A209,'Catalog'!$A:$A,0)),"")</f>
        <v>45 XXL מגן ברך לבן</v>
      </c>
      <c r="C209" s="12" t="n">
        <f aca="false">SUMIFS('סופר פארם Raw'!$C$6:$C$771,'סופר פארם Raw'!$E$6:$E$771,$A209,'סופר פארם Raw'!$B$6:$B$771,2025)</f>
        <v>288</v>
      </c>
      <c r="D209" s="12" t="n">
        <f aca="false">SUMIFS('סופר פארם Raw'!$C$6:$C$771,'סופר פארם Raw'!$E$6:$E$771,$A209,'סופר פארם Raw'!$B$6:$B$771,2026)</f>
        <v>176</v>
      </c>
      <c r="E209" s="12" t="n">
        <f aca="false">D209*$J$5</f>
        <v>222.315789473684</v>
      </c>
      <c r="F209" s="12" t="n">
        <f aca="false">E209-C209</f>
        <v>-65.6842105263158</v>
      </c>
      <c r="G209" s="21" t="n">
        <f aca="false">IF(AND(C209=0,E209=0),0,IF(C209=0,"New",(E209-C209)/C209))</f>
        <v>-0.228070175438597</v>
      </c>
      <c r="H209" s="12" t="n">
        <f aca="false">SUMIFS('סופר פארם Raw'!$D$6:$D$771,'סופר פארם Raw'!$E$6:$E$771,$A209,'סופר פארם Raw'!$B$6:$B$771,2025)</f>
        <v>7405</v>
      </c>
      <c r="I209" s="12" t="n">
        <f aca="false">SUMIFS('סופר פארם Raw'!$D$6:$D$771,'סופר פארם Raw'!$E$6:$E$771,$A209,'סופר פארם Raw'!$B$6:$B$771,2026)</f>
        <v>4674.8</v>
      </c>
      <c r="J209" s="12" t="n">
        <f aca="false">I209*$J$5</f>
        <v>5905.01052631579</v>
      </c>
    </row>
    <row r="210" customFormat="false" ht="15" hidden="false" customHeight="true" outlineLevel="0" collapsed="false">
      <c r="A210" s="12" t="n">
        <v>4413097</v>
      </c>
      <c r="B210" s="12" t="str">
        <f aca="false">IFERROR(INDEX('Catalog'!$B:$B,MATCH($A210,'Catalog'!$A:$A,0)),"")</f>
        <v>45C S מגן ברך חום</v>
      </c>
      <c r="C210" s="12" t="n">
        <f aca="false">SUMIFS('סופר פארם Raw'!$C$6:$C$771,'סופר פארם Raw'!$E$6:$E$771,$A210,'סופר פארם Raw'!$B$6:$B$771,2025)</f>
        <v>1789</v>
      </c>
      <c r="D210" s="12" t="n">
        <f aca="false">SUMIFS('סופר פארם Raw'!$C$6:$C$771,'סופר פארם Raw'!$E$6:$E$771,$A210,'סופר פארם Raw'!$B$6:$B$771,2026)</f>
        <v>1268</v>
      </c>
      <c r="E210" s="12" t="n">
        <f aca="false">D210*$J$5</f>
        <v>1601.68421052632</v>
      </c>
      <c r="F210" s="12" t="n">
        <f aca="false">E210-C210</f>
        <v>-187.315789473684</v>
      </c>
      <c r="G210" s="21" t="n">
        <f aca="false">IF(AND(C210=0,E210=0),0,IF(C210=0,"New",(E210-C210)/C210))</f>
        <v>-0.104704186402283</v>
      </c>
      <c r="H210" s="12" t="n">
        <f aca="false">SUMIFS('סופר פארם Raw'!$D$6:$D$771,'סופר פארם Raw'!$E$6:$E$771,$A210,'סופר פארם Raw'!$B$6:$B$771,2025)</f>
        <v>46049.9</v>
      </c>
      <c r="I210" s="12" t="n">
        <f aca="false">SUMIFS('סופר פארם Raw'!$D$6:$D$771,'סופר פארם Raw'!$E$6:$E$771,$A210,'סופר פארם Raw'!$B$6:$B$771,2026)</f>
        <v>33027.9</v>
      </c>
      <c r="J210" s="12" t="n">
        <f aca="false">I210*$J$5</f>
        <v>41719.452631579</v>
      </c>
    </row>
    <row r="211" customFormat="false" ht="15" hidden="false" customHeight="true" outlineLevel="0" collapsed="false">
      <c r="A211" s="12" t="n">
        <v>4413098</v>
      </c>
      <c r="B211" s="12" t="str">
        <f aca="false">IFERROR(INDEX('Catalog'!$B:$B,MATCH($A211,'Catalog'!$A:$A,0)),"")</f>
        <v>45C L מגן ברך חום</v>
      </c>
      <c r="C211" s="12" t="n">
        <f aca="false">SUMIFS('סופר פארם Raw'!$C$6:$C$771,'סופר פארם Raw'!$E$6:$E$771,$A211,'סופר פארם Raw'!$B$6:$B$771,2025)</f>
        <v>3042</v>
      </c>
      <c r="D211" s="12" t="n">
        <f aca="false">SUMIFS('סופר פארם Raw'!$C$6:$C$771,'סופר פארם Raw'!$E$6:$E$771,$A211,'סופר פארם Raw'!$B$6:$B$771,2026)</f>
        <v>1997</v>
      </c>
      <c r="E211" s="12" t="n">
        <f aca="false">D211*$J$5</f>
        <v>2522.52631578947</v>
      </c>
      <c r="F211" s="12" t="n">
        <f aca="false">E211-C211</f>
        <v>-519.473684210526</v>
      </c>
      <c r="G211" s="21" t="n">
        <f aca="false">IF(AND(C211=0,E211=0),0,IF(C211=0,"New",(E211-C211)/C211))</f>
        <v>-0.170767154572823</v>
      </c>
      <c r="H211" s="12" t="n">
        <f aca="false">SUMIFS('סופר פארם Raw'!$D$6:$D$771,'סופר פארם Raw'!$E$6:$E$771,$A211,'סופר פארם Raw'!$B$6:$B$771,2025)</f>
        <v>78269.8</v>
      </c>
      <c r="I211" s="12" t="n">
        <f aca="false">SUMIFS('סופר פארם Raw'!$D$6:$D$771,'סופר פארם Raw'!$E$6:$E$771,$A211,'סופר פארם Raw'!$B$6:$B$771,2026)</f>
        <v>51837</v>
      </c>
      <c r="J211" s="12" t="n">
        <f aca="false">I211*$J$5</f>
        <v>65478.3157894737</v>
      </c>
    </row>
    <row r="212" customFormat="false" ht="15" hidden="false" customHeight="true" outlineLevel="0" collapsed="false">
      <c r="A212" s="12" t="n">
        <v>4413099</v>
      </c>
      <c r="B212" s="12" t="str">
        <f aca="false">IFERROR(INDEX('Catalog'!$B:$B,MATCH($A212,'Catalog'!$A:$A,0)),"")</f>
        <v>45C M מגן ברך חום</v>
      </c>
      <c r="C212" s="12" t="n">
        <f aca="false">SUMIFS('סופר פארם Raw'!$C$6:$C$771,'סופר פארם Raw'!$E$6:$E$771,$A212,'סופר פארם Raw'!$B$6:$B$771,2025)</f>
        <v>3009</v>
      </c>
      <c r="D212" s="12" t="n">
        <f aca="false">SUMIFS('סופר פארם Raw'!$C$6:$C$771,'סופר פארם Raw'!$E$6:$E$771,$A212,'סופר פארם Raw'!$B$6:$B$771,2026)</f>
        <v>2418</v>
      </c>
      <c r="E212" s="12" t="n">
        <f aca="false">D212*$J$5</f>
        <v>3054.31578947368</v>
      </c>
      <c r="F212" s="12" t="n">
        <f aca="false">E212-C212</f>
        <v>45.3157894736842</v>
      </c>
      <c r="G212" s="21" t="n">
        <f aca="false">IF(AND(C212=0,E212=0),0,IF(C212=0,"New",(E212-C212)/C212))</f>
        <v>0.0150600829091672</v>
      </c>
      <c r="H212" s="12" t="n">
        <f aca="false">SUMIFS('סופר פארם Raw'!$D$6:$D$771,'סופר פארם Raw'!$E$6:$E$771,$A212,'סופר פארם Raw'!$B$6:$B$771,2025)</f>
        <v>77434.1</v>
      </c>
      <c r="I212" s="12" t="n">
        <f aca="false">SUMIFS('סופר פארם Raw'!$D$6:$D$771,'סופר פארם Raw'!$E$6:$E$771,$A212,'סופר פארם Raw'!$B$6:$B$771,2026)</f>
        <v>62928.1</v>
      </c>
      <c r="J212" s="12" t="n">
        <f aca="false">I212*$J$5</f>
        <v>79488.1263157895</v>
      </c>
    </row>
    <row r="213" customFormat="false" ht="15" hidden="false" customHeight="true" outlineLevel="0" collapsed="false">
      <c r="A213" s="12" t="n">
        <v>4413100</v>
      </c>
      <c r="B213" s="12" t="str">
        <f aca="false">IFERROR(INDEX('Catalog'!$B:$B,MATCH($A213,'Catalog'!$A:$A,0)),"")</f>
        <v>45C XL מגן ברך חום</v>
      </c>
      <c r="C213" s="12" t="n">
        <f aca="false">SUMIFS('סופר פארם Raw'!$C$6:$C$771,'סופר פארם Raw'!$E$6:$E$771,$A213,'סופר פארם Raw'!$B$6:$B$771,2025)</f>
        <v>2229</v>
      </c>
      <c r="D213" s="12" t="n">
        <f aca="false">SUMIFS('סופר פארם Raw'!$C$6:$C$771,'סופר פארם Raw'!$E$6:$E$771,$A213,'סופר פארם Raw'!$B$6:$B$771,2026)</f>
        <v>1648</v>
      </c>
      <c r="E213" s="12" t="n">
        <f aca="false">D213*$J$5</f>
        <v>2081.68421052632</v>
      </c>
      <c r="F213" s="12" t="n">
        <f aca="false">E213-C213</f>
        <v>-147.315789473684</v>
      </c>
      <c r="G213" s="21" t="n">
        <f aca="false">IF(AND(C213=0,E213=0),0,IF(C213=0,"New",(E213-C213)/C213))</f>
        <v>-0.0660905291492527</v>
      </c>
      <c r="H213" s="12" t="n">
        <f aca="false">SUMIFS('סופר פארם Raw'!$D$6:$D$771,'סופר פארם Raw'!$E$6:$E$771,$A213,'סופר פארם Raw'!$B$6:$B$771,2025)</f>
        <v>57363.1</v>
      </c>
      <c r="I213" s="12" t="n">
        <f aca="false">SUMIFS('סופר פארם Raw'!$D$6:$D$771,'סופר פארם Raw'!$E$6:$E$771,$A213,'סופר פארם Raw'!$B$6:$B$771,2026)</f>
        <v>42974.7</v>
      </c>
      <c r="J213" s="12" t="n">
        <f aca="false">I213*$J$5</f>
        <v>54283.8315789474</v>
      </c>
    </row>
    <row r="214" customFormat="false" ht="15" hidden="false" customHeight="true" outlineLevel="0" collapsed="false">
      <c r="A214" s="12" t="n">
        <v>4413101</v>
      </c>
      <c r="B214" s="12" t="str">
        <f aca="false">IFERROR(INDEX('Catalog'!$B:$B,MATCH($A214,'Catalog'!$A:$A,0)),"")</f>
        <v>45E Sמגן ברך ארוך לבן</v>
      </c>
      <c r="C214" s="12" t="n">
        <f aca="false">SUMIFS('סופר פארם Raw'!$C$6:$C$771,'סופר פארם Raw'!$E$6:$E$771,$A214,'סופר פארם Raw'!$B$6:$B$771,2025)</f>
        <v>533</v>
      </c>
      <c r="D214" s="12" t="n">
        <f aca="false">SUMIFS('סופר פארם Raw'!$C$6:$C$771,'סופר פארם Raw'!$E$6:$E$771,$A214,'סופר פארם Raw'!$B$6:$B$771,2026)</f>
        <v>306</v>
      </c>
      <c r="E214" s="12" t="n">
        <f aca="false">D214*$J$5</f>
        <v>386.526315789474</v>
      </c>
      <c r="F214" s="12" t="n">
        <f aca="false">E214-C214</f>
        <v>-146.473684210526</v>
      </c>
      <c r="G214" s="21" t="n">
        <f aca="false">IF(AND(C214=0,E214=0),0,IF(C214=0,"New",(E214-C214)/C214))</f>
        <v>-0.274809914091044</v>
      </c>
      <c r="H214" s="12" t="n">
        <f aca="false">SUMIFS('סופר פארם Raw'!$D$6:$D$771,'סופר פארם Raw'!$E$6:$E$771,$A214,'סופר פארם Raw'!$B$6:$B$771,2025)</f>
        <v>16595.5</v>
      </c>
      <c r="I214" s="12" t="n">
        <f aca="false">SUMIFS('סופר פארם Raw'!$D$6:$D$771,'סופר פארם Raw'!$E$6:$E$771,$A214,'סופר פארם Raw'!$B$6:$B$771,2026)</f>
        <v>9530.7</v>
      </c>
      <c r="J214" s="12" t="n">
        <f aca="false">I214*$J$5</f>
        <v>12038.7789473684</v>
      </c>
    </row>
    <row r="215" customFormat="false" ht="15" hidden="false" customHeight="true" outlineLevel="0" collapsed="false">
      <c r="A215" s="12" t="n">
        <v>4413102</v>
      </c>
      <c r="B215" s="12" t="str">
        <f aca="false">IFERROR(INDEX('Catalog'!$B:$B,MATCH($A215,'Catalog'!$A:$A,0)),"")</f>
        <v>45E  L        מגן ברך ארוך לבן</v>
      </c>
      <c r="C215" s="12" t="n">
        <f aca="false">SUMIFS('סופר פארם Raw'!$C$6:$C$771,'סופר פארם Raw'!$E$6:$E$771,$A215,'סופר פארם Raw'!$B$6:$B$771,2025)</f>
        <v>1537</v>
      </c>
      <c r="D215" s="12" t="n">
        <f aca="false">SUMIFS('סופר פארם Raw'!$C$6:$C$771,'סופר פארם Raw'!$E$6:$E$771,$A215,'סופר פארם Raw'!$B$6:$B$771,2026)</f>
        <v>786</v>
      </c>
      <c r="E215" s="12" t="n">
        <f aca="false">D215*$J$5</f>
        <v>992.842105263158</v>
      </c>
      <c r="F215" s="12" t="n">
        <f aca="false">E215-C215</f>
        <v>-544.157894736842</v>
      </c>
      <c r="G215" s="21" t="n">
        <f aca="false">IF(AND(C215=0,E215=0),0,IF(C215=0,"New",(E215-C215)/C215))</f>
        <v>-0.354038968599117</v>
      </c>
      <c r="H215" s="12" t="n">
        <f aca="false">SUMIFS('סופר פארם Raw'!$D$6:$D$771,'סופר פארם Raw'!$E$6:$E$771,$A215,'סופר פארם Raw'!$B$6:$B$771,2025)</f>
        <v>47701.2</v>
      </c>
      <c r="I215" s="12" t="n">
        <f aca="false">SUMIFS('סופר פארם Raw'!$D$6:$D$771,'סופר פארם Raw'!$E$6:$E$771,$A215,'סופר פארם Raw'!$B$6:$B$771,2026)</f>
        <v>24557.9</v>
      </c>
      <c r="J215" s="12" t="n">
        <f aca="false">I215*$J$5</f>
        <v>31020.5052631579</v>
      </c>
    </row>
    <row r="216" customFormat="false" ht="15" hidden="false" customHeight="true" outlineLevel="0" collapsed="false">
      <c r="A216" s="12" t="n">
        <v>4413103</v>
      </c>
      <c r="B216" s="12" t="str">
        <f aca="false">IFERROR(INDEX('Catalog'!$B:$B,MATCH($A216,'Catalog'!$A:$A,0)),"")</f>
        <v>45E Mמגן ברך ארוך לבן</v>
      </c>
      <c r="C216" s="12" t="n">
        <f aca="false">SUMIFS('סופר פארם Raw'!$C$6:$C$771,'סופר פארם Raw'!$E$6:$E$771,$A216,'סופר פארם Raw'!$B$6:$B$771,2025)</f>
        <v>1338</v>
      </c>
      <c r="D216" s="12" t="n">
        <f aca="false">SUMIFS('סופר פארם Raw'!$C$6:$C$771,'סופר פארם Raw'!$E$6:$E$771,$A216,'סופר פארם Raw'!$B$6:$B$771,2026)</f>
        <v>844</v>
      </c>
      <c r="E216" s="12" t="n">
        <f aca="false">D216*$J$5</f>
        <v>1066.10526315789</v>
      </c>
      <c r="F216" s="12" t="n">
        <f aca="false">E216-C216</f>
        <v>-271.894736842105</v>
      </c>
      <c r="G216" s="21" t="n">
        <f aca="false">IF(AND(C216=0,E216=0),0,IF(C216=0,"New",(E216-C216)/C216))</f>
        <v>-0.203209818267642</v>
      </c>
      <c r="H216" s="12" t="n">
        <f aca="false">SUMIFS('סופר פארם Raw'!$D$6:$D$771,'סופר פארם Raw'!$E$6:$E$771,$A216,'סופר פארם Raw'!$B$6:$B$771,2025)</f>
        <v>41507.4</v>
      </c>
      <c r="I216" s="12" t="n">
        <f aca="false">SUMIFS('סופר פארם Raw'!$D$6:$D$771,'סופר פארם Raw'!$E$6:$E$771,$A216,'סופר פארם Raw'!$B$6:$B$771,2026)</f>
        <v>26344.9</v>
      </c>
      <c r="J216" s="12" t="n">
        <f aca="false">I216*$J$5</f>
        <v>33277.7684210526</v>
      </c>
    </row>
    <row r="217" customFormat="false" ht="15" hidden="false" customHeight="true" outlineLevel="0" collapsed="false">
      <c r="A217" s="12" t="n">
        <v>4413104</v>
      </c>
      <c r="B217" s="12" t="str">
        <f aca="false">IFERROR(INDEX('Catalog'!$B:$B,MATCH($A217,'Catalog'!$A:$A,0)),"")</f>
        <v>45E XLמגן ברך ארוך לבן</v>
      </c>
      <c r="C217" s="12" t="n">
        <f aca="false">SUMIFS('סופר פארם Raw'!$C$6:$C$771,'סופר פארם Raw'!$E$6:$E$771,$A217,'סופר פארם Raw'!$B$6:$B$771,2025)</f>
        <v>1095</v>
      </c>
      <c r="D217" s="12" t="n">
        <f aca="false">SUMIFS('סופר פארם Raw'!$C$6:$C$771,'סופר פארם Raw'!$E$6:$E$771,$A217,'סופר פארם Raw'!$B$6:$B$771,2026)</f>
        <v>641</v>
      </c>
      <c r="E217" s="12" t="n">
        <f aca="false">D217*$J$5</f>
        <v>809.684210526316</v>
      </c>
      <c r="F217" s="12" t="n">
        <f aca="false">E217-C217</f>
        <v>-285.315789473684</v>
      </c>
      <c r="G217" s="21" t="n">
        <f aca="false">IF(AND(C217=0,E217=0),0,IF(C217=0,"New",(E217-C217)/C217))</f>
        <v>-0.26056236481615</v>
      </c>
      <c r="H217" s="12" t="n">
        <f aca="false">SUMIFS('סופר פארם Raw'!$D$6:$D$771,'סופר פארם Raw'!$E$6:$E$771,$A217,'סופר פארם Raw'!$B$6:$B$771,2025)</f>
        <v>33971.4</v>
      </c>
      <c r="I217" s="12" t="n">
        <f aca="false">SUMIFS('סופר פארם Raw'!$D$6:$D$771,'סופר פארם Raw'!$E$6:$E$771,$A217,'סופר פארם Raw'!$B$6:$B$771,2026)</f>
        <v>19981.4</v>
      </c>
      <c r="J217" s="12" t="n">
        <f aca="false">I217*$J$5</f>
        <v>25239.6631578947</v>
      </c>
    </row>
    <row r="218" customFormat="false" ht="15" hidden="false" customHeight="true" outlineLevel="0" collapsed="false">
      <c r="A218" s="12" t="n">
        <v>4413105</v>
      </c>
      <c r="B218" s="12" t="str">
        <f aca="false">IFERROR(INDEX('Catalog'!$B:$B,MATCH($A218,'Catalog'!$A:$A,0)),"")</f>
        <v>45E XXLמגן ברך ארוך לבן</v>
      </c>
      <c r="C218" s="12" t="n">
        <f aca="false">SUMIFS('סופר פארם Raw'!$C$6:$C$771,'סופר פארם Raw'!$E$6:$E$771,$A218,'סופר פארם Raw'!$B$6:$B$771,2025)</f>
        <v>154</v>
      </c>
      <c r="D218" s="12" t="n">
        <f aca="false">SUMIFS('סופר פארם Raw'!$C$6:$C$771,'סופר פארם Raw'!$E$6:$E$771,$A218,'סופר פארם Raw'!$B$6:$B$771,2026)</f>
        <v>98</v>
      </c>
      <c r="E218" s="12" t="n">
        <f aca="false">D218*$J$5</f>
        <v>123.789473684211</v>
      </c>
      <c r="F218" s="12" t="n">
        <f aca="false">E218-C218</f>
        <v>-30.2105263157895</v>
      </c>
      <c r="G218" s="21" t="n">
        <f aca="false">IF(AND(C218=0,E218=0),0,IF(C218=0,"New",(E218-C218)/C218))</f>
        <v>-0.196172248803828</v>
      </c>
      <c r="H218" s="12" t="n">
        <f aca="false">SUMIFS('סופר פארם Raw'!$D$6:$D$771,'סופר פארם Raw'!$E$6:$E$771,$A218,'סופר פארם Raw'!$B$6:$B$771,2025)</f>
        <v>4772.4</v>
      </c>
      <c r="I218" s="12" t="n">
        <f aca="false">SUMIFS('סופר פארם Raw'!$D$6:$D$771,'סופר פארם Raw'!$E$6:$E$771,$A218,'סופר פארם Raw'!$B$6:$B$771,2026)</f>
        <v>3060.3</v>
      </c>
      <c r="J218" s="12" t="n">
        <f aca="false">I218*$J$5</f>
        <v>3865.64210526316</v>
      </c>
    </row>
    <row r="219" customFormat="false" ht="15" hidden="false" customHeight="true" outlineLevel="0" collapsed="false">
      <c r="A219" s="12" t="n">
        <v>4413106</v>
      </c>
      <c r="B219" s="12" t="str">
        <f aca="false">IFERROR(INDEX('Catalog'!$B:$B,MATCH($A219,'Catalog'!$A:$A,0)),"")</f>
        <v>48 S מגן ברך מחמם</v>
      </c>
      <c r="C219" s="12" t="n">
        <f aca="false">SUMIFS('סופר פארם Raw'!$C$6:$C$771,'סופר פארם Raw'!$E$6:$E$771,$A219,'סופר פארם Raw'!$B$6:$B$771,2025)</f>
        <v>2</v>
      </c>
      <c r="D219" s="12" t="n">
        <f aca="false">SUMIFS('סופר פארם Raw'!$C$6:$C$771,'סופר פארם Raw'!$E$6:$E$771,$A219,'סופר פארם Raw'!$B$6:$B$771,2026)</f>
        <v>0</v>
      </c>
      <c r="E219" s="12" t="n">
        <f aca="false">D219*$J$5</f>
        <v>0</v>
      </c>
      <c r="F219" s="12" t="n">
        <f aca="false">E219-C219</f>
        <v>-2</v>
      </c>
      <c r="G219" s="21" t="n">
        <f aca="false">IF(AND(C219=0,E219=0),0,IF(C219=0,"New",(E219-C219)/C219))</f>
        <v>-1</v>
      </c>
      <c r="H219" s="12" t="n">
        <f aca="false">SUMIFS('סופר פארם Raw'!$D$6:$D$771,'סופר פארם Raw'!$E$6:$E$771,$A219,'סופר פארם Raw'!$B$6:$B$771,2025)</f>
        <v>97.2</v>
      </c>
      <c r="I219" s="12" t="n">
        <f aca="false">SUMIFS('סופר פארם Raw'!$D$6:$D$771,'סופר פארם Raw'!$E$6:$E$771,$A219,'סופר פארם Raw'!$B$6:$B$771,2026)</f>
        <v>0</v>
      </c>
      <c r="J219" s="12" t="n">
        <f aca="false">I219*$J$5</f>
        <v>0</v>
      </c>
    </row>
    <row r="220" customFormat="false" ht="15" hidden="false" customHeight="true" outlineLevel="0" collapsed="false">
      <c r="A220" s="12" t="n">
        <v>4413107</v>
      </c>
      <c r="B220" s="12" t="str">
        <f aca="false">IFERROR(INDEX('Catalog'!$B:$B,MATCH($A220,'Catalog'!$A:$A,0)),"")</f>
        <v>48 L מגן ברך מחמם</v>
      </c>
      <c r="C220" s="12" t="n">
        <f aca="false">SUMIFS('סופר פארם Raw'!$C$6:$C$771,'סופר פארם Raw'!$E$6:$E$771,$A220,'סופר פארם Raw'!$B$6:$B$771,2025)</f>
        <v>13</v>
      </c>
      <c r="D220" s="12" t="n">
        <f aca="false">SUMIFS('סופר פארם Raw'!$C$6:$C$771,'סופר פארם Raw'!$E$6:$E$771,$A220,'סופר פארם Raw'!$B$6:$B$771,2026)</f>
        <v>5</v>
      </c>
      <c r="E220" s="12" t="n">
        <f aca="false">D220*$J$5</f>
        <v>6.31578947368421</v>
      </c>
      <c r="F220" s="12" t="n">
        <f aca="false">E220-C220</f>
        <v>-6.68421052631579</v>
      </c>
      <c r="G220" s="21" t="n">
        <f aca="false">IF(AND(C220=0,E220=0),0,IF(C220=0,"New",(E220-C220)/C220))</f>
        <v>-0.51417004048583</v>
      </c>
      <c r="H220" s="12" t="n">
        <f aca="false">SUMIFS('סופר פארם Raw'!$D$6:$D$771,'סופר פארם Raw'!$E$6:$E$771,$A220,'סופר פארם Raw'!$B$6:$B$771,2025)</f>
        <v>632.1</v>
      </c>
      <c r="I220" s="12" t="n">
        <f aca="false">SUMIFS('סופר פארם Raw'!$D$6:$D$771,'סופר פארם Raw'!$E$6:$E$771,$A220,'סופר פארם Raw'!$B$6:$B$771,2026)</f>
        <v>243.1</v>
      </c>
      <c r="J220" s="12" t="n">
        <f aca="false">I220*$J$5</f>
        <v>307.073684210526</v>
      </c>
    </row>
    <row r="221" customFormat="false" ht="15" hidden="false" customHeight="true" outlineLevel="0" collapsed="false">
      <c r="A221" s="12" t="n">
        <v>4413108</v>
      </c>
      <c r="B221" s="12" t="str">
        <f aca="false">IFERROR(INDEX('Catalog'!$B:$B,MATCH($A221,'Catalog'!$A:$A,0)),"")</f>
        <v>48 M מגן ברך מחמם</v>
      </c>
      <c r="C221" s="12" t="n">
        <f aca="false">SUMIFS('סופר פארם Raw'!$C$6:$C$771,'סופר פארם Raw'!$E$6:$E$771,$A221,'סופר פארם Raw'!$B$6:$B$771,2025)</f>
        <v>5</v>
      </c>
      <c r="D221" s="12" t="n">
        <f aca="false">SUMIFS('סופר פארם Raw'!$C$6:$C$771,'סופר פארם Raw'!$E$6:$E$771,$A221,'סופר פארם Raw'!$B$6:$B$771,2026)</f>
        <v>3</v>
      </c>
      <c r="E221" s="12" t="n">
        <f aca="false">D221*$J$5</f>
        <v>3.78947368421053</v>
      </c>
      <c r="F221" s="12" t="n">
        <f aca="false">E221-C221</f>
        <v>-1.21052631578947</v>
      </c>
      <c r="G221" s="21" t="n">
        <f aca="false">IF(AND(C221=0,E221=0),0,IF(C221=0,"New",(E221-C221)/C221))</f>
        <v>-0.242105263157895</v>
      </c>
      <c r="H221" s="12" t="n">
        <f aca="false">SUMIFS('סופר פארם Raw'!$D$6:$D$771,'סופר פארם Raw'!$E$6:$E$771,$A221,'סופר פארם Raw'!$B$6:$B$771,2025)</f>
        <v>243.1</v>
      </c>
      <c r="I221" s="12" t="n">
        <f aca="false">SUMIFS('סופר פארם Raw'!$D$6:$D$771,'סופר פארם Raw'!$E$6:$E$771,$A221,'סופר פארם Raw'!$B$6:$B$771,2026)</f>
        <v>152.7</v>
      </c>
      <c r="J221" s="12" t="n">
        <f aca="false">I221*$J$5</f>
        <v>192.884210526316</v>
      </c>
    </row>
    <row r="222" customFormat="false" ht="15" hidden="false" customHeight="true" outlineLevel="0" collapsed="false">
      <c r="A222" s="12" t="n">
        <v>4413109</v>
      </c>
      <c r="B222" s="12" t="str">
        <f aca="false">IFERROR(INDEX('Catalog'!$B:$B,MATCH($A222,'Catalog'!$A:$A,0)),"")</f>
        <v>48 XL מגן ברך מחמם</v>
      </c>
      <c r="C222" s="12" t="n">
        <f aca="false">SUMIFS('סופר פארם Raw'!$C$6:$C$771,'סופר פארם Raw'!$E$6:$E$771,$A222,'סופר פארם Raw'!$B$6:$B$771,2025)</f>
        <v>8</v>
      </c>
      <c r="D222" s="12" t="n">
        <f aca="false">SUMIFS('סופר פארם Raw'!$C$6:$C$771,'סופר פארם Raw'!$E$6:$E$771,$A222,'סופר פארם Raw'!$B$6:$B$771,2026)</f>
        <v>0</v>
      </c>
      <c r="E222" s="12" t="n">
        <f aca="false">D222*$J$5</f>
        <v>0</v>
      </c>
      <c r="F222" s="12" t="n">
        <f aca="false">E222-C222</f>
        <v>-8</v>
      </c>
      <c r="G222" s="21" t="n">
        <f aca="false">IF(AND(C222=0,E222=0),0,IF(C222=0,"New",(E222-C222)/C222))</f>
        <v>-1</v>
      </c>
      <c r="H222" s="12" t="n">
        <f aca="false">SUMIFS('סופר פארם Raw'!$D$6:$D$771,'סופר פארם Raw'!$E$6:$E$771,$A222,'סופר פארם Raw'!$B$6:$B$771,2025)</f>
        <v>389</v>
      </c>
      <c r="I222" s="12" t="n">
        <f aca="false">SUMIFS('סופר פארם Raw'!$D$6:$D$771,'סופר פארם Raw'!$E$6:$E$771,$A222,'סופר פארם Raw'!$B$6:$B$771,2026)</f>
        <v>0</v>
      </c>
      <c r="J222" s="12" t="n">
        <f aca="false">I222*$J$5</f>
        <v>0</v>
      </c>
    </row>
    <row r="223" customFormat="false" ht="15" hidden="false" customHeight="true" outlineLevel="0" collapsed="false">
      <c r="A223" s="12" t="n">
        <v>4413110</v>
      </c>
      <c r="B223" s="12" t="str">
        <f aca="false">IFERROR(INDEX('Catalog'!$B:$B,MATCH($A223,'Catalog'!$A:$A,0)),"")</f>
        <v>48 XXL מגן ברך מחמם</v>
      </c>
      <c r="C223" s="12" t="n">
        <f aca="false">SUMIFS('סופר פארם Raw'!$C$6:$C$771,'סופר פארם Raw'!$E$6:$E$771,$A223,'סופר פארם Raw'!$B$6:$B$771,2025)</f>
        <v>2</v>
      </c>
      <c r="D223" s="12" t="n">
        <f aca="false">SUMIFS('סופר פארם Raw'!$C$6:$C$771,'סופר פארם Raw'!$E$6:$E$771,$A223,'סופר פארם Raw'!$B$6:$B$771,2026)</f>
        <v>0</v>
      </c>
      <c r="E223" s="12" t="n">
        <f aca="false">D223*$J$5</f>
        <v>0</v>
      </c>
      <c r="F223" s="12" t="n">
        <f aca="false">E223-C223</f>
        <v>-2</v>
      </c>
      <c r="G223" s="21" t="n">
        <f aca="false">IF(AND(C223=0,E223=0),0,IF(C223=0,"New",(E223-C223)/C223))</f>
        <v>-1</v>
      </c>
      <c r="H223" s="12" t="n">
        <f aca="false">SUMIFS('סופר פארם Raw'!$D$6:$D$771,'סופר פארם Raw'!$E$6:$E$771,$A223,'סופר פארם Raw'!$B$6:$B$771,2025)</f>
        <v>97.2</v>
      </c>
      <c r="I223" s="12" t="n">
        <f aca="false">SUMIFS('סופר פארם Raw'!$D$6:$D$771,'סופר פארם Raw'!$E$6:$E$771,$A223,'סופר פארם Raw'!$B$6:$B$771,2026)</f>
        <v>0</v>
      </c>
      <c r="J223" s="12" t="n">
        <f aca="false">I223*$J$5</f>
        <v>0</v>
      </c>
    </row>
    <row r="224" customFormat="false" ht="15" hidden="false" customHeight="true" outlineLevel="0" collapsed="false">
      <c r="A224" s="12" t="n">
        <v>4413111</v>
      </c>
      <c r="B224" s="12" t="str">
        <f aca="false">IFERROR(INDEX('Catalog'!$B:$B,MATCH($A224,'Catalog'!$A:$A,0)),"")</f>
        <v>49  S מגן ירך</v>
      </c>
      <c r="C224" s="12" t="n">
        <f aca="false">SUMIFS('סופר פארם Raw'!$C$6:$C$771,'סופר פארם Raw'!$E$6:$E$771,$A224,'סופר פארם Raw'!$B$6:$B$771,2025)</f>
        <v>28</v>
      </c>
      <c r="D224" s="12" t="n">
        <f aca="false">SUMIFS('סופר פארם Raw'!$C$6:$C$771,'סופר פארם Raw'!$E$6:$E$771,$A224,'סופר פארם Raw'!$B$6:$B$771,2026)</f>
        <v>12</v>
      </c>
      <c r="E224" s="12" t="n">
        <f aca="false">D224*$J$5</f>
        <v>15.1578947368421</v>
      </c>
      <c r="F224" s="12" t="n">
        <f aca="false">E224-C224</f>
        <v>-12.8421052631579</v>
      </c>
      <c r="G224" s="21" t="n">
        <f aca="false">IF(AND(C224=0,E224=0),0,IF(C224=0,"New",(E224-C224)/C224))</f>
        <v>-0.458646616541353</v>
      </c>
      <c r="H224" s="12" t="n">
        <f aca="false">SUMIFS('סופר פארם Raw'!$D$6:$D$771,'סופר פארם Raw'!$E$6:$E$771,$A224,'סופר פארם Raw'!$B$6:$B$771,2025)</f>
        <v>799.1</v>
      </c>
      <c r="I224" s="12" t="n">
        <f aca="false">SUMIFS('סופר פארם Raw'!$D$6:$D$771,'סופר פארם Raw'!$E$6:$E$771,$A224,'סופר פארם Raw'!$B$6:$B$771,2026)</f>
        <v>354</v>
      </c>
      <c r="J224" s="12" t="n">
        <f aca="false">I224*$J$5</f>
        <v>447.157894736842</v>
      </c>
    </row>
    <row r="225" customFormat="false" ht="15" hidden="false" customHeight="true" outlineLevel="0" collapsed="false">
      <c r="A225" s="12" t="n">
        <v>4413112</v>
      </c>
      <c r="B225" s="12" t="str">
        <f aca="false">IFERROR(INDEX('Catalog'!$B:$B,MATCH($A225,'Catalog'!$A:$A,0)),"")</f>
        <v>49  L מגן ירך</v>
      </c>
      <c r="C225" s="12" t="n">
        <f aca="false">SUMIFS('סופר פארם Raw'!$C$6:$C$771,'סופר פארם Raw'!$E$6:$E$771,$A225,'סופר פארם Raw'!$B$6:$B$771,2025)</f>
        <v>82</v>
      </c>
      <c r="D225" s="12" t="n">
        <f aca="false">SUMIFS('סופר פארם Raw'!$C$6:$C$771,'סופר פארם Raw'!$E$6:$E$771,$A225,'סופר פארם Raw'!$B$6:$B$771,2026)</f>
        <v>29</v>
      </c>
      <c r="E225" s="12" t="n">
        <f aca="false">D225*$J$5</f>
        <v>36.6315789473684</v>
      </c>
      <c r="F225" s="12" t="n">
        <f aca="false">E225-C225</f>
        <v>-45.3684210526316</v>
      </c>
      <c r="G225" s="21" t="n">
        <f aca="false">IF(AND(C225=0,E225=0),0,IF(C225=0,"New",(E225-C225)/C225))</f>
        <v>-0.553273427471117</v>
      </c>
      <c r="H225" s="12" t="n">
        <f aca="false">SUMIFS('סופר פארם Raw'!$D$6:$D$771,'סופר פארם Raw'!$E$6:$E$771,$A225,'סופר פארם Raw'!$B$6:$B$771,2025)</f>
        <v>2334.2</v>
      </c>
      <c r="I225" s="12" t="n">
        <f aca="false">SUMIFS('סופר פארם Raw'!$D$6:$D$771,'סופר פארם Raw'!$E$6:$E$771,$A225,'סופר פארם Raw'!$B$6:$B$771,2026)</f>
        <v>832.4</v>
      </c>
      <c r="J225" s="12" t="n">
        <f aca="false">I225*$J$5</f>
        <v>1051.45263157895</v>
      </c>
    </row>
    <row r="226" customFormat="false" ht="15" hidden="false" customHeight="true" outlineLevel="0" collapsed="false">
      <c r="A226" s="12" t="n">
        <v>4413113</v>
      </c>
      <c r="B226" s="12" t="str">
        <f aca="false">IFERROR(INDEX('Catalog'!$B:$B,MATCH($A226,'Catalog'!$A:$A,0)),"")</f>
        <v>49  M מגן ירך</v>
      </c>
      <c r="C226" s="12" t="n">
        <f aca="false">SUMIFS('סופר פארם Raw'!$C$6:$C$771,'סופר פארם Raw'!$E$6:$E$771,$A226,'סופר פארם Raw'!$B$6:$B$771,2025)</f>
        <v>54</v>
      </c>
      <c r="D226" s="12" t="n">
        <f aca="false">SUMIFS('סופר פארם Raw'!$C$6:$C$771,'סופר פארם Raw'!$E$6:$E$771,$A226,'סופר פארם Raw'!$B$6:$B$771,2026)</f>
        <v>23</v>
      </c>
      <c r="E226" s="12" t="n">
        <f aca="false">D226*$J$5</f>
        <v>29.0526315789474</v>
      </c>
      <c r="F226" s="12" t="n">
        <f aca="false">E226-C226</f>
        <v>-24.9473684210526</v>
      </c>
      <c r="G226" s="21" t="n">
        <f aca="false">IF(AND(C226=0,E226=0),0,IF(C226=0,"New",(E226-C226)/C226))</f>
        <v>-0.461988304093567</v>
      </c>
      <c r="H226" s="12" t="n">
        <f aca="false">SUMIFS('סופר פארם Raw'!$D$6:$D$771,'סופר פארם Raw'!$E$6:$E$771,$A226,'סופר פארם Raw'!$B$6:$B$771,2025)</f>
        <v>1553.7</v>
      </c>
      <c r="I226" s="12" t="n">
        <f aca="false">SUMIFS('סופר פארם Raw'!$D$6:$D$771,'סופר פארם Raw'!$E$6:$E$771,$A226,'סופר פארם Raw'!$B$6:$B$771,2026)</f>
        <v>671.6</v>
      </c>
      <c r="J226" s="12" t="n">
        <f aca="false">I226*$J$5</f>
        <v>848.336842105263</v>
      </c>
    </row>
    <row r="227" customFormat="false" ht="15" hidden="false" customHeight="true" outlineLevel="0" collapsed="false">
      <c r="A227" s="12" t="n">
        <v>4413114</v>
      </c>
      <c r="B227" s="12" t="str">
        <f aca="false">IFERROR(INDEX('Catalog'!$B:$B,MATCH($A227,'Catalog'!$A:$A,0)),"")</f>
        <v>49 XL מגן ירך</v>
      </c>
      <c r="C227" s="12" t="n">
        <f aca="false">SUMIFS('סופר פארם Raw'!$C$6:$C$771,'סופר פארם Raw'!$E$6:$E$771,$A227,'סופר פארם Raw'!$B$6:$B$771,2025)</f>
        <v>53</v>
      </c>
      <c r="D227" s="12" t="n">
        <f aca="false">SUMIFS('סופר פארם Raw'!$C$6:$C$771,'סופר פארם Raw'!$E$6:$E$771,$A227,'סופר פארם Raw'!$B$6:$B$771,2026)</f>
        <v>37</v>
      </c>
      <c r="E227" s="12" t="n">
        <f aca="false">D227*$J$5</f>
        <v>46.7368421052632</v>
      </c>
      <c r="F227" s="12" t="n">
        <f aca="false">E227-C227</f>
        <v>-6.26315789473684</v>
      </c>
      <c r="G227" s="21" t="n">
        <f aca="false">IF(AND(C227=0,E227=0),0,IF(C227=0,"New",(E227-C227)/C227))</f>
        <v>-0.118172790466733</v>
      </c>
      <c r="H227" s="12" t="n">
        <f aca="false">SUMIFS('סופר פארם Raw'!$D$6:$D$771,'סופר פארם Raw'!$E$6:$E$771,$A227,'סופר פארם Raw'!$B$6:$B$771,2025)</f>
        <v>1513.6</v>
      </c>
      <c r="I227" s="12" t="n">
        <f aca="false">SUMIFS('סופר פארם Raw'!$D$6:$D$771,'סופר פארם Raw'!$E$6:$E$771,$A227,'סופר פארם Raw'!$B$6:$B$771,2026)</f>
        <v>1072.6</v>
      </c>
      <c r="J227" s="12" t="n">
        <f aca="false">I227*$J$5</f>
        <v>1354.86315789474</v>
      </c>
    </row>
    <row r="228" customFormat="false" ht="15" hidden="false" customHeight="true" outlineLevel="0" collapsed="false">
      <c r="A228" s="12" t="n">
        <v>4413115</v>
      </c>
      <c r="B228" s="12" t="str">
        <f aca="false">IFERROR(INDEX('Catalog'!$B:$B,MATCH($A228,'Catalog'!$A:$A,0)),"")</f>
        <v>49 XXL מגן ירך</v>
      </c>
      <c r="C228" s="12" t="n">
        <f aca="false">SUMIFS('סופר פארם Raw'!$C$6:$C$771,'סופר פארם Raw'!$E$6:$E$771,$A228,'סופר פארם Raw'!$B$6:$B$771,2025)</f>
        <v>1</v>
      </c>
      <c r="D228" s="12" t="n">
        <f aca="false">SUMIFS('סופר פארם Raw'!$C$6:$C$771,'סופר פארם Raw'!$E$6:$E$771,$A228,'סופר פארם Raw'!$B$6:$B$771,2026)</f>
        <v>2</v>
      </c>
      <c r="E228" s="12" t="n">
        <f aca="false">D228*$J$5</f>
        <v>2.52631578947368</v>
      </c>
      <c r="F228" s="12" t="n">
        <f aca="false">E228-C228</f>
        <v>1.52631578947368</v>
      </c>
      <c r="G228" s="21" t="n">
        <f aca="false">IF(AND(C228=0,E228=0),0,IF(C228=0,"New",(E228-C228)/C228))</f>
        <v>1.52631578947368</v>
      </c>
      <c r="H228" s="12" t="n">
        <f aca="false">SUMIFS('סופר פארם Raw'!$D$6:$D$771,'סופר פארם Raw'!$E$6:$E$771,$A228,'סופר פארם Raw'!$B$6:$B$771,2025)</f>
        <v>28.6</v>
      </c>
      <c r="I228" s="12" t="n">
        <f aca="false">SUMIFS('סופר פארם Raw'!$D$6:$D$771,'סופר פארם Raw'!$E$6:$E$771,$A228,'סופר פארם Raw'!$B$6:$B$771,2026)</f>
        <v>73.3</v>
      </c>
      <c r="J228" s="12" t="n">
        <f aca="false">I228*$J$5</f>
        <v>92.5894736842105</v>
      </c>
    </row>
    <row r="229" customFormat="false" ht="15" hidden="false" customHeight="true" outlineLevel="0" collapsed="false">
      <c r="A229" s="12" t="n">
        <v>4413117</v>
      </c>
      <c r="B229" s="12" t="str">
        <f aca="false">IFERROR(INDEX('Catalog'!$B:$B,MATCH($A229,'Catalog'!$A:$A,0)),"")</f>
        <v>50 L מתלה אשכים לאחר ניתוח</v>
      </c>
      <c r="C229" s="12" t="n">
        <f aca="false">SUMIFS('סופר פארם Raw'!$C$6:$C$771,'סופר פארם Raw'!$E$6:$E$771,$A229,'סופר פארם Raw'!$B$6:$B$771,2025)</f>
        <v>0</v>
      </c>
      <c r="D229" s="12" t="n">
        <f aca="false">SUMIFS('סופר פארם Raw'!$C$6:$C$771,'סופר פארם Raw'!$E$6:$E$771,$A229,'סופר פארם Raw'!$B$6:$B$771,2026)</f>
        <v>-1</v>
      </c>
      <c r="E229" s="12" t="n">
        <f aca="false">D229*$J$5</f>
        <v>-1.26315789473684</v>
      </c>
      <c r="F229" s="12" t="n">
        <f aca="false">E229-C229</f>
        <v>-1.26315789473684</v>
      </c>
      <c r="G229" s="21" t="str">
        <f aca="false">IF(AND(C229=0,E229=0),0,IF(C229=0,"New",(E229-C229)/C229))</f>
        <v>New</v>
      </c>
      <c r="H229" s="12" t="n">
        <f aca="false">SUMIFS('סופר פארם Raw'!$D$6:$D$771,'סופר פארם Raw'!$E$6:$E$771,$A229,'סופר פארם Raw'!$B$6:$B$771,2025)</f>
        <v>0</v>
      </c>
      <c r="I229" s="12" t="n">
        <f aca="false">SUMIFS('סופר פארם Raw'!$D$6:$D$771,'סופר פארם Raw'!$E$6:$E$771,$A229,'סופר פארם Raw'!$B$6:$B$771,2026)</f>
        <v>-96.8</v>
      </c>
      <c r="J229" s="12" t="n">
        <f aca="false">I229*$J$5</f>
        <v>-122.273684210526</v>
      </c>
    </row>
    <row r="230" customFormat="false" ht="15" hidden="false" customHeight="true" outlineLevel="0" collapsed="false">
      <c r="A230" s="12" t="n">
        <v>4413119</v>
      </c>
      <c r="B230" s="12" t="str">
        <f aca="false">IFERROR(INDEX('Catalog'!$B:$B,MATCH($A230,'Catalog'!$A:$A,0)),"")</f>
        <v>50 XL מתלה אשכים לאחר ניתוח</v>
      </c>
      <c r="C230" s="12" t="n">
        <f aca="false">SUMIFS('סופר פארם Raw'!$C$6:$C$771,'סופר פארם Raw'!$E$6:$E$771,$A230,'סופר פארם Raw'!$B$6:$B$771,2025)</f>
        <v>0</v>
      </c>
      <c r="D230" s="12" t="n">
        <f aca="false">SUMIFS('סופר פארם Raw'!$C$6:$C$771,'סופר פארם Raw'!$E$6:$E$771,$A230,'סופר פארם Raw'!$B$6:$B$771,2026)</f>
        <v>-1</v>
      </c>
      <c r="E230" s="12" t="n">
        <f aca="false">D230*$J$5</f>
        <v>-1.26315789473684</v>
      </c>
      <c r="F230" s="12" t="n">
        <f aca="false">E230-C230</f>
        <v>-1.26315789473684</v>
      </c>
      <c r="G230" s="21" t="str">
        <f aca="false">IF(AND(C230=0,E230=0),0,IF(C230=0,"New",(E230-C230)/C230))</f>
        <v>New</v>
      </c>
      <c r="H230" s="12" t="n">
        <f aca="false">SUMIFS('סופר פארם Raw'!$D$6:$D$771,'סופר פארם Raw'!$E$6:$E$771,$A230,'סופר פארם Raw'!$B$6:$B$771,2025)</f>
        <v>0</v>
      </c>
      <c r="I230" s="12" t="n">
        <f aca="false">SUMIFS('סופר פארם Raw'!$D$6:$D$771,'סופר פארם Raw'!$E$6:$E$771,$A230,'סופר פארם Raw'!$B$6:$B$771,2026)</f>
        <v>-96.8</v>
      </c>
      <c r="J230" s="12" t="n">
        <f aca="false">I230*$J$5</f>
        <v>-122.273684210526</v>
      </c>
    </row>
    <row r="231" customFormat="false" ht="15" hidden="false" customHeight="true" outlineLevel="0" collapsed="false">
      <c r="A231" s="12" t="n">
        <v>4413122</v>
      </c>
      <c r="B231" s="12" t="str">
        <f aca="false">IFERROR(INDEX('Catalog'!$B:$B,MATCH($A231,'Catalog'!$A:$A,0)),"")</f>
        <v>55 L מתלה אשכים לספורטאים</v>
      </c>
      <c r="C231" s="12" t="n">
        <f aca="false">SUMIFS('סופר פארם Raw'!$C$6:$C$771,'סופר פארם Raw'!$E$6:$E$771,$A231,'סופר פארם Raw'!$B$6:$B$771,2025)</f>
        <v>-1</v>
      </c>
      <c r="D231" s="12" t="n">
        <f aca="false">SUMIFS('סופר פארם Raw'!$C$6:$C$771,'סופר פארם Raw'!$E$6:$E$771,$A231,'סופר פארם Raw'!$B$6:$B$771,2026)</f>
        <v>0</v>
      </c>
      <c r="E231" s="12" t="n">
        <f aca="false">D231*$J$5</f>
        <v>0</v>
      </c>
      <c r="F231" s="12" t="n">
        <f aca="false">E231-C231</f>
        <v>1</v>
      </c>
      <c r="G231" s="21" t="n">
        <f aca="false">IF(AND(C231=0,E231=0),0,IF(C231=0,"New",(E231-C231)/C231))</f>
        <v>-1</v>
      </c>
      <c r="H231" s="12" t="n">
        <f aca="false">SUMIFS('סופר פארם Raw'!$D$6:$D$771,'סופר פארם Raw'!$E$6:$E$771,$A231,'סופר פארם Raw'!$B$6:$B$771,2025)</f>
        <v>-71.3</v>
      </c>
      <c r="I231" s="12" t="n">
        <f aca="false">SUMIFS('סופר פארם Raw'!$D$6:$D$771,'סופר פארם Raw'!$E$6:$E$771,$A231,'סופר פארם Raw'!$B$6:$B$771,2026)</f>
        <v>0</v>
      </c>
      <c r="J231" s="12" t="n">
        <f aca="false">I231*$J$5</f>
        <v>0</v>
      </c>
    </row>
    <row r="232" customFormat="false" ht="15" hidden="false" customHeight="true" outlineLevel="0" collapsed="false">
      <c r="A232" s="12" t="n">
        <v>4413126</v>
      </c>
      <c r="B232" s="12" t="str">
        <f aca="false">IFERROR(INDEX('Catalog'!$B:$B,MATCH($A232,'Catalog'!$A:$A,0)),"")</f>
        <v>75 Sמיישר כתף יציב יישור גב צר</v>
      </c>
      <c r="C232" s="12" t="n">
        <f aca="false">SUMIFS('סופר פארם Raw'!$C$6:$C$771,'סופר פארם Raw'!$E$6:$E$771,$A232,'סופר פארם Raw'!$B$6:$B$771,2025)</f>
        <v>18</v>
      </c>
      <c r="D232" s="12" t="n">
        <f aca="false">SUMIFS('סופר פארם Raw'!$C$6:$C$771,'סופר פארם Raw'!$E$6:$E$771,$A232,'סופר פארם Raw'!$B$6:$B$771,2026)</f>
        <v>14</v>
      </c>
      <c r="E232" s="12" t="n">
        <f aca="false">D232*$J$5</f>
        <v>17.6842105263158</v>
      </c>
      <c r="F232" s="12" t="n">
        <f aca="false">E232-C232</f>
        <v>-0.315789473684212</v>
      </c>
      <c r="G232" s="21" t="n">
        <f aca="false">IF(AND(C232=0,E232=0),0,IF(C232=0,"New",(E232-C232)/C232))</f>
        <v>-0.0175438596491229</v>
      </c>
      <c r="H232" s="12" t="n">
        <f aca="false">SUMIFS('סופר פארם Raw'!$D$6:$D$771,'סופר פארם Raw'!$E$6:$E$771,$A232,'סופר פארם Raw'!$B$6:$B$771,2025)</f>
        <v>2437.9</v>
      </c>
      <c r="I232" s="12" t="n">
        <f aca="false">SUMIFS('סופר פארם Raw'!$D$6:$D$771,'סופר פארם Raw'!$E$6:$E$771,$A232,'סופר פארם Raw'!$B$6:$B$771,2026)</f>
        <v>2567.5</v>
      </c>
      <c r="J232" s="12" t="n">
        <f aca="false">I232*$J$5</f>
        <v>3243.15789473684</v>
      </c>
    </row>
    <row r="233" customFormat="false" ht="15" hidden="false" customHeight="true" outlineLevel="0" collapsed="false">
      <c r="A233" s="12" t="n">
        <v>4413127</v>
      </c>
      <c r="B233" s="12" t="str">
        <f aca="false">IFERROR(INDEX('Catalog'!$B:$B,MATCH($A233,'Catalog'!$A:$A,0)),"")</f>
        <v>75 Lמיישר כתף יציב יישור גב צר</v>
      </c>
      <c r="C233" s="12" t="n">
        <f aca="false">SUMIFS('סופר פארם Raw'!$C$6:$C$771,'סופר פארם Raw'!$E$6:$E$771,$A233,'סופר פארם Raw'!$B$6:$B$771,2025)</f>
        <v>69</v>
      </c>
      <c r="D233" s="12" t="n">
        <f aca="false">SUMIFS('סופר פארם Raw'!$C$6:$C$771,'סופר פארם Raw'!$E$6:$E$771,$A233,'סופר פארם Raw'!$B$6:$B$771,2026)</f>
        <v>15</v>
      </c>
      <c r="E233" s="12" t="n">
        <f aca="false">D233*$J$5</f>
        <v>18.9473684210526</v>
      </c>
      <c r="F233" s="12" t="n">
        <f aca="false">E233-C233</f>
        <v>-50.0526315789474</v>
      </c>
      <c r="G233" s="21" t="n">
        <f aca="false">IF(AND(C233=0,E233=0),0,IF(C233=0,"New",(E233-C233)/C233))</f>
        <v>-0.725400457665904</v>
      </c>
      <c r="H233" s="12" t="n">
        <f aca="false">SUMIFS('סופר פארם Raw'!$D$6:$D$771,'סופר פארם Raw'!$E$6:$E$771,$A233,'סופר פארם Raw'!$B$6:$B$771,2025)</f>
        <v>9083.1</v>
      </c>
      <c r="I233" s="12" t="n">
        <f aca="false">SUMIFS('סופר פארם Raw'!$D$6:$D$771,'סופר פארם Raw'!$E$6:$E$771,$A233,'סופר פארם Raw'!$B$6:$B$771,2026)</f>
        <v>2067.3</v>
      </c>
      <c r="J233" s="12" t="n">
        <f aca="false">I233*$J$5</f>
        <v>2611.32631578947</v>
      </c>
    </row>
    <row r="234" customFormat="false" ht="15" hidden="false" customHeight="true" outlineLevel="0" collapsed="false">
      <c r="A234" s="12" t="n">
        <v>4413128</v>
      </c>
      <c r="B234" s="12" t="str">
        <f aca="false">IFERROR(INDEX('Catalog'!$B:$B,MATCH($A234,'Catalog'!$A:$A,0)),"")</f>
        <v>75 Mמיישר כתף יציב יישור גב צר</v>
      </c>
      <c r="C234" s="12" t="n">
        <f aca="false">SUMIFS('סופר פארם Raw'!$C$6:$C$771,'סופר פארם Raw'!$E$6:$E$771,$A234,'סופר פארם Raw'!$B$6:$B$771,2025)</f>
        <v>37</v>
      </c>
      <c r="D234" s="12" t="n">
        <f aca="false">SUMIFS('סופר פארם Raw'!$C$6:$C$771,'סופר פארם Raw'!$E$6:$E$771,$A234,'סופר פארם Raw'!$B$6:$B$771,2026)</f>
        <v>25</v>
      </c>
      <c r="E234" s="12" t="n">
        <f aca="false">D234*$J$5</f>
        <v>31.5789473684211</v>
      </c>
      <c r="F234" s="12" t="n">
        <f aca="false">E234-C234</f>
        <v>-5.42105263157895</v>
      </c>
      <c r="G234" s="21" t="n">
        <f aca="false">IF(AND(C234=0,E234=0),0,IF(C234=0,"New",(E234-C234)/C234))</f>
        <v>-0.14651493598862</v>
      </c>
      <c r="H234" s="12" t="n">
        <f aca="false">SUMIFS('סופר פארם Raw'!$D$6:$D$771,'סופר פארם Raw'!$E$6:$E$771,$A234,'סופר פארם Raw'!$B$6:$B$771,2025)</f>
        <v>4934.7</v>
      </c>
      <c r="I234" s="12" t="n">
        <f aca="false">SUMIFS('סופר פארם Raw'!$D$6:$D$771,'סופר פארם Raw'!$E$6:$E$771,$A234,'סופר פארם Raw'!$B$6:$B$771,2026)</f>
        <v>3475.1</v>
      </c>
      <c r="J234" s="12" t="n">
        <f aca="false">I234*$J$5</f>
        <v>4389.6</v>
      </c>
    </row>
    <row r="235" customFormat="false" ht="15" hidden="false" customHeight="true" outlineLevel="0" collapsed="false">
      <c r="A235" s="12" t="n">
        <v>4413129</v>
      </c>
      <c r="B235" s="12" t="str">
        <f aca="false">IFERROR(INDEX('Catalog'!$B:$B,MATCH($A235,'Catalog'!$A:$A,0)),"")</f>
        <v>75 XLמיישר כתף יציב יישור ג.צר</v>
      </c>
      <c r="C235" s="12" t="n">
        <f aca="false">SUMIFS('סופר פארם Raw'!$C$6:$C$771,'סופר פארם Raw'!$E$6:$E$771,$A235,'סופר פארם Raw'!$B$6:$B$771,2025)</f>
        <v>33</v>
      </c>
      <c r="D235" s="12" t="n">
        <f aca="false">SUMIFS('סופר פארם Raw'!$C$6:$C$771,'סופר פארם Raw'!$E$6:$E$771,$A235,'סופר פארם Raw'!$B$6:$B$771,2026)</f>
        <v>-1</v>
      </c>
      <c r="E235" s="12" t="n">
        <f aca="false">D235*$J$5</f>
        <v>-1.26315789473684</v>
      </c>
      <c r="F235" s="12" t="n">
        <f aca="false">E235-C235</f>
        <v>-34.2631578947368</v>
      </c>
      <c r="G235" s="21" t="n">
        <f aca="false">IF(AND(C235=0,E235=0),0,IF(C235=0,"New",(E235-C235)/C235))</f>
        <v>-1.03827751196172</v>
      </c>
      <c r="H235" s="12" t="n">
        <f aca="false">SUMIFS('סופר פארם Raw'!$D$6:$D$771,'סופר פארם Raw'!$E$6:$E$771,$A235,'סופר פארם Raw'!$B$6:$B$771,2025)</f>
        <v>4377.7</v>
      </c>
      <c r="I235" s="12" t="n">
        <f aca="false">SUMIFS('סופר פארם Raw'!$D$6:$D$771,'סופר פארם Raw'!$E$6:$E$771,$A235,'סופר פארם Raw'!$B$6:$B$771,2026)</f>
        <v>-67.6</v>
      </c>
      <c r="J235" s="12" t="n">
        <f aca="false">I235*$J$5</f>
        <v>-85.3894736842105</v>
      </c>
    </row>
    <row r="236" customFormat="false" ht="15" hidden="false" customHeight="true" outlineLevel="0" collapsed="false">
      <c r="A236" s="12" t="n">
        <v>4413130</v>
      </c>
      <c r="B236" s="12" t="str">
        <f aca="false">IFERROR(INDEX('Catalog'!$B:$B,MATCH($A236,'Catalog'!$A:$A,0)),"")</f>
        <v>75  XXL מיישר כתף יציב ישור צר</v>
      </c>
      <c r="C236" s="12" t="n">
        <f aca="false">SUMIFS('סופר פארם Raw'!$C$6:$C$771,'סופר פארם Raw'!$E$6:$E$771,$A236,'סופר פארם Raw'!$B$6:$B$771,2025)</f>
        <v>-2</v>
      </c>
      <c r="D236" s="12" t="n">
        <f aca="false">SUMIFS('סופר פארם Raw'!$C$6:$C$771,'סופר פארם Raw'!$E$6:$E$771,$A236,'סופר פארם Raw'!$B$6:$B$771,2026)</f>
        <v>-1</v>
      </c>
      <c r="E236" s="12" t="n">
        <f aca="false">D236*$J$5</f>
        <v>-1.26315789473684</v>
      </c>
      <c r="F236" s="12" t="n">
        <f aca="false">E236-C236</f>
        <v>0.736842105263158</v>
      </c>
      <c r="G236" s="21" t="n">
        <f aca="false">IF(AND(C236=0,E236=0),0,IF(C236=0,"New",(E236-C236)/C236))</f>
        <v>-0.368421052631579</v>
      </c>
      <c r="H236" s="12" t="n">
        <f aca="false">SUMIFS('סופר פארם Raw'!$D$6:$D$771,'סופר פארם Raw'!$E$6:$E$771,$A236,'סופר פארם Raw'!$B$6:$B$771,2025)</f>
        <v>-262.1</v>
      </c>
      <c r="I236" s="12" t="n">
        <f aca="false">SUMIFS('סופר פארם Raw'!$D$6:$D$771,'סופר פארם Raw'!$E$6:$E$771,$A236,'סופר פארם Raw'!$B$6:$B$771,2026)</f>
        <v>-131.1</v>
      </c>
      <c r="J236" s="12" t="n">
        <f aca="false">I236*$J$5</f>
        <v>-165.6</v>
      </c>
    </row>
    <row r="237" customFormat="false" ht="15" hidden="false" customHeight="true" outlineLevel="0" collapsed="false">
      <c r="A237" s="12" t="n">
        <v>4413131</v>
      </c>
      <c r="B237" s="12" t="str">
        <f aca="false">IFERROR(INDEX('Catalog'!$B:$B,MATCH($A237,'Catalog'!$A:$A,0)),"")</f>
        <v>76 Sמיישר כתף יציב יישור ג.רחב</v>
      </c>
      <c r="C237" s="12" t="n">
        <f aca="false">SUMIFS('סופר פארם Raw'!$C$6:$C$771,'סופר פארם Raw'!$E$6:$E$771,$A237,'סופר פארם Raw'!$B$6:$B$771,2025)</f>
        <v>4</v>
      </c>
      <c r="D237" s="12" t="n">
        <f aca="false">SUMIFS('סופר פארם Raw'!$C$6:$C$771,'סופר פארם Raw'!$E$6:$E$771,$A237,'סופר פארם Raw'!$B$6:$B$771,2026)</f>
        <v>1</v>
      </c>
      <c r="E237" s="12" t="n">
        <f aca="false">D237*$J$5</f>
        <v>1.26315789473684</v>
      </c>
      <c r="F237" s="12" t="n">
        <f aca="false">E237-C237</f>
        <v>-2.73684210526316</v>
      </c>
      <c r="G237" s="21" t="n">
        <f aca="false">IF(AND(C237=0,E237=0),0,IF(C237=0,"New",(E237-C237)/C237))</f>
        <v>-0.68421052631579</v>
      </c>
      <c r="H237" s="12" t="n">
        <f aca="false">SUMIFS('סופר פארם Raw'!$D$6:$D$771,'סופר פארם Raw'!$E$6:$E$771,$A237,'סופר פארם Raw'!$B$6:$B$771,2025)</f>
        <v>655.3</v>
      </c>
      <c r="I237" s="12" t="n">
        <f aca="false">SUMIFS('סופר פארם Raw'!$D$6:$D$771,'סופר פארם Raw'!$E$6:$E$771,$A237,'סופר פארם Raw'!$B$6:$B$771,2026)</f>
        <v>163.8</v>
      </c>
      <c r="J237" s="12" t="n">
        <f aca="false">I237*$J$5</f>
        <v>206.905263157895</v>
      </c>
    </row>
    <row r="238" customFormat="false" ht="15" hidden="false" customHeight="true" outlineLevel="0" collapsed="false">
      <c r="A238" s="12" t="n">
        <v>4413132</v>
      </c>
      <c r="B238" s="12" t="str">
        <f aca="false">IFERROR(INDEX('Catalog'!$B:$B,MATCH($A238,'Catalog'!$A:$A,0)),"")</f>
        <v>76 Lמיישר כתף יציב יישור רחב</v>
      </c>
      <c r="C238" s="12" t="n">
        <f aca="false">SUMIFS('סופר פארם Raw'!$C$6:$C$771,'סופר פארם Raw'!$E$6:$E$771,$A238,'סופר פארם Raw'!$B$6:$B$771,2025)</f>
        <v>6</v>
      </c>
      <c r="D238" s="12" t="n">
        <f aca="false">SUMIFS('סופר פארם Raw'!$C$6:$C$771,'סופר פארם Raw'!$E$6:$E$771,$A238,'סופר פארם Raw'!$B$6:$B$771,2026)</f>
        <v>5</v>
      </c>
      <c r="E238" s="12" t="n">
        <f aca="false">D238*$J$5</f>
        <v>6.31578947368421</v>
      </c>
      <c r="F238" s="12" t="n">
        <f aca="false">E238-C238</f>
        <v>0.315789473684211</v>
      </c>
      <c r="G238" s="21" t="n">
        <f aca="false">IF(AND(C238=0,E238=0),0,IF(C238=0,"New",(E238-C238)/C238))</f>
        <v>0.0526315789473684</v>
      </c>
      <c r="H238" s="12" t="n">
        <f aca="false">SUMIFS('סופר פארם Raw'!$D$6:$D$771,'סופר פארם Raw'!$E$6:$E$771,$A238,'סופר פארם Raw'!$B$6:$B$771,2025)</f>
        <v>983</v>
      </c>
      <c r="I238" s="12" t="n">
        <f aca="false">SUMIFS('סופר פארם Raw'!$D$6:$D$771,'סופר פארם Raw'!$E$6:$E$771,$A238,'סופר פארם Raw'!$B$6:$B$771,2026)</f>
        <v>829</v>
      </c>
      <c r="J238" s="12" t="n">
        <f aca="false">I238*$J$5</f>
        <v>1047.15789473684</v>
      </c>
    </row>
    <row r="239" customFormat="false" ht="15" hidden="false" customHeight="true" outlineLevel="0" collapsed="false">
      <c r="A239" s="12" t="n">
        <v>4413133</v>
      </c>
      <c r="B239" s="12" t="str">
        <f aca="false">IFERROR(INDEX('Catalog'!$B:$B,MATCH($A239,'Catalog'!$A:$A,0)),"")</f>
        <v>76 Mמיישר כתף יציב,יישור רחב</v>
      </c>
      <c r="C239" s="12" t="n">
        <f aca="false">SUMIFS('סופר פארם Raw'!$C$6:$C$771,'סופר פארם Raw'!$E$6:$E$771,$A239,'סופר פארם Raw'!$B$6:$B$771,2025)</f>
        <v>10</v>
      </c>
      <c r="D239" s="12" t="n">
        <f aca="false">SUMIFS('סופר פארם Raw'!$C$6:$C$771,'סופר פארם Raw'!$E$6:$E$771,$A239,'סופר פארם Raw'!$B$6:$B$771,2026)</f>
        <v>12</v>
      </c>
      <c r="E239" s="12" t="n">
        <f aca="false">D239*$J$5</f>
        <v>15.1578947368421</v>
      </c>
      <c r="F239" s="12" t="n">
        <f aca="false">E239-C239</f>
        <v>5.1578947368421</v>
      </c>
      <c r="G239" s="21" t="n">
        <f aca="false">IF(AND(C239=0,E239=0),0,IF(C239=0,"New",(E239-C239)/C239))</f>
        <v>0.515789473684211</v>
      </c>
      <c r="H239" s="12" t="n">
        <f aca="false">SUMIFS('סופר פארם Raw'!$D$6:$D$771,'סופר פארם Raw'!$E$6:$E$771,$A239,'סופר פארם Raw'!$B$6:$B$771,2025)</f>
        <v>1638.4</v>
      </c>
      <c r="I239" s="12" t="n">
        <f aca="false">SUMIFS('סופר פארם Raw'!$D$6:$D$771,'סופר פארם Raw'!$E$6:$E$771,$A239,'סופר פארם Raw'!$B$6:$B$771,2026)</f>
        <v>2060.7</v>
      </c>
      <c r="J239" s="12" t="n">
        <f aca="false">I239*$J$5</f>
        <v>2602.98947368421</v>
      </c>
    </row>
    <row r="240" customFormat="false" ht="15" hidden="false" customHeight="true" outlineLevel="0" collapsed="false">
      <c r="A240" s="12" t="n">
        <v>4413134</v>
      </c>
      <c r="B240" s="12" t="str">
        <f aca="false">IFERROR(INDEX('Catalog'!$B:$B,MATCH($A240,'Catalog'!$A:$A,0)),"")</f>
        <v>76 XLמיישר כתף יציב יישור רחב</v>
      </c>
      <c r="C240" s="12" t="n">
        <f aca="false">SUMIFS('סופר פארם Raw'!$C$6:$C$771,'סופר פארם Raw'!$E$6:$E$771,$A240,'סופר פארם Raw'!$B$6:$B$771,2025)</f>
        <v>2</v>
      </c>
      <c r="D240" s="12" t="n">
        <f aca="false">SUMIFS('סופר פארם Raw'!$C$6:$C$771,'סופר פארם Raw'!$E$6:$E$771,$A240,'סופר פארם Raw'!$B$6:$B$771,2026)</f>
        <v>9</v>
      </c>
      <c r="E240" s="12" t="n">
        <f aca="false">D240*$J$5</f>
        <v>11.3684210526316</v>
      </c>
      <c r="F240" s="12" t="n">
        <f aca="false">E240-C240</f>
        <v>9.36842105263158</v>
      </c>
      <c r="G240" s="21" t="n">
        <f aca="false">IF(AND(C240=0,E240=0),0,IF(C240=0,"New",(E240-C240)/C240))</f>
        <v>4.68421052631579</v>
      </c>
      <c r="H240" s="12" t="n">
        <f aca="false">SUMIFS('סופר פארם Raw'!$D$6:$D$771,'סופר פארם Raw'!$E$6:$E$771,$A240,'סופר פארם Raw'!$B$6:$B$771,2025)</f>
        <v>327.7</v>
      </c>
      <c r="I240" s="12" t="n">
        <f aca="false">SUMIFS('סופר פארם Raw'!$D$6:$D$771,'סופר פארם Raw'!$E$6:$E$771,$A240,'סופר פארם Raw'!$B$6:$B$771,2026)</f>
        <v>1622.9</v>
      </c>
      <c r="J240" s="12" t="n">
        <f aca="false">I240*$J$5</f>
        <v>2049.97894736842</v>
      </c>
    </row>
    <row r="241" customFormat="false" ht="15" hidden="false" customHeight="true" outlineLevel="0" collapsed="false">
      <c r="A241" s="12" t="n">
        <v>4413135</v>
      </c>
      <c r="B241" s="12" t="str">
        <f aca="false">IFERROR(INDEX('Catalog'!$B:$B,MATCH($A241,'Catalog'!$A:$A,0)),"")</f>
        <v>85 L (מתלה ליד )כיס</v>
      </c>
      <c r="C241" s="12" t="n">
        <f aca="false">SUMIFS('סופר פארם Raw'!$C$6:$C$771,'סופר פארם Raw'!$E$6:$E$771,$A241,'סופר פארם Raw'!$B$6:$B$771,2025)</f>
        <v>721</v>
      </c>
      <c r="D241" s="12" t="n">
        <f aca="false">SUMIFS('סופר פארם Raw'!$C$6:$C$771,'סופר פארם Raw'!$E$6:$E$771,$A241,'סופר פארם Raw'!$B$6:$B$771,2026)</f>
        <v>465</v>
      </c>
      <c r="E241" s="12" t="n">
        <f aca="false">D241*$J$5</f>
        <v>587.368421052632</v>
      </c>
      <c r="F241" s="12" t="n">
        <f aca="false">E241-C241</f>
        <v>-133.631578947368</v>
      </c>
      <c r="G241" s="21" t="n">
        <f aca="false">IF(AND(C241=0,E241=0),0,IF(C241=0,"New",(E241-C241)/C241))</f>
        <v>-0.185341995766114</v>
      </c>
      <c r="H241" s="12" t="n">
        <f aca="false">SUMIFS('סופר פארם Raw'!$D$6:$D$771,'סופר פארם Raw'!$E$6:$E$771,$A241,'סופר פארם Raw'!$B$6:$B$771,2025)</f>
        <v>35030.1</v>
      </c>
      <c r="I241" s="12" t="n">
        <f aca="false">SUMIFS('סופר פארם Raw'!$D$6:$D$771,'סופר פארם Raw'!$E$6:$E$771,$A241,'סופר פארם Raw'!$B$6:$B$771,2026)</f>
        <v>22591.8</v>
      </c>
      <c r="J241" s="12" t="n">
        <f aca="false">I241*$J$5</f>
        <v>28537.0105263158</v>
      </c>
    </row>
    <row r="242" customFormat="false" ht="15" hidden="false" customHeight="true" outlineLevel="0" collapsed="false">
      <c r="A242" s="12" t="n">
        <v>4413136</v>
      </c>
      <c r="B242" s="12" t="str">
        <f aca="false">IFERROR(INDEX('Catalog'!$B:$B,MATCH($A242,'Catalog'!$A:$A,0)),"")</f>
        <v>85 M (מתלה ליד )כיס</v>
      </c>
      <c r="C242" s="12" t="n">
        <f aca="false">SUMIFS('סופר פארם Raw'!$C$6:$C$771,'סופר פארם Raw'!$E$6:$E$771,$A242,'סופר פארם Raw'!$B$6:$B$771,2025)</f>
        <v>650</v>
      </c>
      <c r="D242" s="12" t="n">
        <f aca="false">SUMIFS('סופר פארם Raw'!$C$6:$C$771,'סופר פארם Raw'!$E$6:$E$771,$A242,'סופר פארם Raw'!$B$6:$B$771,2026)</f>
        <v>446</v>
      </c>
      <c r="E242" s="12" t="n">
        <f aca="false">D242*$J$5</f>
        <v>563.368421052632</v>
      </c>
      <c r="F242" s="12" t="n">
        <f aca="false">E242-C242</f>
        <v>-86.6315789473684</v>
      </c>
      <c r="G242" s="21" t="n">
        <f aca="false">IF(AND(C242=0,E242=0),0,IF(C242=0,"New",(E242-C242)/C242))</f>
        <v>-0.133279352226721</v>
      </c>
      <c r="H242" s="12" t="n">
        <f aca="false">SUMIFS('סופר פארם Raw'!$D$6:$D$771,'סופר פארם Raw'!$E$6:$E$771,$A242,'סופר פארם Raw'!$B$6:$B$771,2025)</f>
        <v>31572.4</v>
      </c>
      <c r="I242" s="12" t="n">
        <f aca="false">SUMIFS('סופר פארם Raw'!$D$6:$D$771,'סופר פארם Raw'!$E$6:$E$771,$A242,'סופר פארם Raw'!$B$6:$B$771,2026)</f>
        <v>21661.6</v>
      </c>
      <c r="J242" s="12" t="n">
        <f aca="false">I242*$J$5</f>
        <v>27362.0210526316</v>
      </c>
    </row>
    <row r="243" customFormat="false" ht="15" hidden="false" customHeight="true" outlineLevel="0" collapsed="false">
      <c r="A243" s="12" t="n">
        <v>4413137</v>
      </c>
      <c r="B243" s="12" t="str">
        <f aca="false">IFERROR(INDEX('Catalog'!$B:$B,MATCH($A243,'Catalog'!$A:$A,0)),"")</f>
        <v>85 S (מתלה ליד )כיס</v>
      </c>
      <c r="C243" s="12" t="n">
        <f aca="false">SUMIFS('סופר פארם Raw'!$C$6:$C$771,'סופר פארם Raw'!$E$6:$E$771,$A243,'סופר פארם Raw'!$B$6:$B$771,2025)</f>
        <v>329</v>
      </c>
      <c r="D243" s="12" t="n">
        <f aca="false">SUMIFS('סופר פארם Raw'!$C$6:$C$771,'סופר פארם Raw'!$E$6:$E$771,$A243,'סופר פארם Raw'!$B$6:$B$771,2026)</f>
        <v>207</v>
      </c>
      <c r="E243" s="12" t="n">
        <f aca="false">D243*$J$5</f>
        <v>261.473684210526</v>
      </c>
      <c r="F243" s="12" t="n">
        <f aca="false">E243-C243</f>
        <v>-67.5263157894737</v>
      </c>
      <c r="G243" s="21" t="n">
        <f aca="false">IF(AND(C243=0,E243=0),0,IF(C243=0,"New",(E243-C243)/C243))</f>
        <v>-0.205247160454327</v>
      </c>
      <c r="H243" s="12" t="n">
        <f aca="false">SUMIFS('סופר פארם Raw'!$D$6:$D$771,'סופר פארם Raw'!$E$6:$E$771,$A243,'סופר פארם Raw'!$B$6:$B$771,2025)</f>
        <v>16012.6</v>
      </c>
      <c r="I243" s="12" t="n">
        <f aca="false">SUMIFS('סופר פארם Raw'!$D$6:$D$771,'סופר פארם Raw'!$E$6:$E$771,$A243,'סופר פארם Raw'!$B$6:$B$771,2026)</f>
        <v>10075.8</v>
      </c>
      <c r="J243" s="12" t="n">
        <f aca="false">I243*$J$5</f>
        <v>12727.3263157895</v>
      </c>
    </row>
    <row r="244" customFormat="false" ht="15" hidden="false" customHeight="true" outlineLevel="0" collapsed="false">
      <c r="A244" s="12" t="n">
        <v>4413138</v>
      </c>
      <c r="B244" s="12" t="str">
        <f aca="false">IFERROR(INDEX('Catalog'!$B:$B,MATCH($A244,'Catalog'!$A:$A,0)),"")</f>
        <v>85 XL (מתלה ליד )כיס</v>
      </c>
      <c r="C244" s="12" t="n">
        <f aca="false">SUMIFS('סופר פארם Raw'!$C$6:$C$771,'סופר פארם Raw'!$E$6:$E$771,$A244,'סופר פארם Raw'!$B$6:$B$771,2025)</f>
        <v>370</v>
      </c>
      <c r="D244" s="12" t="n">
        <f aca="false">SUMIFS('סופר פארם Raw'!$C$6:$C$771,'סופר פארם Raw'!$E$6:$E$771,$A244,'סופר פארם Raw'!$B$6:$B$771,2026)</f>
        <v>263</v>
      </c>
      <c r="E244" s="12" t="n">
        <f aca="false">D244*$J$5</f>
        <v>332.21052631579</v>
      </c>
      <c r="F244" s="12" t="n">
        <f aca="false">E244-C244</f>
        <v>-37.7894736842105</v>
      </c>
      <c r="G244" s="21" t="n">
        <f aca="false">IF(AND(C244=0,E244=0),0,IF(C244=0,"New",(E244-C244)/C244))</f>
        <v>-0.102133712660028</v>
      </c>
      <c r="H244" s="12" t="n">
        <f aca="false">SUMIFS('סופר פארם Raw'!$D$6:$D$771,'סופר פארם Raw'!$E$6:$E$771,$A244,'סופר פארם Raw'!$B$6:$B$771,2025)</f>
        <v>17970.4</v>
      </c>
      <c r="I244" s="12" t="n">
        <f aca="false">SUMIFS('סופר פארם Raw'!$D$6:$D$771,'סופר פארם Raw'!$E$6:$E$771,$A244,'סופר פארם Raw'!$B$6:$B$771,2026)</f>
        <v>12792.9</v>
      </c>
      <c r="J244" s="12" t="n">
        <f aca="false">I244*$J$5</f>
        <v>16159.4526315789</v>
      </c>
    </row>
    <row r="245" customFormat="false" ht="15" hidden="false" customHeight="true" outlineLevel="0" collapsed="false">
      <c r="A245" s="12" t="n">
        <v>4413139</v>
      </c>
      <c r="B245" s="12" t="str">
        <f aca="false">IFERROR(INDEX('Catalog'!$B:$B,MATCH($A245,'Catalog'!$A:$A,0)),"")</f>
        <v>95 L מגן מרפק רגיל לבן</v>
      </c>
      <c r="C245" s="12" t="n">
        <f aca="false">SUMIFS('סופר פארם Raw'!$C$6:$C$771,'סופר פארם Raw'!$E$6:$E$771,$A245,'סופר פארם Raw'!$B$6:$B$771,2025)</f>
        <v>410</v>
      </c>
      <c r="D245" s="12" t="n">
        <f aca="false">SUMIFS('סופר פארם Raw'!$C$6:$C$771,'סופר פארם Raw'!$E$6:$E$771,$A245,'סופר פארם Raw'!$B$6:$B$771,2026)</f>
        <v>214</v>
      </c>
      <c r="E245" s="12" t="n">
        <f aca="false">D245*$J$5</f>
        <v>270.315789473684</v>
      </c>
      <c r="F245" s="12" t="n">
        <f aca="false">E245-C245</f>
        <v>-139.684210526316</v>
      </c>
      <c r="G245" s="21" t="n">
        <f aca="false">IF(AND(C245=0,E245=0),0,IF(C245=0,"New",(E245-C245)/C245))</f>
        <v>-0.340693196405648</v>
      </c>
      <c r="H245" s="12" t="n">
        <f aca="false">SUMIFS('סופר פארם Raw'!$D$6:$D$771,'סופר פארם Raw'!$E$6:$E$771,$A245,'סופר פארם Raw'!$B$6:$B$771,2025)</f>
        <v>10557.7</v>
      </c>
      <c r="I245" s="12" t="n">
        <f aca="false">SUMIFS('סופר פארם Raw'!$D$6:$D$771,'סופר פארם Raw'!$E$6:$E$771,$A245,'סופר פארם Raw'!$B$6:$B$771,2026)</f>
        <v>5553.6</v>
      </c>
      <c r="J245" s="12" t="n">
        <f aca="false">I245*$J$5</f>
        <v>7015.07368421053</v>
      </c>
    </row>
    <row r="246" customFormat="false" ht="15" hidden="false" customHeight="true" outlineLevel="0" collapsed="false">
      <c r="A246" s="12" t="n">
        <v>4413140</v>
      </c>
      <c r="B246" s="12" t="str">
        <f aca="false">IFERROR(INDEX('Catalog'!$B:$B,MATCH($A246,'Catalog'!$A:$A,0)),"")</f>
        <v>95 M מגן מרפק רגיל לבן</v>
      </c>
      <c r="C246" s="12" t="n">
        <f aca="false">SUMIFS('סופר פארם Raw'!$C$6:$C$771,'סופר פארם Raw'!$E$6:$E$771,$A246,'סופר פארם Raw'!$B$6:$B$771,2025)</f>
        <v>555</v>
      </c>
      <c r="D246" s="12" t="n">
        <f aca="false">SUMIFS('סופר פארם Raw'!$C$6:$C$771,'סופר פארם Raw'!$E$6:$E$771,$A246,'סופר פארם Raw'!$B$6:$B$771,2026)</f>
        <v>332</v>
      </c>
      <c r="E246" s="12" t="n">
        <f aca="false">D246*$J$5</f>
        <v>419.368421052632</v>
      </c>
      <c r="F246" s="12" t="n">
        <f aca="false">E246-C246</f>
        <v>-135.631578947368</v>
      </c>
      <c r="G246" s="21" t="n">
        <f aca="false">IF(AND(C246=0,E246=0),0,IF(C246=0,"New",(E246-C246)/C246))</f>
        <v>-0.244381223328592</v>
      </c>
      <c r="H246" s="12" t="n">
        <f aca="false">SUMIFS('סופר פארם Raw'!$D$6:$D$771,'סופר פארם Raw'!$E$6:$E$771,$A246,'סופר פארם Raw'!$B$6:$B$771,2025)</f>
        <v>14270.6</v>
      </c>
      <c r="I246" s="12" t="n">
        <f aca="false">SUMIFS('סופר פארם Raw'!$D$6:$D$771,'סופר פארם Raw'!$E$6:$E$771,$A246,'סופר פארם Raw'!$B$6:$B$771,2026)</f>
        <v>8613.6</v>
      </c>
      <c r="J246" s="12" t="n">
        <f aca="false">I246*$J$5</f>
        <v>10880.3368421053</v>
      </c>
    </row>
    <row r="247" customFormat="false" ht="15" hidden="false" customHeight="true" outlineLevel="0" collapsed="false">
      <c r="A247" s="12" t="n">
        <v>4413141</v>
      </c>
      <c r="B247" s="12" t="str">
        <f aca="false">IFERROR(INDEX('Catalog'!$B:$B,MATCH($A247,'Catalog'!$A:$A,0)),"")</f>
        <v>95 S מגן מרפק רגיל לבן</v>
      </c>
      <c r="C247" s="12" t="n">
        <f aca="false">SUMIFS('סופר פארם Raw'!$C$6:$C$771,'סופר פארם Raw'!$E$6:$E$771,$A247,'סופר פארם Raw'!$B$6:$B$771,2025)</f>
        <v>391</v>
      </c>
      <c r="D247" s="12" t="n">
        <f aca="false">SUMIFS('סופר פארם Raw'!$C$6:$C$771,'סופר פארם Raw'!$E$6:$E$771,$A247,'סופר פארם Raw'!$B$6:$B$771,2026)</f>
        <v>229</v>
      </c>
      <c r="E247" s="12" t="n">
        <f aca="false">D247*$J$5</f>
        <v>289.263157894737</v>
      </c>
      <c r="F247" s="12" t="n">
        <f aca="false">E247-C247</f>
        <v>-101.736842105263</v>
      </c>
      <c r="G247" s="21" t="n">
        <f aca="false">IF(AND(C247=0,E247=0),0,IF(C247=0,"New",(E247-C247)/C247))</f>
        <v>-0.260196527123435</v>
      </c>
      <c r="H247" s="12" t="n">
        <f aca="false">SUMIFS('סופר פארם Raw'!$D$6:$D$771,'סופר פארם Raw'!$E$6:$E$771,$A247,'סופר פארם Raw'!$B$6:$B$771,2025)</f>
        <v>10058</v>
      </c>
      <c r="I247" s="12" t="n">
        <f aca="false">SUMIFS('סופר פארם Raw'!$D$6:$D$771,'סופר פארם Raw'!$E$6:$E$771,$A247,'סופר פארם Raw'!$B$6:$B$771,2026)</f>
        <v>5945</v>
      </c>
      <c r="J247" s="12" t="n">
        <f aca="false">I247*$J$5</f>
        <v>7509.47368421053</v>
      </c>
    </row>
    <row r="248" customFormat="false" ht="15" hidden="false" customHeight="true" outlineLevel="0" collapsed="false">
      <c r="A248" s="12" t="n">
        <v>4413142</v>
      </c>
      <c r="B248" s="12" t="str">
        <f aca="false">IFERROR(INDEX('Catalog'!$B:$B,MATCH($A248,'Catalog'!$A:$A,0)),"")</f>
        <v>95 XL מגן מרפק רגיל לבן</v>
      </c>
      <c r="C248" s="12" t="n">
        <f aca="false">SUMIFS('סופר פארם Raw'!$C$6:$C$771,'סופר פארם Raw'!$E$6:$E$771,$A248,'סופר פארם Raw'!$B$6:$B$771,2025)</f>
        <v>205</v>
      </c>
      <c r="D248" s="12" t="n">
        <f aca="false">SUMIFS('סופר פארם Raw'!$C$6:$C$771,'סופר פארם Raw'!$E$6:$E$771,$A248,'סופר פארם Raw'!$B$6:$B$771,2026)</f>
        <v>99</v>
      </c>
      <c r="E248" s="12" t="n">
        <f aca="false">D248*$J$5</f>
        <v>125.052631578947</v>
      </c>
      <c r="F248" s="12" t="n">
        <f aca="false">E248-C248</f>
        <v>-79.9473684210526</v>
      </c>
      <c r="G248" s="21" t="n">
        <f aca="false">IF(AND(C248=0,E248=0),0,IF(C248=0,"New",(E248-C248)/C248))</f>
        <v>-0.389987163029525</v>
      </c>
      <c r="H248" s="12" t="n">
        <f aca="false">SUMIFS('סופר פארם Raw'!$D$6:$D$771,'סופר פארם Raw'!$E$6:$E$771,$A248,'סופר פארם Raw'!$B$6:$B$771,2025)</f>
        <v>5281.3</v>
      </c>
      <c r="I248" s="12" t="n">
        <f aca="false">SUMIFS('סופר פארם Raw'!$D$6:$D$771,'סופר פארם Raw'!$E$6:$E$771,$A248,'סופר פארם Raw'!$B$6:$B$771,2026)</f>
        <v>2595.5</v>
      </c>
      <c r="J248" s="12" t="n">
        <f aca="false">I248*$J$5</f>
        <v>3278.52631578947</v>
      </c>
    </row>
    <row r="249" customFormat="false" ht="15" hidden="false" customHeight="true" outlineLevel="0" collapsed="false">
      <c r="A249" s="12" t="n">
        <v>4413143</v>
      </c>
      <c r="B249" s="12" t="str">
        <f aca="false">IFERROR(INDEX('Catalog'!$B:$B,MATCH($A249,'Catalog'!$A:$A,0)),"")</f>
        <v>95 XS מגן מרפק רגיל לבן</v>
      </c>
      <c r="C249" s="12" t="n">
        <f aca="false">SUMIFS('סופר פארם Raw'!$C$6:$C$771,'סופר פארם Raw'!$E$6:$E$771,$A249,'סופר פארם Raw'!$B$6:$B$771,2025)</f>
        <v>37</v>
      </c>
      <c r="D249" s="12" t="n">
        <f aca="false">SUMIFS('סופר פארם Raw'!$C$6:$C$771,'סופר פארם Raw'!$E$6:$E$771,$A249,'סופר פארם Raw'!$B$6:$B$771,2026)</f>
        <v>32</v>
      </c>
      <c r="E249" s="12" t="n">
        <f aca="false">D249*$J$5</f>
        <v>40.4210526315789</v>
      </c>
      <c r="F249" s="12" t="n">
        <f aca="false">E249-C249</f>
        <v>3.42105263157895</v>
      </c>
      <c r="G249" s="21" t="n">
        <f aca="false">IF(AND(C249=0,E249=0),0,IF(C249=0,"New",(E249-C249)/C249))</f>
        <v>0.0924608819345661</v>
      </c>
      <c r="H249" s="12" t="n">
        <f aca="false">SUMIFS('סופר פארם Raw'!$D$6:$D$771,'סופר פארם Raw'!$E$6:$E$771,$A249,'סופר פארם Raw'!$B$6:$B$771,2025)</f>
        <v>953.5</v>
      </c>
      <c r="I249" s="12" t="n">
        <f aca="false">SUMIFS('סופר פארם Raw'!$D$6:$D$771,'סופר פארם Raw'!$E$6:$E$771,$A249,'סופר פארם Raw'!$B$6:$B$771,2026)</f>
        <v>832.7</v>
      </c>
      <c r="J249" s="12" t="n">
        <f aca="false">I249*$J$5</f>
        <v>1051.83157894737</v>
      </c>
    </row>
    <row r="250" customFormat="false" ht="15" hidden="false" customHeight="true" outlineLevel="0" collapsed="false">
      <c r="A250" s="12" t="n">
        <v>4413144</v>
      </c>
      <c r="B250" s="12" t="str">
        <f aca="false">IFERROR(INDEX('Catalog'!$B:$B,MATCH($A250,'Catalog'!$A:$A,0)),"")</f>
        <v>95 XXL מגן מרפק רגיל לבן</v>
      </c>
      <c r="C250" s="12" t="n">
        <f aca="false">SUMIFS('סופר פארם Raw'!$C$6:$C$771,'סופר פארם Raw'!$E$6:$E$771,$A250,'סופר פארם Raw'!$B$6:$B$771,2025)</f>
        <v>5</v>
      </c>
      <c r="D250" s="12" t="n">
        <f aca="false">SUMIFS('סופר פארם Raw'!$C$6:$C$771,'סופר פארם Raw'!$E$6:$E$771,$A250,'סופר פארם Raw'!$B$6:$B$771,2026)</f>
        <v>5</v>
      </c>
      <c r="E250" s="12" t="n">
        <f aca="false">D250*$J$5</f>
        <v>6.31578947368421</v>
      </c>
      <c r="F250" s="12" t="n">
        <f aca="false">E250-C250</f>
        <v>1.31578947368421</v>
      </c>
      <c r="G250" s="21" t="n">
        <f aca="false">IF(AND(C250=0,E250=0),0,IF(C250=0,"New",(E250-C250)/C250))</f>
        <v>0.263157894736842</v>
      </c>
      <c r="H250" s="12" t="n">
        <f aca="false">SUMIFS('סופר פארם Raw'!$D$6:$D$771,'סופר פארם Raw'!$E$6:$E$771,$A250,'סופר פארם Raw'!$B$6:$B$771,2025)</f>
        <v>128.9</v>
      </c>
      <c r="I250" s="12" t="n">
        <f aca="false">SUMIFS('סופר פארם Raw'!$D$6:$D$771,'סופר פארם Raw'!$E$6:$E$771,$A250,'סופר פארם Raw'!$B$6:$B$771,2026)</f>
        <v>136.7</v>
      </c>
      <c r="J250" s="12" t="n">
        <f aca="false">I250*$J$5</f>
        <v>172.673684210526</v>
      </c>
    </row>
    <row r="251" customFormat="false" ht="15" hidden="false" customHeight="true" outlineLevel="0" collapsed="false">
      <c r="A251" s="12" t="n">
        <v>4413146</v>
      </c>
      <c r="B251" s="12" t="str">
        <f aca="false">IFERROR(INDEX('Catalog'!$B:$B,MATCH($A251,'Catalog'!$A:$A,0)),"")</f>
        <v>95+ L מגן מרפק+רצועה לטניס</v>
      </c>
      <c r="C251" s="12" t="n">
        <f aca="false">SUMIFS('סופר פארם Raw'!$C$6:$C$771,'סופר פארם Raw'!$E$6:$E$771,$A251,'סופר פארם Raw'!$B$6:$B$771,2025)</f>
        <v>-1</v>
      </c>
      <c r="D251" s="12" t="n">
        <f aca="false">SUMIFS('סופר פארם Raw'!$C$6:$C$771,'סופר פארם Raw'!$E$6:$E$771,$A251,'סופר פארם Raw'!$B$6:$B$771,2026)</f>
        <v>0</v>
      </c>
      <c r="E251" s="12" t="n">
        <f aca="false">D251*$J$5</f>
        <v>0</v>
      </c>
      <c r="F251" s="12" t="n">
        <f aca="false">E251-C251</f>
        <v>1</v>
      </c>
      <c r="G251" s="21" t="n">
        <f aca="false">IF(AND(C251=0,E251=0),0,IF(C251=0,"New",(E251-C251)/C251))</f>
        <v>-1</v>
      </c>
      <c r="H251" s="12" t="n">
        <f aca="false">SUMIFS('סופר פארם Raw'!$D$6:$D$771,'סופר פארם Raw'!$E$6:$E$771,$A251,'סופר פארם Raw'!$B$6:$B$771,2025)</f>
        <v>0</v>
      </c>
      <c r="I251" s="12" t="n">
        <f aca="false">SUMIFS('סופר פארם Raw'!$D$6:$D$771,'סופר פארם Raw'!$E$6:$E$771,$A251,'סופר פארם Raw'!$B$6:$B$771,2026)</f>
        <v>0</v>
      </c>
      <c r="J251" s="12" t="n">
        <f aca="false">I251*$J$5</f>
        <v>0</v>
      </c>
    </row>
    <row r="252" customFormat="false" ht="15" hidden="false" customHeight="true" outlineLevel="0" collapsed="false">
      <c r="A252" s="12" t="n">
        <v>4413147</v>
      </c>
      <c r="B252" s="12" t="str">
        <f aca="false">IFERROR(INDEX('Catalog'!$B:$B,MATCH($A252,'Catalog'!$A:$A,0)),"")</f>
        <v>95+ M מגן מרפק+רצועה לטניס</v>
      </c>
      <c r="C252" s="12" t="n">
        <f aca="false">SUMIFS('סופר פארם Raw'!$C$6:$C$771,'סופר פארם Raw'!$E$6:$E$771,$A252,'סופר פארם Raw'!$B$6:$B$771,2025)</f>
        <v>0</v>
      </c>
      <c r="D252" s="12" t="n">
        <f aca="false">SUMIFS('סופר פארם Raw'!$C$6:$C$771,'סופר פארם Raw'!$E$6:$E$771,$A252,'סופר פארם Raw'!$B$6:$B$771,2026)</f>
        <v>-1</v>
      </c>
      <c r="E252" s="12" t="n">
        <f aca="false">D252*$J$5</f>
        <v>-1.26315789473684</v>
      </c>
      <c r="F252" s="12" t="n">
        <f aca="false">E252-C252</f>
        <v>-1.26315789473684</v>
      </c>
      <c r="G252" s="21" t="str">
        <f aca="false">IF(AND(C252=0,E252=0),0,IF(C252=0,"New",(E252-C252)/C252))</f>
        <v>New</v>
      </c>
      <c r="H252" s="12" t="n">
        <f aca="false">SUMIFS('סופר פארם Raw'!$D$6:$D$771,'סופר פארם Raw'!$E$6:$E$771,$A252,'סופר פארם Raw'!$B$6:$B$771,2025)</f>
        <v>0</v>
      </c>
      <c r="I252" s="12" t="n">
        <f aca="false">SUMIFS('סופר פארם Raw'!$D$6:$D$771,'סופר פארם Raw'!$E$6:$E$771,$A252,'סופר פארם Raw'!$B$6:$B$771,2026)</f>
        <v>0</v>
      </c>
      <c r="J252" s="12" t="n">
        <f aca="false">I252*$J$5</f>
        <v>0</v>
      </c>
    </row>
    <row r="253" customFormat="false" ht="15" hidden="false" customHeight="true" outlineLevel="0" collapsed="false">
      <c r="A253" s="12" t="n">
        <v>4413149</v>
      </c>
      <c r="B253" s="12" t="str">
        <f aca="false">IFERROR(INDEX('Catalog'!$B:$B,MATCH($A253,'Catalog'!$A:$A,0)),"")</f>
        <v>FC321-מלח אמבט לכף הרגל</v>
      </c>
      <c r="C253" s="12" t="n">
        <f aca="false">SUMIFS('סופר פארם Raw'!$C$6:$C$771,'סופר פארם Raw'!$E$6:$E$771,$A253,'סופר פארם Raw'!$B$6:$B$771,2025)</f>
        <v>871</v>
      </c>
      <c r="D253" s="12" t="n">
        <f aca="false">SUMIFS('סופר פארם Raw'!$C$6:$C$771,'סופר פארם Raw'!$E$6:$E$771,$A253,'סופר פארם Raw'!$B$6:$B$771,2026)</f>
        <v>320</v>
      </c>
      <c r="E253" s="12" t="n">
        <f aca="false">D253*$J$5</f>
        <v>404.21052631579</v>
      </c>
      <c r="F253" s="12" t="n">
        <f aca="false">E253-C253</f>
        <v>-466.789473684211</v>
      </c>
      <c r="G253" s="21" t="n">
        <f aca="false">IF(AND(C253=0,E253=0),0,IF(C253=0,"New",(E253-C253)/C253))</f>
        <v>-0.535923620762584</v>
      </c>
      <c r="H253" s="12" t="n">
        <f aca="false">SUMIFS('סופר פארם Raw'!$D$6:$D$771,'סופר פארם Raw'!$E$6:$E$771,$A253,'סופר פארם Raw'!$B$6:$B$771,2025)</f>
        <v>8834.2</v>
      </c>
      <c r="I253" s="12" t="n">
        <f aca="false">SUMIFS('סופר פארם Raw'!$D$6:$D$771,'סופר פארם Raw'!$E$6:$E$771,$A253,'סופר פארם Raw'!$B$6:$B$771,2026)</f>
        <v>3240.5</v>
      </c>
      <c r="J253" s="12" t="n">
        <f aca="false">I253*$J$5</f>
        <v>4093.26315789474</v>
      </c>
    </row>
    <row r="254" customFormat="false" ht="15" hidden="false" customHeight="true" outlineLevel="0" collapsed="false">
      <c r="A254" s="12" t="n">
        <v>4413150</v>
      </c>
      <c r="B254" s="12" t="str">
        <f aca="false">IFERROR(INDEX('Catalog'!$B:$B,MATCH($A254,'Catalog'!$A:$A,0)),"")</f>
        <v>PD341-מקצוע להסרת עור קשה</v>
      </c>
      <c r="C254" s="12" t="n">
        <f aca="false">SUMIFS('סופר פארם Raw'!$C$6:$C$771,'סופר פארם Raw'!$E$6:$E$771,$A254,'סופר פארם Raw'!$B$6:$B$771,2025)</f>
        <v>68</v>
      </c>
      <c r="D254" s="12" t="n">
        <f aca="false">SUMIFS('סופר פארם Raw'!$C$6:$C$771,'סופר פארם Raw'!$E$6:$E$771,$A254,'סופר פארם Raw'!$B$6:$B$771,2026)</f>
        <v>50</v>
      </c>
      <c r="E254" s="12" t="n">
        <f aca="false">D254*$J$5</f>
        <v>63.1578947368421</v>
      </c>
      <c r="F254" s="12" t="n">
        <f aca="false">E254-C254</f>
        <v>-4.8421052631579</v>
      </c>
      <c r="G254" s="21" t="n">
        <f aca="false">IF(AND(C254=0,E254=0),0,IF(C254=0,"New",(E254-C254)/C254))</f>
        <v>-0.0712074303405573</v>
      </c>
      <c r="H254" s="12" t="n">
        <f aca="false">SUMIFS('סופר פארם Raw'!$D$6:$D$771,'סופר פארם Raw'!$E$6:$E$771,$A254,'סופר פארם Raw'!$B$6:$B$771,2025)</f>
        <v>1686.8</v>
      </c>
      <c r="I254" s="12" t="n">
        <f aca="false">SUMIFS('סופר פארם Raw'!$D$6:$D$771,'סופר פארם Raw'!$E$6:$E$771,$A254,'סופר פארם Raw'!$B$6:$B$771,2026)</f>
        <v>1237.6</v>
      </c>
      <c r="J254" s="12" t="n">
        <f aca="false">I254*$J$5</f>
        <v>1563.28421052632</v>
      </c>
    </row>
    <row r="255" customFormat="false" ht="15" hidden="false" customHeight="true" outlineLevel="0" collapsed="false">
      <c r="A255" s="12" t="n">
        <v>4413153</v>
      </c>
      <c r="B255" s="12" t="str">
        <f aca="false">IFERROR(INDEX('Catalog'!$B:$B,MATCH($A255,'Catalog'!$A:$A,0)),"")</f>
        <v>305GA מדרס אורטופ.מתכוון35-36</v>
      </c>
      <c r="C255" s="12" t="n">
        <f aca="false">SUMIFS('סופר פארם Raw'!$C$6:$C$771,'סופר פארם Raw'!$E$6:$E$771,$A255,'סופר פארם Raw'!$B$6:$B$771,2025)</f>
        <v>-96</v>
      </c>
      <c r="D255" s="12" t="n">
        <f aca="false">SUMIFS('סופר פארם Raw'!$C$6:$C$771,'סופר פארם Raw'!$E$6:$E$771,$A255,'סופר פארם Raw'!$B$6:$B$771,2026)</f>
        <v>-13</v>
      </c>
      <c r="E255" s="12" t="n">
        <f aca="false">D255*$J$5</f>
        <v>-16.4210526315789</v>
      </c>
      <c r="F255" s="12" t="n">
        <f aca="false">E255-C255</f>
        <v>79.5789473684211</v>
      </c>
      <c r="G255" s="21" t="n">
        <f aca="false">IF(AND(C255=0,E255=0),0,IF(C255=0,"New",(E255-C255)/C255))</f>
        <v>-0.828947368421053</v>
      </c>
      <c r="H255" s="12" t="n">
        <f aca="false">SUMIFS('סופר פארם Raw'!$D$6:$D$771,'סופר פארם Raw'!$E$6:$E$771,$A255,'סופר פארם Raw'!$B$6:$B$771,2025)</f>
        <v>-5920.6</v>
      </c>
      <c r="I255" s="12" t="n">
        <f aca="false">SUMIFS('סופר פארם Raw'!$D$6:$D$771,'סופר פארם Raw'!$E$6:$E$771,$A255,'סופר פארם Raw'!$B$6:$B$771,2026)</f>
        <v>-798.9</v>
      </c>
      <c r="J255" s="12" t="n">
        <f aca="false">I255*$J$5</f>
        <v>-1009.13684210526</v>
      </c>
    </row>
    <row r="256" customFormat="false" ht="15" hidden="false" customHeight="true" outlineLevel="0" collapsed="false">
      <c r="A256" s="12" t="n">
        <v>4413154</v>
      </c>
      <c r="B256" s="12" t="str">
        <f aca="false">IFERROR(INDEX('Catalog'!$B:$B,MATCH($A256,'Catalog'!$A:$A,0)),"")</f>
        <v>305GA מדרס אורטופ.מתכוון37-38</v>
      </c>
      <c r="C256" s="12" t="n">
        <f aca="false">SUMIFS('סופר פארם Raw'!$C$6:$C$771,'סופר פארם Raw'!$E$6:$E$771,$A256,'סופר פארם Raw'!$B$6:$B$771,2025)</f>
        <v>9</v>
      </c>
      <c r="D256" s="12" t="n">
        <f aca="false">SUMIFS('סופר פארם Raw'!$C$6:$C$771,'סופר פארם Raw'!$E$6:$E$771,$A256,'סופר פארם Raw'!$B$6:$B$771,2026)</f>
        <v>15</v>
      </c>
      <c r="E256" s="12" t="n">
        <f aca="false">D256*$J$5</f>
        <v>18.9473684210526</v>
      </c>
      <c r="F256" s="12" t="n">
        <f aca="false">E256-C256</f>
        <v>9.94736842105263</v>
      </c>
      <c r="G256" s="21" t="n">
        <f aca="false">IF(AND(C256=0,E256=0),0,IF(C256=0,"New",(E256-C256)/C256))</f>
        <v>1.10526315789474</v>
      </c>
      <c r="H256" s="12" t="n">
        <f aca="false">SUMIFS('סופר פארם Raw'!$D$6:$D$771,'סופר פארם Raw'!$E$6:$E$771,$A256,'סופר פארם Raw'!$B$6:$B$771,2025)</f>
        <v>764</v>
      </c>
      <c r="I256" s="12" t="n">
        <f aca="false">SUMIFS('סופר פארם Raw'!$D$6:$D$771,'סופר פארם Raw'!$E$6:$E$771,$A256,'סופר פארם Raw'!$B$6:$B$771,2026)</f>
        <v>984</v>
      </c>
      <c r="J256" s="12" t="n">
        <f aca="false">I256*$J$5</f>
        <v>1242.94736842105</v>
      </c>
    </row>
    <row r="257" customFormat="false" ht="15" hidden="false" customHeight="true" outlineLevel="0" collapsed="false">
      <c r="A257" s="12" t="n">
        <v>4413155</v>
      </c>
      <c r="B257" s="12" t="str">
        <f aca="false">IFERROR(INDEX('Catalog'!$B:$B,MATCH($A257,'Catalog'!$A:$A,0)),"")</f>
        <v>305GA מדרס אורטופ.מתכוון39-40</v>
      </c>
      <c r="C257" s="12" t="n">
        <f aca="false">SUMIFS('סופר פארם Raw'!$C$6:$C$771,'סופר פארם Raw'!$E$6:$E$771,$A257,'סופר פארם Raw'!$B$6:$B$771,2025)</f>
        <v>39</v>
      </c>
      <c r="D257" s="12" t="n">
        <f aca="false">SUMIFS('סופר פארם Raw'!$C$6:$C$771,'סופר פארם Raw'!$E$6:$E$771,$A257,'סופר פארם Raw'!$B$6:$B$771,2026)</f>
        <v>19</v>
      </c>
      <c r="E257" s="12" t="n">
        <f aca="false">D257*$J$5</f>
        <v>24</v>
      </c>
      <c r="F257" s="12" t="n">
        <f aca="false">E257-C257</f>
        <v>-15</v>
      </c>
      <c r="G257" s="21" t="n">
        <f aca="false">IF(AND(C257=0,E257=0),0,IF(C257=0,"New",(E257-C257)/C257))</f>
        <v>-0.384615384615385</v>
      </c>
      <c r="H257" s="12" t="n">
        <f aca="false">SUMIFS('סופר פארם Raw'!$D$6:$D$771,'סופר פארם Raw'!$E$6:$E$771,$A257,'סופר פארם Raw'!$B$6:$B$771,2025)</f>
        <v>2750.2</v>
      </c>
      <c r="I257" s="12" t="n">
        <f aca="false">SUMIFS('סופר פארם Raw'!$D$6:$D$771,'סופר פארם Raw'!$E$6:$E$771,$A257,'סופר פארם Raw'!$B$6:$B$771,2026)</f>
        <v>1267.9</v>
      </c>
      <c r="J257" s="12" t="n">
        <f aca="false">I257*$J$5</f>
        <v>1601.55789473684</v>
      </c>
    </row>
    <row r="258" customFormat="false" ht="15" hidden="false" customHeight="true" outlineLevel="0" collapsed="false">
      <c r="A258" s="12" t="n">
        <v>4413156</v>
      </c>
      <c r="B258" s="12" t="str">
        <f aca="false">IFERROR(INDEX('Catalog'!$B:$B,MATCH($A258,'Catalog'!$A:$A,0)),"")</f>
        <v>305GA מדרס אורטופ.מתכוון41-42</v>
      </c>
      <c r="C258" s="12" t="n">
        <f aca="false">SUMIFS('סופר פארם Raw'!$C$6:$C$771,'סופר פארם Raw'!$E$6:$E$771,$A258,'סופר פארם Raw'!$B$6:$B$771,2025)</f>
        <v>173</v>
      </c>
      <c r="D258" s="12" t="n">
        <f aca="false">SUMIFS('סופר פארם Raw'!$C$6:$C$771,'סופר פארם Raw'!$E$6:$E$771,$A258,'סופר פארם Raw'!$B$6:$B$771,2026)</f>
        <v>97</v>
      </c>
      <c r="E258" s="12" t="n">
        <f aca="false">D258*$J$5</f>
        <v>122.526315789474</v>
      </c>
      <c r="F258" s="12" t="n">
        <f aca="false">E258-C258</f>
        <v>-50.4736842105263</v>
      </c>
      <c r="G258" s="21" t="n">
        <f aca="false">IF(AND(C258=0,E258=0),0,IF(C258=0,"New",(E258-C258)/C258))</f>
        <v>-0.291755400060846</v>
      </c>
      <c r="H258" s="12" t="n">
        <f aca="false">SUMIFS('סופר פארם Raw'!$D$6:$D$771,'סופר פארם Raw'!$E$6:$E$771,$A258,'סופר פארם Raw'!$B$6:$B$771,2025)</f>
        <v>11235.7</v>
      </c>
      <c r="I258" s="12" t="n">
        <f aca="false">SUMIFS('סופר פארם Raw'!$D$6:$D$771,'סופר פארם Raw'!$E$6:$E$771,$A258,'סופר פארם Raw'!$B$6:$B$771,2026)</f>
        <v>6289.8</v>
      </c>
      <c r="J258" s="12" t="n">
        <f aca="false">I258*$J$5</f>
        <v>7945.01052631579</v>
      </c>
    </row>
    <row r="259" customFormat="false" ht="15" hidden="false" customHeight="true" outlineLevel="0" collapsed="false">
      <c r="A259" s="12" t="n">
        <v>4413157</v>
      </c>
      <c r="B259" s="12" t="str">
        <f aca="false">IFERROR(INDEX('Catalog'!$B:$B,MATCH($A259,'Catalog'!$A:$A,0)),"")</f>
        <v>305GA מדרס אורטופ.מתכוון43-44</v>
      </c>
      <c r="C259" s="12" t="n">
        <f aca="false">SUMIFS('סופר פארם Raw'!$C$6:$C$771,'סופר פארם Raw'!$E$6:$E$771,$A259,'סופר פארם Raw'!$B$6:$B$771,2025)</f>
        <v>226</v>
      </c>
      <c r="D259" s="12" t="n">
        <f aca="false">SUMIFS('סופר פארם Raw'!$C$6:$C$771,'סופר פארם Raw'!$E$6:$E$771,$A259,'סופר פארם Raw'!$B$6:$B$771,2026)</f>
        <v>105</v>
      </c>
      <c r="E259" s="12" t="n">
        <f aca="false">D259*$J$5</f>
        <v>132.631578947368</v>
      </c>
      <c r="F259" s="12" t="n">
        <f aca="false">E259-C259</f>
        <v>-93.3684210526316</v>
      </c>
      <c r="G259" s="21" t="n">
        <f aca="false">IF(AND(C259=0,E259=0),0,IF(C259=0,"New",(E259-C259)/C259))</f>
        <v>-0.413134606427573</v>
      </c>
      <c r="H259" s="12" t="n">
        <f aca="false">SUMIFS('סופר פארם Raw'!$D$6:$D$771,'סופר פארם Raw'!$E$6:$E$771,$A259,'סופר פארם Raw'!$B$6:$B$771,2025)</f>
        <v>14677.4</v>
      </c>
      <c r="I259" s="12" t="n">
        <f aca="false">SUMIFS('סופר פארם Raw'!$D$6:$D$771,'סופר פארם Raw'!$E$6:$E$771,$A259,'סופר פארם Raw'!$B$6:$B$771,2026)</f>
        <v>6806.8</v>
      </c>
      <c r="J259" s="12" t="n">
        <f aca="false">I259*$J$5</f>
        <v>8598.06315789474</v>
      </c>
    </row>
    <row r="260" customFormat="false" ht="15" hidden="false" customHeight="true" outlineLevel="0" collapsed="false">
      <c r="A260" s="12" t="n">
        <v>4413158</v>
      </c>
      <c r="B260" s="12" t="str">
        <f aca="false">IFERROR(INDEX('Catalog'!$B:$B,MATCH($A260,'Catalog'!$A:$A,0)),"")</f>
        <v>305GA מדרס אורטופ.מתכוון45-46</v>
      </c>
      <c r="C260" s="12" t="n">
        <f aca="false">SUMIFS('סופר פארם Raw'!$C$6:$C$771,'סופר פארם Raw'!$E$6:$E$771,$A260,'סופר פארם Raw'!$B$6:$B$771,2025)</f>
        <v>144</v>
      </c>
      <c r="D260" s="12" t="n">
        <f aca="false">SUMIFS('סופר פארם Raw'!$C$6:$C$771,'סופר פארם Raw'!$E$6:$E$771,$A260,'סופר פארם Raw'!$B$6:$B$771,2026)</f>
        <v>124</v>
      </c>
      <c r="E260" s="12" t="n">
        <f aca="false">D260*$J$5</f>
        <v>156.631578947368</v>
      </c>
      <c r="F260" s="12" t="n">
        <f aca="false">E260-C260</f>
        <v>12.6315789473684</v>
      </c>
      <c r="G260" s="21" t="n">
        <f aca="false">IF(AND(C260=0,E260=0),0,IF(C260=0,"New",(E260-C260)/C260))</f>
        <v>0.087719298245614</v>
      </c>
      <c r="H260" s="12" t="n">
        <f aca="false">SUMIFS('סופר פארם Raw'!$D$6:$D$771,'סופר פארם Raw'!$E$6:$E$771,$A260,'סופר פארם Raw'!$B$6:$B$771,2025)</f>
        <v>9409.4</v>
      </c>
      <c r="I260" s="12" t="n">
        <f aca="false">SUMIFS('סופר פארם Raw'!$D$6:$D$771,'סופר פארם Raw'!$E$6:$E$771,$A260,'סופר פארם Raw'!$B$6:$B$771,2026)</f>
        <v>8044.1</v>
      </c>
      <c r="J260" s="12" t="n">
        <f aca="false">I260*$J$5</f>
        <v>10160.9684210526</v>
      </c>
    </row>
    <row r="261" customFormat="false" ht="15" hidden="false" customHeight="true" outlineLevel="0" collapsed="false">
      <c r="A261" s="12" t="n">
        <v>4413159</v>
      </c>
      <c r="B261" s="12" t="str">
        <f aca="false">IFERROR(INDEX('Catalog'!$B:$B,MATCH($A261,'Catalog'!$A:$A,0)),"")</f>
        <v>34+ S מגן קרסול עקב סגור+רצוע</v>
      </c>
      <c r="C261" s="12" t="n">
        <f aca="false">SUMIFS('סופר פארם Raw'!$C$6:$C$771,'סופר פארם Raw'!$E$6:$E$771,$A261,'סופר פארם Raw'!$B$6:$B$771,2025)</f>
        <v>53</v>
      </c>
      <c r="D261" s="12" t="n">
        <f aca="false">SUMIFS('סופר פארם Raw'!$C$6:$C$771,'סופר פארם Raw'!$E$6:$E$771,$A261,'סופר פארם Raw'!$B$6:$B$771,2026)</f>
        <v>38</v>
      </c>
      <c r="E261" s="12" t="n">
        <f aca="false">D261*$J$5</f>
        <v>48</v>
      </c>
      <c r="F261" s="12" t="n">
        <f aca="false">E261-C261</f>
        <v>-5</v>
      </c>
      <c r="G261" s="21" t="n">
        <f aca="false">IF(AND(C261=0,E261=0),0,IF(C261=0,"New",(E261-C261)/C261))</f>
        <v>-0.0943396226415094</v>
      </c>
      <c r="H261" s="12" t="n">
        <f aca="false">SUMIFS('סופר פארם Raw'!$D$6:$D$771,'סופר פארם Raw'!$E$6:$E$771,$A261,'סופר פארם Raw'!$B$6:$B$771,2025)</f>
        <v>2791.4</v>
      </c>
      <c r="I261" s="12" t="n">
        <f aca="false">SUMIFS('סופר פארם Raw'!$D$6:$D$771,'סופר פארם Raw'!$E$6:$E$771,$A261,'סופר פארם Raw'!$B$6:$B$771,2026)</f>
        <v>2051.7</v>
      </c>
      <c r="J261" s="12" t="n">
        <f aca="false">I261*$J$5</f>
        <v>2591.62105263158</v>
      </c>
    </row>
    <row r="262" customFormat="false" ht="15" hidden="false" customHeight="true" outlineLevel="0" collapsed="false">
      <c r="A262" s="12" t="n">
        <v>4413160</v>
      </c>
      <c r="B262" s="12" t="str">
        <f aca="false">IFERROR(INDEX('Catalog'!$B:$B,MATCH($A262,'Catalog'!$A:$A,0)),"")</f>
        <v>34+ M מגן קרסול עקב סגור+רצוע</v>
      </c>
      <c r="C262" s="12" t="n">
        <f aca="false">SUMIFS('סופר פארם Raw'!$C$6:$C$771,'סופר פארם Raw'!$E$6:$E$771,$A262,'סופר פארם Raw'!$B$6:$B$771,2025)</f>
        <v>123</v>
      </c>
      <c r="D262" s="12" t="n">
        <f aca="false">SUMIFS('סופר פארם Raw'!$C$6:$C$771,'סופר פארם Raw'!$E$6:$E$771,$A262,'סופר פארם Raw'!$B$6:$B$771,2026)</f>
        <v>83</v>
      </c>
      <c r="E262" s="12" t="n">
        <f aca="false">D262*$J$5</f>
        <v>104.842105263158</v>
      </c>
      <c r="F262" s="12" t="n">
        <f aca="false">E262-C262</f>
        <v>-18.1578947368421</v>
      </c>
      <c r="G262" s="21" t="n">
        <f aca="false">IF(AND(C262=0,E262=0),0,IF(C262=0,"New",(E262-C262)/C262))</f>
        <v>-0.147625160462131</v>
      </c>
      <c r="H262" s="12" t="n">
        <f aca="false">SUMIFS('סופר פארם Raw'!$D$6:$D$771,'סופר פארם Raw'!$E$6:$E$771,$A262,'סופר פארם Raw'!$B$6:$B$771,2025)</f>
        <v>6495.5</v>
      </c>
      <c r="I262" s="12" t="n">
        <f aca="false">SUMIFS('סופר פארם Raw'!$D$6:$D$771,'סופר פארם Raw'!$E$6:$E$771,$A262,'סופר פארם Raw'!$B$6:$B$771,2026)</f>
        <v>4452.2</v>
      </c>
      <c r="J262" s="12" t="n">
        <f aca="false">I262*$J$5</f>
        <v>5623.83157894737</v>
      </c>
    </row>
    <row r="263" customFormat="false" ht="15" hidden="false" customHeight="true" outlineLevel="0" collapsed="false">
      <c r="A263" s="12" t="n">
        <v>4413161</v>
      </c>
      <c r="B263" s="12" t="str">
        <f aca="false">IFERROR(INDEX('Catalog'!$B:$B,MATCH($A263,'Catalog'!$A:$A,0)),"")</f>
        <v>34+ L מגן קרסול עקב סגור+רצוע</v>
      </c>
      <c r="C263" s="12" t="n">
        <f aca="false">SUMIFS('סופר פארם Raw'!$C$6:$C$771,'סופר פארם Raw'!$E$6:$E$771,$A263,'סופר פארם Raw'!$B$6:$B$771,2025)</f>
        <v>112</v>
      </c>
      <c r="D263" s="12" t="n">
        <f aca="false">SUMIFS('סופר פארם Raw'!$C$6:$C$771,'סופר פארם Raw'!$E$6:$E$771,$A263,'סופר פארם Raw'!$B$6:$B$771,2026)</f>
        <v>70</v>
      </c>
      <c r="E263" s="12" t="n">
        <f aca="false">D263*$J$5</f>
        <v>88.421052631579</v>
      </c>
      <c r="F263" s="12" t="n">
        <f aca="false">E263-C263</f>
        <v>-23.5789473684211</v>
      </c>
      <c r="G263" s="21" t="n">
        <f aca="false">IF(AND(C263=0,E263=0),0,IF(C263=0,"New",(E263-C263)/C263))</f>
        <v>-0.210526315789474</v>
      </c>
      <c r="H263" s="12" t="n">
        <f aca="false">SUMIFS('סופר פארם Raw'!$D$6:$D$771,'סופר פארם Raw'!$E$6:$E$771,$A263,'סופר פארם Raw'!$B$6:$B$771,2025)</f>
        <v>5934</v>
      </c>
      <c r="I263" s="12" t="n">
        <f aca="false">SUMIFS('סופר פארם Raw'!$D$6:$D$771,'סופר פארם Raw'!$E$6:$E$771,$A263,'סופר פארם Raw'!$B$6:$B$771,2026)</f>
        <v>3738.1</v>
      </c>
      <c r="J263" s="12" t="n">
        <f aca="false">I263*$J$5</f>
        <v>4721.81052631579</v>
      </c>
    </row>
    <row r="264" customFormat="false" ht="15" hidden="false" customHeight="true" outlineLevel="0" collapsed="false">
      <c r="A264" s="12" t="n">
        <v>4413162</v>
      </c>
      <c r="B264" s="12" t="str">
        <f aca="false">IFERROR(INDEX('Catalog'!$B:$B,MATCH($A264,'Catalog'!$A:$A,0)),"")</f>
        <v>34+XL מגן קרסול עקב סגור+רצוע</v>
      </c>
      <c r="C264" s="12" t="n">
        <f aca="false">SUMIFS('סופר פארם Raw'!$C$6:$C$771,'סופר פארם Raw'!$E$6:$E$771,$A264,'סופר פארם Raw'!$B$6:$B$771,2025)</f>
        <v>83</v>
      </c>
      <c r="D264" s="12" t="n">
        <f aca="false">SUMIFS('סופר פארם Raw'!$C$6:$C$771,'סופר פארם Raw'!$E$6:$E$771,$A264,'סופר פארם Raw'!$B$6:$B$771,2026)</f>
        <v>59</v>
      </c>
      <c r="E264" s="12" t="n">
        <f aca="false">D264*$J$5</f>
        <v>74.5263157894737</v>
      </c>
      <c r="F264" s="12" t="n">
        <f aca="false">E264-C264</f>
        <v>-8.47368421052632</v>
      </c>
      <c r="G264" s="21" t="n">
        <f aca="false">IF(AND(C264=0,E264=0),0,IF(C264=0,"New",(E264-C264)/C264))</f>
        <v>-0.102092580849715</v>
      </c>
      <c r="H264" s="12" t="n">
        <f aca="false">SUMIFS('סופר פארם Raw'!$D$6:$D$771,'סופר פארם Raw'!$E$6:$E$771,$A264,'סופר פארם Raw'!$B$6:$B$771,2025)</f>
        <v>4401.3</v>
      </c>
      <c r="I264" s="12" t="n">
        <f aca="false">SUMIFS('סופר פארם Raw'!$D$6:$D$771,'סופר פארם Raw'!$E$6:$E$771,$A264,'סופר פארם Raw'!$B$6:$B$771,2026)</f>
        <v>3227.7</v>
      </c>
      <c r="J264" s="12" t="n">
        <f aca="false">I264*$J$5</f>
        <v>4077.09473684211</v>
      </c>
    </row>
    <row r="265" customFormat="false" ht="15" hidden="false" customHeight="true" outlineLevel="0" collapsed="false">
      <c r="A265" s="12" t="n">
        <v>4413167</v>
      </c>
      <c r="B265" s="12" t="str">
        <f aca="false">IFERROR(INDEX('Catalog'!$B:$B,MATCH($A265,'Catalog'!$A:$A,0)),"")</f>
        <v>80 M תתמתלה ליד רצועה</v>
      </c>
      <c r="C265" s="12" t="n">
        <f aca="false">SUMIFS('סופר פארם Raw'!$C$6:$C$771,'סופר פארם Raw'!$E$6:$E$771,$A265,'סופר פארם Raw'!$B$6:$B$771,2025)</f>
        <v>-1</v>
      </c>
      <c r="D265" s="12" t="n">
        <f aca="false">SUMIFS('סופר פארם Raw'!$C$6:$C$771,'סופר פארם Raw'!$E$6:$E$771,$A265,'סופר פארם Raw'!$B$6:$B$771,2026)</f>
        <v>0</v>
      </c>
      <c r="E265" s="12" t="n">
        <f aca="false">D265*$J$5</f>
        <v>0</v>
      </c>
      <c r="F265" s="12" t="n">
        <f aca="false">E265-C265</f>
        <v>1</v>
      </c>
      <c r="G265" s="21" t="n">
        <f aca="false">IF(AND(C265=0,E265=0),0,IF(C265=0,"New",(E265-C265)/C265))</f>
        <v>-1</v>
      </c>
      <c r="H265" s="12" t="n">
        <f aca="false">SUMIFS('סופר פארם Raw'!$D$6:$D$771,'סופר פארם Raw'!$E$6:$E$771,$A265,'סופר פארם Raw'!$B$6:$B$771,2025)</f>
        <v>-32.3</v>
      </c>
      <c r="I265" s="12" t="n">
        <f aca="false">SUMIFS('סופר פארם Raw'!$D$6:$D$771,'סופר פארם Raw'!$E$6:$E$771,$A265,'סופר פארם Raw'!$B$6:$B$771,2026)</f>
        <v>0</v>
      </c>
      <c r="J265" s="12" t="n">
        <f aca="false">I265*$J$5</f>
        <v>0</v>
      </c>
    </row>
    <row r="266" customFormat="false" ht="15" hidden="false" customHeight="true" outlineLevel="0" collapsed="false">
      <c r="A266" s="12" t="n">
        <v>4413169</v>
      </c>
      <c r="B266" s="12" t="str">
        <f aca="false">IFERROR(INDEX('Catalog'!$B:$B,MATCH($A266,'Catalog'!$A:$A,0)),"")</f>
        <v>T402 S מיצב פיקה</v>
      </c>
      <c r="C266" s="12" t="n">
        <f aca="false">SUMIFS('סופר פארם Raw'!$C$6:$C$771,'סופר פארם Raw'!$E$6:$E$771,$A266,'סופר פארם Raw'!$B$6:$B$771,2025)</f>
        <v>-1</v>
      </c>
      <c r="D266" s="12" t="n">
        <f aca="false">SUMIFS('סופר פארם Raw'!$C$6:$C$771,'סופר פארם Raw'!$E$6:$E$771,$A266,'סופר פארם Raw'!$B$6:$B$771,2026)</f>
        <v>0</v>
      </c>
      <c r="E266" s="12" t="n">
        <f aca="false">D266*$J$5</f>
        <v>0</v>
      </c>
      <c r="F266" s="12" t="n">
        <f aca="false">E266-C266</f>
        <v>1</v>
      </c>
      <c r="G266" s="21" t="n">
        <f aca="false">IF(AND(C266=0,E266=0),0,IF(C266=0,"New",(E266-C266)/C266))</f>
        <v>-1</v>
      </c>
      <c r="H266" s="12" t="n">
        <f aca="false">SUMIFS('סופר פארם Raw'!$D$6:$D$771,'סופר פארם Raw'!$E$6:$E$771,$A266,'סופר פארם Raw'!$B$6:$B$771,2025)</f>
        <v>-81.9</v>
      </c>
      <c r="I266" s="12" t="n">
        <f aca="false">SUMIFS('סופר פארם Raw'!$D$6:$D$771,'סופר פארם Raw'!$E$6:$E$771,$A266,'סופר פארם Raw'!$B$6:$B$771,2026)</f>
        <v>0</v>
      </c>
      <c r="J266" s="12" t="n">
        <f aca="false">I266*$J$5</f>
        <v>0</v>
      </c>
    </row>
    <row r="267" customFormat="false" ht="15" hidden="false" customHeight="true" outlineLevel="0" collapsed="false">
      <c r="A267" s="12" t="n">
        <v>4413171</v>
      </c>
      <c r="B267" s="12" t="str">
        <f aca="false">IFERROR(INDEX('Catalog'!$B:$B,MATCH($A267,'Catalog'!$A:$A,0)),"")</f>
        <v>T402 L מיצב פיקה</v>
      </c>
      <c r="C267" s="12" t="n">
        <f aca="false">SUMIFS('סופר פארם Raw'!$C$6:$C$771,'סופר פארם Raw'!$E$6:$E$771,$A267,'סופר פארם Raw'!$B$6:$B$771,2025)</f>
        <v>0</v>
      </c>
      <c r="D267" s="12" t="n">
        <f aca="false">SUMIFS('סופר פארם Raw'!$C$6:$C$771,'סופר פארם Raw'!$E$6:$E$771,$A267,'סופר פארם Raw'!$B$6:$B$771,2026)</f>
        <v>-1</v>
      </c>
      <c r="E267" s="12" t="n">
        <f aca="false">D267*$J$5</f>
        <v>-1.26315789473684</v>
      </c>
      <c r="F267" s="12" t="n">
        <f aca="false">E267-C267</f>
        <v>-1.26315789473684</v>
      </c>
      <c r="G267" s="21" t="str">
        <f aca="false">IF(AND(C267=0,E267=0),0,IF(C267=0,"New",(E267-C267)/C267))</f>
        <v>New</v>
      </c>
      <c r="H267" s="12" t="n">
        <f aca="false">SUMIFS('סופר פארם Raw'!$D$6:$D$771,'סופר פארם Raw'!$E$6:$E$771,$A267,'סופר פארם Raw'!$B$6:$B$771,2025)</f>
        <v>0</v>
      </c>
      <c r="I267" s="12" t="n">
        <f aca="false">SUMIFS('סופר פארם Raw'!$D$6:$D$771,'סופר פארם Raw'!$E$6:$E$771,$A267,'סופר פארם Raw'!$B$6:$B$771,2026)</f>
        <v>-81.9</v>
      </c>
      <c r="J267" s="12" t="n">
        <f aca="false">I267*$J$5</f>
        <v>-103.452631578947</v>
      </c>
    </row>
    <row r="268" customFormat="false" ht="15" hidden="false" customHeight="true" outlineLevel="0" collapsed="false">
      <c r="A268" s="12" t="n">
        <v>4413175</v>
      </c>
      <c r="B268" s="12" t="str">
        <f aca="false">IFERROR(INDEX('Catalog'!$B:$B,MATCH($A268,'Catalog'!$A:$A,0)),"")</f>
        <v>85+ Mמתלה ליד)כיס(+רצועת חיזוק</v>
      </c>
      <c r="C268" s="12" t="n">
        <f aca="false">SUMIFS('סופר פארם Raw'!$C$6:$C$771,'סופר פארם Raw'!$E$6:$E$771,$A268,'סופר פארם Raw'!$B$6:$B$771,2025)</f>
        <v>1</v>
      </c>
      <c r="D268" s="12" t="n">
        <f aca="false">SUMIFS('סופר פארם Raw'!$C$6:$C$771,'סופר פארם Raw'!$E$6:$E$771,$A268,'סופר פארם Raw'!$B$6:$B$771,2026)</f>
        <v>0</v>
      </c>
      <c r="E268" s="12" t="n">
        <f aca="false">D268*$J$5</f>
        <v>0</v>
      </c>
      <c r="F268" s="12" t="n">
        <f aca="false">E268-C268</f>
        <v>-1</v>
      </c>
      <c r="G268" s="21" t="n">
        <f aca="false">IF(AND(C268=0,E268=0),0,IF(C268=0,"New",(E268-C268)/C268))</f>
        <v>-1</v>
      </c>
      <c r="H268" s="12" t="n">
        <f aca="false">SUMIFS('סופר פארם Raw'!$D$6:$D$771,'סופר פארם Raw'!$E$6:$E$771,$A268,'סופר פארם Raw'!$B$6:$B$771,2025)</f>
        <v>84.9</v>
      </c>
      <c r="I268" s="12" t="n">
        <f aca="false">SUMIFS('סופר פארם Raw'!$D$6:$D$771,'סופר פארם Raw'!$E$6:$E$771,$A268,'סופר פארם Raw'!$B$6:$B$771,2026)</f>
        <v>0</v>
      </c>
      <c r="J268" s="12" t="n">
        <f aca="false">I268*$J$5</f>
        <v>0</v>
      </c>
    </row>
    <row r="269" customFormat="false" ht="15" hidden="false" customHeight="true" outlineLevel="0" collapsed="false">
      <c r="A269" s="12" t="n">
        <v>4413176</v>
      </c>
      <c r="B269" s="12" t="str">
        <f aca="false">IFERROR(INDEX('Catalog'!$B:$B,MATCH($A269,'Catalog'!$A:$A,0)),"")</f>
        <v>85+ Lמתלה ליד)כיס(+רצועת חיזוק</v>
      </c>
      <c r="C269" s="12" t="n">
        <f aca="false">SUMIFS('סופר פארם Raw'!$C$6:$C$771,'סופר פארם Raw'!$E$6:$E$771,$A269,'סופר פארם Raw'!$B$6:$B$771,2025)</f>
        <v>1</v>
      </c>
      <c r="D269" s="12" t="n">
        <f aca="false">SUMIFS('סופר פארם Raw'!$C$6:$C$771,'סופר פארם Raw'!$E$6:$E$771,$A269,'סופר פארם Raw'!$B$6:$B$771,2026)</f>
        <v>0</v>
      </c>
      <c r="E269" s="12" t="n">
        <f aca="false">D269*$J$5</f>
        <v>0</v>
      </c>
      <c r="F269" s="12" t="n">
        <f aca="false">E269-C269</f>
        <v>-1</v>
      </c>
      <c r="G269" s="21" t="n">
        <f aca="false">IF(AND(C269=0,E269=0),0,IF(C269=0,"New",(E269-C269)/C269))</f>
        <v>-1</v>
      </c>
      <c r="H269" s="12" t="n">
        <f aca="false">SUMIFS('סופר פארם Raw'!$D$6:$D$771,'סופר פארם Raw'!$E$6:$E$771,$A269,'סופר פארם Raw'!$B$6:$B$771,2025)</f>
        <v>81.9</v>
      </c>
      <c r="I269" s="12" t="n">
        <f aca="false">SUMIFS('סופר פארם Raw'!$D$6:$D$771,'סופר פארם Raw'!$E$6:$E$771,$A269,'סופר פארם Raw'!$B$6:$B$771,2026)</f>
        <v>0</v>
      </c>
      <c r="J269" s="12" t="n">
        <f aca="false">I269*$J$5</f>
        <v>0</v>
      </c>
    </row>
    <row r="270" customFormat="false" ht="15" hidden="false" customHeight="true" outlineLevel="0" collapsed="false">
      <c r="A270" s="12" t="n">
        <v>4413177</v>
      </c>
      <c r="B270" s="12" t="str">
        <f aca="false">IFERROR(INDEX('Catalog'!$B:$B,MATCH($A270,'Catalog'!$A:$A,0)),"")</f>
        <v>85+ XLמתלה ליד)כיס(רצועת חיזוק</v>
      </c>
      <c r="C270" s="12" t="n">
        <f aca="false">SUMIFS('סופר פארם Raw'!$C$6:$C$771,'סופר פארם Raw'!$E$6:$E$771,$A270,'סופר פארם Raw'!$B$6:$B$771,2025)</f>
        <v>1</v>
      </c>
      <c r="D270" s="12" t="n">
        <f aca="false">SUMIFS('סופר פארם Raw'!$C$6:$C$771,'סופר פארם Raw'!$E$6:$E$771,$A270,'סופר פארם Raw'!$B$6:$B$771,2026)</f>
        <v>0</v>
      </c>
      <c r="E270" s="12" t="n">
        <f aca="false">D270*$J$5</f>
        <v>0</v>
      </c>
      <c r="F270" s="12" t="n">
        <f aca="false">E270-C270</f>
        <v>-1</v>
      </c>
      <c r="G270" s="21" t="n">
        <f aca="false">IF(AND(C270=0,E270=0),0,IF(C270=0,"New",(E270-C270)/C270))</f>
        <v>-1</v>
      </c>
      <c r="H270" s="12" t="n">
        <f aca="false">SUMIFS('סופר פארם Raw'!$D$6:$D$771,'סופר פארם Raw'!$E$6:$E$771,$A270,'סופר פארם Raw'!$B$6:$B$771,2025)</f>
        <v>81.9</v>
      </c>
      <c r="I270" s="12" t="n">
        <f aca="false">SUMIFS('סופר פארם Raw'!$D$6:$D$771,'סופר פארם Raw'!$E$6:$E$771,$A270,'סופר פארם Raw'!$B$6:$B$771,2026)</f>
        <v>0</v>
      </c>
      <c r="J270" s="12" t="n">
        <f aca="false">I270*$J$5</f>
        <v>0</v>
      </c>
    </row>
    <row r="271" customFormat="false" ht="15" hidden="false" customHeight="true" outlineLevel="0" collapsed="false">
      <c r="A271" s="12" t="n">
        <v>4413179</v>
      </c>
      <c r="B271" s="12" t="str">
        <f aca="false">IFERROR(INDEX('Catalog'!$B:$B,MATCH($A271,'Catalog'!$A:$A,0)),"")</f>
        <v>T39  M מגן שוק</v>
      </c>
      <c r="C271" s="12" t="n">
        <f aca="false">SUMIFS('סופר פארם Raw'!$C$6:$C$771,'סופר פארם Raw'!$E$6:$E$771,$A271,'סופר פארם Raw'!$B$6:$B$771,2025)</f>
        <v>-4</v>
      </c>
      <c r="D271" s="12" t="n">
        <f aca="false">SUMIFS('סופר פארם Raw'!$C$6:$C$771,'סופר פארם Raw'!$E$6:$E$771,$A271,'סופר פארם Raw'!$B$6:$B$771,2026)</f>
        <v>0</v>
      </c>
      <c r="E271" s="12" t="n">
        <f aca="false">D271*$J$5</f>
        <v>0</v>
      </c>
      <c r="F271" s="12" t="n">
        <f aca="false">E271-C271</f>
        <v>4</v>
      </c>
      <c r="G271" s="21" t="n">
        <f aca="false">IF(AND(C271=0,E271=0),0,IF(C271=0,"New",(E271-C271)/C271))</f>
        <v>-1</v>
      </c>
      <c r="H271" s="12" t="n">
        <f aca="false">SUMIFS('סופר פארם Raw'!$D$6:$D$771,'סופר פארם Raw'!$E$6:$E$771,$A271,'סופר פארם Raw'!$B$6:$B$771,2025)</f>
        <v>-360.4</v>
      </c>
      <c r="I271" s="12" t="n">
        <f aca="false">SUMIFS('סופר פארם Raw'!$D$6:$D$771,'סופר פארם Raw'!$E$6:$E$771,$A271,'סופר פארם Raw'!$B$6:$B$771,2026)</f>
        <v>0</v>
      </c>
      <c r="J271" s="12" t="n">
        <f aca="false">I271*$J$5</f>
        <v>0</v>
      </c>
    </row>
    <row r="272" customFormat="false" ht="15" hidden="false" customHeight="true" outlineLevel="0" collapsed="false">
      <c r="A272" s="12" t="n">
        <v>4413181</v>
      </c>
      <c r="B272" s="12" t="str">
        <f aca="false">IFERROR(INDEX('Catalog'!$B:$B,MATCH($A272,'Catalog'!$A:$A,0)),"")</f>
        <v>T39  L מגן שוק</v>
      </c>
      <c r="C272" s="12" t="n">
        <f aca="false">SUMIFS('סופר פארם Raw'!$C$6:$C$771,'סופר פארם Raw'!$E$6:$E$771,$A272,'סופר פארם Raw'!$B$6:$B$771,2025)</f>
        <v>-1</v>
      </c>
      <c r="D272" s="12" t="n">
        <f aca="false">SUMIFS('סופר פארם Raw'!$C$6:$C$771,'סופר פארם Raw'!$E$6:$E$771,$A272,'סופר פארם Raw'!$B$6:$B$771,2026)</f>
        <v>0</v>
      </c>
      <c r="E272" s="12" t="n">
        <f aca="false">D272*$J$5</f>
        <v>0</v>
      </c>
      <c r="F272" s="12" t="n">
        <f aca="false">E272-C272</f>
        <v>1</v>
      </c>
      <c r="G272" s="21" t="n">
        <f aca="false">IF(AND(C272=0,E272=0),0,IF(C272=0,"New",(E272-C272)/C272))</f>
        <v>-1</v>
      </c>
      <c r="H272" s="12" t="n">
        <f aca="false">SUMIFS('סופר פארם Raw'!$D$6:$D$771,'סופר פארם Raw'!$E$6:$E$771,$A272,'סופר פארם Raw'!$B$6:$B$771,2025)</f>
        <v>-90.1</v>
      </c>
      <c r="I272" s="12" t="n">
        <f aca="false">SUMIFS('סופר פארם Raw'!$D$6:$D$771,'סופר פארם Raw'!$E$6:$E$771,$A272,'סופר פארם Raw'!$B$6:$B$771,2026)</f>
        <v>0</v>
      </c>
      <c r="J272" s="12" t="n">
        <f aca="false">I272*$J$5</f>
        <v>0</v>
      </c>
    </row>
    <row r="273" customFormat="false" ht="15" hidden="false" customHeight="true" outlineLevel="0" collapsed="false">
      <c r="A273" s="12" t="n">
        <v>4413182</v>
      </c>
      <c r="B273" s="12" t="str">
        <f aca="false">IFERROR(INDEX('Catalog'!$B:$B,MATCH($A273,'Catalog'!$A:$A,0)),"")</f>
        <v>T45 S מגן ברך רגיל</v>
      </c>
      <c r="C273" s="12" t="n">
        <f aca="false">SUMIFS('סופר פארם Raw'!$C$6:$C$771,'סופר פארם Raw'!$E$6:$E$771,$A273,'סופר פארם Raw'!$B$6:$B$771,2025)</f>
        <v>-2</v>
      </c>
      <c r="D273" s="12" t="n">
        <f aca="false">SUMIFS('סופר פארם Raw'!$C$6:$C$771,'סופר פארם Raw'!$E$6:$E$771,$A273,'סופר פארם Raw'!$B$6:$B$771,2026)</f>
        <v>7</v>
      </c>
      <c r="E273" s="12" t="n">
        <f aca="false">D273*$J$5</f>
        <v>8.84210526315789</v>
      </c>
      <c r="F273" s="12" t="n">
        <f aca="false">E273-C273</f>
        <v>10.8421052631579</v>
      </c>
      <c r="G273" s="21" t="n">
        <f aca="false">IF(AND(C273=0,E273=0),0,IF(C273=0,"New",(E273-C273)/C273))</f>
        <v>-5.42105263157895</v>
      </c>
      <c r="H273" s="12" t="n">
        <f aca="false">SUMIFS('סופר פארם Raw'!$D$6:$D$771,'סופר פארם Raw'!$E$6:$E$771,$A273,'סופר פארם Raw'!$B$6:$B$771,2025)</f>
        <v>-173.9</v>
      </c>
      <c r="I273" s="12" t="n">
        <f aca="false">SUMIFS('סופר פארם Raw'!$D$6:$D$771,'סופר פארם Raw'!$E$6:$E$771,$A273,'סופר פארם Raw'!$B$6:$B$771,2026)</f>
        <v>630.7</v>
      </c>
      <c r="J273" s="12" t="n">
        <f aca="false">I273*$J$5</f>
        <v>796.673684210526</v>
      </c>
    </row>
    <row r="274" customFormat="false" ht="15" hidden="false" customHeight="true" outlineLevel="0" collapsed="false">
      <c r="A274" s="12" t="n">
        <v>4413183</v>
      </c>
      <c r="B274" s="12" t="str">
        <f aca="false">IFERROR(INDEX('Catalog'!$B:$B,MATCH($A274,'Catalog'!$A:$A,0)),"")</f>
        <v>T 45 M מגן ברך רגיל</v>
      </c>
      <c r="C274" s="12" t="n">
        <f aca="false">SUMIFS('סופר פארם Raw'!$C$6:$C$771,'סופר פארם Raw'!$E$6:$E$771,$A274,'סופר פארם Raw'!$B$6:$B$771,2025)</f>
        <v>78</v>
      </c>
      <c r="D274" s="12" t="n">
        <f aca="false">SUMIFS('סופר פארם Raw'!$C$6:$C$771,'סופר פארם Raw'!$E$6:$E$771,$A274,'סופר פארם Raw'!$B$6:$B$771,2026)</f>
        <v>33</v>
      </c>
      <c r="E274" s="12" t="n">
        <f aca="false">D274*$J$5</f>
        <v>41.6842105263158</v>
      </c>
      <c r="F274" s="12" t="n">
        <f aca="false">E274-C274</f>
        <v>-36.3157894736842</v>
      </c>
      <c r="G274" s="21" t="n">
        <f aca="false">IF(AND(C274=0,E274=0),0,IF(C274=0,"New",(E274-C274)/C274))</f>
        <v>-0.465587044534413</v>
      </c>
      <c r="H274" s="12" t="n">
        <f aca="false">SUMIFS('סופר פארם Raw'!$D$6:$D$771,'סופר פארם Raw'!$E$6:$E$771,$A274,'סופר פארם Raw'!$B$6:$B$771,2025)</f>
        <v>7014.3</v>
      </c>
      <c r="I274" s="12" t="n">
        <f aca="false">SUMIFS('סופר פארם Raw'!$D$6:$D$771,'סופר פארם Raw'!$E$6:$E$771,$A274,'סופר פארם Raw'!$B$6:$B$771,2026)</f>
        <v>3014.9</v>
      </c>
      <c r="J274" s="12" t="n">
        <f aca="false">I274*$J$5</f>
        <v>3808.29473684211</v>
      </c>
    </row>
    <row r="275" customFormat="false" ht="15" hidden="false" customHeight="true" outlineLevel="0" collapsed="false">
      <c r="A275" s="12" t="n">
        <v>4413184</v>
      </c>
      <c r="B275" s="12" t="str">
        <f aca="false">IFERROR(INDEX('Catalog'!$B:$B,MATCH($A275,'Catalog'!$A:$A,0)),"")</f>
        <v>T 45 L מגן ברך רגיל</v>
      </c>
      <c r="C275" s="12" t="n">
        <f aca="false">SUMIFS('סופר פארם Raw'!$C$6:$C$771,'סופר פארם Raw'!$E$6:$E$771,$A275,'סופר פארם Raw'!$B$6:$B$771,2025)</f>
        <v>87</v>
      </c>
      <c r="D275" s="12" t="n">
        <f aca="false">SUMIFS('סופר פארם Raw'!$C$6:$C$771,'סופר פארם Raw'!$E$6:$E$771,$A275,'סופר פארם Raw'!$B$6:$B$771,2026)</f>
        <v>29</v>
      </c>
      <c r="E275" s="12" t="n">
        <f aca="false">D275*$J$5</f>
        <v>36.6315789473684</v>
      </c>
      <c r="F275" s="12" t="n">
        <f aca="false">E275-C275</f>
        <v>-50.3684210526316</v>
      </c>
      <c r="G275" s="21" t="n">
        <f aca="false">IF(AND(C275=0,E275=0),0,IF(C275=0,"New",(E275-C275)/C275))</f>
        <v>-0.578947368421053</v>
      </c>
      <c r="H275" s="12" t="n">
        <f aca="false">SUMIFS('סופר פארם Raw'!$D$6:$D$771,'סופר פארם Raw'!$E$6:$E$771,$A275,'סופר פארם Raw'!$B$6:$B$771,2025)</f>
        <v>7827.9</v>
      </c>
      <c r="I275" s="12" t="n">
        <f aca="false">SUMIFS('סופר פארם Raw'!$D$6:$D$771,'סופר פארם Raw'!$E$6:$E$771,$A275,'סופר פארם Raw'!$B$6:$B$771,2026)</f>
        <v>2674.1</v>
      </c>
      <c r="J275" s="12" t="n">
        <f aca="false">I275*$J$5</f>
        <v>3377.81052631579</v>
      </c>
    </row>
    <row r="276" customFormat="false" ht="15" hidden="false" customHeight="true" outlineLevel="0" collapsed="false">
      <c r="A276" s="12" t="n">
        <v>4413185</v>
      </c>
      <c r="B276" s="12" t="str">
        <f aca="false">IFERROR(INDEX('Catalog'!$B:$B,MATCH($A276,'Catalog'!$A:$A,0)),"")</f>
        <v>T 45XL מגן ברך רגיל</v>
      </c>
      <c r="C276" s="12" t="n">
        <f aca="false">SUMIFS('סופר פארם Raw'!$C$6:$C$771,'סופר פארם Raw'!$E$6:$E$771,$A276,'סופר פארם Raw'!$B$6:$B$771,2025)</f>
        <v>95</v>
      </c>
      <c r="D276" s="12" t="n">
        <f aca="false">SUMIFS('סופר פארם Raw'!$C$6:$C$771,'סופר פארם Raw'!$E$6:$E$771,$A276,'סופר פארם Raw'!$B$6:$B$771,2026)</f>
        <v>40</v>
      </c>
      <c r="E276" s="12" t="n">
        <f aca="false">D276*$J$5</f>
        <v>50.5263157894737</v>
      </c>
      <c r="F276" s="12" t="n">
        <f aca="false">E276-C276</f>
        <v>-44.4736842105263</v>
      </c>
      <c r="G276" s="21" t="n">
        <f aca="false">IF(AND(C276=0,E276=0),0,IF(C276=0,"New",(E276-C276)/C276))</f>
        <v>-0.46814404432133</v>
      </c>
      <c r="H276" s="12" t="n">
        <f aca="false">SUMIFS('סופר פארם Raw'!$D$6:$D$771,'סופר פארם Raw'!$E$6:$E$771,$A276,'סופר פארם Raw'!$B$6:$B$771,2025)</f>
        <v>8568.6</v>
      </c>
      <c r="I276" s="12" t="n">
        <f aca="false">SUMIFS('סופר פארם Raw'!$D$6:$D$771,'סופר פארם Raw'!$E$6:$E$771,$A276,'סופר פארם Raw'!$B$6:$B$771,2026)</f>
        <v>3646.7</v>
      </c>
      <c r="J276" s="12" t="n">
        <f aca="false">I276*$J$5</f>
        <v>4606.35789473684</v>
      </c>
    </row>
    <row r="277" customFormat="false" ht="15" hidden="false" customHeight="true" outlineLevel="0" collapsed="false">
      <c r="A277" s="12" t="n">
        <v>4413188</v>
      </c>
      <c r="B277" s="12" t="str">
        <f aca="false">IFERROR(INDEX('Catalog'!$B:$B,MATCH($A277,'Catalog'!$A:$A,0)),"")</f>
        <v>T43SKI L מגן ברך לסקי</v>
      </c>
      <c r="C277" s="12" t="n">
        <f aca="false">SUMIFS('סופר פארם Raw'!$C$6:$C$771,'סופר פארם Raw'!$E$6:$E$771,$A277,'סופר פארם Raw'!$B$6:$B$771,2025)</f>
        <v>0</v>
      </c>
      <c r="D277" s="12" t="n">
        <f aca="false">SUMIFS('סופר פארם Raw'!$C$6:$C$771,'סופר פארם Raw'!$E$6:$E$771,$A277,'סופר פארם Raw'!$B$6:$B$771,2026)</f>
        <v>-1</v>
      </c>
      <c r="E277" s="12" t="n">
        <f aca="false">D277*$J$5</f>
        <v>-1.26315789473684</v>
      </c>
      <c r="F277" s="12" t="n">
        <f aca="false">E277-C277</f>
        <v>-1.26315789473684</v>
      </c>
      <c r="G277" s="21" t="str">
        <f aca="false">IF(AND(C277=0,E277=0),0,IF(C277=0,"New",(E277-C277)/C277))</f>
        <v>New</v>
      </c>
      <c r="H277" s="12" t="n">
        <f aca="false">SUMIFS('סופר פארם Raw'!$D$6:$D$771,'סופר פארם Raw'!$E$6:$E$771,$A277,'סופר פארם Raw'!$B$6:$B$771,2025)</f>
        <v>0</v>
      </c>
      <c r="I277" s="12" t="n">
        <f aca="false">SUMIFS('סופר פארם Raw'!$D$6:$D$771,'סופר פארם Raw'!$E$6:$E$771,$A277,'סופר פארם Raw'!$B$6:$B$771,2026)</f>
        <v>-204.8</v>
      </c>
      <c r="J277" s="12" t="n">
        <f aca="false">I277*$J$5</f>
        <v>-258.694736842105</v>
      </c>
    </row>
    <row r="278" customFormat="false" ht="15" hidden="false" customHeight="true" outlineLevel="0" collapsed="false">
      <c r="A278" s="12" t="n">
        <v>4413195</v>
      </c>
      <c r="B278" s="12" t="str">
        <f aca="false">IFERROR(INDEX('Catalog'!$B:$B,MATCH($A278,'Catalog'!$A:$A,0)),"")</f>
        <v>87 S מקבע כתף ויד</v>
      </c>
      <c r="C278" s="12" t="n">
        <f aca="false">SUMIFS('סופר פארם Raw'!$C$6:$C$771,'סופר פארם Raw'!$E$6:$E$771,$A278,'סופר פארם Raw'!$B$6:$B$771,2025)</f>
        <v>21</v>
      </c>
      <c r="D278" s="12" t="n">
        <f aca="false">SUMIFS('סופר פארם Raw'!$C$6:$C$771,'סופר פארם Raw'!$E$6:$E$771,$A278,'סופר פארם Raw'!$B$6:$B$771,2026)</f>
        <v>17</v>
      </c>
      <c r="E278" s="12" t="n">
        <f aca="false">D278*$J$5</f>
        <v>21.4736842105263</v>
      </c>
      <c r="F278" s="12" t="n">
        <f aca="false">E278-C278</f>
        <v>0.473684210526315</v>
      </c>
      <c r="G278" s="21" t="n">
        <f aca="false">IF(AND(C278=0,E278=0),0,IF(C278=0,"New",(E278-C278)/C278))</f>
        <v>0.0225563909774436</v>
      </c>
      <c r="H278" s="12" t="n">
        <f aca="false">SUMIFS('סופר פארם Raw'!$D$6:$D$771,'סופר פארם Raw'!$E$6:$E$771,$A278,'סופר פארם Raw'!$B$6:$B$771,2025)</f>
        <v>3416.1</v>
      </c>
      <c r="I278" s="12" t="n">
        <f aca="false">SUMIFS('סופר פארם Raw'!$D$6:$D$771,'סופר פארם Raw'!$E$6:$E$771,$A278,'סופר פארם Raw'!$B$6:$B$771,2026)</f>
        <v>2774.1</v>
      </c>
      <c r="J278" s="12" t="n">
        <f aca="false">I278*$J$5</f>
        <v>3504.12631578947</v>
      </c>
    </row>
    <row r="279" customFormat="false" ht="15" hidden="false" customHeight="true" outlineLevel="0" collapsed="false">
      <c r="A279" s="12" t="n">
        <v>4413196</v>
      </c>
      <c r="B279" s="12" t="str">
        <f aca="false">IFERROR(INDEX('Catalog'!$B:$B,MATCH($A279,'Catalog'!$A:$A,0)),"")</f>
        <v>87 M מקבע כתף ויד</v>
      </c>
      <c r="C279" s="12" t="n">
        <f aca="false">SUMIFS('סופר פארם Raw'!$C$6:$C$771,'סופר פארם Raw'!$E$6:$E$771,$A279,'סופר פארם Raw'!$B$6:$B$771,2025)</f>
        <v>130</v>
      </c>
      <c r="D279" s="12" t="n">
        <f aca="false">SUMIFS('סופר פארם Raw'!$C$6:$C$771,'סופר פארם Raw'!$E$6:$E$771,$A279,'סופר פארם Raw'!$B$6:$B$771,2026)</f>
        <v>105</v>
      </c>
      <c r="E279" s="12" t="n">
        <f aca="false">D279*$J$5</f>
        <v>132.631578947368</v>
      </c>
      <c r="F279" s="12" t="n">
        <f aca="false">E279-C279</f>
        <v>2.63157894736841</v>
      </c>
      <c r="G279" s="21" t="n">
        <f aca="false">IF(AND(C279=0,E279=0),0,IF(C279=0,"New",(E279-C279)/C279))</f>
        <v>0.020242914979757</v>
      </c>
      <c r="H279" s="12" t="n">
        <f aca="false">SUMIFS('סופר פארם Raw'!$D$6:$D$771,'סופר פארם Raw'!$E$6:$E$771,$A279,'סופר פארם Raw'!$B$6:$B$771,2025)</f>
        <v>20889.7</v>
      </c>
      <c r="I279" s="12" t="n">
        <f aca="false">SUMIFS('סופר פארם Raw'!$D$6:$D$771,'סופר פארם Raw'!$E$6:$E$771,$A279,'סופר פארם Raw'!$B$6:$B$771,2026)</f>
        <v>16961.5</v>
      </c>
      <c r="J279" s="12" t="n">
        <f aca="false">I279*$J$5</f>
        <v>21425.0526315789</v>
      </c>
    </row>
    <row r="280" customFormat="false" ht="15" hidden="false" customHeight="true" outlineLevel="0" collapsed="false">
      <c r="A280" s="12" t="n">
        <v>4413197</v>
      </c>
      <c r="B280" s="12" t="str">
        <f aca="false">IFERROR(INDEX('Catalog'!$B:$B,MATCH($A280,'Catalog'!$A:$A,0)),"")</f>
        <v>87 L מקבע כתף ויד</v>
      </c>
      <c r="C280" s="12" t="n">
        <f aca="false">SUMIFS('סופר פארם Raw'!$C$6:$C$771,'סופר פארם Raw'!$E$6:$E$771,$A280,'סופר פארם Raw'!$B$6:$B$771,2025)</f>
        <v>213</v>
      </c>
      <c r="D280" s="12" t="n">
        <f aca="false">SUMIFS('סופר פארם Raw'!$C$6:$C$771,'סופר פארם Raw'!$E$6:$E$771,$A280,'סופר פארם Raw'!$B$6:$B$771,2026)</f>
        <v>128</v>
      </c>
      <c r="E280" s="12" t="n">
        <f aca="false">D280*$J$5</f>
        <v>161.684210526316</v>
      </c>
      <c r="F280" s="12" t="n">
        <f aca="false">E280-C280</f>
        <v>-51.3157894736842</v>
      </c>
      <c r="G280" s="21" t="n">
        <f aca="false">IF(AND(C280=0,E280=0),0,IF(C280=0,"New",(E280-C280)/C280))</f>
        <v>-0.240919199406968</v>
      </c>
      <c r="H280" s="12" t="n">
        <f aca="false">SUMIFS('סופר פארם Raw'!$D$6:$D$771,'סופר פארם Raw'!$E$6:$E$771,$A280,'סופר פארם Raw'!$B$6:$B$771,2025)</f>
        <v>34398.3</v>
      </c>
      <c r="I280" s="12" t="n">
        <f aca="false">SUMIFS('סופר פארם Raw'!$D$6:$D$771,'סופר פארם Raw'!$E$6:$E$771,$A280,'סופר פארם Raw'!$B$6:$B$771,2026)</f>
        <v>20666.2</v>
      </c>
      <c r="J280" s="12" t="n">
        <f aca="false">I280*$J$5</f>
        <v>26104.6736842105</v>
      </c>
    </row>
    <row r="281" customFormat="false" ht="15" hidden="false" customHeight="true" outlineLevel="0" collapsed="false">
      <c r="A281" s="12" t="n">
        <v>4413198</v>
      </c>
      <c r="B281" s="12" t="str">
        <f aca="false">IFERROR(INDEX('Catalog'!$B:$B,MATCH($A281,'Catalog'!$A:$A,0)),"")</f>
        <v>87 XL מקבע כתף ויד</v>
      </c>
      <c r="C281" s="12" t="n">
        <f aca="false">SUMIFS('סופר פארם Raw'!$C$6:$C$771,'סופר פארם Raw'!$E$6:$E$771,$A281,'סופר פארם Raw'!$B$6:$B$771,2025)</f>
        <v>128</v>
      </c>
      <c r="D281" s="12" t="n">
        <f aca="false">SUMIFS('סופר פארם Raw'!$C$6:$C$771,'סופר פארם Raw'!$E$6:$E$771,$A281,'סופר פארם Raw'!$B$6:$B$771,2026)</f>
        <v>134</v>
      </c>
      <c r="E281" s="12" t="n">
        <f aca="false">D281*$J$5</f>
        <v>169.263157894737</v>
      </c>
      <c r="F281" s="12" t="n">
        <f aca="false">E281-C281</f>
        <v>41.2631578947368</v>
      </c>
      <c r="G281" s="21" t="n">
        <f aca="false">IF(AND(C281=0,E281=0),0,IF(C281=0,"New",(E281-C281)/C281))</f>
        <v>0.322368421052631</v>
      </c>
      <c r="H281" s="12" t="n">
        <f aca="false">SUMIFS('סופר פארם Raw'!$D$6:$D$771,'סופר פארם Raw'!$E$6:$E$771,$A281,'סופר פארם Raw'!$B$6:$B$771,2025)</f>
        <v>20594.8</v>
      </c>
      <c r="I281" s="12" t="n">
        <f aca="false">SUMIFS('סופר פארם Raw'!$D$6:$D$771,'סופר פארם Raw'!$E$6:$E$771,$A281,'סופר פארם Raw'!$B$6:$B$771,2026)</f>
        <v>21496.9</v>
      </c>
      <c r="J281" s="12" t="n">
        <f aca="false">I281*$J$5</f>
        <v>27153.9789473684</v>
      </c>
    </row>
    <row r="282" customFormat="false" ht="15" hidden="false" customHeight="true" outlineLevel="0" collapsed="false">
      <c r="A282" s="12" t="n">
        <v>4413204</v>
      </c>
      <c r="B282" s="12" t="str">
        <f aca="false">IFERROR(INDEX('Catalog'!$B:$B,MATCH($A282,'Catalog'!$A:$A,0)),"")</f>
        <v>87 XXL מקבע כתף ויד</v>
      </c>
      <c r="C282" s="12" t="n">
        <f aca="false">SUMIFS('סופר פארם Raw'!$C$6:$C$771,'סופר פארם Raw'!$E$6:$E$771,$A282,'סופר פארם Raw'!$B$6:$B$771,2025)</f>
        <v>49</v>
      </c>
      <c r="D282" s="12" t="n">
        <f aca="false">SUMIFS('סופר פארם Raw'!$C$6:$C$771,'סופר פארם Raw'!$E$6:$E$771,$A282,'סופר פארם Raw'!$B$6:$B$771,2026)</f>
        <v>50</v>
      </c>
      <c r="E282" s="12" t="n">
        <f aca="false">D282*$J$5</f>
        <v>63.1578947368421</v>
      </c>
      <c r="F282" s="12" t="n">
        <f aca="false">E282-C282</f>
        <v>14.1578947368421</v>
      </c>
      <c r="G282" s="21" t="n">
        <f aca="false">IF(AND(C282=0,E282=0),0,IF(C282=0,"New",(E282-C282)/C282))</f>
        <v>0.288936627282492</v>
      </c>
      <c r="H282" s="12" t="n">
        <f aca="false">SUMIFS('סופר פארם Raw'!$D$6:$D$771,'סופר פארם Raw'!$E$6:$E$771,$A282,'סופר פארם Raw'!$B$6:$B$771,2025)</f>
        <v>7847</v>
      </c>
      <c r="I282" s="12" t="n">
        <f aca="false">SUMIFS('סופר פארם Raw'!$D$6:$D$771,'סופר פארם Raw'!$E$6:$E$771,$A282,'סופר פארם Raw'!$B$6:$B$771,2026)</f>
        <v>8076.4</v>
      </c>
      <c r="J282" s="12" t="n">
        <f aca="false">I282*$J$5</f>
        <v>10201.7684210526</v>
      </c>
    </row>
    <row r="283" customFormat="false" ht="15" hidden="false" customHeight="true" outlineLevel="0" collapsed="false">
      <c r="A283" s="12" t="n">
        <v>4413276</v>
      </c>
      <c r="B283" s="12" t="str">
        <f aca="false">IFERROR(INDEX('Catalog'!$B:$B,MATCH($A283,'Catalog'!$A:$A,0)),"")</f>
        <v>LF377 L-מדרס סיליקון לנעלי עקב</v>
      </c>
      <c r="C283" s="12" t="n">
        <f aca="false">SUMIFS('סופר פארם Raw'!$C$6:$C$771,'סופר פארם Raw'!$E$6:$E$771,$A283,'סופר פארם Raw'!$B$6:$B$771,2025)</f>
        <v>1</v>
      </c>
      <c r="D283" s="12" t="n">
        <f aca="false">SUMIFS('סופר פארם Raw'!$C$6:$C$771,'סופר פארם Raw'!$E$6:$E$771,$A283,'סופר פארם Raw'!$B$6:$B$771,2026)</f>
        <v>3</v>
      </c>
      <c r="E283" s="12" t="n">
        <f aca="false">D283*$J$5</f>
        <v>3.78947368421053</v>
      </c>
      <c r="F283" s="12" t="n">
        <f aca="false">E283-C283</f>
        <v>2.78947368421053</v>
      </c>
      <c r="G283" s="21" t="n">
        <f aca="false">IF(AND(C283=0,E283=0),0,IF(C283=0,"New",(E283-C283)/C283))</f>
        <v>2.78947368421053</v>
      </c>
      <c r="H283" s="12" t="n">
        <f aca="false">SUMIFS('סופר פארם Raw'!$D$6:$D$771,'סופר פארם Raw'!$E$6:$E$771,$A283,'סופר פארם Raw'!$B$6:$B$771,2025)</f>
        <v>40.6</v>
      </c>
      <c r="I283" s="12" t="n">
        <f aca="false">SUMIFS('סופר פארם Raw'!$D$6:$D$771,'סופר פארם Raw'!$E$6:$E$771,$A283,'סופר פארם Raw'!$B$6:$B$771,2026)</f>
        <v>114</v>
      </c>
      <c r="J283" s="12" t="n">
        <f aca="false">I283*$J$5</f>
        <v>144</v>
      </c>
    </row>
    <row r="284" customFormat="false" ht="15" hidden="false" customHeight="true" outlineLevel="0" collapsed="false">
      <c r="A284" s="12" t="n">
        <v>4413277</v>
      </c>
      <c r="B284" s="12" t="str">
        <f aca="false">IFERROR(INDEX('Catalog'!$B:$B,MATCH($A284,'Catalog'!$A:$A,0)),"")</f>
        <v>LF377 M-מדרס סיליקון לנעלי עקב</v>
      </c>
      <c r="C284" s="12" t="n">
        <f aca="false">SUMIFS('סופר פארם Raw'!$C$6:$C$771,'סופר פארם Raw'!$E$6:$E$771,$A284,'סופר פארם Raw'!$B$6:$B$771,2025)</f>
        <v>-2</v>
      </c>
      <c r="D284" s="12" t="n">
        <f aca="false">SUMIFS('סופר פארם Raw'!$C$6:$C$771,'סופר פארם Raw'!$E$6:$E$771,$A284,'סופר פארם Raw'!$B$6:$B$771,2026)</f>
        <v>-3</v>
      </c>
      <c r="E284" s="12" t="n">
        <f aca="false">D284*$J$5</f>
        <v>-3.78947368421053</v>
      </c>
      <c r="F284" s="12" t="n">
        <f aca="false">E284-C284</f>
        <v>-1.78947368421053</v>
      </c>
      <c r="G284" s="21" t="n">
        <f aca="false">IF(AND(C284=0,E284=0),0,IF(C284=0,"New",(E284-C284)/C284))</f>
        <v>0.894736842105263</v>
      </c>
      <c r="H284" s="12" t="n">
        <f aca="false">SUMIFS('סופר פארם Raw'!$D$6:$D$771,'סופר פארם Raw'!$E$6:$E$771,$A284,'סופר פארם Raw'!$B$6:$B$771,2025)</f>
        <v>-79.1</v>
      </c>
      <c r="I284" s="12" t="n">
        <f aca="false">SUMIFS('סופר פארם Raw'!$D$6:$D$771,'סופר פארם Raw'!$E$6:$E$771,$A284,'סופר פארם Raw'!$B$6:$B$771,2026)</f>
        <v>-121.7</v>
      </c>
      <c r="J284" s="12" t="n">
        <f aca="false">I284*$J$5</f>
        <v>-153.726315789474</v>
      </c>
    </row>
    <row r="285" customFormat="false" ht="15" hidden="false" customHeight="true" outlineLevel="0" collapsed="false">
      <c r="A285" s="12" t="n">
        <v>4413278</v>
      </c>
      <c r="B285" s="12" t="str">
        <f aca="false">IFERROR(INDEX('Catalog'!$B:$B,MATCH($A285,'Catalog'!$A:$A,0)),"")</f>
        <v>LF377 S-מדרס סיליקון לנעלי עקב</v>
      </c>
      <c r="C285" s="12" t="n">
        <f aca="false">SUMIFS('סופר פארם Raw'!$C$6:$C$771,'סופר פארם Raw'!$E$6:$E$771,$A285,'סופר פארם Raw'!$B$6:$B$771,2025)</f>
        <v>-1</v>
      </c>
      <c r="D285" s="12" t="n">
        <f aca="false">SUMIFS('סופר פארם Raw'!$C$6:$C$771,'סופר פארם Raw'!$E$6:$E$771,$A285,'סופר פארם Raw'!$B$6:$B$771,2026)</f>
        <v>3</v>
      </c>
      <c r="E285" s="12" t="n">
        <f aca="false">D285*$J$5</f>
        <v>3.78947368421053</v>
      </c>
      <c r="F285" s="12" t="n">
        <f aca="false">E285-C285</f>
        <v>4.78947368421053</v>
      </c>
      <c r="G285" s="21" t="n">
        <f aca="false">IF(AND(C285=0,E285=0),0,IF(C285=0,"New",(E285-C285)/C285))</f>
        <v>-4.78947368421053</v>
      </c>
      <c r="H285" s="12" t="n">
        <f aca="false">SUMIFS('סופר פארם Raw'!$D$6:$D$771,'סופר פארם Raw'!$E$6:$E$771,$A285,'סופר פארם Raw'!$B$6:$B$771,2025)</f>
        <v>-40.6</v>
      </c>
      <c r="I285" s="12" t="n">
        <f aca="false">SUMIFS('סופר פארם Raw'!$D$6:$D$771,'סופר פארם Raw'!$E$6:$E$771,$A285,'סופר פארם Raw'!$B$6:$B$771,2026)</f>
        <v>122.2</v>
      </c>
      <c r="J285" s="12" t="n">
        <f aca="false">I285*$J$5</f>
        <v>154.357894736842</v>
      </c>
    </row>
    <row r="286" customFormat="false" ht="15" hidden="false" customHeight="true" outlineLevel="0" collapsed="false">
      <c r="A286" s="12" t="n">
        <v>4413281</v>
      </c>
      <c r="B286" s="12" t="str">
        <f aca="false">IFERROR(INDEX('Catalog'!$B:$B,MATCH($A286,'Catalog'!$A:$A,0)),"")</f>
        <v>422E S מגן ברך ארוך עם כרית</v>
      </c>
      <c r="C286" s="12" t="n">
        <f aca="false">SUMIFS('סופר פארם Raw'!$C$6:$C$771,'סופר פארם Raw'!$E$6:$E$771,$A286,'סופר פארם Raw'!$B$6:$B$771,2025)</f>
        <v>-2</v>
      </c>
      <c r="D286" s="12" t="n">
        <f aca="false">SUMIFS('סופר פארם Raw'!$C$6:$C$771,'סופר פארם Raw'!$E$6:$E$771,$A286,'סופר פארם Raw'!$B$6:$B$771,2026)</f>
        <v>0</v>
      </c>
      <c r="E286" s="12" t="n">
        <f aca="false">D286*$J$5</f>
        <v>0</v>
      </c>
      <c r="F286" s="12" t="n">
        <f aca="false">E286-C286</f>
        <v>2</v>
      </c>
      <c r="G286" s="21" t="n">
        <f aca="false">IF(AND(C286=0,E286=0),0,IF(C286=0,"New",(E286-C286)/C286))</f>
        <v>-1</v>
      </c>
      <c r="H286" s="12" t="n">
        <f aca="false">SUMIFS('סופר פארם Raw'!$D$6:$D$771,'סופר פארם Raw'!$E$6:$E$771,$A286,'סופר פארם Raw'!$B$6:$B$771,2025)</f>
        <v>-365.4</v>
      </c>
      <c r="I286" s="12" t="n">
        <f aca="false">SUMIFS('סופר פארם Raw'!$D$6:$D$771,'סופר פארם Raw'!$E$6:$E$771,$A286,'סופר פארם Raw'!$B$6:$B$771,2026)</f>
        <v>0</v>
      </c>
      <c r="J286" s="12" t="n">
        <f aca="false">I286*$J$5</f>
        <v>0</v>
      </c>
    </row>
    <row r="287" customFormat="false" ht="15" hidden="false" customHeight="true" outlineLevel="0" collapsed="false">
      <c r="A287" s="12" t="n">
        <v>4413282</v>
      </c>
      <c r="B287" s="12" t="str">
        <f aca="false">IFERROR(INDEX('Catalog'!$B:$B,MATCH($A287,'Catalog'!$A:$A,0)),"")</f>
        <v>422E XL מגן ברך ארוך עם כרית</v>
      </c>
      <c r="C287" s="12" t="n">
        <f aca="false">SUMIFS('סופר פארם Raw'!$C$6:$C$771,'סופר פארם Raw'!$E$6:$E$771,$A287,'סופר פארם Raw'!$B$6:$B$771,2025)</f>
        <v>-2</v>
      </c>
      <c r="D287" s="12" t="n">
        <f aca="false">SUMIFS('סופר פארם Raw'!$C$6:$C$771,'סופר פארם Raw'!$E$6:$E$771,$A287,'סופר פארם Raw'!$B$6:$B$771,2026)</f>
        <v>0</v>
      </c>
      <c r="E287" s="12" t="n">
        <f aca="false">D287*$J$5</f>
        <v>0</v>
      </c>
      <c r="F287" s="12" t="n">
        <f aca="false">E287-C287</f>
        <v>2</v>
      </c>
      <c r="G287" s="21" t="n">
        <f aca="false">IF(AND(C287=0,E287=0),0,IF(C287=0,"New",(E287-C287)/C287))</f>
        <v>-1</v>
      </c>
      <c r="H287" s="12" t="n">
        <f aca="false">SUMIFS('סופר פארם Raw'!$D$6:$D$771,'סופר פארם Raw'!$E$6:$E$771,$A287,'סופר פארם Raw'!$B$6:$B$771,2025)</f>
        <v>-365.4</v>
      </c>
      <c r="I287" s="12" t="n">
        <f aca="false">SUMIFS('סופר פארם Raw'!$D$6:$D$771,'סופר פארם Raw'!$E$6:$E$771,$A287,'סופר פארם Raw'!$B$6:$B$771,2026)</f>
        <v>0</v>
      </c>
      <c r="J287" s="12" t="n">
        <f aca="false">I287*$J$5</f>
        <v>0</v>
      </c>
    </row>
    <row r="288" customFormat="false" ht="15" hidden="false" customHeight="true" outlineLevel="0" collapsed="false">
      <c r="A288" s="12" t="n">
        <v>4413285</v>
      </c>
      <c r="B288" s="12" t="str">
        <f aca="false">IFERROR(INDEX('Catalog'!$B:$B,MATCH($A288,'Catalog'!$A:$A,0)),"")</f>
        <v>305GA מדרס מתכוונן47-48</v>
      </c>
      <c r="C288" s="12" t="n">
        <f aca="false">SUMIFS('סופר פארם Raw'!$C$6:$C$771,'סופר פארם Raw'!$E$6:$E$771,$A288,'סופר פארם Raw'!$B$6:$B$771,2025)</f>
        <v>-3</v>
      </c>
      <c r="D288" s="12" t="n">
        <f aca="false">SUMIFS('סופר פארם Raw'!$C$6:$C$771,'סופר פארם Raw'!$E$6:$E$771,$A288,'סופר פארם Raw'!$B$6:$B$771,2026)</f>
        <v>0</v>
      </c>
      <c r="E288" s="12" t="n">
        <f aca="false">D288*$J$5</f>
        <v>0</v>
      </c>
      <c r="F288" s="12" t="n">
        <f aca="false">E288-C288</f>
        <v>3</v>
      </c>
      <c r="G288" s="21" t="n">
        <f aca="false">IF(AND(C288=0,E288=0),0,IF(C288=0,"New",(E288-C288)/C288))</f>
        <v>-1</v>
      </c>
      <c r="H288" s="12" t="n">
        <f aca="false">SUMIFS('סופר פארם Raw'!$D$6:$D$771,'סופר פארם Raw'!$E$6:$E$771,$A288,'סופר פארם Raw'!$B$6:$B$771,2025)</f>
        <v>-185.8</v>
      </c>
      <c r="I288" s="12" t="n">
        <f aca="false">SUMIFS('סופר פארם Raw'!$D$6:$D$771,'סופר פארם Raw'!$E$6:$E$771,$A288,'סופר פארם Raw'!$B$6:$B$771,2026)</f>
        <v>0</v>
      </c>
      <c r="J288" s="12" t="n">
        <f aca="false">I288*$J$5</f>
        <v>0</v>
      </c>
    </row>
    <row r="289" customFormat="false" ht="15" hidden="false" customHeight="true" outlineLevel="0" collapsed="false">
      <c r="A289" s="12" t="n">
        <v>4413286</v>
      </c>
      <c r="B289" s="12" t="str">
        <f aca="false">IFERROR(INDEX('Catalog'!$B:$B,MATCH($A289,'Catalog'!$A:$A,0)),"")</f>
        <v>T45 XXL מגן ברך רגיל</v>
      </c>
      <c r="C289" s="12" t="n">
        <f aca="false">SUMIFS('סופר פארם Raw'!$C$6:$C$771,'סופר פארם Raw'!$E$6:$E$771,$A289,'סופר פארם Raw'!$B$6:$B$771,2025)</f>
        <v>27</v>
      </c>
      <c r="D289" s="12" t="n">
        <f aca="false">SUMIFS('סופר פארם Raw'!$C$6:$C$771,'סופר פארם Raw'!$E$6:$E$771,$A289,'סופר פארם Raw'!$B$6:$B$771,2026)</f>
        <v>17</v>
      </c>
      <c r="E289" s="12" t="n">
        <f aca="false">D289*$J$5</f>
        <v>21.4736842105263</v>
      </c>
      <c r="F289" s="12" t="n">
        <f aca="false">E289-C289</f>
        <v>-5.52631578947369</v>
      </c>
      <c r="G289" s="21" t="n">
        <f aca="false">IF(AND(C289=0,E289=0),0,IF(C289=0,"New",(E289-C289)/C289))</f>
        <v>-0.204678362573099</v>
      </c>
      <c r="H289" s="12" t="n">
        <f aca="false">SUMIFS('סופר פארם Raw'!$D$6:$D$771,'סופר פארם Raw'!$E$6:$E$771,$A289,'סופר פארם Raw'!$B$6:$B$771,2025)</f>
        <v>2428.2</v>
      </c>
      <c r="I289" s="12" t="n">
        <f aca="false">SUMIFS('סופר פארם Raw'!$D$6:$D$771,'סופר פארם Raw'!$E$6:$E$771,$A289,'סופר פארם Raw'!$B$6:$B$771,2026)</f>
        <v>1528.5</v>
      </c>
      <c r="J289" s="12" t="n">
        <f aca="false">I289*$J$5</f>
        <v>1930.73684210526</v>
      </c>
    </row>
    <row r="290" customFormat="false" ht="15" hidden="false" customHeight="true" outlineLevel="0" collapsed="false">
      <c r="A290" s="12" t="n">
        <v>4413307</v>
      </c>
      <c r="B290" s="12" t="str">
        <f aca="false">IFERROR(INDEX('Catalog'!$B:$B,MATCH($A290,'Catalog'!$A:$A,0)),"")</f>
        <v>URI 3667 מגן בוניון</v>
      </c>
      <c r="C290" s="12" t="n">
        <f aca="false">SUMIFS('סופר פארם Raw'!$C$6:$C$771,'סופר פארם Raw'!$E$6:$E$771,$A290,'סופר פארם Raw'!$B$6:$B$771,2025)</f>
        <v>962</v>
      </c>
      <c r="D290" s="12" t="n">
        <f aca="false">SUMIFS('סופר פארם Raw'!$C$6:$C$771,'סופר פארם Raw'!$E$6:$E$771,$A290,'סופר פארם Raw'!$B$6:$B$771,2026)</f>
        <v>673</v>
      </c>
      <c r="E290" s="12" t="n">
        <f aca="false">D290*$J$5</f>
        <v>850.105263157895</v>
      </c>
      <c r="F290" s="12" t="n">
        <f aca="false">E290-C290</f>
        <v>-111.894736842105</v>
      </c>
      <c r="G290" s="21" t="n">
        <f aca="false">IF(AND(C290=0,E290=0),0,IF(C290=0,"New",(E290-C290)/C290))</f>
        <v>-0.116314695262064</v>
      </c>
      <c r="H290" s="12" t="n">
        <f aca="false">SUMIFS('סופר פארם Raw'!$D$6:$D$771,'סופר פארם Raw'!$E$6:$E$771,$A290,'סופר פארם Raw'!$B$6:$B$771,2025)</f>
        <v>25707.7</v>
      </c>
      <c r="I290" s="12" t="n">
        <f aca="false">SUMIFS('סופר פארם Raw'!$D$6:$D$771,'סופר פארם Raw'!$E$6:$E$771,$A290,'סופר פארם Raw'!$B$6:$B$771,2026)</f>
        <v>18182.5</v>
      </c>
      <c r="J290" s="12" t="n">
        <f aca="false">I290*$J$5</f>
        <v>22967.3684210526</v>
      </c>
    </row>
    <row r="291" customFormat="false" ht="15" hidden="false" customHeight="true" outlineLevel="0" collapsed="false">
      <c r="A291" s="12" t="n">
        <v>4413329</v>
      </c>
      <c r="B291" s="12" t="str">
        <f aca="false">IFERROR(INDEX('Catalog'!$B:$B,MATCH($A291,'Catalog'!$A:$A,0)),"")</f>
        <v>AC45X מגן ברך עם תמיכות</v>
      </c>
      <c r="C291" s="12" t="n">
        <f aca="false">SUMIFS('סופר פארם Raw'!$C$6:$C$771,'סופר פארם Raw'!$E$6:$E$771,$A291,'סופר פארם Raw'!$B$6:$B$771,2025)</f>
        <v>87</v>
      </c>
      <c r="D291" s="12" t="n">
        <f aca="false">SUMIFS('סופר פארם Raw'!$C$6:$C$771,'סופר פארם Raw'!$E$6:$E$771,$A291,'סופר פארם Raw'!$B$6:$B$771,2026)</f>
        <v>480</v>
      </c>
      <c r="E291" s="12" t="n">
        <f aca="false">D291*$J$5</f>
        <v>606.315789473684</v>
      </c>
      <c r="F291" s="12" t="n">
        <f aca="false">E291-C291</f>
        <v>519.315789473684</v>
      </c>
      <c r="G291" s="21" t="n">
        <f aca="false">IF(AND(C291=0,E291=0),0,IF(C291=0,"New",(E291-C291)/C291))</f>
        <v>5.96914700544465</v>
      </c>
      <c r="H291" s="12" t="n">
        <f aca="false">SUMIFS('סופר פארם Raw'!$D$6:$D$771,'סופר פארם Raw'!$E$6:$E$771,$A291,'סופר פארם Raw'!$B$6:$B$771,2025)</f>
        <v>5062.6</v>
      </c>
      <c r="I291" s="12" t="n">
        <f aca="false">SUMIFS('סופר פארם Raw'!$D$6:$D$771,'סופר פארם Raw'!$E$6:$E$771,$A291,'סופר פארם Raw'!$B$6:$B$771,2026)</f>
        <v>30593.7</v>
      </c>
      <c r="J291" s="12" t="n">
        <f aca="false">I291*$J$5</f>
        <v>38644.6736842105</v>
      </c>
    </row>
    <row r="292" customFormat="false" ht="15" hidden="false" customHeight="true" outlineLevel="0" collapsed="false">
      <c r="A292" s="12" t="n">
        <v>4413337</v>
      </c>
      <c r="B292" s="12" t="str">
        <f aca="false">IFERROR(INDEX('Catalog'!$B:$B,MATCH($A292,'Catalog'!$A:$A,0)),"")</f>
        <v>322XL מגן קרסול+כרית סילקון</v>
      </c>
      <c r="C292" s="12" t="n">
        <f aca="false">SUMIFS('סופר פארם Raw'!$C$6:$C$771,'סופר פארם Raw'!$E$6:$E$771,$A292,'סופר פארם Raw'!$B$6:$B$771,2025)</f>
        <v>-1</v>
      </c>
      <c r="D292" s="12" t="n">
        <f aca="false">SUMIFS('סופר פארם Raw'!$C$6:$C$771,'סופר פארם Raw'!$E$6:$E$771,$A292,'סופר פארם Raw'!$B$6:$B$771,2026)</f>
        <v>0</v>
      </c>
      <c r="E292" s="12" t="n">
        <f aca="false">D292*$J$5</f>
        <v>0</v>
      </c>
      <c r="F292" s="12" t="n">
        <f aca="false">E292-C292</f>
        <v>1</v>
      </c>
      <c r="G292" s="21" t="n">
        <f aca="false">IF(AND(C292=0,E292=0),0,IF(C292=0,"New",(E292-C292)/C292))</f>
        <v>-1</v>
      </c>
      <c r="H292" s="12" t="n">
        <f aca="false">SUMIFS('סופר פארם Raw'!$D$6:$D$771,'סופר פארם Raw'!$E$6:$E$771,$A292,'סופר פארם Raw'!$B$6:$B$771,2025)</f>
        <v>-131.1</v>
      </c>
      <c r="I292" s="12" t="n">
        <f aca="false">SUMIFS('סופר פארם Raw'!$D$6:$D$771,'סופר פארם Raw'!$E$6:$E$771,$A292,'סופר פארם Raw'!$B$6:$B$771,2026)</f>
        <v>0</v>
      </c>
      <c r="J292" s="12" t="n">
        <f aca="false">I292*$J$5</f>
        <v>0</v>
      </c>
    </row>
    <row r="293" customFormat="false" ht="15" hidden="false" customHeight="true" outlineLevel="0" collapsed="false">
      <c r="A293" s="12" t="n">
        <v>4413338</v>
      </c>
      <c r="B293" s="12" t="str">
        <f aca="false">IFERROR(INDEX('Catalog'!$B:$B,MATCH($A293,'Catalog'!$A:$A,0)),"")</f>
        <v>322XXLמגן קרסול+כרית סילקון</v>
      </c>
      <c r="C293" s="12" t="n">
        <f aca="false">SUMIFS('סופר פארם Raw'!$C$6:$C$771,'סופר פארם Raw'!$E$6:$E$771,$A293,'סופר פארם Raw'!$B$6:$B$771,2025)</f>
        <v>0</v>
      </c>
      <c r="D293" s="12" t="n">
        <f aca="false">SUMIFS('סופר פארם Raw'!$C$6:$C$771,'סופר פארם Raw'!$E$6:$E$771,$A293,'סופר פארם Raw'!$B$6:$B$771,2026)</f>
        <v>-1</v>
      </c>
      <c r="E293" s="12" t="n">
        <f aca="false">D293*$J$5</f>
        <v>-1.26315789473684</v>
      </c>
      <c r="F293" s="12" t="n">
        <f aca="false">E293-C293</f>
        <v>-1.26315789473684</v>
      </c>
      <c r="G293" s="21" t="str">
        <f aca="false">IF(AND(C293=0,E293=0),0,IF(C293=0,"New",(E293-C293)/C293))</f>
        <v>New</v>
      </c>
      <c r="H293" s="12" t="n">
        <f aca="false">SUMIFS('סופר פארם Raw'!$D$6:$D$771,'סופר פארם Raw'!$E$6:$E$771,$A293,'סופר פארם Raw'!$B$6:$B$771,2025)</f>
        <v>0</v>
      </c>
      <c r="I293" s="12" t="n">
        <f aca="false">SUMIFS('סופר פארם Raw'!$D$6:$D$771,'סופר פארם Raw'!$E$6:$E$771,$A293,'סופר פארם Raw'!$B$6:$B$771,2026)</f>
        <v>-131.1</v>
      </c>
      <c r="J293" s="12" t="n">
        <f aca="false">I293*$J$5</f>
        <v>-165.6</v>
      </c>
    </row>
    <row r="294" customFormat="false" ht="15" hidden="false" customHeight="true" outlineLevel="0" collapsed="false">
      <c r="A294" s="12" t="n">
        <v>4413340</v>
      </c>
      <c r="B294" s="12" t="str">
        <f aca="false">IFERROR(INDEX('Catalog'!$B:$B,MATCH($A294,'Catalog'!$A:$A,0)),"")</f>
        <v>3666 מפריד הלוקס</v>
      </c>
      <c r="C294" s="12" t="n">
        <f aca="false">SUMIFS('סופר פארם Raw'!$C$6:$C$771,'סופר פארם Raw'!$E$6:$E$771,$A294,'סופר פארם Raw'!$B$6:$B$771,2025)</f>
        <v>106</v>
      </c>
      <c r="D294" s="12" t="n">
        <f aca="false">SUMIFS('סופר פארם Raw'!$C$6:$C$771,'סופר פארם Raw'!$E$6:$E$771,$A294,'סופר פארם Raw'!$B$6:$B$771,2026)</f>
        <v>57</v>
      </c>
      <c r="E294" s="12" t="n">
        <f aca="false">D294*$J$5</f>
        <v>72</v>
      </c>
      <c r="F294" s="12" t="n">
        <f aca="false">E294-C294</f>
        <v>-34</v>
      </c>
      <c r="G294" s="21" t="n">
        <f aca="false">IF(AND(C294=0,E294=0),0,IF(C294=0,"New",(E294-C294)/C294))</f>
        <v>-0.320754716981132</v>
      </c>
      <c r="H294" s="12" t="n">
        <f aca="false">SUMIFS('סופר פארם Raw'!$D$6:$D$771,'סופר פארם Raw'!$E$6:$E$771,$A294,'סופר פארם Raw'!$B$6:$B$771,2025)</f>
        <v>4298.2</v>
      </c>
      <c r="I294" s="12" t="n">
        <f aca="false">SUMIFS('סופר פארם Raw'!$D$6:$D$771,'סופר פארם Raw'!$E$6:$E$771,$A294,'סופר פארם Raw'!$B$6:$B$771,2026)</f>
        <v>2453.1</v>
      </c>
      <c r="J294" s="12" t="n">
        <f aca="false">I294*$J$5</f>
        <v>3098.65263157895</v>
      </c>
    </row>
    <row r="295" customFormat="false" ht="15" hidden="false" customHeight="true" outlineLevel="0" collapsed="false">
      <c r="A295" s="12" t="n">
        <v>4413347</v>
      </c>
      <c r="B295" s="12" t="str">
        <f aca="false">IFERROR(INDEX('Catalog'!$B:$B,MATCH($A295,'Catalog'!$A:$A,0)),"")</f>
        <v>322-L מגן קרסול+כרית סילקון</v>
      </c>
      <c r="C295" s="12" t="n">
        <f aca="false">SUMIFS('סופר פארם Raw'!$C$6:$C$771,'סופר פארם Raw'!$E$6:$E$771,$A295,'סופר פארם Raw'!$B$6:$B$771,2025)</f>
        <v>-1</v>
      </c>
      <c r="D295" s="12" t="n">
        <f aca="false">SUMIFS('סופר פארם Raw'!$C$6:$C$771,'סופר פארם Raw'!$E$6:$E$771,$A295,'סופר פארם Raw'!$B$6:$B$771,2026)</f>
        <v>0</v>
      </c>
      <c r="E295" s="12" t="n">
        <f aca="false">D295*$J$5</f>
        <v>0</v>
      </c>
      <c r="F295" s="12" t="n">
        <f aca="false">E295-C295</f>
        <v>1</v>
      </c>
      <c r="G295" s="21" t="n">
        <f aca="false">IF(AND(C295=0,E295=0),0,IF(C295=0,"New",(E295-C295)/C295))</f>
        <v>-1</v>
      </c>
      <c r="H295" s="12" t="n">
        <f aca="false">SUMIFS('סופר פארם Raw'!$D$6:$D$771,'סופר פארם Raw'!$E$6:$E$771,$A295,'סופר פארם Raw'!$B$6:$B$771,2025)</f>
        <v>-131.1</v>
      </c>
      <c r="I295" s="12" t="n">
        <f aca="false">SUMIFS('סופר פארם Raw'!$D$6:$D$771,'סופר פארם Raw'!$E$6:$E$771,$A295,'סופר פארם Raw'!$B$6:$B$771,2026)</f>
        <v>0</v>
      </c>
      <c r="J295" s="12" t="n">
        <f aca="false">I295*$J$5</f>
        <v>0</v>
      </c>
    </row>
    <row r="296" customFormat="false" ht="15" hidden="false" customHeight="true" outlineLevel="0" collapsed="false">
      <c r="A296" s="12" t="n">
        <v>4413364</v>
      </c>
      <c r="B296" s="12" t="str">
        <f aca="false">IFERROR(INDEX('Catalog'!$B:$B,MATCH($A296,'Catalog'!$A:$A,0)),"")</f>
        <v>95C M 'מגן מרפק בז</v>
      </c>
      <c r="C296" s="12" t="n">
        <f aca="false">SUMIFS('סופר פארם Raw'!$C$6:$C$771,'סופר פארם Raw'!$E$6:$E$771,$A296,'סופר פארם Raw'!$B$6:$B$771,2025)</f>
        <v>1089</v>
      </c>
      <c r="D296" s="12" t="n">
        <f aca="false">SUMIFS('סופר פארם Raw'!$C$6:$C$771,'סופר פארם Raw'!$E$6:$E$771,$A296,'סופר פארם Raw'!$B$6:$B$771,2026)</f>
        <v>687</v>
      </c>
      <c r="E296" s="12" t="n">
        <f aca="false">D296*$J$5</f>
        <v>867.789473684211</v>
      </c>
      <c r="F296" s="12" t="n">
        <f aca="false">E296-C296</f>
        <v>-221.210526315789</v>
      </c>
      <c r="G296" s="21" t="n">
        <f aca="false">IF(AND(C296=0,E296=0),0,IF(C296=0,"New",(E296-C296)/C296))</f>
        <v>-0.203131796433232</v>
      </c>
      <c r="H296" s="12" t="n">
        <f aca="false">SUMIFS('סופר פארם Raw'!$D$6:$D$771,'סופר פארם Raw'!$E$6:$E$771,$A296,'סופר פארם Raw'!$B$6:$B$771,2025)</f>
        <v>28021.7</v>
      </c>
      <c r="I296" s="12" t="n">
        <f aca="false">SUMIFS('סופר פארם Raw'!$D$6:$D$771,'סופר פארם Raw'!$E$6:$E$771,$A296,'סופר פארם Raw'!$B$6:$B$771,2026)</f>
        <v>17905.6</v>
      </c>
      <c r="J296" s="12" t="n">
        <f aca="false">I296*$J$5</f>
        <v>22617.6</v>
      </c>
    </row>
    <row r="297" customFormat="false" ht="15" hidden="false" customHeight="true" outlineLevel="0" collapsed="false">
      <c r="A297" s="12" t="n">
        <v>4413365</v>
      </c>
      <c r="B297" s="12" t="str">
        <f aca="false">IFERROR(INDEX('Catalog'!$B:$B,MATCH($A297,'Catalog'!$A:$A,0)),"")</f>
        <v>95C L 'מגן מרפק בז</v>
      </c>
      <c r="C297" s="12" t="n">
        <f aca="false">SUMIFS('סופר פארם Raw'!$C$6:$C$771,'סופר פארם Raw'!$E$6:$E$771,$A297,'סופר פארם Raw'!$B$6:$B$771,2025)</f>
        <v>733</v>
      </c>
      <c r="D297" s="12" t="n">
        <f aca="false">SUMIFS('סופר פארם Raw'!$C$6:$C$771,'סופר פארם Raw'!$E$6:$E$771,$A297,'סופר פארם Raw'!$B$6:$B$771,2026)</f>
        <v>450</v>
      </c>
      <c r="E297" s="12" t="n">
        <f aca="false">D297*$J$5</f>
        <v>568.421052631579</v>
      </c>
      <c r="F297" s="12" t="n">
        <f aca="false">E297-C297</f>
        <v>-164.578947368421</v>
      </c>
      <c r="G297" s="21" t="n">
        <f aca="false">IF(AND(C297=0,E297=0),0,IF(C297=0,"New",(E297-C297)/C297))</f>
        <v>-0.224527895454872</v>
      </c>
      <c r="H297" s="12" t="n">
        <f aca="false">SUMIFS('סופר פארם Raw'!$D$6:$D$771,'סופר פארם Raw'!$E$6:$E$771,$A297,'סופר פארם Raw'!$B$6:$B$771,2025)</f>
        <v>18857.2</v>
      </c>
      <c r="I297" s="12" t="n">
        <f aca="false">SUMIFS('סופר פארם Raw'!$D$6:$D$771,'סופר פארם Raw'!$E$6:$E$771,$A297,'סופר פארם Raw'!$B$6:$B$771,2026)</f>
        <v>11781.5</v>
      </c>
      <c r="J297" s="12" t="n">
        <f aca="false">I297*$J$5</f>
        <v>14881.8947368421</v>
      </c>
    </row>
    <row r="298" customFormat="false" ht="15" hidden="false" customHeight="true" outlineLevel="0" collapsed="false">
      <c r="A298" s="12" t="n">
        <v>4413366</v>
      </c>
      <c r="B298" s="12" t="str">
        <f aca="false">IFERROR(INDEX('Catalog'!$B:$B,MATCH($A298,'Catalog'!$A:$A,0)),"")</f>
        <v>95C S 'מגן מרפק בז</v>
      </c>
      <c r="C298" s="12" t="n">
        <f aca="false">SUMIFS('סופר פארם Raw'!$C$6:$C$771,'סופר פארם Raw'!$E$6:$E$771,$A298,'סופר פארם Raw'!$B$6:$B$771,2025)</f>
        <v>833</v>
      </c>
      <c r="D298" s="12" t="n">
        <f aca="false">SUMIFS('סופר פארם Raw'!$C$6:$C$771,'סופר פארם Raw'!$E$6:$E$771,$A298,'סופר פארם Raw'!$B$6:$B$771,2026)</f>
        <v>579</v>
      </c>
      <c r="E298" s="12" t="n">
        <f aca="false">D298*$J$5</f>
        <v>731.368421052632</v>
      </c>
      <c r="F298" s="12" t="n">
        <f aca="false">E298-C298</f>
        <v>-101.631578947368</v>
      </c>
      <c r="G298" s="21" t="n">
        <f aca="false">IF(AND(C298=0,E298=0),0,IF(C298=0,"New",(E298-C298)/C298))</f>
        <v>-0.122006697415808</v>
      </c>
      <c r="H298" s="12" t="n">
        <f aca="false">SUMIFS('סופר פארם Raw'!$D$6:$D$771,'סופר פארם Raw'!$E$6:$E$771,$A298,'סופר פארם Raw'!$B$6:$B$771,2025)</f>
        <v>21400.4</v>
      </c>
      <c r="I298" s="12" t="n">
        <f aca="false">SUMIFS('סופר פארם Raw'!$D$6:$D$771,'סופר פארם Raw'!$E$6:$E$771,$A298,'סופר פארם Raw'!$B$6:$B$771,2026)</f>
        <v>15088</v>
      </c>
      <c r="J298" s="12" t="n">
        <f aca="false">I298*$J$5</f>
        <v>19058.5263157895</v>
      </c>
    </row>
    <row r="299" customFormat="false" ht="15" hidden="false" customHeight="true" outlineLevel="0" collapsed="false">
      <c r="A299" s="12" t="n">
        <v>4413367</v>
      </c>
      <c r="B299" s="12" t="str">
        <f aca="false">IFERROR(INDEX('Catalog'!$B:$B,MATCH($A299,'Catalog'!$A:$A,0)),"")</f>
        <v>95C XL'מגן מרפק בז</v>
      </c>
      <c r="C299" s="12" t="n">
        <f aca="false">SUMIFS('סופר פארם Raw'!$C$6:$C$771,'סופר פארם Raw'!$E$6:$E$771,$A299,'סופר פארם Raw'!$B$6:$B$771,2025)</f>
        <v>347</v>
      </c>
      <c r="D299" s="12" t="n">
        <f aca="false">SUMIFS('סופר פארם Raw'!$C$6:$C$771,'סופר פארם Raw'!$E$6:$E$771,$A299,'סופר פארם Raw'!$B$6:$B$771,2026)</f>
        <v>227</v>
      </c>
      <c r="E299" s="12" t="n">
        <f aca="false">D299*$J$5</f>
        <v>286.736842105263</v>
      </c>
      <c r="F299" s="12" t="n">
        <f aca="false">E299-C299</f>
        <v>-60.2631578947369</v>
      </c>
      <c r="G299" s="21" t="n">
        <f aca="false">IF(AND(C299=0,E299=0),0,IF(C299=0,"New",(E299-C299)/C299))</f>
        <v>-0.173669042924314</v>
      </c>
      <c r="H299" s="12" t="n">
        <f aca="false">SUMIFS('סופר פארם Raw'!$D$6:$D$771,'סופר פארם Raw'!$E$6:$E$771,$A299,'סופר פארם Raw'!$B$6:$B$771,2025)</f>
        <v>8929.8</v>
      </c>
      <c r="I299" s="12" t="n">
        <f aca="false">SUMIFS('סופר פארם Raw'!$D$6:$D$771,'סופר פארם Raw'!$E$6:$E$771,$A299,'סופר פארם Raw'!$B$6:$B$771,2026)</f>
        <v>5925.1</v>
      </c>
      <c r="J299" s="12" t="n">
        <f aca="false">I299*$J$5</f>
        <v>7484.33684210526</v>
      </c>
    </row>
    <row r="300" customFormat="false" ht="15" hidden="false" customHeight="true" outlineLevel="0" collapsed="false">
      <c r="A300" s="12" t="n">
        <v>4413370</v>
      </c>
      <c r="B300" s="12" t="str">
        <f aca="false">IFERROR(INDEX('Catalog'!$B:$B,MATCH($A300,'Catalog'!$A:$A,0)),"")</f>
        <v>3674 0 מ.בוניון+מפריד אצבע</v>
      </c>
      <c r="C300" s="12" t="n">
        <f aca="false">SUMIFS('סופר פארם Raw'!$C$6:$C$771,'סופר פארם Raw'!$E$6:$E$771,$A300,'סופר פארם Raw'!$B$6:$B$771,2025)</f>
        <v>1818</v>
      </c>
      <c r="D300" s="12" t="n">
        <f aca="false">SUMIFS('סופר פארם Raw'!$C$6:$C$771,'סופר פארם Raw'!$E$6:$E$771,$A300,'סופר פארם Raw'!$B$6:$B$771,2026)</f>
        <v>1418</v>
      </c>
      <c r="E300" s="12" t="n">
        <f aca="false">D300*$J$5</f>
        <v>1791.15789473684</v>
      </c>
      <c r="F300" s="12" t="n">
        <f aca="false">E300-C300</f>
        <v>-26.8421052631579</v>
      </c>
      <c r="G300" s="21" t="n">
        <f aca="false">IF(AND(C300=0,E300=0),0,IF(C300=0,"New",(E300-C300)/C300))</f>
        <v>-0.0147646343581727</v>
      </c>
      <c r="H300" s="12" t="n">
        <f aca="false">SUMIFS('סופר פארם Raw'!$D$6:$D$771,'סופר פארם Raw'!$E$6:$E$771,$A300,'סופר פארם Raw'!$B$6:$B$771,2025)</f>
        <v>63005.9</v>
      </c>
      <c r="I300" s="12" t="n">
        <f aca="false">SUMIFS('סופר פארם Raw'!$D$6:$D$771,'סופר פארם Raw'!$E$6:$E$771,$A300,'סופר פארם Raw'!$B$6:$B$771,2026)</f>
        <v>49012.5</v>
      </c>
      <c r="J300" s="12" t="n">
        <f aca="false">I300*$J$5</f>
        <v>61910.5263157895</v>
      </c>
    </row>
    <row r="301" customFormat="false" ht="15" hidden="false" customHeight="true" outlineLevel="0" collapsed="false">
      <c r="A301" s="12" t="n">
        <v>4413371</v>
      </c>
      <c r="B301" s="12" t="str">
        <f aca="false">IFERROR(INDEX('Catalog'!$B:$B,MATCH($A301,'Catalog'!$A:$A,0)),"")</f>
        <v>3675    מגן זרת מסיליקון</v>
      </c>
      <c r="C301" s="12" t="n">
        <f aca="false">SUMIFS('סופר פארם Raw'!$C$6:$C$771,'סופר פארם Raw'!$E$6:$E$771,$A301,'סופר פארם Raw'!$B$6:$B$771,2025)</f>
        <v>84</v>
      </c>
      <c r="D301" s="12" t="n">
        <f aca="false">SUMIFS('סופר פארם Raw'!$C$6:$C$771,'סופר פארם Raw'!$E$6:$E$771,$A301,'סופר פארם Raw'!$B$6:$B$771,2026)</f>
        <v>69</v>
      </c>
      <c r="E301" s="12" t="n">
        <f aca="false">D301*$J$5</f>
        <v>87.1578947368421</v>
      </c>
      <c r="F301" s="12" t="n">
        <f aca="false">E301-C301</f>
        <v>3.1578947368421</v>
      </c>
      <c r="G301" s="21" t="n">
        <f aca="false">IF(AND(C301=0,E301=0),0,IF(C301=0,"New",(E301-C301)/C301))</f>
        <v>0.0375939849624059</v>
      </c>
      <c r="H301" s="12" t="n">
        <f aca="false">SUMIFS('סופר פארם Raw'!$D$6:$D$771,'סופר פארם Raw'!$E$6:$E$771,$A301,'סופר פארם Raw'!$B$6:$B$771,2025)</f>
        <v>2147.5</v>
      </c>
      <c r="I301" s="12" t="n">
        <f aca="false">SUMIFS('סופר פארם Raw'!$D$6:$D$771,'סופר פארם Raw'!$E$6:$E$771,$A301,'סופר פארם Raw'!$B$6:$B$771,2026)</f>
        <v>1774.1</v>
      </c>
      <c r="J301" s="12" t="n">
        <f aca="false">I301*$J$5</f>
        <v>2240.96842105263</v>
      </c>
    </row>
    <row r="302" customFormat="false" ht="15" hidden="false" customHeight="true" outlineLevel="0" collapsed="false">
      <c r="A302" s="12" t="n">
        <v>4413394</v>
      </c>
      <c r="B302" s="12" t="str">
        <f aca="false">IFERROR(INDEX('Catalog'!$B:$B,MATCH($A302,'Catalog'!$A:$A,0)),"")</f>
        <v>45EC S 'מגן ברך ארוך בז</v>
      </c>
      <c r="C302" s="12" t="n">
        <f aca="false">SUMIFS('סופר פארם Raw'!$C$6:$C$771,'סופר פארם Raw'!$E$6:$E$771,$A302,'סופר פארם Raw'!$B$6:$B$771,2025)</f>
        <v>1231</v>
      </c>
      <c r="D302" s="12" t="n">
        <f aca="false">SUMIFS('סופר פארם Raw'!$C$6:$C$771,'סופר פארם Raw'!$E$6:$E$771,$A302,'סופר פארם Raw'!$B$6:$B$771,2026)</f>
        <v>827</v>
      </c>
      <c r="E302" s="12" t="n">
        <f aca="false">D302*$J$5</f>
        <v>1044.63157894737</v>
      </c>
      <c r="F302" s="12" t="n">
        <f aca="false">E302-C302</f>
        <v>-186.368421052632</v>
      </c>
      <c r="G302" s="21" t="n">
        <f aca="false">IF(AND(C302=0,E302=0),0,IF(C302=0,"New",(E302-C302)/C302))</f>
        <v>-0.151395955363633</v>
      </c>
      <c r="H302" s="12" t="n">
        <f aca="false">SUMIFS('סופר פארם Raw'!$D$6:$D$771,'סופר פארם Raw'!$E$6:$E$771,$A302,'סופר פארם Raw'!$B$6:$B$771,2025)</f>
        <v>38220.3</v>
      </c>
      <c r="I302" s="12" t="n">
        <f aca="false">SUMIFS('סופר פארם Raw'!$D$6:$D$771,'סופר פארם Raw'!$E$6:$E$771,$A302,'סופר פארם Raw'!$B$6:$B$771,2026)</f>
        <v>25822.3</v>
      </c>
      <c r="J302" s="12" t="n">
        <f aca="false">I302*$J$5</f>
        <v>32617.6421052632</v>
      </c>
    </row>
    <row r="303" customFormat="false" ht="15" hidden="false" customHeight="true" outlineLevel="0" collapsed="false">
      <c r="A303" s="12" t="n">
        <v>4413395</v>
      </c>
      <c r="B303" s="12" t="str">
        <f aca="false">IFERROR(INDEX('Catalog'!$B:$B,MATCH($A303,'Catalog'!$A:$A,0)),"")</f>
        <v>45EC M 'מגן ברך ארוך בז</v>
      </c>
      <c r="C303" s="12" t="n">
        <f aca="false">SUMIFS('סופר פארם Raw'!$C$6:$C$771,'סופר פארם Raw'!$E$6:$E$771,$A303,'סופר פארם Raw'!$B$6:$B$771,2025)</f>
        <v>2788</v>
      </c>
      <c r="D303" s="12" t="n">
        <f aca="false">SUMIFS('סופר פארם Raw'!$C$6:$C$771,'סופר פארם Raw'!$E$6:$E$771,$A303,'סופר פארם Raw'!$B$6:$B$771,2026)</f>
        <v>2153</v>
      </c>
      <c r="E303" s="12" t="n">
        <f aca="false">D303*$J$5</f>
        <v>2719.57894736842</v>
      </c>
      <c r="F303" s="12" t="n">
        <f aca="false">E303-C303</f>
        <v>-68.4210526315792</v>
      </c>
      <c r="G303" s="21" t="n">
        <f aca="false">IF(AND(C303=0,E303=0),0,IF(C303=0,"New",(E303-C303)/C303))</f>
        <v>-0.0245412670844976</v>
      </c>
      <c r="H303" s="12" t="n">
        <f aca="false">SUMIFS('סופר פארם Raw'!$D$6:$D$771,'סופר פארם Raw'!$E$6:$E$771,$A303,'סופר פארם Raw'!$B$6:$B$771,2025)</f>
        <v>86595.2</v>
      </c>
      <c r="I303" s="12" t="n">
        <f aca="false">SUMIFS('סופר פארם Raw'!$D$6:$D$771,'סופר פארם Raw'!$E$6:$E$771,$A303,'סופר פארם Raw'!$B$6:$B$771,2026)</f>
        <v>67409.5</v>
      </c>
      <c r="J303" s="12" t="n">
        <f aca="false">I303*$J$5</f>
        <v>85148.8421052632</v>
      </c>
    </row>
    <row r="304" customFormat="false" ht="15" hidden="false" customHeight="true" outlineLevel="0" collapsed="false">
      <c r="A304" s="12" t="n">
        <v>4413396</v>
      </c>
      <c r="B304" s="12" t="str">
        <f aca="false">IFERROR(INDEX('Catalog'!$B:$B,MATCH($A304,'Catalog'!$A:$A,0)),"")</f>
        <v>45EC L 'מגן ברך ארוך בז</v>
      </c>
      <c r="C304" s="12" t="n">
        <f aca="false">SUMIFS('סופר פארם Raw'!$C$6:$C$771,'סופר פארם Raw'!$E$6:$E$771,$A304,'סופר פארם Raw'!$B$6:$B$771,2025)</f>
        <v>2670</v>
      </c>
      <c r="D304" s="12" t="n">
        <f aca="false">SUMIFS('סופר פארם Raw'!$C$6:$C$771,'סופר פארם Raw'!$E$6:$E$771,$A304,'סופר פארם Raw'!$B$6:$B$771,2026)</f>
        <v>2295</v>
      </c>
      <c r="E304" s="12" t="n">
        <f aca="false">D304*$J$5</f>
        <v>2898.94736842105</v>
      </c>
      <c r="F304" s="12" t="n">
        <f aca="false">E304-C304</f>
        <v>228.947368421053</v>
      </c>
      <c r="G304" s="21" t="n">
        <f aca="false">IF(AND(C304=0,E304=0),0,IF(C304=0,"New",(E304-C304)/C304))</f>
        <v>0.0857480780603193</v>
      </c>
      <c r="H304" s="12" t="n">
        <f aca="false">SUMIFS('סופר פארם Raw'!$D$6:$D$771,'סופר פארם Raw'!$E$6:$E$771,$A304,'סופר פארם Raw'!$B$6:$B$771,2025)</f>
        <v>82929.1</v>
      </c>
      <c r="I304" s="12" t="n">
        <f aca="false">SUMIFS('סופר פארם Raw'!$D$6:$D$771,'סופר פארם Raw'!$E$6:$E$771,$A304,'סופר פארם Raw'!$B$6:$B$771,2026)</f>
        <v>71655.7</v>
      </c>
      <c r="J304" s="12" t="n">
        <f aca="false">I304*$J$5</f>
        <v>90512.4631578947</v>
      </c>
    </row>
    <row r="305" customFormat="false" ht="15" hidden="false" customHeight="true" outlineLevel="0" collapsed="false">
      <c r="A305" s="12" t="n">
        <v>4413397</v>
      </c>
      <c r="B305" s="12" t="str">
        <f aca="false">IFERROR(INDEX('Catalog'!$B:$B,MATCH($A305,'Catalog'!$A:$A,0)),"")</f>
        <v>45EC XL'מגן ברך ארוך בז</v>
      </c>
      <c r="C305" s="12" t="n">
        <f aca="false">SUMIFS('סופר פארם Raw'!$C$6:$C$771,'סופר פארם Raw'!$E$6:$E$771,$A305,'סופר פארם Raw'!$B$6:$B$771,2025)</f>
        <v>2302</v>
      </c>
      <c r="D305" s="12" t="n">
        <f aca="false">SUMIFS('סופר פארם Raw'!$C$6:$C$771,'סופר פארם Raw'!$E$6:$E$771,$A305,'סופר פארם Raw'!$B$6:$B$771,2026)</f>
        <v>1686</v>
      </c>
      <c r="E305" s="12" t="n">
        <f aca="false">D305*$J$5</f>
        <v>2129.68421052632</v>
      </c>
      <c r="F305" s="12" t="n">
        <f aca="false">E305-C305</f>
        <v>-172.315789473684</v>
      </c>
      <c r="G305" s="21" t="n">
        <f aca="false">IF(AND(C305=0,E305=0),0,IF(C305=0,"New",(E305-C305)/C305))</f>
        <v>-0.0748548173213224</v>
      </c>
      <c r="H305" s="12" t="n">
        <f aca="false">SUMIFS('סופר פארם Raw'!$D$6:$D$771,'סופר פארם Raw'!$E$6:$E$771,$A305,'סופר פארם Raw'!$B$6:$B$771,2025)</f>
        <v>71479.1</v>
      </c>
      <c r="I305" s="12" t="n">
        <f aca="false">SUMIFS('סופר פארם Raw'!$D$6:$D$771,'סופר פארם Raw'!$E$6:$E$771,$A305,'סופר פארם Raw'!$B$6:$B$771,2026)</f>
        <v>52766.9</v>
      </c>
      <c r="J305" s="12" t="n">
        <f aca="false">I305*$J$5</f>
        <v>66652.9263157895</v>
      </c>
    </row>
    <row r="306" customFormat="false" ht="15" hidden="false" customHeight="true" outlineLevel="0" collapsed="false">
      <c r="A306" s="12" t="n">
        <v>4413398</v>
      </c>
      <c r="B306" s="12" t="str">
        <f aca="false">IFERROR(INDEX('Catalog'!$B:$B,MATCH($A306,'Catalog'!$A:$A,0)),"")</f>
        <v>45EC XXL'מגן ברך ארוך בז</v>
      </c>
      <c r="C306" s="12" t="n">
        <f aca="false">SUMIFS('סופר פארם Raw'!$C$6:$C$771,'סופר פארם Raw'!$E$6:$E$771,$A306,'סופר פארם Raw'!$B$6:$B$771,2025)</f>
        <v>360</v>
      </c>
      <c r="D306" s="12" t="n">
        <f aca="false">SUMIFS('סופר פארם Raw'!$C$6:$C$771,'סופר פארם Raw'!$E$6:$E$771,$A306,'סופר פארם Raw'!$B$6:$B$771,2026)</f>
        <v>169</v>
      </c>
      <c r="E306" s="12" t="n">
        <f aca="false">D306*$J$5</f>
        <v>213.473684210526</v>
      </c>
      <c r="F306" s="12" t="n">
        <f aca="false">E306-C306</f>
        <v>-146.526315789474</v>
      </c>
      <c r="G306" s="21" t="n">
        <f aca="false">IF(AND(C306=0,E306=0),0,IF(C306=0,"New",(E306-C306)/C306))</f>
        <v>-0.407017543859649</v>
      </c>
      <c r="H306" s="12" t="n">
        <f aca="false">SUMIFS('סופר פארם Raw'!$D$6:$D$771,'סופר פארם Raw'!$E$6:$E$771,$A306,'סופר פארם Raw'!$B$6:$B$771,2025)</f>
        <v>11165</v>
      </c>
      <c r="I306" s="12" t="n">
        <f aca="false">SUMIFS('סופר פארם Raw'!$D$6:$D$771,'סופר פארם Raw'!$E$6:$E$771,$A306,'סופר פארם Raw'!$B$6:$B$771,2026)</f>
        <v>5272.3</v>
      </c>
      <c r="J306" s="12" t="n">
        <f aca="false">I306*$J$5</f>
        <v>6659.74736842105</v>
      </c>
    </row>
    <row r="307" customFormat="false" ht="15" hidden="false" customHeight="true" outlineLevel="0" collapsed="false">
      <c r="A307" s="12" t="n">
        <v>4413403</v>
      </c>
      <c r="B307" s="12" t="str">
        <f aca="false">IFERROR(INDEX('Catalog'!$B:$B,MATCH($A307,'Catalog'!$A:$A,0)),"")</f>
        <v>78A L מגן למפרק כתף</v>
      </c>
      <c r="C307" s="12" t="n">
        <f aca="false">SUMIFS('סופר פארם Raw'!$C$6:$C$771,'סופר פארם Raw'!$E$6:$E$771,$A307,'סופר פארם Raw'!$B$6:$B$771,2025)</f>
        <v>0</v>
      </c>
      <c r="D307" s="12" t="n">
        <f aca="false">SUMIFS('סופר פארם Raw'!$C$6:$C$771,'סופר פארם Raw'!$E$6:$E$771,$A307,'סופר פארם Raw'!$B$6:$B$771,2026)</f>
        <v>-1</v>
      </c>
      <c r="E307" s="12" t="n">
        <f aca="false">D307*$J$5</f>
        <v>-1.26315789473684</v>
      </c>
      <c r="F307" s="12" t="n">
        <f aca="false">E307-C307</f>
        <v>-1.26315789473684</v>
      </c>
      <c r="G307" s="21" t="str">
        <f aca="false">IF(AND(C307=0,E307=0),0,IF(C307=0,"New",(E307-C307)/C307))</f>
        <v>New</v>
      </c>
      <c r="H307" s="12" t="n">
        <f aca="false">SUMIFS('סופר פארם Raw'!$D$6:$D$771,'סופר פארם Raw'!$E$6:$E$771,$A307,'סופר פארם Raw'!$B$6:$B$771,2025)</f>
        <v>0</v>
      </c>
      <c r="I307" s="12" t="n">
        <f aca="false">SUMIFS('סופר פארם Raw'!$D$6:$D$771,'סופר פארם Raw'!$E$6:$E$771,$A307,'סופר פארם Raw'!$B$6:$B$771,2026)</f>
        <v>-208.4</v>
      </c>
      <c r="J307" s="12" t="n">
        <f aca="false">I307*$J$5</f>
        <v>-263.242105263158</v>
      </c>
    </row>
    <row r="308" customFormat="false" ht="15" hidden="false" customHeight="true" outlineLevel="0" collapsed="false">
      <c r="A308" s="12" t="n">
        <v>4413405</v>
      </c>
      <c r="B308" s="12" t="str">
        <f aca="false">IFERROR(INDEX('Catalog'!$B:$B,MATCH($A308,'Catalog'!$A:$A,0)),"")</f>
        <v>SC95 S מגן מרפק</v>
      </c>
      <c r="C308" s="12" t="n">
        <f aca="false">SUMIFS('סופר פארם Raw'!$C$6:$C$771,'סופר פארם Raw'!$E$6:$E$771,$A308,'סופר פארם Raw'!$B$6:$B$771,2025)</f>
        <v>7</v>
      </c>
      <c r="D308" s="12" t="n">
        <f aca="false">SUMIFS('סופר פארם Raw'!$C$6:$C$771,'סופר פארם Raw'!$E$6:$E$771,$A308,'סופר פארם Raw'!$B$6:$B$771,2026)</f>
        <v>3</v>
      </c>
      <c r="E308" s="12" t="n">
        <f aca="false">D308*$J$5</f>
        <v>3.78947368421053</v>
      </c>
      <c r="F308" s="12" t="n">
        <f aca="false">E308-C308</f>
        <v>-3.21052631578947</v>
      </c>
      <c r="G308" s="21" t="n">
        <f aca="false">IF(AND(C308=0,E308=0),0,IF(C308=0,"New",(E308-C308)/C308))</f>
        <v>-0.458646616541353</v>
      </c>
      <c r="H308" s="12" t="n">
        <f aca="false">SUMIFS('סופר פארם Raw'!$D$6:$D$771,'סופר פארם Raw'!$E$6:$E$771,$A308,'סופר פארם Raw'!$B$6:$B$771,2025)</f>
        <v>510.3</v>
      </c>
      <c r="I308" s="12" t="n">
        <f aca="false">SUMIFS('סופר פארם Raw'!$D$6:$D$771,'סופר פארם Raw'!$E$6:$E$771,$A308,'סופר פארם Raw'!$B$6:$B$771,2026)</f>
        <v>239.2</v>
      </c>
      <c r="J308" s="12" t="n">
        <f aca="false">I308*$J$5</f>
        <v>302.147368421053</v>
      </c>
    </row>
    <row r="309" customFormat="false" ht="15" hidden="false" customHeight="true" outlineLevel="0" collapsed="false">
      <c r="A309" s="12" t="n">
        <v>4413406</v>
      </c>
      <c r="B309" s="12" t="str">
        <f aca="false">IFERROR(INDEX('Catalog'!$B:$B,MATCH($A309,'Catalog'!$A:$A,0)),"")</f>
        <v>SC95 M מגן מרפק</v>
      </c>
      <c r="C309" s="12" t="n">
        <f aca="false">SUMIFS('סופר פארם Raw'!$C$6:$C$771,'סופר פארם Raw'!$E$6:$E$771,$A309,'סופר פארם Raw'!$B$6:$B$771,2025)</f>
        <v>8</v>
      </c>
      <c r="D309" s="12" t="n">
        <f aca="false">SUMIFS('סופר פארם Raw'!$C$6:$C$771,'סופר פארם Raw'!$E$6:$E$771,$A309,'סופר פארם Raw'!$B$6:$B$771,2026)</f>
        <v>9</v>
      </c>
      <c r="E309" s="12" t="n">
        <f aca="false">D309*$J$5</f>
        <v>11.3684210526316</v>
      </c>
      <c r="F309" s="12" t="n">
        <f aca="false">E309-C309</f>
        <v>3.36842105263158</v>
      </c>
      <c r="G309" s="21" t="n">
        <f aca="false">IF(AND(C309=0,E309=0),0,IF(C309=0,"New",(E309-C309)/C309))</f>
        <v>0.421052631578947</v>
      </c>
      <c r="H309" s="12" t="n">
        <f aca="false">SUMIFS('סופר פארם Raw'!$D$6:$D$771,'סופר פארם Raw'!$E$6:$E$771,$A309,'סופר פארם Raw'!$B$6:$B$771,2025)</f>
        <v>607.1</v>
      </c>
      <c r="I309" s="12" t="n">
        <f aca="false">SUMIFS('סופר פארם Raw'!$D$6:$D$771,'סופר פארם Raw'!$E$6:$E$771,$A309,'סופר פארם Raw'!$B$6:$B$771,2026)</f>
        <v>679.4</v>
      </c>
      <c r="J309" s="12" t="n">
        <f aca="false">I309*$J$5</f>
        <v>858.189473684211</v>
      </c>
    </row>
    <row r="310" customFormat="false" ht="15" hidden="false" customHeight="true" outlineLevel="0" collapsed="false">
      <c r="A310" s="12" t="n">
        <v>4413407</v>
      </c>
      <c r="B310" s="12" t="str">
        <f aca="false">IFERROR(INDEX('Catalog'!$B:$B,MATCH($A310,'Catalog'!$A:$A,0)),"")</f>
        <v>SC95 L מגן מרפק</v>
      </c>
      <c r="C310" s="12" t="n">
        <f aca="false">SUMIFS('סופר פארם Raw'!$C$6:$C$771,'סופר פארם Raw'!$E$6:$E$771,$A310,'סופר פארם Raw'!$B$6:$B$771,2025)</f>
        <v>26</v>
      </c>
      <c r="D310" s="12" t="n">
        <f aca="false">SUMIFS('סופר פארם Raw'!$C$6:$C$771,'סופר פארם Raw'!$E$6:$E$771,$A310,'סופר פארם Raw'!$B$6:$B$771,2026)</f>
        <v>11</v>
      </c>
      <c r="E310" s="12" t="n">
        <f aca="false">D310*$J$5</f>
        <v>13.8947368421053</v>
      </c>
      <c r="F310" s="12" t="n">
        <f aca="false">E310-C310</f>
        <v>-12.1052631578947</v>
      </c>
      <c r="G310" s="21" t="n">
        <f aca="false">IF(AND(C310=0,E310=0),0,IF(C310=0,"New",(E310-C310)/C310))</f>
        <v>-0.465587044534413</v>
      </c>
      <c r="H310" s="12" t="n">
        <f aca="false">SUMIFS('סופר פארם Raw'!$D$6:$D$771,'סופר פארם Raw'!$E$6:$E$771,$A310,'סופר פארם Raw'!$B$6:$B$771,2025)</f>
        <v>1933</v>
      </c>
      <c r="I310" s="12" t="n">
        <f aca="false">SUMIFS('סופר פארם Raw'!$D$6:$D$771,'סופר פארם Raw'!$E$6:$E$771,$A310,'סופר פארם Raw'!$B$6:$B$771,2026)</f>
        <v>832.1</v>
      </c>
      <c r="J310" s="12" t="n">
        <f aca="false">I310*$J$5</f>
        <v>1051.07368421053</v>
      </c>
    </row>
    <row r="311" customFormat="false" ht="15" hidden="false" customHeight="true" outlineLevel="0" collapsed="false">
      <c r="A311" s="12" t="n">
        <v>4413408</v>
      </c>
      <c r="B311" s="12" t="str">
        <f aca="false">IFERROR(INDEX('Catalog'!$B:$B,MATCH($A311,'Catalog'!$A:$A,0)),"")</f>
        <v>SC95 XLמגן מרפק</v>
      </c>
      <c r="C311" s="12" t="n">
        <f aca="false">SUMIFS('סופר פארם Raw'!$C$6:$C$771,'סופר פארם Raw'!$E$6:$E$771,$A311,'סופר פארם Raw'!$B$6:$B$771,2025)</f>
        <v>13</v>
      </c>
      <c r="D311" s="12" t="n">
        <f aca="false">SUMIFS('סופר פארם Raw'!$C$6:$C$771,'סופר פארם Raw'!$E$6:$E$771,$A311,'סופר פארם Raw'!$B$6:$B$771,2026)</f>
        <v>16</v>
      </c>
      <c r="E311" s="12" t="n">
        <f aca="false">D311*$J$5</f>
        <v>20.2105263157895</v>
      </c>
      <c r="F311" s="12" t="n">
        <f aca="false">E311-C311</f>
        <v>7.21052631578947</v>
      </c>
      <c r="G311" s="21" t="n">
        <f aca="false">IF(AND(C311=0,E311=0),0,IF(C311=0,"New",(E311-C311)/C311))</f>
        <v>0.554655870445344</v>
      </c>
      <c r="H311" s="12" t="n">
        <f aca="false">SUMIFS('סופר פארם Raw'!$D$6:$D$771,'סופר פארם Raw'!$E$6:$E$771,$A311,'סופר פארם Raw'!$B$6:$B$771,2025)</f>
        <v>964.7</v>
      </c>
      <c r="I311" s="12" t="n">
        <f aca="false">SUMIFS('סופר פארם Raw'!$D$6:$D$771,'סופר פארם Raw'!$E$6:$E$771,$A311,'סופר פארם Raw'!$B$6:$B$771,2026)</f>
        <v>1200.5</v>
      </c>
      <c r="J311" s="12" t="n">
        <f aca="false">I311*$J$5</f>
        <v>1516.42105263158</v>
      </c>
    </row>
    <row r="312" customFormat="false" ht="15" hidden="false" customHeight="true" outlineLevel="0" collapsed="false">
      <c r="A312" s="12" t="n">
        <v>4413416</v>
      </c>
      <c r="B312" s="12" t="str">
        <f aca="false">IFERROR(INDEX('Catalog'!$B:$B,MATCH($A312,'Catalog'!$A:$A,0)),"")</f>
        <v>SC39  M מגן שוק</v>
      </c>
      <c r="C312" s="12" t="n">
        <f aca="false">SUMIFS('סופר פארם Raw'!$C$6:$C$771,'סופר פארם Raw'!$E$6:$E$771,$A312,'סופר פארם Raw'!$B$6:$B$771,2025)</f>
        <v>11</v>
      </c>
      <c r="D312" s="12" t="n">
        <f aca="false">SUMIFS('סופר פארם Raw'!$C$6:$C$771,'סופר פארם Raw'!$E$6:$E$771,$A312,'סופר פארם Raw'!$B$6:$B$771,2026)</f>
        <v>12</v>
      </c>
      <c r="E312" s="12" t="n">
        <f aca="false">D312*$J$5</f>
        <v>15.1578947368421</v>
      </c>
      <c r="F312" s="12" t="n">
        <f aca="false">E312-C312</f>
        <v>4.1578947368421</v>
      </c>
      <c r="G312" s="21" t="n">
        <f aca="false">IF(AND(C312=0,E312=0),0,IF(C312=0,"New",(E312-C312)/C312))</f>
        <v>0.37799043062201</v>
      </c>
      <c r="H312" s="12" t="n">
        <f aca="false">SUMIFS('סופר פארם Raw'!$D$6:$D$771,'סופר פארם Raw'!$E$6:$E$771,$A312,'סופר פארם Raw'!$B$6:$B$771,2025)</f>
        <v>1479.8</v>
      </c>
      <c r="I312" s="12" t="n">
        <f aca="false">SUMIFS('סופר פארם Raw'!$D$6:$D$771,'סופר פארם Raw'!$E$6:$E$771,$A312,'סופר פארם Raw'!$B$6:$B$771,2026)</f>
        <v>1593.7</v>
      </c>
      <c r="J312" s="12" t="n">
        <f aca="false">I312*$J$5</f>
        <v>2013.09473684211</v>
      </c>
    </row>
    <row r="313" customFormat="false" ht="15" hidden="false" customHeight="true" outlineLevel="0" collapsed="false">
      <c r="A313" s="12" t="n">
        <v>4413417</v>
      </c>
      <c r="B313" s="12" t="str">
        <f aca="false">IFERROR(INDEX('Catalog'!$B:$B,MATCH($A313,'Catalog'!$A:$A,0)),"")</f>
        <v>SC39  L מגן שוק</v>
      </c>
      <c r="C313" s="12" t="n">
        <f aca="false">SUMIFS('סופר פארם Raw'!$C$6:$C$771,'סופר פארם Raw'!$E$6:$E$771,$A313,'סופר פארם Raw'!$B$6:$B$771,2025)</f>
        <v>3</v>
      </c>
      <c r="D313" s="12" t="n">
        <f aca="false">SUMIFS('סופר פארם Raw'!$C$6:$C$771,'סופר פארם Raw'!$E$6:$E$771,$A313,'סופר פארם Raw'!$B$6:$B$771,2026)</f>
        <v>8</v>
      </c>
      <c r="E313" s="12" t="n">
        <f aca="false">D313*$J$5</f>
        <v>10.1052631578947</v>
      </c>
      <c r="F313" s="12" t="n">
        <f aca="false">E313-C313</f>
        <v>7.10526315789474</v>
      </c>
      <c r="G313" s="21" t="n">
        <f aca="false">IF(AND(C313=0,E313=0),0,IF(C313=0,"New",(E313-C313)/C313))</f>
        <v>2.36842105263158</v>
      </c>
      <c r="H313" s="12" t="n">
        <f aca="false">SUMIFS('סופר פארם Raw'!$D$6:$D$771,'סופר פארם Raw'!$E$6:$E$771,$A313,'סופר פארם Raw'!$B$6:$B$771,2025)</f>
        <v>407.3</v>
      </c>
      <c r="I313" s="12" t="n">
        <f aca="false">SUMIFS('סופר פארם Raw'!$D$6:$D$771,'סופר פארם Raw'!$E$6:$E$771,$A313,'סופר פארם Raw'!$B$6:$B$771,2026)</f>
        <v>1077</v>
      </c>
      <c r="J313" s="12" t="n">
        <f aca="false">I313*$J$5</f>
        <v>1360.42105263158</v>
      </c>
    </row>
    <row r="314" customFormat="false" ht="15" hidden="false" customHeight="true" outlineLevel="0" collapsed="false">
      <c r="A314" s="12" t="n">
        <v>4413418</v>
      </c>
      <c r="B314" s="12" t="str">
        <f aca="false">IFERROR(INDEX('Catalog'!$B:$B,MATCH($A314,'Catalog'!$A:$A,0)),"")</f>
        <v>SC39 XL מגן שוק</v>
      </c>
      <c r="C314" s="12" t="n">
        <f aca="false">SUMIFS('סופר פארם Raw'!$C$6:$C$771,'סופר פארם Raw'!$E$6:$E$771,$A314,'סופר פארם Raw'!$B$6:$B$771,2025)</f>
        <v>2</v>
      </c>
      <c r="D314" s="12" t="n">
        <f aca="false">SUMIFS('סופר פארם Raw'!$C$6:$C$771,'סופר פארם Raw'!$E$6:$E$771,$A314,'סופר פארם Raw'!$B$6:$B$771,2026)</f>
        <v>6</v>
      </c>
      <c r="E314" s="12" t="n">
        <f aca="false">D314*$J$5</f>
        <v>7.57894736842105</v>
      </c>
      <c r="F314" s="12" t="n">
        <f aca="false">E314-C314</f>
        <v>5.57894736842105</v>
      </c>
      <c r="G314" s="21" t="n">
        <f aca="false">IF(AND(C314=0,E314=0),0,IF(C314=0,"New",(E314-C314)/C314))</f>
        <v>2.78947368421053</v>
      </c>
      <c r="H314" s="12" t="n">
        <f aca="false">SUMIFS('סופר פארם Raw'!$D$6:$D$771,'סופר פארם Raw'!$E$6:$E$771,$A314,'סופר פארם Raw'!$B$6:$B$771,2025)</f>
        <v>285.1</v>
      </c>
      <c r="I314" s="12" t="n">
        <f aca="false">SUMIFS('סופר פארם Raw'!$D$6:$D$771,'סופר פארם Raw'!$E$6:$E$771,$A314,'סופר פארם Raw'!$B$6:$B$771,2026)</f>
        <v>819.1</v>
      </c>
      <c r="J314" s="12" t="n">
        <f aca="false">I314*$J$5</f>
        <v>1034.65263157895</v>
      </c>
    </row>
    <row r="315" customFormat="false" ht="15" hidden="false" customHeight="true" outlineLevel="0" collapsed="false">
      <c r="A315" s="12" t="n">
        <v>4413421</v>
      </c>
      <c r="B315" s="12" t="str">
        <f aca="false">IFERROR(INDEX('Catalog'!$B:$B,MATCH($A315,'Catalog'!$A:$A,0)),"")</f>
        <v>SC35L  M מגן קרסול שמאל</v>
      </c>
      <c r="C315" s="12" t="n">
        <f aca="false">SUMIFS('סופר פארם Raw'!$C$6:$C$771,'סופר פארם Raw'!$E$6:$E$771,$A315,'סופר פארם Raw'!$B$6:$B$771,2025)</f>
        <v>26</v>
      </c>
      <c r="D315" s="12" t="n">
        <f aca="false">SUMIFS('סופר פארם Raw'!$C$6:$C$771,'סופר פארם Raw'!$E$6:$E$771,$A315,'סופר פארם Raw'!$B$6:$B$771,2026)</f>
        <v>6</v>
      </c>
      <c r="E315" s="12" t="n">
        <f aca="false">D315*$J$5</f>
        <v>7.57894736842105</v>
      </c>
      <c r="F315" s="12" t="n">
        <f aca="false">E315-C315</f>
        <v>-18.421052631579</v>
      </c>
      <c r="G315" s="21" t="n">
        <f aca="false">IF(AND(C315=0,E315=0),0,IF(C315=0,"New",(E315-C315)/C315))</f>
        <v>-0.708502024291498</v>
      </c>
      <c r="H315" s="12" t="n">
        <f aca="false">SUMIFS('סופר פארם Raw'!$D$6:$D$771,'סופר פארם Raw'!$E$6:$E$771,$A315,'סופר פארם Raw'!$B$6:$B$771,2025)</f>
        <v>1918.1</v>
      </c>
      <c r="I315" s="12" t="n">
        <f aca="false">SUMIFS('סופר פארם Raw'!$D$6:$D$771,'סופר פארם Raw'!$E$6:$E$771,$A315,'סופר פארם Raw'!$B$6:$B$771,2026)</f>
        <v>446.9</v>
      </c>
      <c r="J315" s="12" t="n">
        <f aca="false">I315*$J$5</f>
        <v>564.505263157895</v>
      </c>
    </row>
    <row r="316" customFormat="false" ht="15" hidden="false" customHeight="true" outlineLevel="0" collapsed="false">
      <c r="A316" s="12" t="n">
        <v>4413422</v>
      </c>
      <c r="B316" s="12" t="str">
        <f aca="false">IFERROR(INDEX('Catalog'!$B:$B,MATCH($A316,'Catalog'!$A:$A,0)),"")</f>
        <v>SC35L  L מגן קרסול שמאל</v>
      </c>
      <c r="C316" s="12" t="n">
        <f aca="false">SUMIFS('סופר פארם Raw'!$C$6:$C$771,'סופר פארם Raw'!$E$6:$E$771,$A316,'סופר פארם Raw'!$B$6:$B$771,2025)</f>
        <v>22</v>
      </c>
      <c r="D316" s="12" t="n">
        <f aca="false">SUMIFS('סופר פארם Raw'!$C$6:$C$771,'סופר פארם Raw'!$E$6:$E$771,$A316,'סופר פארם Raw'!$B$6:$B$771,2026)</f>
        <v>18</v>
      </c>
      <c r="E316" s="12" t="n">
        <f aca="false">D316*$J$5</f>
        <v>22.7368421052632</v>
      </c>
      <c r="F316" s="12" t="n">
        <f aca="false">E316-C316</f>
        <v>0.736842105263158</v>
      </c>
      <c r="G316" s="21" t="n">
        <f aca="false">IF(AND(C316=0,E316=0),0,IF(C316=0,"New",(E316-C316)/C316))</f>
        <v>0.0334928229665072</v>
      </c>
      <c r="H316" s="12" t="n">
        <f aca="false">SUMIFS('סופר פארם Raw'!$D$6:$D$771,'סופר פארם Raw'!$E$6:$E$771,$A316,'סופר פארם Raw'!$B$6:$B$771,2025)</f>
        <v>1638.8</v>
      </c>
      <c r="I316" s="12" t="n">
        <f aca="false">SUMIFS('סופר פארם Raw'!$D$6:$D$771,'סופר פארם Raw'!$E$6:$E$771,$A316,'סופר פארם Raw'!$B$6:$B$771,2026)</f>
        <v>1356.3</v>
      </c>
      <c r="J316" s="12" t="n">
        <f aca="false">I316*$J$5</f>
        <v>1713.22105263158</v>
      </c>
    </row>
    <row r="317" customFormat="false" ht="15" hidden="false" customHeight="true" outlineLevel="0" collapsed="false">
      <c r="A317" s="12" t="n">
        <v>4413425</v>
      </c>
      <c r="B317" s="12" t="str">
        <f aca="false">IFERROR(INDEX('Catalog'!$B:$B,MATCH($A317,'Catalog'!$A:$A,0)),"")</f>
        <v>SC35R  M מגן קרסול ימין</v>
      </c>
      <c r="C317" s="12" t="n">
        <f aca="false">SUMIFS('סופר פארם Raw'!$C$6:$C$771,'סופר פארם Raw'!$E$6:$E$771,$A317,'סופר פארם Raw'!$B$6:$B$771,2025)</f>
        <v>24</v>
      </c>
      <c r="D317" s="12" t="n">
        <f aca="false">SUMIFS('סופר פארם Raw'!$C$6:$C$771,'סופר פארם Raw'!$E$6:$E$771,$A317,'סופר פארם Raw'!$B$6:$B$771,2026)</f>
        <v>19</v>
      </c>
      <c r="E317" s="12" t="n">
        <f aca="false">D317*$J$5</f>
        <v>24</v>
      </c>
      <c r="F317" s="12" t="n">
        <f aca="false">E317-C317</f>
        <v>0</v>
      </c>
      <c r="G317" s="21" t="n">
        <f aca="false">IF(AND(C317=0,E317=0),0,IF(C317=0,"New",(E317-C317)/C317))</f>
        <v>0</v>
      </c>
      <c r="H317" s="12" t="n">
        <f aca="false">SUMIFS('סופר פארם Raw'!$D$6:$D$771,'סופר פארם Raw'!$E$6:$E$771,$A317,'סופר פארם Raw'!$B$6:$B$771,2025)</f>
        <v>1772.9</v>
      </c>
      <c r="I317" s="12" t="n">
        <f aca="false">SUMIFS('סופר פארם Raw'!$D$6:$D$771,'סופר פארם Raw'!$E$6:$E$771,$A317,'סופר פארם Raw'!$B$6:$B$771,2026)</f>
        <v>1427.4</v>
      </c>
      <c r="J317" s="12" t="n">
        <f aca="false">I317*$J$5</f>
        <v>1803.03157894737</v>
      </c>
    </row>
    <row r="318" customFormat="false" ht="15" hidden="false" customHeight="true" outlineLevel="0" collapsed="false">
      <c r="A318" s="12" t="n">
        <v>4413426</v>
      </c>
      <c r="B318" s="12" t="str">
        <f aca="false">IFERROR(INDEX('Catalog'!$B:$B,MATCH($A318,'Catalog'!$A:$A,0)),"")</f>
        <v>SC35R  L מגן קרסול ימין</v>
      </c>
      <c r="C318" s="12" t="n">
        <f aca="false">SUMIFS('סופר פארם Raw'!$C$6:$C$771,'סופר פארם Raw'!$E$6:$E$771,$A318,'סופר פארם Raw'!$B$6:$B$771,2025)</f>
        <v>21</v>
      </c>
      <c r="D318" s="12" t="n">
        <f aca="false">SUMIFS('סופר פארם Raw'!$C$6:$C$771,'סופר פארם Raw'!$E$6:$E$771,$A318,'סופר פארם Raw'!$B$6:$B$771,2026)</f>
        <v>11</v>
      </c>
      <c r="E318" s="12" t="n">
        <f aca="false">D318*$J$5</f>
        <v>13.8947368421053</v>
      </c>
      <c r="F318" s="12" t="n">
        <f aca="false">E318-C318</f>
        <v>-7.10526315789474</v>
      </c>
      <c r="G318" s="21" t="n">
        <f aca="false">IF(AND(C318=0,E318=0),0,IF(C318=0,"New",(E318-C318)/C318))</f>
        <v>-0.338345864661654</v>
      </c>
      <c r="H318" s="12" t="n">
        <f aca="false">SUMIFS('סופר פארם Raw'!$D$6:$D$771,'סופר פארם Raw'!$E$6:$E$771,$A318,'סופר פארם Raw'!$B$6:$B$771,2025)</f>
        <v>1549.4</v>
      </c>
      <c r="I318" s="12" t="n">
        <f aca="false">SUMIFS('סופר פארם Raw'!$D$6:$D$771,'סופר פארם Raw'!$E$6:$E$771,$A318,'סופר פארם Raw'!$B$6:$B$771,2026)</f>
        <v>820.2</v>
      </c>
      <c r="J318" s="12" t="n">
        <f aca="false">I318*$J$5</f>
        <v>1036.04210526316</v>
      </c>
    </row>
    <row r="319" customFormat="false" ht="15" hidden="false" customHeight="true" outlineLevel="0" collapsed="false">
      <c r="A319" s="12" t="n">
        <v>4413427</v>
      </c>
      <c r="B319" s="12" t="str">
        <f aca="false">IFERROR(INDEX('Catalog'!$B:$B,MATCH($A319,'Catalog'!$A:$A,0)),"")</f>
        <v>SC35R  XLמגן קרסול ימין</v>
      </c>
      <c r="C319" s="12" t="n">
        <f aca="false">SUMIFS('סופר פארם Raw'!$C$6:$C$771,'סופר פארם Raw'!$E$6:$E$771,$A319,'סופר פארם Raw'!$B$6:$B$771,2025)</f>
        <v>11</v>
      </c>
      <c r="D319" s="12" t="n">
        <f aca="false">SUMIFS('סופר פארם Raw'!$C$6:$C$771,'סופר פארם Raw'!$E$6:$E$771,$A319,'סופר פארם Raw'!$B$6:$B$771,2026)</f>
        <v>11</v>
      </c>
      <c r="E319" s="12" t="n">
        <f aca="false">D319*$J$5</f>
        <v>13.8947368421053</v>
      </c>
      <c r="F319" s="12" t="n">
        <f aca="false">E319-C319</f>
        <v>2.89473684210526</v>
      </c>
      <c r="G319" s="21" t="n">
        <f aca="false">IF(AND(C319=0,E319=0),0,IF(C319=0,"New",(E319-C319)/C319))</f>
        <v>0.263157894736842</v>
      </c>
      <c r="H319" s="12" t="n">
        <f aca="false">SUMIFS('סופר פארם Raw'!$D$6:$D$771,'סופר פארם Raw'!$E$6:$E$771,$A319,'סופר פארם Raw'!$B$6:$B$771,2025)</f>
        <v>815.7</v>
      </c>
      <c r="I319" s="12" t="n">
        <f aca="false">SUMIFS('סופר פארם Raw'!$D$6:$D$771,'סופר פארם Raw'!$E$6:$E$771,$A319,'סופר פארם Raw'!$B$6:$B$771,2026)</f>
        <v>823.6</v>
      </c>
      <c r="J319" s="12" t="n">
        <f aca="false">I319*$J$5</f>
        <v>1040.33684210526</v>
      </c>
    </row>
    <row r="320" customFormat="false" ht="15" hidden="false" customHeight="true" outlineLevel="0" collapsed="false">
      <c r="A320" s="12" t="n">
        <v>4413428</v>
      </c>
      <c r="B320" s="12" t="str">
        <f aca="false">IFERROR(INDEX('Catalog'!$B:$B,MATCH($A320,'Catalog'!$A:$A,0)),"")</f>
        <v>332CL'מייצב קרסול עם שרוכים בז</v>
      </c>
      <c r="C320" s="12" t="n">
        <f aca="false">SUMIFS('סופר פארם Raw'!$C$6:$C$771,'סופר פארם Raw'!$E$6:$E$771,$A320,'סופר פארם Raw'!$B$6:$B$771,2025)</f>
        <v>-2</v>
      </c>
      <c r="D320" s="12" t="n">
        <f aca="false">SUMIFS('סופר פארם Raw'!$C$6:$C$771,'סופר פארם Raw'!$E$6:$E$771,$A320,'סופר פארם Raw'!$B$6:$B$771,2026)</f>
        <v>0</v>
      </c>
      <c r="E320" s="12" t="n">
        <f aca="false">D320*$J$5</f>
        <v>0</v>
      </c>
      <c r="F320" s="12" t="n">
        <f aca="false">E320-C320</f>
        <v>2</v>
      </c>
      <c r="G320" s="21" t="n">
        <f aca="false">IF(AND(C320=0,E320=0),0,IF(C320=0,"New",(E320-C320)/C320))</f>
        <v>-1</v>
      </c>
      <c r="H320" s="12" t="n">
        <f aca="false">SUMIFS('סופר פארם Raw'!$D$6:$D$771,'סופר פארם Raw'!$E$6:$E$771,$A320,'סופר פארם Raw'!$B$6:$B$771,2025)</f>
        <v>-213</v>
      </c>
      <c r="I320" s="12" t="n">
        <f aca="false">SUMIFS('סופר פארם Raw'!$D$6:$D$771,'סופר פארם Raw'!$E$6:$E$771,$A320,'סופר פארם Raw'!$B$6:$B$771,2026)</f>
        <v>0</v>
      </c>
      <c r="J320" s="12" t="n">
        <f aca="false">I320*$J$5</f>
        <v>0</v>
      </c>
    </row>
    <row r="321" customFormat="false" ht="15" hidden="false" customHeight="true" outlineLevel="0" collapsed="false">
      <c r="A321" s="12" t="n">
        <v>4413429</v>
      </c>
      <c r="B321" s="12" t="str">
        <f aca="false">IFERROR(INDEX('Catalog'!$B:$B,MATCH($A321,'Catalog'!$A:$A,0)),"")</f>
        <v>332CM'מייצב קרסול עם שרוכים בז</v>
      </c>
      <c r="C321" s="12" t="n">
        <f aca="false">SUMIFS('סופר פארם Raw'!$C$6:$C$771,'סופר פארם Raw'!$E$6:$E$771,$A321,'סופר פארם Raw'!$B$6:$B$771,2025)</f>
        <v>-1</v>
      </c>
      <c r="D321" s="12" t="n">
        <f aca="false">SUMIFS('סופר פארם Raw'!$C$6:$C$771,'סופר פארם Raw'!$E$6:$E$771,$A321,'סופר פארם Raw'!$B$6:$B$771,2026)</f>
        <v>0</v>
      </c>
      <c r="E321" s="12" t="n">
        <f aca="false">D321*$J$5</f>
        <v>0</v>
      </c>
      <c r="F321" s="12" t="n">
        <f aca="false">E321-C321</f>
        <v>1</v>
      </c>
      <c r="G321" s="21" t="n">
        <f aca="false">IF(AND(C321=0,E321=0),0,IF(C321=0,"New",(E321-C321)/C321))</f>
        <v>-1</v>
      </c>
      <c r="H321" s="12" t="n">
        <f aca="false">SUMIFS('סופר פארם Raw'!$D$6:$D$771,'סופר פארם Raw'!$E$6:$E$771,$A321,'סופר פארם Raw'!$B$6:$B$771,2025)</f>
        <v>-106.5</v>
      </c>
      <c r="I321" s="12" t="n">
        <f aca="false">SUMIFS('סופר פארם Raw'!$D$6:$D$771,'סופר פארם Raw'!$E$6:$E$771,$A321,'סופר פארם Raw'!$B$6:$B$771,2026)</f>
        <v>0</v>
      </c>
      <c r="J321" s="12" t="n">
        <f aca="false">I321*$J$5</f>
        <v>0</v>
      </c>
    </row>
    <row r="322" customFormat="false" ht="15" hidden="false" customHeight="true" outlineLevel="0" collapsed="false">
      <c r="A322" s="12" t="n">
        <v>4413430</v>
      </c>
      <c r="B322" s="12" t="str">
        <f aca="false">IFERROR(INDEX('Catalog'!$B:$B,MATCH($A322,'Catalog'!$A:$A,0)),"")</f>
        <v>332CS'מייצב קרסול עם שרוכים בז</v>
      </c>
      <c r="C322" s="12" t="n">
        <f aca="false">SUMIFS('סופר פארם Raw'!$C$6:$C$771,'סופר פארם Raw'!$E$6:$E$771,$A322,'סופר פארם Raw'!$B$6:$B$771,2025)</f>
        <v>-1</v>
      </c>
      <c r="D322" s="12" t="n">
        <f aca="false">SUMIFS('סופר פארם Raw'!$C$6:$C$771,'סופר פארם Raw'!$E$6:$E$771,$A322,'סופר פארם Raw'!$B$6:$B$771,2026)</f>
        <v>0</v>
      </c>
      <c r="E322" s="12" t="n">
        <f aca="false">D322*$J$5</f>
        <v>0</v>
      </c>
      <c r="F322" s="12" t="n">
        <f aca="false">E322-C322</f>
        <v>1</v>
      </c>
      <c r="G322" s="21" t="n">
        <f aca="false">IF(AND(C322=0,E322=0),0,IF(C322=0,"New",(E322-C322)/C322))</f>
        <v>-1</v>
      </c>
      <c r="H322" s="12" t="n">
        <f aca="false">SUMIFS('סופר פארם Raw'!$D$6:$D$771,'סופר פארם Raw'!$E$6:$E$771,$A322,'סופר פארם Raw'!$B$6:$B$771,2025)</f>
        <v>-106.5</v>
      </c>
      <c r="I322" s="12" t="n">
        <f aca="false">SUMIFS('סופר פארם Raw'!$D$6:$D$771,'סופר פארם Raw'!$E$6:$E$771,$A322,'סופר פארם Raw'!$B$6:$B$771,2026)</f>
        <v>0</v>
      </c>
      <c r="J322" s="12" t="n">
        <f aca="false">I322*$J$5</f>
        <v>0</v>
      </c>
    </row>
    <row r="323" customFormat="false" ht="15" hidden="false" customHeight="true" outlineLevel="0" collapsed="false">
      <c r="A323" s="12" t="n">
        <v>4413431</v>
      </c>
      <c r="B323" s="12" t="str">
        <f aca="false">IFERROR(INDEX('Catalog'!$B:$B,MATCH($A323,'Catalog'!$A:$A,0)),"")</f>
        <v>332CXLמייצב קרסול עם שרוכים בז</v>
      </c>
      <c r="C323" s="12" t="n">
        <f aca="false">SUMIFS('סופר פארם Raw'!$C$6:$C$771,'סופר פארם Raw'!$E$6:$E$771,$A323,'סופר פארם Raw'!$B$6:$B$771,2025)</f>
        <v>-1</v>
      </c>
      <c r="D323" s="12" t="n">
        <f aca="false">SUMIFS('סופר פארם Raw'!$C$6:$C$771,'סופר פארם Raw'!$E$6:$E$771,$A323,'סופר פארם Raw'!$B$6:$B$771,2026)</f>
        <v>0</v>
      </c>
      <c r="E323" s="12" t="n">
        <f aca="false">D323*$J$5</f>
        <v>0</v>
      </c>
      <c r="F323" s="12" t="n">
        <f aca="false">E323-C323</f>
        <v>1</v>
      </c>
      <c r="G323" s="21" t="n">
        <f aca="false">IF(AND(C323=0,E323=0),0,IF(C323=0,"New",(E323-C323)/C323))</f>
        <v>-1</v>
      </c>
      <c r="H323" s="12" t="n">
        <f aca="false">SUMIFS('סופר פארם Raw'!$D$6:$D$771,'סופר פארם Raw'!$E$6:$E$771,$A323,'סופר פארם Raw'!$B$6:$B$771,2025)</f>
        <v>-106.5</v>
      </c>
      <c r="I323" s="12" t="n">
        <f aca="false">SUMIFS('סופר פארם Raw'!$D$6:$D$771,'סופר פארם Raw'!$E$6:$E$771,$A323,'סופר פארם Raw'!$B$6:$B$771,2026)</f>
        <v>0</v>
      </c>
      <c r="J323" s="12" t="n">
        <f aca="false">I323*$J$5</f>
        <v>0</v>
      </c>
    </row>
    <row r="324" customFormat="false" ht="15" hidden="false" customHeight="true" outlineLevel="0" collapsed="false">
      <c r="A324" s="12" t="n">
        <v>4413438</v>
      </c>
      <c r="B324" s="12" t="str">
        <f aca="false">IFERROR(INDEX('Catalog'!$B:$B,MATCH($A324,'Catalog'!$A:$A,0)),"")</f>
        <v>SC422  S מגן ברך</v>
      </c>
      <c r="C324" s="12" t="n">
        <f aca="false">SUMIFS('סופר פארם Raw'!$C$6:$C$771,'סופר פארם Raw'!$E$6:$E$771,$A324,'סופר פארם Raw'!$B$6:$B$771,2025)</f>
        <v>14</v>
      </c>
      <c r="D324" s="12" t="n">
        <f aca="false">SUMIFS('סופר פארם Raw'!$C$6:$C$771,'סופר פארם Raw'!$E$6:$E$771,$A324,'סופר פארם Raw'!$B$6:$B$771,2026)</f>
        <v>11</v>
      </c>
      <c r="E324" s="12" t="n">
        <f aca="false">D324*$J$5</f>
        <v>13.8947368421053</v>
      </c>
      <c r="F324" s="12" t="n">
        <f aca="false">E324-C324</f>
        <v>-0.105263157894738</v>
      </c>
      <c r="G324" s="21" t="n">
        <f aca="false">IF(AND(C324=0,E324=0),0,IF(C324=0,"New",(E324-C324)/C324))</f>
        <v>-0.00751879699248129</v>
      </c>
      <c r="H324" s="12" t="n">
        <f aca="false">SUMIFS('סופר פארם Raw'!$D$6:$D$771,'סופר פארם Raw'!$E$6:$E$771,$A324,'סופר פארם Raw'!$B$6:$B$771,2025)</f>
        <v>1880.3</v>
      </c>
      <c r="I324" s="12" t="n">
        <f aca="false">SUMIFS('סופר פארם Raw'!$D$6:$D$771,'סופר פארם Raw'!$E$6:$E$771,$A324,'סופר פארם Raw'!$B$6:$B$771,2026)</f>
        <v>1473.5</v>
      </c>
      <c r="J324" s="12" t="n">
        <f aca="false">I324*$J$5</f>
        <v>1861.26315789474</v>
      </c>
    </row>
    <row r="325" customFormat="false" ht="15" hidden="false" customHeight="true" outlineLevel="0" collapsed="false">
      <c r="A325" s="12" t="n">
        <v>4413439</v>
      </c>
      <c r="B325" s="12" t="str">
        <f aca="false">IFERROR(INDEX('Catalog'!$B:$B,MATCH($A325,'Catalog'!$A:$A,0)),"")</f>
        <v>SC422  M מגן ברך</v>
      </c>
      <c r="C325" s="12" t="n">
        <f aca="false">SUMIFS('סופר פארם Raw'!$C$6:$C$771,'סופר פארם Raw'!$E$6:$E$771,$A325,'סופר פארם Raw'!$B$6:$B$771,2025)</f>
        <v>20</v>
      </c>
      <c r="D325" s="12" t="n">
        <f aca="false">SUMIFS('סופר פארם Raw'!$C$6:$C$771,'סופר פארם Raw'!$E$6:$E$771,$A325,'סופר פארם Raw'!$B$6:$B$771,2026)</f>
        <v>20</v>
      </c>
      <c r="E325" s="12" t="n">
        <f aca="false">D325*$J$5</f>
        <v>25.2631578947368</v>
      </c>
      <c r="F325" s="12" t="n">
        <f aca="false">E325-C325</f>
        <v>5.26315789473684</v>
      </c>
      <c r="G325" s="21" t="n">
        <f aca="false">IF(AND(C325=0,E325=0),0,IF(C325=0,"New",(E325-C325)/C325))</f>
        <v>0.263157894736842</v>
      </c>
      <c r="H325" s="12" t="n">
        <f aca="false">SUMIFS('סופר פארם Raw'!$D$6:$D$771,'סופר פארם Raw'!$E$6:$E$771,$A325,'סופר פארם Raw'!$B$6:$B$771,2025)</f>
        <v>2674.5</v>
      </c>
      <c r="I325" s="12" t="n">
        <f aca="false">SUMIFS('סופר פארם Raw'!$D$6:$D$771,'סופר פארם Raw'!$E$6:$E$771,$A325,'סופר פארם Raw'!$B$6:$B$771,2026)</f>
        <v>2675</v>
      </c>
      <c r="J325" s="12" t="n">
        <f aca="false">I325*$J$5</f>
        <v>3378.94736842105</v>
      </c>
    </row>
    <row r="326" customFormat="false" ht="15" hidden="false" customHeight="true" outlineLevel="0" collapsed="false">
      <c r="A326" s="12" t="n">
        <v>4413440</v>
      </c>
      <c r="B326" s="12" t="str">
        <f aca="false">IFERROR(INDEX('Catalog'!$B:$B,MATCH($A326,'Catalog'!$A:$A,0)),"")</f>
        <v>SC422  L מגן ברך</v>
      </c>
      <c r="C326" s="12" t="n">
        <f aca="false">SUMIFS('סופר פארם Raw'!$C$6:$C$771,'סופר פארם Raw'!$E$6:$E$771,$A326,'סופר פארם Raw'!$B$6:$B$771,2025)</f>
        <v>31</v>
      </c>
      <c r="D326" s="12" t="n">
        <f aca="false">SUMIFS('סופר פארם Raw'!$C$6:$C$771,'סופר פארם Raw'!$E$6:$E$771,$A326,'סופר פארם Raw'!$B$6:$B$771,2026)</f>
        <v>22</v>
      </c>
      <c r="E326" s="12" t="n">
        <f aca="false">D326*$J$5</f>
        <v>27.7894736842105</v>
      </c>
      <c r="F326" s="12" t="n">
        <f aca="false">E326-C326</f>
        <v>-3.21052631578948</v>
      </c>
      <c r="G326" s="21" t="n">
        <f aca="false">IF(AND(C326=0,E326=0),0,IF(C326=0,"New",(E326-C326)/C326))</f>
        <v>-0.103565365025467</v>
      </c>
      <c r="H326" s="12" t="n">
        <f aca="false">SUMIFS('סופר פארם Raw'!$D$6:$D$771,'סופר פארם Raw'!$E$6:$E$771,$A326,'סופר פארם Raw'!$B$6:$B$771,2025)</f>
        <v>4167.8</v>
      </c>
      <c r="I326" s="12" t="n">
        <f aca="false">SUMIFS('סופר פארם Raw'!$D$6:$D$771,'סופר פארם Raw'!$E$6:$E$771,$A326,'סופר פארם Raw'!$B$6:$B$771,2026)</f>
        <v>2962.7</v>
      </c>
      <c r="J326" s="12" t="n">
        <f aca="false">I326*$J$5</f>
        <v>3742.35789473684</v>
      </c>
    </row>
    <row r="327" customFormat="false" ht="15" hidden="false" customHeight="true" outlineLevel="0" collapsed="false">
      <c r="A327" s="12" t="n">
        <v>4413441</v>
      </c>
      <c r="B327" s="12" t="str">
        <f aca="false">IFERROR(INDEX('Catalog'!$B:$B,MATCH($A327,'Catalog'!$A:$A,0)),"")</f>
        <v>SC422 XL מגן ברך</v>
      </c>
      <c r="C327" s="12" t="n">
        <f aca="false">SUMIFS('סופר פארם Raw'!$C$6:$C$771,'סופר פארם Raw'!$E$6:$E$771,$A327,'סופר פארם Raw'!$B$6:$B$771,2025)</f>
        <v>13</v>
      </c>
      <c r="D327" s="12" t="n">
        <f aca="false">SUMIFS('סופר פארם Raw'!$C$6:$C$771,'סופר פארם Raw'!$E$6:$E$771,$A327,'סופר פארם Raw'!$B$6:$B$771,2026)</f>
        <v>13</v>
      </c>
      <c r="E327" s="12" t="n">
        <f aca="false">D327*$J$5</f>
        <v>16.4210526315789</v>
      </c>
      <c r="F327" s="12" t="n">
        <f aca="false">E327-C327</f>
        <v>3.42105263157895</v>
      </c>
      <c r="G327" s="21" t="n">
        <f aca="false">IF(AND(C327=0,E327=0),0,IF(C327=0,"New",(E327-C327)/C327))</f>
        <v>0.263157894736842</v>
      </c>
      <c r="H327" s="12" t="n">
        <f aca="false">SUMIFS('סופר פארם Raw'!$D$6:$D$771,'סופר פארם Raw'!$E$6:$E$771,$A327,'סופר פארם Raw'!$B$6:$B$771,2025)</f>
        <v>1751.3</v>
      </c>
      <c r="I327" s="12" t="n">
        <f aca="false">SUMIFS('סופר פארם Raw'!$D$6:$D$771,'סופר פארם Raw'!$E$6:$E$771,$A327,'סופר פארם Raw'!$B$6:$B$771,2026)</f>
        <v>1735.5</v>
      </c>
      <c r="J327" s="12" t="n">
        <f aca="false">I327*$J$5</f>
        <v>2192.21052631579</v>
      </c>
    </row>
    <row r="328" customFormat="false" ht="15" hidden="false" customHeight="true" outlineLevel="0" collapsed="false">
      <c r="A328" s="12" t="n">
        <v>4413442</v>
      </c>
      <c r="B328" s="12" t="str">
        <f aca="false">IFERROR(INDEX('Catalog'!$B:$B,MATCH($A328,'Catalog'!$A:$A,0)),"")</f>
        <v>SC422 XXLמגן ברך</v>
      </c>
      <c r="C328" s="12" t="n">
        <f aca="false">SUMIFS('סופר פארם Raw'!$C$6:$C$771,'סופר פארם Raw'!$E$6:$E$771,$A328,'סופר פארם Raw'!$B$6:$B$771,2025)</f>
        <v>4</v>
      </c>
      <c r="D328" s="12" t="n">
        <f aca="false">SUMIFS('סופר פארם Raw'!$C$6:$C$771,'סופר פארם Raw'!$E$6:$E$771,$A328,'סופר פארם Raw'!$B$6:$B$771,2026)</f>
        <v>12</v>
      </c>
      <c r="E328" s="12" t="n">
        <f aca="false">D328*$J$5</f>
        <v>15.1578947368421</v>
      </c>
      <c r="F328" s="12" t="n">
        <f aca="false">E328-C328</f>
        <v>11.1578947368421</v>
      </c>
      <c r="G328" s="21" t="n">
        <f aca="false">IF(AND(C328=0,E328=0),0,IF(C328=0,"New",(E328-C328)/C328))</f>
        <v>2.78947368421053</v>
      </c>
      <c r="H328" s="12" t="n">
        <f aca="false">SUMIFS('סופר פארם Raw'!$D$6:$D$771,'סופר פארם Raw'!$E$6:$E$771,$A328,'סופר פארם Raw'!$B$6:$B$771,2025)</f>
        <v>469.1</v>
      </c>
      <c r="I328" s="12" t="n">
        <f aca="false">SUMIFS('סופר פארם Raw'!$D$6:$D$771,'סופר פארם Raw'!$E$6:$E$771,$A328,'סופר פארם Raw'!$B$6:$B$771,2026)</f>
        <v>1451</v>
      </c>
      <c r="J328" s="12" t="n">
        <f aca="false">I328*$J$5</f>
        <v>1832.84210526316</v>
      </c>
    </row>
    <row r="329" customFormat="false" ht="15" hidden="false" customHeight="true" outlineLevel="0" collapsed="false">
      <c r="A329" s="12" t="n">
        <v>4413443</v>
      </c>
      <c r="B329" s="12" t="str">
        <f aca="false">IFERROR(INDEX('Catalog'!$B:$B,MATCH($A329,'Catalog'!$A:$A,0)),"")</f>
        <v>78A XXL מגן למפרק כתף</v>
      </c>
      <c r="C329" s="12" t="n">
        <f aca="false">SUMIFS('סופר פארם Raw'!$C$6:$C$771,'סופר פארם Raw'!$E$6:$E$771,$A329,'סופר פארם Raw'!$B$6:$B$771,2025)</f>
        <v>-2</v>
      </c>
      <c r="D329" s="12" t="n">
        <f aca="false">SUMIFS('סופר פארם Raw'!$C$6:$C$771,'סופר פארם Raw'!$E$6:$E$771,$A329,'סופר פארם Raw'!$B$6:$B$771,2026)</f>
        <v>0</v>
      </c>
      <c r="E329" s="12" t="n">
        <f aca="false">D329*$J$5</f>
        <v>0</v>
      </c>
      <c r="F329" s="12" t="n">
        <f aca="false">E329-C329</f>
        <v>2</v>
      </c>
      <c r="G329" s="21" t="n">
        <f aca="false">IF(AND(C329=0,E329=0),0,IF(C329=0,"New",(E329-C329)/C329))</f>
        <v>-1</v>
      </c>
      <c r="H329" s="12" t="n">
        <f aca="false">SUMIFS('סופר פארם Raw'!$D$6:$D$771,'סופר פארם Raw'!$E$6:$E$771,$A329,'סופר פארם Raw'!$B$6:$B$771,2025)</f>
        <v>-570.3</v>
      </c>
      <c r="I329" s="12" t="n">
        <f aca="false">SUMIFS('סופר פארם Raw'!$D$6:$D$771,'סופר פארם Raw'!$E$6:$E$771,$A329,'סופר פארם Raw'!$B$6:$B$771,2026)</f>
        <v>0</v>
      </c>
      <c r="J329" s="12" t="n">
        <f aca="false">I329*$J$5</f>
        <v>0</v>
      </c>
    </row>
    <row r="330" customFormat="false" ht="15" hidden="false" customHeight="true" outlineLevel="0" collapsed="false">
      <c r="A330" s="12" t="n">
        <v>4413452</v>
      </c>
      <c r="B330" s="12" t="str">
        <f aca="false">IFERROR(INDEX('Catalog'!$B:$B,MATCH($A330,'Catalog'!$A:$A,0)),"")</f>
        <v>386  מיישר בוניון-האלוקס ולגוס</v>
      </c>
      <c r="C330" s="12" t="n">
        <f aca="false">SUMIFS('סופר פארם Raw'!$C$6:$C$771,'סופר פארם Raw'!$E$6:$E$771,$A330,'סופר פארם Raw'!$B$6:$B$771,2025)</f>
        <v>830</v>
      </c>
      <c r="D330" s="12" t="n">
        <f aca="false">SUMIFS('סופר פארם Raw'!$C$6:$C$771,'סופר פארם Raw'!$E$6:$E$771,$A330,'סופר פארם Raw'!$B$6:$B$771,2026)</f>
        <v>654</v>
      </c>
      <c r="E330" s="12" t="n">
        <f aca="false">D330*$J$5</f>
        <v>826.105263157895</v>
      </c>
      <c r="F330" s="12" t="n">
        <f aca="false">E330-C330</f>
        <v>-3.89473684210532</v>
      </c>
      <c r="G330" s="21" t="n">
        <f aca="false">IF(AND(C330=0,E330=0),0,IF(C330=0,"New",(E330-C330)/C330))</f>
        <v>-0.00469245402663291</v>
      </c>
      <c r="H330" s="12" t="n">
        <f aca="false">SUMIFS('סופר פארם Raw'!$D$6:$D$771,'סופר פארם Raw'!$E$6:$E$771,$A330,'סופר פארם Raw'!$B$6:$B$771,2025)</f>
        <v>33989.9</v>
      </c>
      <c r="I330" s="12" t="n">
        <f aca="false">SUMIFS('סופר פארם Raw'!$D$6:$D$771,'סופר פארם Raw'!$E$6:$E$771,$A330,'סופר פארם Raw'!$B$6:$B$771,2026)</f>
        <v>26677.6</v>
      </c>
      <c r="J330" s="12" t="n">
        <f aca="false">I330*$J$5</f>
        <v>33698.0210526316</v>
      </c>
    </row>
    <row r="331" customFormat="false" ht="15" hidden="false" customHeight="true" outlineLevel="0" collapsed="false">
      <c r="A331" s="12" t="n">
        <v>4413453</v>
      </c>
      <c r="B331" s="12" t="str">
        <f aca="false">IFERROR(INDEX('Catalog'!$B:$B,MATCH($A331,'Catalog'!$A:$A,0)),"")</f>
        <v>AC75 מישר כתפיים אקטיב</v>
      </c>
      <c r="C331" s="12" t="n">
        <f aca="false">SUMIFS('סופר פארם Raw'!$C$6:$C$771,'סופר פארם Raw'!$E$6:$E$771,$A331,'סופר פארם Raw'!$B$6:$B$771,2025)</f>
        <v>561</v>
      </c>
      <c r="D331" s="12" t="n">
        <f aca="false">SUMIFS('סופר פארם Raw'!$C$6:$C$771,'סופר פארם Raw'!$E$6:$E$771,$A331,'סופר פארם Raw'!$B$6:$B$771,2026)</f>
        <v>1283</v>
      </c>
      <c r="E331" s="12" t="n">
        <f aca="false">D331*$J$5</f>
        <v>1620.63157894737</v>
      </c>
      <c r="F331" s="12" t="n">
        <f aca="false">E331-C331</f>
        <v>1059.63157894737</v>
      </c>
      <c r="G331" s="21" t="n">
        <f aca="false">IF(AND(C331=0,E331=0),0,IF(C331=0,"New",(E331-C331)/C331))</f>
        <v>1.8888263439347</v>
      </c>
      <c r="H331" s="12" t="n">
        <f aca="false">SUMIFS('סופר פארם Raw'!$D$6:$D$771,'סופר פארם Raw'!$E$6:$E$771,$A331,'סופר פארם Raw'!$B$6:$B$771,2025)</f>
        <v>34271.9</v>
      </c>
      <c r="I331" s="12" t="n">
        <f aca="false">SUMIFS('סופר פארם Raw'!$D$6:$D$771,'סופר פארם Raw'!$E$6:$E$771,$A331,'סופר פארם Raw'!$B$6:$B$771,2026)</f>
        <v>82238.6</v>
      </c>
      <c r="J331" s="12" t="n">
        <f aca="false">I331*$J$5</f>
        <v>103880.336842105</v>
      </c>
    </row>
    <row r="332" customFormat="false" ht="15" hidden="false" customHeight="true" outlineLevel="0" collapsed="false">
      <c r="A332" s="12" t="n">
        <v>4413455</v>
      </c>
      <c r="B332" s="12" t="str">
        <f aca="false">IFERROR(INDEX('Catalog'!$B:$B,MATCH($A332,'Catalog'!$A:$A,0)),"")</f>
        <v>85K מתלה ליד לילדים</v>
      </c>
      <c r="C332" s="12" t="n">
        <f aca="false">SUMIFS('סופר פארם Raw'!$C$6:$C$771,'סופר פארם Raw'!$E$6:$E$771,$A332,'סופר פארם Raw'!$B$6:$B$771,2025)</f>
        <v>299</v>
      </c>
      <c r="D332" s="12" t="n">
        <f aca="false">SUMIFS('סופר פארם Raw'!$C$6:$C$771,'סופר פארם Raw'!$E$6:$E$771,$A332,'סופר פארם Raw'!$B$6:$B$771,2026)</f>
        <v>236</v>
      </c>
      <c r="E332" s="12" t="n">
        <f aca="false">D332*$J$5</f>
        <v>298.105263157895</v>
      </c>
      <c r="F332" s="12" t="n">
        <f aca="false">E332-C332</f>
        <v>-0.89473684210526</v>
      </c>
      <c r="G332" s="21" t="n">
        <f aca="false">IF(AND(C332=0,E332=0),0,IF(C332=0,"New",(E332-C332)/C332))</f>
        <v>-0.00299243091005104</v>
      </c>
      <c r="H332" s="12" t="n">
        <f aca="false">SUMIFS('סופר פארם Raw'!$D$6:$D$771,'סופר פארם Raw'!$E$6:$E$771,$A332,'סופר פארם Raw'!$B$6:$B$771,2025)</f>
        <v>13367.2</v>
      </c>
      <c r="I332" s="12" t="n">
        <f aca="false">SUMIFS('סופר פארם Raw'!$D$6:$D$771,'סופר פארם Raw'!$E$6:$E$771,$A332,'סופר פארם Raw'!$B$6:$B$771,2026)</f>
        <v>10544.6</v>
      </c>
      <c r="J332" s="12" t="n">
        <f aca="false">I332*$J$5</f>
        <v>13319.4947368421</v>
      </c>
    </row>
    <row r="333" customFormat="false" ht="15" hidden="false" customHeight="true" outlineLevel="0" collapsed="false">
      <c r="A333" s="12" t="n">
        <v>4413456</v>
      </c>
      <c r="B333" s="12" t="str">
        <f aca="false">IFERROR(INDEX('Catalog'!$B:$B,MATCH($A333,'Catalog'!$A:$A,0)),"")</f>
        <v>AC75 XXL  מיישר כתפיים אקטיב</v>
      </c>
      <c r="C333" s="12" t="n">
        <f aca="false">SUMIFS('סופר פארם Raw'!$C$6:$C$771,'סופר פארם Raw'!$E$6:$E$771,$A333,'סופר פארם Raw'!$B$6:$B$771,2025)</f>
        <v>98</v>
      </c>
      <c r="D333" s="12" t="n">
        <f aca="false">SUMIFS('סופר פארם Raw'!$C$6:$C$771,'סופר פארם Raw'!$E$6:$E$771,$A333,'סופר פארם Raw'!$B$6:$B$771,2026)</f>
        <v>424</v>
      </c>
      <c r="E333" s="12" t="n">
        <f aca="false">D333*$J$5</f>
        <v>535.578947368421</v>
      </c>
      <c r="F333" s="12" t="n">
        <f aca="false">E333-C333</f>
        <v>437.578947368421</v>
      </c>
      <c r="G333" s="21" t="n">
        <f aca="false">IF(AND(C333=0,E333=0),0,IF(C333=0,"New",(E333-C333)/C333))</f>
        <v>4.46509129967777</v>
      </c>
      <c r="H333" s="12" t="n">
        <f aca="false">SUMIFS('סופר פארם Raw'!$D$6:$D$771,'סופר פארם Raw'!$E$6:$E$771,$A333,'סופר פארם Raw'!$B$6:$B$771,2025)</f>
        <v>5983.3</v>
      </c>
      <c r="I333" s="12" t="n">
        <f aca="false">SUMIFS('סופר פארם Raw'!$D$6:$D$771,'סופר פארם Raw'!$E$6:$E$771,$A333,'סופר פארם Raw'!$B$6:$B$771,2026)</f>
        <v>27476.6</v>
      </c>
      <c r="J333" s="12" t="n">
        <f aca="false">I333*$J$5</f>
        <v>34707.2842105263</v>
      </c>
    </row>
    <row r="334" customFormat="false" ht="15" hidden="false" customHeight="true" outlineLevel="0" collapsed="false">
      <c r="A334" s="12" t="n">
        <v>4413516</v>
      </c>
      <c r="B334" s="12" t="str">
        <f aca="false">IFERROR(INDEX('Catalog'!$B:$B,MATCH($A334,'Catalog'!$A:$A,0)),"")</f>
        <v>85B L מתלה רשת לזרוע שחור</v>
      </c>
      <c r="C334" s="12" t="n">
        <f aca="false">SUMIFS('סופר פארם Raw'!$C$6:$C$771,'סופר פארם Raw'!$E$6:$E$771,$A334,'סופר פארם Raw'!$B$6:$B$771,2025)</f>
        <v>935</v>
      </c>
      <c r="D334" s="12" t="n">
        <f aca="false">SUMIFS('סופר פארם Raw'!$C$6:$C$771,'סופר פארם Raw'!$E$6:$E$771,$A334,'סופר פארם Raw'!$B$6:$B$771,2026)</f>
        <v>926</v>
      </c>
      <c r="E334" s="12" t="n">
        <f aca="false">D334*$J$5</f>
        <v>1169.68421052632</v>
      </c>
      <c r="F334" s="12" t="n">
        <f aca="false">E334-C334</f>
        <v>234.684210526316</v>
      </c>
      <c r="G334" s="21" t="n">
        <f aca="false">IF(AND(C334=0,E334=0),0,IF(C334=0,"New",(E334-C334)/C334))</f>
        <v>0.250999155643119</v>
      </c>
      <c r="H334" s="12" t="n">
        <f aca="false">SUMIFS('סופר פארם Raw'!$D$6:$D$771,'סופר פארם Raw'!$E$6:$E$771,$A334,'סופר פארם Raw'!$B$6:$B$771,2025)</f>
        <v>45804.2</v>
      </c>
      <c r="I334" s="12" t="n">
        <f aca="false">SUMIFS('סופר פארם Raw'!$D$6:$D$771,'סופר פארם Raw'!$E$6:$E$771,$A334,'סופר פארם Raw'!$B$6:$B$771,2026)</f>
        <v>45344.4</v>
      </c>
      <c r="J334" s="12" t="n">
        <f aca="false">I334*$J$5</f>
        <v>57277.1368421053</v>
      </c>
    </row>
    <row r="335" customFormat="false" ht="15" hidden="false" customHeight="true" outlineLevel="0" collapsed="false">
      <c r="A335" s="12" t="n">
        <v>4413517</v>
      </c>
      <c r="B335" s="12" t="str">
        <f aca="false">IFERROR(INDEX('Catalog'!$B:$B,MATCH($A335,'Catalog'!$A:$A,0)),"")</f>
        <v>85B M מתלה רשת לזרוע שחור</v>
      </c>
      <c r="C335" s="12" t="n">
        <f aca="false">SUMIFS('סופר פארם Raw'!$C$6:$C$771,'סופר פארם Raw'!$E$6:$E$771,$A335,'סופר פארם Raw'!$B$6:$B$771,2025)</f>
        <v>802</v>
      </c>
      <c r="D335" s="12" t="n">
        <f aca="false">SUMIFS('סופר פארם Raw'!$C$6:$C$771,'סופר פארם Raw'!$E$6:$E$771,$A335,'סופר פארם Raw'!$B$6:$B$771,2026)</f>
        <v>795</v>
      </c>
      <c r="E335" s="12" t="n">
        <f aca="false">D335*$J$5</f>
        <v>1004.21052631579</v>
      </c>
      <c r="F335" s="12" t="n">
        <f aca="false">E335-C335</f>
        <v>202.210526315789</v>
      </c>
      <c r="G335" s="21" t="n">
        <f aca="false">IF(AND(C335=0,E335=0),0,IF(C335=0,"New",(E335-C335)/C335))</f>
        <v>0.252132825830161</v>
      </c>
      <c r="H335" s="12" t="n">
        <f aca="false">SUMIFS('סופר פארם Raw'!$D$6:$D$771,'סופר פארם Raw'!$E$6:$E$771,$A335,'סופר פארם Raw'!$B$6:$B$771,2025)</f>
        <v>39247.7</v>
      </c>
      <c r="I335" s="12" t="n">
        <f aca="false">SUMIFS('סופר פארם Raw'!$D$6:$D$771,'סופר פארם Raw'!$E$6:$E$771,$A335,'סופר פארם Raw'!$B$6:$B$771,2026)</f>
        <v>38940.6</v>
      </c>
      <c r="J335" s="12" t="n">
        <f aca="false">I335*$J$5</f>
        <v>49188.1263157895</v>
      </c>
    </row>
    <row r="336" customFormat="false" ht="15" hidden="false" customHeight="true" outlineLevel="0" collapsed="false">
      <c r="A336" s="12" t="n">
        <v>4413518</v>
      </c>
      <c r="B336" s="12" t="str">
        <f aca="false">IFERROR(INDEX('Catalog'!$B:$B,MATCH($A336,'Catalog'!$A:$A,0)),"")</f>
        <v>85B XL מתלה רשת לזרוע שחור</v>
      </c>
      <c r="C336" s="12" t="n">
        <f aca="false">SUMIFS('סופר פארם Raw'!$C$6:$C$771,'סופר פארם Raw'!$E$6:$E$771,$A336,'סופר פארם Raw'!$B$6:$B$771,2025)</f>
        <v>588</v>
      </c>
      <c r="D336" s="12" t="n">
        <f aca="false">SUMIFS('סופר פארם Raw'!$C$6:$C$771,'סופר פארם Raw'!$E$6:$E$771,$A336,'סופר פארם Raw'!$B$6:$B$771,2026)</f>
        <v>622</v>
      </c>
      <c r="E336" s="12" t="n">
        <f aca="false">D336*$J$5</f>
        <v>785.684210526316</v>
      </c>
      <c r="F336" s="12" t="n">
        <f aca="false">E336-C336</f>
        <v>197.684210526316</v>
      </c>
      <c r="G336" s="21" t="n">
        <f aca="false">IF(AND(C336=0,E336=0),0,IF(C336=0,"New",(E336-C336)/C336))</f>
        <v>0.336197636949517</v>
      </c>
      <c r="H336" s="12" t="n">
        <f aca="false">SUMIFS('סופר פארם Raw'!$D$6:$D$771,'סופר פארם Raw'!$E$6:$E$771,$A336,'סופר פארם Raw'!$B$6:$B$771,2025)</f>
        <v>28808.8</v>
      </c>
      <c r="I336" s="12" t="n">
        <f aca="false">SUMIFS('סופר פארם Raw'!$D$6:$D$771,'סופר פארם Raw'!$E$6:$E$771,$A336,'סופר פארם Raw'!$B$6:$B$771,2026)</f>
        <v>30467.8</v>
      </c>
      <c r="J336" s="12" t="n">
        <f aca="false">I336*$J$5</f>
        <v>38485.6421052632</v>
      </c>
    </row>
    <row r="337" customFormat="false" ht="15" hidden="false" customHeight="true" outlineLevel="0" collapsed="false">
      <c r="A337" s="12" t="n">
        <v>4413519</v>
      </c>
      <c r="B337" s="12" t="str">
        <f aca="false">IFERROR(INDEX('Catalog'!$B:$B,MATCH($A337,'Catalog'!$A:$A,0)),"")</f>
        <v>85B S מתלה רשת לזרוע שחור</v>
      </c>
      <c r="C337" s="12" t="n">
        <f aca="false">SUMIFS('סופר פארם Raw'!$C$6:$C$771,'סופר פארם Raw'!$E$6:$E$771,$A337,'סופר פארם Raw'!$B$6:$B$771,2025)</f>
        <v>464</v>
      </c>
      <c r="D337" s="12" t="n">
        <f aca="false">SUMIFS('סופר פארם Raw'!$C$6:$C$771,'סופר פארם Raw'!$E$6:$E$771,$A337,'סופר פארם Raw'!$B$6:$B$771,2026)</f>
        <v>504</v>
      </c>
      <c r="E337" s="12" t="n">
        <f aca="false">D337*$J$5</f>
        <v>636.631578947368</v>
      </c>
      <c r="F337" s="12" t="n">
        <f aca="false">E337-C337</f>
        <v>172.631578947368</v>
      </c>
      <c r="G337" s="21" t="n">
        <f aca="false">IF(AND(C337=0,E337=0),0,IF(C337=0,"New",(E337-C337)/C337))</f>
        <v>0.372050816696915</v>
      </c>
      <c r="H337" s="12" t="n">
        <f aca="false">SUMIFS('סופר פארם Raw'!$D$6:$D$771,'סופר פארם Raw'!$E$6:$E$771,$A337,'סופר פארם Raw'!$B$6:$B$771,2025)</f>
        <v>22776.9</v>
      </c>
      <c r="I337" s="12" t="n">
        <f aca="false">SUMIFS('סופר פארם Raw'!$D$6:$D$771,'סופר פארם Raw'!$E$6:$E$771,$A337,'סופר פארם Raw'!$B$6:$B$771,2026)</f>
        <v>24681.3</v>
      </c>
      <c r="J337" s="12" t="n">
        <f aca="false">I337*$J$5</f>
        <v>31176.3789473684</v>
      </c>
    </row>
    <row r="338" customFormat="false" ht="15" hidden="false" customHeight="true" outlineLevel="0" collapsed="false">
      <c r="A338" s="12" t="n">
        <v>4413520</v>
      </c>
      <c r="B338" s="12" t="str">
        <f aca="false">IFERROR(INDEX('Catalog'!$B:$B,MATCH($A338,'Catalog'!$A:$A,0)),"")</f>
        <v>מדרסי אפיק ג'ל מולט.ספורט35-38</v>
      </c>
      <c r="C338" s="12" t="n">
        <f aca="false">SUMIFS('סופר פארם Raw'!$C$6:$C$771,'סופר פארם Raw'!$E$6:$E$771,$A338,'סופר פארם Raw'!$B$6:$B$771,2025)</f>
        <v>869</v>
      </c>
      <c r="D338" s="12" t="n">
        <f aca="false">SUMIFS('סופר פארם Raw'!$C$6:$C$771,'סופר פארם Raw'!$E$6:$E$771,$A338,'סופר פארם Raw'!$B$6:$B$771,2026)</f>
        <v>37</v>
      </c>
      <c r="E338" s="12" t="n">
        <f aca="false">D338*$J$5</f>
        <v>46.7368421052632</v>
      </c>
      <c r="F338" s="12" t="n">
        <f aca="false">E338-C338</f>
        <v>-822.263157894737</v>
      </c>
      <c r="G338" s="21" t="n">
        <f aca="false">IF(AND(C338=0,E338=0),0,IF(C338=0,"New",(E338-C338)/C338))</f>
        <v>-0.946217673066441</v>
      </c>
      <c r="H338" s="12" t="n">
        <f aca="false">SUMIFS('סופר פארם Raw'!$D$6:$D$771,'סופר פארם Raw'!$E$6:$E$771,$A338,'סופר פארם Raw'!$B$6:$B$771,2025)</f>
        <v>80570.4</v>
      </c>
      <c r="I338" s="12" t="n">
        <f aca="false">SUMIFS('סופר פארם Raw'!$D$6:$D$771,'סופר פארם Raw'!$E$6:$E$771,$A338,'סופר פארם Raw'!$B$6:$B$771,2026)</f>
        <v>3938.8</v>
      </c>
      <c r="J338" s="12" t="n">
        <f aca="false">I338*$J$5</f>
        <v>4975.32631578947</v>
      </c>
    </row>
    <row r="339" customFormat="false" ht="15" hidden="false" customHeight="true" outlineLevel="0" collapsed="false">
      <c r="A339" s="12" t="n">
        <v>4413521</v>
      </c>
      <c r="B339" s="12" t="str">
        <f aca="false">IFERROR(INDEX('Catalog'!$B:$B,MATCH($A339,'Catalog'!$A:$A,0)),"")</f>
        <v>מדרסי אפיק ג'ל מולטי ספור39-42</v>
      </c>
      <c r="C339" s="12" t="n">
        <f aca="false">SUMIFS('סופר פארם Raw'!$C$6:$C$771,'סופר פארם Raw'!$E$6:$E$771,$A339,'סופר פארם Raw'!$B$6:$B$771,2025)</f>
        <v>941</v>
      </c>
      <c r="D339" s="12" t="n">
        <f aca="false">SUMIFS('סופר פארם Raw'!$C$6:$C$771,'סופר פארם Raw'!$E$6:$E$771,$A339,'סופר פארם Raw'!$B$6:$B$771,2026)</f>
        <v>128</v>
      </c>
      <c r="E339" s="12" t="n">
        <f aca="false">D339*$J$5</f>
        <v>161.684210526316</v>
      </c>
      <c r="F339" s="12" t="n">
        <f aca="false">E339-C339</f>
        <v>-779.315789473684</v>
      </c>
      <c r="G339" s="21" t="n">
        <f aca="false">IF(AND(C339=0,E339=0),0,IF(C339=0,"New",(E339-C339)/C339))</f>
        <v>-0.828178309748867</v>
      </c>
      <c r="H339" s="12" t="n">
        <f aca="false">SUMIFS('סופר פארם Raw'!$D$6:$D$771,'סופר פארם Raw'!$E$6:$E$771,$A339,'סופר פארם Raw'!$B$6:$B$771,2025)</f>
        <v>87621.8</v>
      </c>
      <c r="I339" s="12" t="n">
        <f aca="false">SUMIFS('סופר פארם Raw'!$D$6:$D$771,'סופר פארם Raw'!$E$6:$E$771,$A339,'סופר פארם Raw'!$B$6:$B$771,2026)</f>
        <v>12597.5</v>
      </c>
      <c r="J339" s="12" t="n">
        <f aca="false">I339*$J$5</f>
        <v>15912.6315789474</v>
      </c>
    </row>
    <row r="340" customFormat="false" ht="15" hidden="false" customHeight="true" outlineLevel="0" collapsed="false">
      <c r="A340" s="12" t="n">
        <v>4413522</v>
      </c>
      <c r="B340" s="12" t="str">
        <f aca="false">IFERROR(INDEX('Catalog'!$B:$B,MATCH($A340,'Catalog'!$A:$A,0)),"")</f>
        <v>מדרסי אפיק ג'ל מולט.ספורט43-47</v>
      </c>
      <c r="C340" s="12" t="n">
        <f aca="false">SUMIFS('סופר פארם Raw'!$C$6:$C$771,'סופר פארם Raw'!$E$6:$E$771,$A340,'סופר פארם Raw'!$B$6:$B$771,2025)</f>
        <v>1045</v>
      </c>
      <c r="D340" s="12" t="n">
        <f aca="false">SUMIFS('סופר פארם Raw'!$C$6:$C$771,'סופר פארם Raw'!$E$6:$E$771,$A340,'סופר פארם Raw'!$B$6:$B$771,2026)</f>
        <v>316</v>
      </c>
      <c r="E340" s="12" t="n">
        <f aca="false">D340*$J$5</f>
        <v>399.157894736842</v>
      </c>
      <c r="F340" s="12" t="n">
        <f aca="false">E340-C340</f>
        <v>-645.842105263158</v>
      </c>
      <c r="G340" s="21" t="n">
        <f aca="false">IF(AND(C340=0,E340=0),0,IF(C340=0,"New",(E340-C340)/C340))</f>
        <v>-0.618030722739864</v>
      </c>
      <c r="H340" s="12" t="n">
        <f aca="false">SUMIFS('סופר פארם Raw'!$D$6:$D$771,'סופר פארם Raw'!$E$6:$E$771,$A340,'סופר פארם Raw'!$B$6:$B$771,2025)</f>
        <v>97534</v>
      </c>
      <c r="I340" s="12" t="n">
        <f aca="false">SUMIFS('סופר פארם Raw'!$D$6:$D$771,'סופר פארם Raw'!$E$6:$E$771,$A340,'סופר פארם Raw'!$B$6:$B$771,2026)</f>
        <v>31090.3</v>
      </c>
      <c r="J340" s="12" t="n">
        <f aca="false">I340*$J$5</f>
        <v>39271.9578947368</v>
      </c>
    </row>
    <row r="341" customFormat="false" ht="15" hidden="false" customHeight="true" outlineLevel="0" collapsed="false">
      <c r="A341" s="12" t="n">
        <v>4413523</v>
      </c>
      <c r="B341" s="12" t="str">
        <f aca="false">IFERROR(INDEX('Catalog'!$B:$B,MATCH($A341,'Catalog'!$A:$A,0)),"")</f>
        <v>35-38 מדרסי אפיק ג'ל נוחות</v>
      </c>
      <c r="C341" s="12" t="n">
        <f aca="false">SUMIFS('סופר פארם Raw'!$C$6:$C$771,'סופר פארם Raw'!$E$6:$E$771,$A341,'סופר פארם Raw'!$B$6:$B$771,2025)</f>
        <v>890</v>
      </c>
      <c r="D341" s="12" t="n">
        <f aca="false">SUMIFS('סופר פארם Raw'!$C$6:$C$771,'סופר פארם Raw'!$E$6:$E$771,$A341,'סופר פארם Raw'!$B$6:$B$771,2026)</f>
        <v>38</v>
      </c>
      <c r="E341" s="12" t="n">
        <f aca="false">D341*$J$5</f>
        <v>48</v>
      </c>
      <c r="F341" s="12" t="n">
        <f aca="false">E341-C341</f>
        <v>-842</v>
      </c>
      <c r="G341" s="21" t="n">
        <f aca="false">IF(AND(C341=0,E341=0),0,IF(C341=0,"New",(E341-C341)/C341))</f>
        <v>-0.946067415730337</v>
      </c>
      <c r="H341" s="12" t="n">
        <f aca="false">SUMIFS('סופר פארם Raw'!$D$6:$D$771,'סופר פארם Raw'!$E$6:$E$771,$A341,'סופר פארם Raw'!$B$6:$B$771,2025)</f>
        <v>82352.3</v>
      </c>
      <c r="I341" s="12" t="n">
        <f aca="false">SUMIFS('סופר פארם Raw'!$D$6:$D$771,'סופר פארם Raw'!$E$6:$E$771,$A341,'סופר פארם Raw'!$B$6:$B$771,2026)</f>
        <v>3972.8</v>
      </c>
      <c r="J341" s="12" t="n">
        <f aca="false">I341*$J$5</f>
        <v>5018.27368421053</v>
      </c>
    </row>
    <row r="342" customFormat="false" ht="15" hidden="false" customHeight="true" outlineLevel="0" collapsed="false">
      <c r="A342" s="12" t="n">
        <v>4413524</v>
      </c>
      <c r="B342" s="12" t="str">
        <f aca="false">IFERROR(INDEX('Catalog'!$B:$B,MATCH($A342,'Catalog'!$A:$A,0)),"")</f>
        <v>39-42 מדרסי אפיק ג'ל נוחות</v>
      </c>
      <c r="C342" s="12" t="n">
        <f aca="false">SUMIFS('סופר פארם Raw'!$C$6:$C$771,'סופר פארם Raw'!$E$6:$E$771,$A342,'סופר פארם Raw'!$B$6:$B$771,2025)</f>
        <v>969</v>
      </c>
      <c r="D342" s="12" t="n">
        <f aca="false">SUMIFS('סופר פארם Raw'!$C$6:$C$771,'סופר פארם Raw'!$E$6:$E$771,$A342,'סופר פארם Raw'!$B$6:$B$771,2026)</f>
        <v>144</v>
      </c>
      <c r="E342" s="12" t="n">
        <f aca="false">D342*$J$5</f>
        <v>181.894736842105</v>
      </c>
      <c r="F342" s="12" t="n">
        <f aca="false">E342-C342</f>
        <v>-787.105263157895</v>
      </c>
      <c r="G342" s="21" t="n">
        <f aca="false">IF(AND(C342=0,E342=0),0,IF(C342=0,"New",(E342-C342)/C342))</f>
        <v>-0.812286133289881</v>
      </c>
      <c r="H342" s="12" t="n">
        <f aca="false">SUMIFS('סופר פארם Raw'!$D$6:$D$771,'סופר פארם Raw'!$E$6:$E$771,$A342,'סופר פארם Raw'!$B$6:$B$771,2025)</f>
        <v>90203.7</v>
      </c>
      <c r="I342" s="12" t="n">
        <f aca="false">SUMIFS('סופר פארם Raw'!$D$6:$D$771,'סופר פארם Raw'!$E$6:$E$771,$A342,'סופר פארם Raw'!$B$6:$B$771,2026)</f>
        <v>14442.3</v>
      </c>
      <c r="J342" s="12" t="n">
        <f aca="false">I342*$J$5</f>
        <v>18242.9052631579</v>
      </c>
    </row>
    <row r="343" customFormat="false" ht="15" hidden="false" customHeight="true" outlineLevel="0" collapsed="false">
      <c r="A343" s="12" t="n">
        <v>4413525</v>
      </c>
      <c r="B343" s="12" t="str">
        <f aca="false">IFERROR(INDEX('Catalog'!$B:$B,MATCH($A343,'Catalog'!$A:$A,0)),"")</f>
        <v>43-47 מדרסי אפיק ג'ל נוחות</v>
      </c>
      <c r="C343" s="12" t="n">
        <f aca="false">SUMIFS('סופר פארם Raw'!$C$6:$C$771,'סופר פארם Raw'!$E$6:$E$771,$A343,'סופר פארם Raw'!$B$6:$B$771,2025)</f>
        <v>990</v>
      </c>
      <c r="D343" s="12" t="n">
        <f aca="false">SUMIFS('סופר פארם Raw'!$C$6:$C$771,'סופר פארם Raw'!$E$6:$E$771,$A343,'סופר פארם Raw'!$B$6:$B$771,2026)</f>
        <v>236</v>
      </c>
      <c r="E343" s="12" t="n">
        <f aca="false">D343*$J$5</f>
        <v>298.105263157895</v>
      </c>
      <c r="F343" s="12" t="n">
        <f aca="false">E343-C343</f>
        <v>-691.894736842105</v>
      </c>
      <c r="G343" s="21" t="n">
        <f aca="false">IF(AND(C343=0,E343=0),0,IF(C343=0,"New",(E343-C343)/C343))</f>
        <v>-0.698883572567783</v>
      </c>
      <c r="H343" s="12" t="n">
        <f aca="false">SUMIFS('סופר פארם Raw'!$D$6:$D$771,'סופר פארם Raw'!$E$6:$E$771,$A343,'סופר פארם Raw'!$B$6:$B$771,2025)</f>
        <v>92093.6</v>
      </c>
      <c r="I343" s="12" t="n">
        <f aca="false">SUMIFS('סופר פארם Raw'!$D$6:$D$771,'סופר פארם Raw'!$E$6:$E$771,$A343,'סופר פארם Raw'!$B$6:$B$771,2026)</f>
        <v>23568.3</v>
      </c>
      <c r="J343" s="12" t="n">
        <f aca="false">I343*$J$5</f>
        <v>29770.4842105263</v>
      </c>
    </row>
    <row r="344" customFormat="false" ht="15" hidden="false" customHeight="true" outlineLevel="0" collapsed="false">
      <c r="A344" s="12" t="n">
        <v>4413527</v>
      </c>
      <c r="B344" s="12" t="str">
        <f aca="false">IFERROR(INDEX('Catalog'!$B:$B,MATCH($A344,'Catalog'!$A:$A,0)),"")</f>
        <v>35-38 מדרסי אפיק ג'ל עבודה</v>
      </c>
      <c r="C344" s="12" t="n">
        <f aca="false">SUMIFS('סופר פארם Raw'!$C$6:$C$771,'סופר פארם Raw'!$E$6:$E$771,$A344,'סופר פארם Raw'!$B$6:$B$771,2025)</f>
        <v>886</v>
      </c>
      <c r="D344" s="12" t="n">
        <f aca="false">SUMIFS('סופר פארם Raw'!$C$6:$C$771,'סופר פארם Raw'!$E$6:$E$771,$A344,'סופר פארם Raw'!$B$6:$B$771,2026)</f>
        <v>74</v>
      </c>
      <c r="E344" s="12" t="n">
        <f aca="false">D344*$J$5</f>
        <v>93.4736842105263</v>
      </c>
      <c r="F344" s="12" t="n">
        <f aca="false">E344-C344</f>
        <v>-792.526315789474</v>
      </c>
      <c r="G344" s="21" t="n">
        <f aca="false">IF(AND(C344=0,E344=0),0,IF(C344=0,"New",(E344-C344)/C344))</f>
        <v>-0.894499227753356</v>
      </c>
      <c r="H344" s="12" t="n">
        <f aca="false">SUMIFS('סופר פארם Raw'!$D$6:$D$771,'סופר פארם Raw'!$E$6:$E$771,$A344,'סופר פארם Raw'!$B$6:$B$771,2025)</f>
        <v>82079.4</v>
      </c>
      <c r="I344" s="12" t="n">
        <f aca="false">SUMIFS('סופר פארם Raw'!$D$6:$D$771,'סופר פארם Raw'!$E$6:$E$771,$A344,'סופר פארם Raw'!$B$6:$B$771,2026)</f>
        <v>7547.1</v>
      </c>
      <c r="J344" s="12" t="n">
        <f aca="false">I344*$J$5</f>
        <v>9533.17894736842</v>
      </c>
    </row>
    <row r="345" customFormat="false" ht="15" hidden="false" customHeight="true" outlineLevel="0" collapsed="false">
      <c r="A345" s="12" t="n">
        <v>4413528</v>
      </c>
      <c r="B345" s="12" t="str">
        <f aca="false">IFERROR(INDEX('Catalog'!$B:$B,MATCH($A345,'Catalog'!$A:$A,0)),"")</f>
        <v>39-42 מדרסי אפיק ג'ל עבודה</v>
      </c>
      <c r="C345" s="12" t="n">
        <f aca="false">SUMIFS('סופר פארם Raw'!$C$6:$C$771,'סופר פארם Raw'!$E$6:$E$771,$A345,'סופר פארם Raw'!$B$6:$B$771,2025)</f>
        <v>1056</v>
      </c>
      <c r="D345" s="12" t="n">
        <f aca="false">SUMIFS('סופר פארם Raw'!$C$6:$C$771,'סופר פארם Raw'!$E$6:$E$771,$A345,'סופר פארם Raw'!$B$6:$B$771,2026)</f>
        <v>378</v>
      </c>
      <c r="E345" s="12" t="n">
        <f aca="false">D345*$J$5</f>
        <v>477.473684210526</v>
      </c>
      <c r="F345" s="12" t="n">
        <f aca="false">E345-C345</f>
        <v>-578.526315789474</v>
      </c>
      <c r="G345" s="21" t="n">
        <f aca="false">IF(AND(C345=0,E345=0),0,IF(C345=0,"New",(E345-C345)/C345))</f>
        <v>-0.547846889952153</v>
      </c>
      <c r="H345" s="12" t="n">
        <f aca="false">SUMIFS('סופר פארם Raw'!$D$6:$D$771,'סופר פארם Raw'!$E$6:$E$771,$A345,'סופר פארם Raw'!$B$6:$B$771,2025)</f>
        <v>98563.4</v>
      </c>
      <c r="I345" s="12" t="n">
        <f aca="false">SUMIFS('סופר פארם Raw'!$D$6:$D$771,'סופר פארם Raw'!$E$6:$E$771,$A345,'סופר פארם Raw'!$B$6:$B$771,2026)</f>
        <v>37871.7</v>
      </c>
      <c r="J345" s="12" t="n">
        <f aca="false">I345*$J$5</f>
        <v>47837.9368421053</v>
      </c>
    </row>
    <row r="346" customFormat="false" ht="15" hidden="false" customHeight="true" outlineLevel="0" collapsed="false">
      <c r="A346" s="12" t="n">
        <v>4413529</v>
      </c>
      <c r="B346" s="12" t="str">
        <f aca="false">IFERROR(INDEX('Catalog'!$B:$B,MATCH($A346,'Catalog'!$A:$A,0)),"")</f>
        <v>43-47 מדרסי אפיק ג'ל עבודה</v>
      </c>
      <c r="C346" s="12" t="n">
        <f aca="false">SUMIFS('סופר פארם Raw'!$C$6:$C$771,'סופר פארם Raw'!$E$6:$E$771,$A346,'סופר פארם Raw'!$B$6:$B$771,2025)</f>
        <v>1132</v>
      </c>
      <c r="D346" s="12" t="n">
        <f aca="false">SUMIFS('סופר פארם Raw'!$C$6:$C$771,'סופר פארם Raw'!$E$6:$E$771,$A346,'סופר פארם Raw'!$B$6:$B$771,2026)</f>
        <v>553</v>
      </c>
      <c r="E346" s="12" t="n">
        <f aca="false">D346*$J$5</f>
        <v>698.526315789474</v>
      </c>
      <c r="F346" s="12" t="n">
        <f aca="false">E346-C346</f>
        <v>-433.473684210526</v>
      </c>
      <c r="G346" s="21" t="n">
        <f aca="false">IF(AND(C346=0,E346=0),0,IF(C346=0,"New",(E346-C346)/C346))</f>
        <v>-0.38292728287149</v>
      </c>
      <c r="H346" s="12" t="n">
        <f aca="false">SUMIFS('סופר פארם Raw'!$D$6:$D$771,'סופר פארם Raw'!$E$6:$E$771,$A346,'סופר פארם Raw'!$B$6:$B$771,2025)</f>
        <v>105681.3</v>
      </c>
      <c r="I346" s="12" t="n">
        <f aca="false">SUMIFS('סופר פארם Raw'!$D$6:$D$771,'סופר פארם Raw'!$E$6:$E$771,$A346,'סופר פארם Raw'!$B$6:$B$771,2026)</f>
        <v>55166.1</v>
      </c>
      <c r="J346" s="12" t="n">
        <f aca="false">I346*$J$5</f>
        <v>69683.4947368421</v>
      </c>
    </row>
    <row r="347" customFormat="false" ht="15" hidden="false" customHeight="true" outlineLevel="0" collapsed="false">
      <c r="A347" s="12" t="n">
        <v>4413534</v>
      </c>
      <c r="B347" s="12" t="str">
        <f aca="false">IFERROR(INDEX('Catalog'!$B:$B,MATCH($A347,'Catalog'!$A:$A,0)),"")</f>
        <v>SH333 מקבע קרסול</v>
      </c>
      <c r="C347" s="12" t="n">
        <f aca="false">SUMIFS('סופר פארם Raw'!$C$6:$C$771,'סופר פארם Raw'!$E$6:$E$771,$A347,'סופר פארם Raw'!$B$6:$B$771,2025)</f>
        <v>0</v>
      </c>
      <c r="D347" s="12" t="n">
        <f aca="false">SUMIFS('סופר פארם Raw'!$C$6:$C$771,'סופר פארם Raw'!$E$6:$E$771,$A347,'סופר פארם Raw'!$B$6:$B$771,2026)</f>
        <v>40</v>
      </c>
      <c r="E347" s="12" t="n">
        <f aca="false">D347*$J$5</f>
        <v>50.5263157894737</v>
      </c>
      <c r="F347" s="12" t="n">
        <f aca="false">E347-C347</f>
        <v>50.5263157894737</v>
      </c>
      <c r="G347" s="21" t="str">
        <f aca="false">IF(AND(C347=0,E347=0),0,IF(C347=0,"New",(E347-C347)/C347))</f>
        <v>New</v>
      </c>
      <c r="H347" s="12" t="n">
        <f aca="false">SUMIFS('סופר פארם Raw'!$D$6:$D$771,'סופר פארם Raw'!$E$6:$E$771,$A347,'סופר פארם Raw'!$B$6:$B$771,2025)</f>
        <v>0</v>
      </c>
      <c r="I347" s="12" t="n">
        <f aca="false">SUMIFS('סופר פארם Raw'!$D$6:$D$771,'סופר פארם Raw'!$E$6:$E$771,$A347,'סופר פארם Raw'!$B$6:$B$771,2026)</f>
        <v>5635.8</v>
      </c>
      <c r="J347" s="12" t="n">
        <f aca="false">I347*$J$5</f>
        <v>7118.90526315789</v>
      </c>
    </row>
    <row r="348" customFormat="false" ht="15" hidden="false" customHeight="true" outlineLevel="0" collapsed="false">
      <c r="A348" s="12" t="n">
        <v>4414000</v>
      </c>
      <c r="B348" s="12" t="str">
        <f aca="false">IFERROR(INDEX('Catalog'!$B:$B,MATCH($A348,'Catalog'!$A:$A,0)),"")</f>
        <v>FC342-נוזל לציפורן חודרנית</v>
      </c>
      <c r="C348" s="12" t="n">
        <f aca="false">SUMIFS('סופר פארם Raw'!$C$6:$C$771,'סופר פארם Raw'!$E$6:$E$771,$A348,'סופר פארם Raw'!$B$6:$B$771,2025)</f>
        <v>2132</v>
      </c>
      <c r="D348" s="12" t="n">
        <f aca="false">SUMIFS('סופר פארם Raw'!$C$6:$C$771,'סופר פארם Raw'!$E$6:$E$771,$A348,'סופר פארם Raw'!$B$6:$B$771,2026)</f>
        <v>1430</v>
      </c>
      <c r="E348" s="12" t="n">
        <f aca="false">D348*$J$5</f>
        <v>1806.31578947368</v>
      </c>
      <c r="F348" s="12" t="n">
        <f aca="false">E348-C348</f>
        <v>-325.684210526316</v>
      </c>
      <c r="G348" s="21" t="n">
        <f aca="false">IF(AND(C348=0,E348=0),0,IF(C348=0,"New",(E348-C348)/C348))</f>
        <v>-0.152759948652118</v>
      </c>
      <c r="H348" s="12" t="n">
        <f aca="false">SUMIFS('סופר פארם Raw'!$D$6:$D$771,'סופר פארם Raw'!$E$6:$E$771,$A348,'סופר פארם Raw'!$B$6:$B$771,2025)</f>
        <v>66609.4</v>
      </c>
      <c r="I348" s="12" t="n">
        <f aca="false">SUMIFS('סופר פארם Raw'!$D$6:$D$771,'סופר פארם Raw'!$E$6:$E$771,$A348,'סופר פארם Raw'!$B$6:$B$771,2026)</f>
        <v>44688.8</v>
      </c>
      <c r="J348" s="12" t="n">
        <f aca="false">I348*$J$5</f>
        <v>56449.0105263158</v>
      </c>
    </row>
    <row r="349" customFormat="false" ht="15" hidden="false" customHeight="true" outlineLevel="0" collapsed="false">
      <c r="A349" s="12" t="n">
        <v>4415000</v>
      </c>
      <c r="B349" s="12" t="str">
        <f aca="false">IFERROR(INDEX('Catalog'!$B:$B,MATCH($A349,'Catalog'!$A:$A,0)),"")</f>
        <v>26 L סד ליד דו צדדי לאחר שבר</v>
      </c>
      <c r="C349" s="12" t="n">
        <f aca="false">SUMIFS('סופר פארם Raw'!$C$6:$C$771,'סופר פארם Raw'!$E$6:$E$771,$A349,'סופר פארם Raw'!$B$6:$B$771,2025)</f>
        <v>648</v>
      </c>
      <c r="D349" s="12" t="n">
        <f aca="false">SUMIFS('סופר פארם Raw'!$C$6:$C$771,'סופר פארם Raw'!$E$6:$E$771,$A349,'סופר פארם Raw'!$B$6:$B$771,2026)</f>
        <v>312</v>
      </c>
      <c r="E349" s="12" t="n">
        <f aca="false">D349*$J$5</f>
        <v>394.105263157895</v>
      </c>
      <c r="F349" s="12" t="n">
        <f aca="false">E349-C349</f>
        <v>-253.894736842105</v>
      </c>
      <c r="G349" s="21" t="n">
        <f aca="false">IF(AND(C349=0,E349=0),0,IF(C349=0,"New",(E349-C349)/C349))</f>
        <v>-0.391812865497076</v>
      </c>
      <c r="H349" s="12" t="n">
        <f aca="false">SUMIFS('סופר פארם Raw'!$D$6:$D$771,'סופר פארם Raw'!$E$6:$E$771,$A349,'סופר פארם Raw'!$B$6:$B$771,2025)</f>
        <v>53009.9</v>
      </c>
      <c r="I349" s="12" t="n">
        <f aca="false">SUMIFS('סופר פארם Raw'!$D$6:$D$771,'סופר פארם Raw'!$E$6:$E$771,$A349,'סופר פארם Raw'!$B$6:$B$771,2026)</f>
        <v>25746.7</v>
      </c>
      <c r="J349" s="12" t="n">
        <f aca="false">I349*$J$5</f>
        <v>32522.1473684211</v>
      </c>
    </row>
    <row r="350" customFormat="false" ht="15" hidden="false" customHeight="true" outlineLevel="0" collapsed="false">
      <c r="A350" s="12" t="n">
        <v>4415001</v>
      </c>
      <c r="B350" s="12" t="str">
        <f aca="false">IFERROR(INDEX('Catalog'!$B:$B,MATCH($A350,'Catalog'!$A:$A,0)),"")</f>
        <v>26 M סד ליד דו צדדי לאחר שבר</v>
      </c>
      <c r="C350" s="12" t="n">
        <f aca="false">SUMIFS('סופר פארם Raw'!$C$6:$C$771,'סופר פארם Raw'!$E$6:$E$771,$A350,'סופר פארם Raw'!$B$6:$B$771,2025)</f>
        <v>797</v>
      </c>
      <c r="D350" s="12" t="n">
        <f aca="false">SUMIFS('סופר פארם Raw'!$C$6:$C$771,'סופר פארם Raw'!$E$6:$E$771,$A350,'סופר פארם Raw'!$B$6:$B$771,2026)</f>
        <v>385</v>
      </c>
      <c r="E350" s="12" t="n">
        <f aca="false">D350*$J$5</f>
        <v>486.315789473684</v>
      </c>
      <c r="F350" s="12" t="n">
        <f aca="false">E350-C350</f>
        <v>-310.684210526316</v>
      </c>
      <c r="G350" s="21" t="n">
        <f aca="false">IF(AND(C350=0,E350=0),0,IF(C350=0,"New",(E350-C350)/C350))</f>
        <v>-0.389817077197385</v>
      </c>
      <c r="H350" s="12" t="n">
        <f aca="false">SUMIFS('סופר פארם Raw'!$D$6:$D$771,'סופר פארם Raw'!$E$6:$E$771,$A350,'סופר פארם Raw'!$B$6:$B$771,2025)</f>
        <v>65159.7</v>
      </c>
      <c r="I350" s="12" t="n">
        <f aca="false">SUMIFS('סופר פארם Raw'!$D$6:$D$771,'סופר פארם Raw'!$E$6:$E$771,$A350,'סופר פארם Raw'!$B$6:$B$771,2026)</f>
        <v>32031.2</v>
      </c>
      <c r="J350" s="12" t="n">
        <f aca="false">I350*$J$5</f>
        <v>40460.4631578947</v>
      </c>
    </row>
    <row r="351" customFormat="false" ht="15" hidden="false" customHeight="true" outlineLevel="0" collapsed="false">
      <c r="A351" s="12" t="n">
        <v>4415002</v>
      </c>
      <c r="B351" s="12" t="str">
        <f aca="false">IFERROR(INDEX('Catalog'!$B:$B,MATCH($A351,'Catalog'!$A:$A,0)),"")</f>
        <v>26 S סד ליד דו צדדי לאחר שבר</v>
      </c>
      <c r="C351" s="12" t="n">
        <f aca="false">SUMIFS('סופר פארם Raw'!$C$6:$C$771,'סופר פארם Raw'!$E$6:$E$771,$A351,'סופר פארם Raw'!$B$6:$B$771,2025)</f>
        <v>589</v>
      </c>
      <c r="D351" s="12" t="n">
        <f aca="false">SUMIFS('סופר פארם Raw'!$C$6:$C$771,'סופר פארם Raw'!$E$6:$E$771,$A351,'סופר פארם Raw'!$B$6:$B$771,2026)</f>
        <v>278</v>
      </c>
      <c r="E351" s="12" t="n">
        <f aca="false">D351*$J$5</f>
        <v>351.157894736842</v>
      </c>
      <c r="F351" s="12" t="n">
        <f aca="false">E351-C351</f>
        <v>-237.842105263158</v>
      </c>
      <c r="G351" s="21" t="n">
        <f aca="false">IF(AND(C351=0,E351=0),0,IF(C351=0,"New",(E351-C351)/C351))</f>
        <v>-0.403806630327942</v>
      </c>
      <c r="H351" s="12" t="n">
        <f aca="false">SUMIFS('סופר פארם Raw'!$D$6:$D$771,'סופר פארם Raw'!$E$6:$E$771,$A351,'סופר פארם Raw'!$B$6:$B$771,2025)</f>
        <v>48197.4</v>
      </c>
      <c r="I351" s="12" t="n">
        <f aca="false">SUMIFS('סופר פארם Raw'!$D$6:$D$771,'סופר פארם Raw'!$E$6:$E$771,$A351,'סופר פארם Raw'!$B$6:$B$771,2026)</f>
        <v>22928.6</v>
      </c>
      <c r="J351" s="12" t="n">
        <f aca="false">I351*$J$5</f>
        <v>28962.4421052632</v>
      </c>
    </row>
    <row r="352" customFormat="false" ht="15" hidden="false" customHeight="true" outlineLevel="0" collapsed="false">
      <c r="A352" s="12" t="n">
        <v>4415003</v>
      </c>
      <c r="B352" s="12" t="str">
        <f aca="false">IFERROR(INDEX('Catalog'!$B:$B,MATCH($A352,'Catalog'!$A:$A,0)),"")</f>
        <v>26 XL סד ליד דו צדדי לאחר שבר</v>
      </c>
      <c r="C352" s="12" t="n">
        <f aca="false">SUMIFS('סופר פארם Raw'!$C$6:$C$771,'סופר פארם Raw'!$E$6:$E$771,$A352,'סופר פארם Raw'!$B$6:$B$771,2025)</f>
        <v>514</v>
      </c>
      <c r="D352" s="12" t="n">
        <f aca="false">SUMIFS('סופר פארם Raw'!$C$6:$C$771,'סופר פארם Raw'!$E$6:$E$771,$A352,'סופר פארם Raw'!$B$6:$B$771,2026)</f>
        <v>197</v>
      </c>
      <c r="E352" s="12" t="n">
        <f aca="false">D352*$J$5</f>
        <v>248.842105263158</v>
      </c>
      <c r="F352" s="12" t="n">
        <f aca="false">E352-C352</f>
        <v>-265.157894736842</v>
      </c>
      <c r="G352" s="21" t="n">
        <f aca="false">IF(AND(C352=0,E352=0),0,IF(C352=0,"New",(E352-C352)/C352))</f>
        <v>-0.515871390538603</v>
      </c>
      <c r="H352" s="12" t="n">
        <f aca="false">SUMIFS('סופר פארם Raw'!$D$6:$D$771,'סופר פארם Raw'!$E$6:$E$771,$A352,'סופר פארם Raw'!$B$6:$B$771,2025)</f>
        <v>42043.4</v>
      </c>
      <c r="I352" s="12" t="n">
        <f aca="false">SUMIFS('סופר פארם Raw'!$D$6:$D$771,'סופר פארם Raw'!$E$6:$E$771,$A352,'סופר פארם Raw'!$B$6:$B$771,2026)</f>
        <v>16329.4</v>
      </c>
      <c r="J352" s="12" t="n">
        <f aca="false">I352*$J$5</f>
        <v>20626.6105263158</v>
      </c>
    </row>
    <row r="353" customFormat="false" ht="15" hidden="false" customHeight="true" outlineLevel="0" collapsed="false">
      <c r="A353" s="12" t="n">
        <v>4415004</v>
      </c>
      <c r="B353" s="12" t="str">
        <f aca="false">IFERROR(INDEX('Catalog'!$B:$B,MATCH($A353,'Catalog'!$A:$A,0)),"")</f>
        <v>26 XXL סד ליד דו צדדי לאחר שבר</v>
      </c>
      <c r="C353" s="12" t="n">
        <f aca="false">SUMIFS('סופר פארם Raw'!$C$6:$C$771,'סופר פארם Raw'!$E$6:$E$771,$A353,'סופר פארם Raw'!$B$6:$B$771,2025)</f>
        <v>2</v>
      </c>
      <c r="D353" s="12" t="n">
        <f aca="false">SUMIFS('סופר פארם Raw'!$C$6:$C$771,'סופר פארם Raw'!$E$6:$E$771,$A353,'סופר פארם Raw'!$B$6:$B$771,2026)</f>
        <v>0</v>
      </c>
      <c r="E353" s="12" t="n">
        <f aca="false">D353*$J$5</f>
        <v>0</v>
      </c>
      <c r="F353" s="12" t="n">
        <f aca="false">E353-C353</f>
        <v>-2</v>
      </c>
      <c r="G353" s="21" t="n">
        <f aca="false">IF(AND(C353=0,E353=0),0,IF(C353=0,"New",(E353-C353)/C353))</f>
        <v>-1</v>
      </c>
      <c r="H353" s="12" t="n">
        <f aca="false">SUMIFS('סופר פארם Raw'!$D$6:$D$771,'סופר פארם Raw'!$E$6:$E$771,$A353,'סופר פארם Raw'!$B$6:$B$771,2025)</f>
        <v>163.8</v>
      </c>
      <c r="I353" s="12" t="n">
        <f aca="false">SUMIFS('סופר פארם Raw'!$D$6:$D$771,'סופר פארם Raw'!$E$6:$E$771,$A353,'סופר פארם Raw'!$B$6:$B$771,2026)</f>
        <v>0</v>
      </c>
      <c r="J353" s="12" t="n">
        <f aca="false">I353*$J$5</f>
        <v>0</v>
      </c>
    </row>
    <row r="354" customFormat="false" ht="15" hidden="false" customHeight="true" outlineLevel="0" collapsed="false">
      <c r="A354" s="12" t="n">
        <v>4415005</v>
      </c>
      <c r="B354" s="12" t="str">
        <f aca="false">IFERROR(INDEX('Catalog'!$B:$B,MATCH($A354,'Catalog'!$A:$A,0)),"")</f>
        <v>28 L סד לאגודל לאחר שבר</v>
      </c>
      <c r="C354" s="12" t="n">
        <f aca="false">SUMIFS('סופר פארם Raw'!$C$6:$C$771,'סופר פארם Raw'!$E$6:$E$771,$A354,'סופר פארם Raw'!$B$6:$B$771,2025)</f>
        <v>545</v>
      </c>
      <c r="D354" s="12" t="n">
        <f aca="false">SUMIFS('סופר פארם Raw'!$C$6:$C$771,'סופר פארם Raw'!$E$6:$E$771,$A354,'סופר פארם Raw'!$B$6:$B$771,2026)</f>
        <v>301</v>
      </c>
      <c r="E354" s="12" t="n">
        <f aca="false">D354*$J$5</f>
        <v>380.21052631579</v>
      </c>
      <c r="F354" s="12" t="n">
        <f aca="false">E354-C354</f>
        <v>-164.789473684211</v>
      </c>
      <c r="G354" s="21" t="n">
        <f aca="false">IF(AND(C354=0,E354=0),0,IF(C354=0,"New",(E354-C354)/C354))</f>
        <v>-0.302366006760019</v>
      </c>
      <c r="H354" s="12" t="n">
        <f aca="false">SUMIFS('סופר פארם Raw'!$D$6:$D$771,'סופר פארם Raw'!$E$6:$E$771,$A354,'סופר פארם Raw'!$B$6:$B$771,2025)</f>
        <v>44554.5</v>
      </c>
      <c r="I354" s="12" t="n">
        <f aca="false">SUMIFS('סופר פארם Raw'!$D$6:$D$771,'סופר פארם Raw'!$E$6:$E$771,$A354,'סופר פארם Raw'!$B$6:$B$771,2026)</f>
        <v>24780</v>
      </c>
      <c r="J354" s="12" t="n">
        <f aca="false">I354*$J$5</f>
        <v>31301.0526315789</v>
      </c>
    </row>
    <row r="355" customFormat="false" ht="15" hidden="false" customHeight="true" outlineLevel="0" collapsed="false">
      <c r="A355" s="12" t="n">
        <v>4415006</v>
      </c>
      <c r="B355" s="12" t="str">
        <f aca="false">IFERROR(INDEX('Catalog'!$B:$B,MATCH($A355,'Catalog'!$A:$A,0)),"")</f>
        <v>28 M סד לאגודל לאחר שבר</v>
      </c>
      <c r="C355" s="12" t="n">
        <f aca="false">SUMIFS('סופר פארם Raw'!$C$6:$C$771,'סופר פארם Raw'!$E$6:$E$771,$A355,'סופר פארם Raw'!$B$6:$B$771,2025)</f>
        <v>621</v>
      </c>
      <c r="D355" s="12" t="n">
        <f aca="false">SUMIFS('סופר פארם Raw'!$C$6:$C$771,'סופר פארם Raw'!$E$6:$E$771,$A355,'סופר פארם Raw'!$B$6:$B$771,2026)</f>
        <v>471</v>
      </c>
      <c r="E355" s="12" t="n">
        <f aca="false">D355*$J$5</f>
        <v>594.947368421053</v>
      </c>
      <c r="F355" s="12" t="n">
        <f aca="false">E355-C355</f>
        <v>-26.0526315789474</v>
      </c>
      <c r="G355" s="21" t="n">
        <f aca="false">IF(AND(C355=0,E355=0),0,IF(C355=0,"New",(E355-C355)/C355))</f>
        <v>-0.0419527078565981</v>
      </c>
      <c r="H355" s="12" t="n">
        <f aca="false">SUMIFS('סופר פארם Raw'!$D$6:$D$771,'סופר פארם Raw'!$E$6:$E$771,$A355,'סופר פארם Raw'!$B$6:$B$771,2025)</f>
        <v>50799.4</v>
      </c>
      <c r="I355" s="12" t="n">
        <f aca="false">SUMIFS('סופר פארם Raw'!$D$6:$D$771,'סופר פארם Raw'!$E$6:$E$771,$A355,'סופר פארם Raw'!$B$6:$B$771,2026)</f>
        <v>38572.1</v>
      </c>
      <c r="J355" s="12" t="n">
        <f aca="false">I355*$J$5</f>
        <v>48722.6526315789</v>
      </c>
    </row>
    <row r="356" customFormat="false" ht="15" hidden="false" customHeight="true" outlineLevel="0" collapsed="false">
      <c r="A356" s="12" t="n">
        <v>4415007</v>
      </c>
      <c r="B356" s="12" t="str">
        <f aca="false">IFERROR(INDEX('Catalog'!$B:$B,MATCH($A356,'Catalog'!$A:$A,0)),"")</f>
        <v>28 S סד לאגודל לאחר שבר</v>
      </c>
      <c r="C356" s="12" t="n">
        <f aca="false">SUMIFS('סופר פארם Raw'!$C$6:$C$771,'סופר פארם Raw'!$E$6:$E$771,$A356,'סופר פארם Raw'!$B$6:$B$771,2025)</f>
        <v>601</v>
      </c>
      <c r="D356" s="12" t="n">
        <f aca="false">SUMIFS('סופר פארם Raw'!$C$6:$C$771,'סופר פארם Raw'!$E$6:$E$771,$A356,'סופר פארם Raw'!$B$6:$B$771,2026)</f>
        <v>441</v>
      </c>
      <c r="E356" s="12" t="n">
        <f aca="false">D356*$J$5</f>
        <v>557.052631578947</v>
      </c>
      <c r="F356" s="12" t="n">
        <f aca="false">E356-C356</f>
        <v>-43.9473684210527</v>
      </c>
      <c r="G356" s="21" t="n">
        <f aca="false">IF(AND(C356=0,E356=0),0,IF(C356=0,"New",(E356-C356)/C356))</f>
        <v>-0.0731237411331992</v>
      </c>
      <c r="H356" s="12" t="n">
        <f aca="false">SUMIFS('סופר פארם Raw'!$D$6:$D$771,'סופר פארם Raw'!$E$6:$E$771,$A356,'סופר פארם Raw'!$B$6:$B$771,2025)</f>
        <v>49181</v>
      </c>
      <c r="I356" s="12" t="n">
        <f aca="false">SUMIFS('סופר פארם Raw'!$D$6:$D$771,'סופר פארם Raw'!$E$6:$E$771,$A356,'סופר פארם Raw'!$B$6:$B$771,2026)</f>
        <v>36046.1</v>
      </c>
      <c r="J356" s="12" t="n">
        <f aca="false">I356*$J$5</f>
        <v>45531.9157894737</v>
      </c>
    </row>
    <row r="357" customFormat="false" ht="15" hidden="false" customHeight="true" outlineLevel="0" collapsed="false">
      <c r="A357" s="12" t="n">
        <v>4415008</v>
      </c>
      <c r="B357" s="12" t="str">
        <f aca="false">IFERROR(INDEX('Catalog'!$B:$B,MATCH($A357,'Catalog'!$A:$A,0)),"")</f>
        <v>28 XL סד לאגודל לאחר שבר</v>
      </c>
      <c r="C357" s="12" t="n">
        <f aca="false">SUMIFS('סופר פארם Raw'!$C$6:$C$771,'סופר פארם Raw'!$E$6:$E$771,$A357,'סופר פארם Raw'!$B$6:$B$771,2025)</f>
        <v>224</v>
      </c>
      <c r="D357" s="12" t="n">
        <f aca="false">SUMIFS('סופר פארם Raw'!$C$6:$C$771,'סופר פארם Raw'!$E$6:$E$771,$A357,'סופר פארם Raw'!$B$6:$B$771,2026)</f>
        <v>27</v>
      </c>
      <c r="E357" s="12" t="n">
        <f aca="false">D357*$J$5</f>
        <v>34.1052631578947</v>
      </c>
      <c r="F357" s="12" t="n">
        <f aca="false">E357-C357</f>
        <v>-189.894736842105</v>
      </c>
      <c r="G357" s="21" t="n">
        <f aca="false">IF(AND(C357=0,E357=0),0,IF(C357=0,"New",(E357-C357)/C357))</f>
        <v>-0.847744360902256</v>
      </c>
      <c r="H357" s="12" t="n">
        <f aca="false">SUMIFS('סופר פארם Raw'!$D$6:$D$771,'סופר פארם Raw'!$E$6:$E$771,$A357,'סופר פארם Raw'!$B$6:$B$771,2025)</f>
        <v>18345.6</v>
      </c>
      <c r="I357" s="12" t="n">
        <f aca="false">SUMIFS('סופר פארם Raw'!$D$6:$D$771,'סופר פארם Raw'!$E$6:$E$771,$A357,'סופר פארם Raw'!$B$6:$B$771,2026)</f>
        <v>2479.1</v>
      </c>
      <c r="J357" s="12" t="n">
        <f aca="false">I357*$J$5</f>
        <v>3131.49473684211</v>
      </c>
    </row>
    <row r="358" customFormat="false" ht="15" hidden="false" customHeight="true" outlineLevel="0" collapsed="false">
      <c r="A358" s="12" t="n">
        <v>4415019</v>
      </c>
      <c r="B358" s="12" t="str">
        <f aca="false">IFERROR(INDEX('Catalog'!$B:$B,MATCH($A358,'Catalog'!$A:$A,0)),"")</f>
        <v>333 סד לקרסול עם כריות אויר</v>
      </c>
      <c r="C358" s="12" t="n">
        <f aca="false">SUMIFS('סופר פארם Raw'!$C$6:$C$771,'סופר פארם Raw'!$E$6:$E$771,$A358,'סופר פארם Raw'!$B$6:$B$771,2025)</f>
        <v>1</v>
      </c>
      <c r="D358" s="12" t="n">
        <f aca="false">SUMIFS('סופר פארם Raw'!$C$6:$C$771,'סופר פארם Raw'!$E$6:$E$771,$A358,'סופר פארם Raw'!$B$6:$B$771,2026)</f>
        <v>4</v>
      </c>
      <c r="E358" s="12" t="n">
        <f aca="false">D358*$J$5</f>
        <v>5.05263157894737</v>
      </c>
      <c r="F358" s="12" t="n">
        <f aca="false">E358-C358</f>
        <v>4.05263157894737</v>
      </c>
      <c r="G358" s="21" t="n">
        <f aca="false">IF(AND(C358=0,E358=0),0,IF(C358=0,"New",(E358-C358)/C358))</f>
        <v>4.05263157894737</v>
      </c>
      <c r="H358" s="12" t="n">
        <f aca="false">SUMIFS('סופר פארם Raw'!$D$6:$D$771,'סופר פארם Raw'!$E$6:$E$771,$A358,'סופר פארם Raw'!$B$6:$B$771,2025)</f>
        <v>143.4</v>
      </c>
      <c r="I358" s="12" t="n">
        <f aca="false">SUMIFS('סופר פארם Raw'!$D$6:$D$771,'סופר פארם Raw'!$E$6:$E$771,$A358,'סופר פארם Raw'!$B$6:$B$771,2026)</f>
        <v>257.2</v>
      </c>
      <c r="J358" s="12" t="n">
        <f aca="false">I358*$J$5</f>
        <v>324.884210526316</v>
      </c>
    </row>
    <row r="359" customFormat="false" ht="15" hidden="false" customHeight="true" outlineLevel="0" collapsed="false">
      <c r="A359" s="12" t="n">
        <v>4415028</v>
      </c>
      <c r="B359" s="12" t="str">
        <f aca="false">IFERROR(INDEX('Catalog'!$B:$B,MATCH($A359,'Catalog'!$A:$A,0)),"")</f>
        <v>AC-28 סד לאגודל</v>
      </c>
      <c r="C359" s="12" t="n">
        <f aca="false">SUMIFS('סופר פארם Raw'!$C$6:$C$771,'סופר פארם Raw'!$E$6:$E$771,$A359,'סופר פארם Raw'!$B$6:$B$771,2025)</f>
        <v>194</v>
      </c>
      <c r="D359" s="12" t="n">
        <f aca="false">SUMIFS('סופר פארם Raw'!$C$6:$C$771,'סופר פארם Raw'!$E$6:$E$771,$A359,'סופר פארם Raw'!$B$6:$B$771,2026)</f>
        <v>141</v>
      </c>
      <c r="E359" s="12" t="n">
        <f aca="false">D359*$J$5</f>
        <v>178.105263157895</v>
      </c>
      <c r="F359" s="12" t="n">
        <f aca="false">E359-C359</f>
        <v>-15.8947368421053</v>
      </c>
      <c r="G359" s="21" t="n">
        <f aca="false">IF(AND(C359=0,E359=0),0,IF(C359=0,"New",(E359-C359)/C359))</f>
        <v>-0.0819316332067281</v>
      </c>
      <c r="H359" s="12" t="n">
        <f aca="false">SUMIFS('סופר פארם Raw'!$D$6:$D$771,'סופר פארם Raw'!$E$6:$E$771,$A359,'סופר פארם Raw'!$B$6:$B$771,2025)</f>
        <v>4329.5</v>
      </c>
      <c r="I359" s="12" t="n">
        <f aca="false">SUMIFS('סופר פארם Raw'!$D$6:$D$771,'סופר פארם Raw'!$E$6:$E$771,$A359,'סופר פארם Raw'!$B$6:$B$771,2026)</f>
        <v>3548.1</v>
      </c>
      <c r="J359" s="12" t="n">
        <f aca="false">I359*$J$5</f>
        <v>4481.81052631579</v>
      </c>
    </row>
    <row r="360" customFormat="false" ht="15" hidden="false" customHeight="true" outlineLevel="0" collapsed="false">
      <c r="A360" s="12" t="n">
        <v>4415029</v>
      </c>
      <c r="B360" s="12" t="str">
        <f aca="false">IFERROR(INDEX('Catalog'!$B:$B,MATCH($A360,'Catalog'!$A:$A,0)),"")</f>
        <v>סד קיבוע לאצבע הדק</v>
      </c>
      <c r="C360" s="12" t="n">
        <f aca="false">SUMIFS('סופר פארם Raw'!$C$6:$C$771,'סופר פארם Raw'!$E$6:$E$771,$A360,'סופר פארם Raw'!$B$6:$B$771,2025)</f>
        <v>217</v>
      </c>
      <c r="D360" s="12" t="n">
        <f aca="false">SUMIFS('סופר פארם Raw'!$C$6:$C$771,'סופר פארם Raw'!$E$6:$E$771,$A360,'סופר פארם Raw'!$B$6:$B$771,2026)</f>
        <v>158</v>
      </c>
      <c r="E360" s="12" t="n">
        <f aca="false">D360*$J$5</f>
        <v>199.578947368421</v>
      </c>
      <c r="F360" s="12" t="n">
        <f aca="false">E360-C360</f>
        <v>-17.421052631579</v>
      </c>
      <c r="G360" s="21" t="n">
        <f aca="false">IF(AND(C360=0,E360=0),0,IF(C360=0,"New",(E360-C360)/C360))</f>
        <v>-0.0802813485326219</v>
      </c>
      <c r="H360" s="12" t="n">
        <f aca="false">SUMIFS('סופר פארם Raw'!$D$6:$D$771,'סופר פארם Raw'!$E$6:$E$771,$A360,'סופר פארם Raw'!$B$6:$B$771,2025)</f>
        <v>5300.6</v>
      </c>
      <c r="I360" s="12" t="n">
        <f aca="false">SUMIFS('סופר פארם Raw'!$D$6:$D$771,'סופר פארם Raw'!$E$6:$E$771,$A360,'סופר פארם Raw'!$B$6:$B$771,2026)</f>
        <v>3912.8</v>
      </c>
      <c r="J360" s="12" t="n">
        <f aca="false">I360*$J$5</f>
        <v>4942.48421052632</v>
      </c>
    </row>
    <row r="361" customFormat="false" ht="15" hidden="false" customHeight="true" outlineLevel="0" collapsed="false">
      <c r="A361" s="12" t="n">
        <v>4415064</v>
      </c>
      <c r="B361" s="12" t="str">
        <f aca="false">IFERROR(INDEX('Catalog'!$B:$B,MATCH($A361,'Catalog'!$A:$A,0)),"")</f>
        <v>T28 S סד לאגודל כפפה</v>
      </c>
      <c r="C361" s="12" t="n">
        <f aca="false">SUMIFS('סופר פארם Raw'!$C$6:$C$771,'סופר פארם Raw'!$E$6:$E$771,$A361,'סופר פארם Raw'!$B$6:$B$771,2025)</f>
        <v>2</v>
      </c>
      <c r="D361" s="12" t="n">
        <f aca="false">SUMIFS('סופר פארם Raw'!$C$6:$C$771,'סופר פארם Raw'!$E$6:$E$771,$A361,'סופר פארם Raw'!$B$6:$B$771,2026)</f>
        <v>0</v>
      </c>
      <c r="E361" s="12" t="n">
        <f aca="false">D361*$J$5</f>
        <v>0</v>
      </c>
      <c r="F361" s="12" t="n">
        <f aca="false">E361-C361</f>
        <v>-2</v>
      </c>
      <c r="G361" s="21" t="n">
        <f aca="false">IF(AND(C361=0,E361=0),0,IF(C361=0,"New",(E361-C361)/C361))</f>
        <v>-1</v>
      </c>
      <c r="H361" s="12" t="n">
        <f aca="false">SUMIFS('סופר פארם Raw'!$D$6:$D$771,'סופר פארם Raw'!$E$6:$E$771,$A361,'סופר פארם Raw'!$B$6:$B$771,2025)</f>
        <v>122.8</v>
      </c>
      <c r="I361" s="12" t="n">
        <f aca="false">SUMIFS('סופר פארם Raw'!$D$6:$D$771,'סופר פארם Raw'!$E$6:$E$771,$A361,'סופר פארם Raw'!$B$6:$B$771,2026)</f>
        <v>0</v>
      </c>
      <c r="J361" s="12" t="n">
        <f aca="false">I361*$J$5</f>
        <v>0</v>
      </c>
    </row>
    <row r="362" customFormat="false" ht="15" hidden="false" customHeight="true" outlineLevel="0" collapsed="false">
      <c r="A362" s="12" t="n">
        <v>4415070</v>
      </c>
      <c r="B362" s="12" t="str">
        <f aca="false">IFERROR(INDEX('Catalog'!$B:$B,MATCH($A362,'Catalog'!$A:$A,0)),"")</f>
        <v>T28C M סד לאגודל כפפה</v>
      </c>
      <c r="C362" s="12" t="n">
        <f aca="false">SUMIFS('סופר פארם Raw'!$C$6:$C$771,'סופר פארם Raw'!$E$6:$E$771,$A362,'סופר פארם Raw'!$B$6:$B$771,2025)</f>
        <v>0</v>
      </c>
      <c r="D362" s="12" t="n">
        <f aca="false">SUMIFS('סופר פארם Raw'!$C$6:$C$771,'סופר פארם Raw'!$E$6:$E$771,$A362,'סופר פארם Raw'!$B$6:$B$771,2026)</f>
        <v>-1</v>
      </c>
      <c r="E362" s="12" t="n">
        <f aca="false">D362*$J$5</f>
        <v>-1.26315789473684</v>
      </c>
      <c r="F362" s="12" t="n">
        <f aca="false">E362-C362</f>
        <v>-1.26315789473684</v>
      </c>
      <c r="G362" s="21" t="str">
        <f aca="false">IF(AND(C362=0,E362=0),0,IF(C362=0,"New",(E362-C362)/C362))</f>
        <v>New</v>
      </c>
      <c r="H362" s="12" t="n">
        <f aca="false">SUMIFS('סופר פארם Raw'!$D$6:$D$771,'סופר פארם Raw'!$E$6:$E$771,$A362,'סופר פארם Raw'!$B$6:$B$771,2025)</f>
        <v>0</v>
      </c>
      <c r="I362" s="12" t="n">
        <f aca="false">SUMIFS('סופר פארם Raw'!$D$6:$D$771,'סופר פארם Raw'!$E$6:$E$771,$A362,'סופר פארם Raw'!$B$6:$B$771,2026)</f>
        <v>-58.3</v>
      </c>
      <c r="J362" s="12" t="n">
        <f aca="false">I362*$J$5</f>
        <v>-73.6421052631579</v>
      </c>
    </row>
    <row r="363" customFormat="false" ht="15" hidden="false" customHeight="true" outlineLevel="0" collapsed="false">
      <c r="A363" s="12" t="n">
        <v>4415072</v>
      </c>
      <c r="B363" s="12" t="str">
        <f aca="false">IFERROR(INDEX('Catalog'!$B:$B,MATCH($A363,'Catalog'!$A:$A,0)),"")</f>
        <v>T28A S-M סד לאגודל</v>
      </c>
      <c r="C363" s="12" t="n">
        <f aca="false">SUMIFS('סופר פארם Raw'!$C$6:$C$771,'סופר פארם Raw'!$E$6:$E$771,$A363,'סופר פארם Raw'!$B$6:$B$771,2025)</f>
        <v>1278</v>
      </c>
      <c r="D363" s="12" t="n">
        <f aca="false">SUMIFS('סופר פארם Raw'!$C$6:$C$771,'סופר פארם Raw'!$E$6:$E$771,$A363,'סופר פארם Raw'!$B$6:$B$771,2026)</f>
        <v>1351</v>
      </c>
      <c r="E363" s="12" t="n">
        <f aca="false">D363*$J$5</f>
        <v>1706.52631578947</v>
      </c>
      <c r="F363" s="12" t="n">
        <f aca="false">E363-C363</f>
        <v>428.526315789474</v>
      </c>
      <c r="G363" s="21" t="n">
        <f aca="false">IF(AND(C363=0,E363=0),0,IF(C363=0,"New",(E363-C363)/C363))</f>
        <v>0.335310106251544</v>
      </c>
      <c r="H363" s="12" t="n">
        <f aca="false">SUMIFS('סופר פארם Raw'!$D$6:$D$771,'סופר פארם Raw'!$E$6:$E$771,$A363,'סופר פארם Raw'!$B$6:$B$771,2025)</f>
        <v>74753.7</v>
      </c>
      <c r="I363" s="12" t="n">
        <f aca="false">SUMIFS('סופר פארם Raw'!$D$6:$D$771,'סופר פארם Raw'!$E$6:$E$771,$A363,'סופר פארם Raw'!$B$6:$B$771,2026)</f>
        <v>79514</v>
      </c>
      <c r="J363" s="12" t="n">
        <f aca="false">I363*$J$5</f>
        <v>100438.736842105</v>
      </c>
    </row>
    <row r="364" customFormat="false" ht="15" hidden="false" customHeight="true" outlineLevel="0" collapsed="false">
      <c r="A364" s="12" t="n">
        <v>4415073</v>
      </c>
      <c r="B364" s="12" t="str">
        <f aca="false">IFERROR(INDEX('Catalog'!$B:$B,MATCH($A364,'Catalog'!$A:$A,0)),"")</f>
        <v>T28A L-XL סד לאגודל</v>
      </c>
      <c r="C364" s="12" t="n">
        <f aca="false">SUMIFS('סופר פארם Raw'!$C$6:$C$771,'סופר פארם Raw'!$E$6:$E$771,$A364,'סופר פארם Raw'!$B$6:$B$771,2025)</f>
        <v>935</v>
      </c>
      <c r="D364" s="12" t="n">
        <f aca="false">SUMIFS('סופר פארם Raw'!$C$6:$C$771,'סופר פארם Raw'!$E$6:$E$771,$A364,'סופר פארם Raw'!$B$6:$B$771,2026)</f>
        <v>819</v>
      </c>
      <c r="E364" s="12" t="n">
        <f aca="false">D364*$J$5</f>
        <v>1034.52631578947</v>
      </c>
      <c r="F364" s="12" t="n">
        <f aca="false">E364-C364</f>
        <v>99.5263157894735</v>
      </c>
      <c r="G364" s="21" t="n">
        <f aca="false">IF(AND(C364=0,E364=0),0,IF(C364=0,"New",(E364-C364)/C364))</f>
        <v>0.106445257528849</v>
      </c>
      <c r="H364" s="12" t="n">
        <f aca="false">SUMIFS('סופר פארם Raw'!$D$6:$D$771,'סופר פארם Raw'!$E$6:$E$771,$A364,'סופר פארם Raw'!$B$6:$B$771,2025)</f>
        <v>54679.2</v>
      </c>
      <c r="I364" s="12" t="n">
        <f aca="false">SUMIFS('סופר פארם Raw'!$D$6:$D$771,'סופר פארם Raw'!$E$6:$E$771,$A364,'סופר פארם Raw'!$B$6:$B$771,2026)</f>
        <v>48296.9</v>
      </c>
      <c r="J364" s="12" t="n">
        <f aca="false">I364*$J$5</f>
        <v>61006.6105263158</v>
      </c>
    </row>
    <row r="365" customFormat="false" ht="15" hidden="false" customHeight="true" outlineLevel="0" collapsed="false">
      <c r="A365" s="12" t="n">
        <v>4415074</v>
      </c>
      <c r="B365" s="12" t="str">
        <f aca="false">IFERROR(INDEX('Catalog'!$B:$B,MATCH($A365,'Catalog'!$A:$A,0)),"")</f>
        <v>T28AC S-M סד לאגודל</v>
      </c>
      <c r="C365" s="12" t="n">
        <f aca="false">SUMIFS('סופר פארם Raw'!$C$6:$C$771,'סופר פארם Raw'!$E$6:$E$771,$A365,'סופר פארם Raw'!$B$6:$B$771,2025)</f>
        <v>297</v>
      </c>
      <c r="D365" s="12" t="n">
        <f aca="false">SUMIFS('סופר פארם Raw'!$C$6:$C$771,'סופר פארם Raw'!$E$6:$E$771,$A365,'סופר פארם Raw'!$B$6:$B$771,2026)</f>
        <v>215</v>
      </c>
      <c r="E365" s="12" t="n">
        <f aca="false">D365*$J$5</f>
        <v>271.578947368421</v>
      </c>
      <c r="F365" s="12" t="n">
        <f aca="false">E365-C365</f>
        <v>-25.421052631579</v>
      </c>
      <c r="G365" s="21" t="n">
        <f aca="false">IF(AND(C365=0,E365=0),0,IF(C365=0,"New",(E365-C365)/C365))</f>
        <v>-0.0855927698032962</v>
      </c>
      <c r="H365" s="12" t="n">
        <f aca="false">SUMIFS('סופר פארם Raw'!$D$6:$D$771,'סופר פארם Raw'!$E$6:$E$771,$A365,'סופר פארם Raw'!$B$6:$B$771,2025)</f>
        <v>17280.9</v>
      </c>
      <c r="I365" s="12" t="n">
        <f aca="false">SUMIFS('סופר פארם Raw'!$D$6:$D$771,'סופר פארם Raw'!$E$6:$E$771,$A365,'סופר פארם Raw'!$B$6:$B$771,2026)</f>
        <v>12620.7</v>
      </c>
      <c r="J365" s="12" t="n">
        <f aca="false">I365*$J$5</f>
        <v>15941.9368421053</v>
      </c>
    </row>
    <row r="366" customFormat="false" ht="15" hidden="false" customHeight="true" outlineLevel="0" collapsed="false">
      <c r="A366" s="12" t="n">
        <v>4415075</v>
      </c>
      <c r="B366" s="12" t="str">
        <f aca="false">IFERROR(INDEX('Catalog'!$B:$B,MATCH($A366,'Catalog'!$A:$A,0)),"")</f>
        <v>T28AC L-XL סד לאגודל</v>
      </c>
      <c r="C366" s="12" t="n">
        <f aca="false">SUMIFS('סופר פארם Raw'!$C$6:$C$771,'סופר פארם Raw'!$E$6:$E$771,$A366,'סופר פארם Raw'!$B$6:$B$771,2025)</f>
        <v>187</v>
      </c>
      <c r="D366" s="12" t="n">
        <f aca="false">SUMIFS('סופר פארם Raw'!$C$6:$C$771,'סופר פארם Raw'!$E$6:$E$771,$A366,'סופר פארם Raw'!$B$6:$B$771,2026)</f>
        <v>145</v>
      </c>
      <c r="E366" s="12" t="n">
        <f aca="false">D366*$J$5</f>
        <v>183.157894736842</v>
      </c>
      <c r="F366" s="12" t="n">
        <f aca="false">E366-C366</f>
        <v>-3.84210526315792</v>
      </c>
      <c r="G366" s="21" t="n">
        <f aca="false">IF(AND(C366=0,E366=0),0,IF(C366=0,"New",(E366-C366)/C366))</f>
        <v>-0.0205460174500423</v>
      </c>
      <c r="H366" s="12" t="n">
        <f aca="false">SUMIFS('סופר פארם Raw'!$D$6:$D$771,'סופר פארם Raw'!$E$6:$E$771,$A366,'סופר פארם Raw'!$B$6:$B$771,2025)</f>
        <v>10885.6</v>
      </c>
      <c r="I366" s="12" t="n">
        <f aca="false">SUMIFS('סופר פארם Raw'!$D$6:$D$771,'סופר פארם Raw'!$E$6:$E$771,$A366,'סופר פארם Raw'!$B$6:$B$771,2026)</f>
        <v>8507</v>
      </c>
      <c r="J366" s="12" t="n">
        <f aca="false">I366*$J$5</f>
        <v>10745.6842105263</v>
      </c>
    </row>
    <row r="367" customFormat="false" ht="15" hidden="false" customHeight="true" outlineLevel="0" collapsed="false">
      <c r="A367" s="12" t="n">
        <v>4415080</v>
      </c>
      <c r="B367" s="12" t="str">
        <f aca="false">IFERROR(INDEX('Catalog'!$B:$B,MATCH($A367,'Catalog'!$A:$A,0)),"")</f>
        <v>PD346-10 סכינים למקצוע</v>
      </c>
      <c r="C367" s="12" t="n">
        <f aca="false">SUMIFS('סופר פארם Raw'!$C$6:$C$771,'סופר פארם Raw'!$E$6:$E$771,$A367,'סופר פארם Raw'!$B$6:$B$771,2025)</f>
        <v>97</v>
      </c>
      <c r="D367" s="12" t="n">
        <f aca="false">SUMIFS('סופר פארם Raw'!$C$6:$C$771,'סופר פארם Raw'!$E$6:$E$771,$A367,'סופר פארם Raw'!$B$6:$B$771,2026)</f>
        <v>50</v>
      </c>
      <c r="E367" s="12" t="n">
        <f aca="false">D367*$J$5</f>
        <v>63.1578947368421</v>
      </c>
      <c r="F367" s="12" t="n">
        <f aca="false">E367-C367</f>
        <v>-33.8421052631579</v>
      </c>
      <c r="G367" s="21" t="n">
        <f aca="false">IF(AND(C367=0,E367=0),0,IF(C367=0,"New",(E367-C367)/C367))</f>
        <v>-0.348887683125339</v>
      </c>
      <c r="H367" s="12" t="n">
        <f aca="false">SUMIFS('סופר פארם Raw'!$D$6:$D$771,'סופר פארם Raw'!$E$6:$E$771,$A367,'סופר פארם Raw'!$B$6:$B$771,2025)</f>
        <v>791.2</v>
      </c>
      <c r="I367" s="12" t="n">
        <f aca="false">SUMIFS('סופר פארם Raw'!$D$6:$D$771,'סופר פארם Raw'!$E$6:$E$771,$A367,'סופר פארם Raw'!$B$6:$B$771,2026)</f>
        <v>387.7</v>
      </c>
      <c r="J367" s="12" t="n">
        <f aca="false">I367*$J$5</f>
        <v>489.726315789474</v>
      </c>
    </row>
    <row r="368" customFormat="false" ht="15" hidden="false" customHeight="true" outlineLevel="0" collapsed="false">
      <c r="A368" s="12" t="n">
        <v>4415089</v>
      </c>
      <c r="B368" s="12" t="str">
        <f aca="false">IFERROR(INDEX('Catalog'!$B:$B,MATCH($A368,'Catalog'!$A:$A,0)),"")</f>
        <v>27L M סד ליד שמאל</v>
      </c>
      <c r="C368" s="12" t="n">
        <f aca="false">SUMIFS('סופר פארם Raw'!$C$6:$C$771,'סופר פארם Raw'!$E$6:$E$771,$A368,'סופר פארם Raw'!$B$6:$B$771,2025)</f>
        <v>0</v>
      </c>
      <c r="D368" s="12" t="n">
        <f aca="false">SUMIFS('סופר פארם Raw'!$C$6:$C$771,'סופר פארם Raw'!$E$6:$E$771,$A368,'סופר פארם Raw'!$B$6:$B$771,2026)</f>
        <v>-1</v>
      </c>
      <c r="E368" s="12" t="n">
        <f aca="false">D368*$J$5</f>
        <v>-1.26315789473684</v>
      </c>
      <c r="F368" s="12" t="n">
        <f aca="false">E368-C368</f>
        <v>-1.26315789473684</v>
      </c>
      <c r="G368" s="21" t="str">
        <f aca="false">IF(AND(C368=0,E368=0),0,IF(C368=0,"New",(E368-C368)/C368))</f>
        <v>New</v>
      </c>
      <c r="H368" s="12" t="n">
        <f aca="false">SUMIFS('סופר פארם Raw'!$D$6:$D$771,'סופר פארם Raw'!$E$6:$E$771,$A368,'סופר פארם Raw'!$B$6:$B$771,2025)</f>
        <v>0</v>
      </c>
      <c r="I368" s="12" t="n">
        <f aca="false">SUMIFS('סופר פארם Raw'!$D$6:$D$771,'סופר פארם Raw'!$E$6:$E$771,$A368,'סופר פארם Raw'!$B$6:$B$771,2026)</f>
        <v>0</v>
      </c>
      <c r="J368" s="12" t="n">
        <f aca="false">I368*$J$5</f>
        <v>0</v>
      </c>
    </row>
    <row r="369" customFormat="false" ht="15" hidden="false" customHeight="true" outlineLevel="0" collapsed="false">
      <c r="A369" s="12" t="n">
        <v>4415093</v>
      </c>
      <c r="B369" s="12" t="str">
        <f aca="false">IFERROR(INDEX('Catalog'!$B:$B,MATCH($A369,'Catalog'!$A:$A,0)),"")</f>
        <v>27 R-M סד ליד ימין</v>
      </c>
      <c r="C369" s="12" t="n">
        <f aca="false">SUMIFS('סופר פארם Raw'!$C$6:$C$771,'סופר פארם Raw'!$E$6:$E$771,$A369,'סופר פארם Raw'!$B$6:$B$771,2025)</f>
        <v>0</v>
      </c>
      <c r="D369" s="12" t="n">
        <f aca="false">SUMIFS('סופר פארם Raw'!$C$6:$C$771,'סופר פארם Raw'!$E$6:$E$771,$A369,'סופר פארם Raw'!$B$6:$B$771,2026)</f>
        <v>-1</v>
      </c>
      <c r="E369" s="12" t="n">
        <f aca="false">D369*$J$5</f>
        <v>-1.26315789473684</v>
      </c>
      <c r="F369" s="12" t="n">
        <f aca="false">E369-C369</f>
        <v>-1.26315789473684</v>
      </c>
      <c r="G369" s="21" t="str">
        <f aca="false">IF(AND(C369=0,E369=0),0,IF(C369=0,"New",(E369-C369)/C369))</f>
        <v>New</v>
      </c>
      <c r="H369" s="12" t="n">
        <f aca="false">SUMIFS('סופר פארם Raw'!$D$6:$D$771,'סופר פארם Raw'!$E$6:$E$771,$A369,'סופר פארם Raw'!$B$6:$B$771,2025)</f>
        <v>0</v>
      </c>
      <c r="I369" s="12" t="n">
        <f aca="false">SUMIFS('סופר פארם Raw'!$D$6:$D$771,'סופר פארם Raw'!$E$6:$E$771,$A369,'סופר פארם Raw'!$B$6:$B$771,2026)</f>
        <v>-90.1</v>
      </c>
      <c r="J369" s="12" t="n">
        <f aca="false">I369*$J$5</f>
        <v>-113.810526315789</v>
      </c>
    </row>
    <row r="370" customFormat="false" ht="15" hidden="false" customHeight="true" outlineLevel="0" collapsed="false">
      <c r="A370" s="12" t="n">
        <v>4415095</v>
      </c>
      <c r="B370" s="12" t="str">
        <f aca="false">IFERROR(INDEX('Catalog'!$B:$B,MATCH($A370,'Catalog'!$A:$A,0)),"")</f>
        <v>27R XLסד ליד ימין</v>
      </c>
      <c r="C370" s="12" t="n">
        <f aca="false">SUMIFS('סופר פארם Raw'!$C$6:$C$771,'סופר פארם Raw'!$E$6:$E$771,$A370,'סופר פארם Raw'!$B$6:$B$771,2025)</f>
        <v>0</v>
      </c>
      <c r="D370" s="12" t="n">
        <f aca="false">SUMIFS('סופר פארם Raw'!$C$6:$C$771,'סופר פארם Raw'!$E$6:$E$771,$A370,'סופר פארם Raw'!$B$6:$B$771,2026)</f>
        <v>-1</v>
      </c>
      <c r="E370" s="12" t="n">
        <f aca="false">D370*$J$5</f>
        <v>-1.26315789473684</v>
      </c>
      <c r="F370" s="12" t="n">
        <f aca="false">E370-C370</f>
        <v>-1.26315789473684</v>
      </c>
      <c r="G370" s="21" t="str">
        <f aca="false">IF(AND(C370=0,E370=0),0,IF(C370=0,"New",(E370-C370)/C370))</f>
        <v>New</v>
      </c>
      <c r="H370" s="12" t="n">
        <f aca="false">SUMIFS('סופר פארם Raw'!$D$6:$D$771,'סופר פארם Raw'!$E$6:$E$771,$A370,'סופר פארם Raw'!$B$6:$B$771,2025)</f>
        <v>0</v>
      </c>
      <c r="I370" s="12" t="n">
        <f aca="false">SUMIFS('סופר פארם Raw'!$D$6:$D$771,'סופר פארם Raw'!$E$6:$E$771,$A370,'סופר פארם Raw'!$B$6:$B$771,2026)</f>
        <v>0</v>
      </c>
      <c r="J370" s="12" t="n">
        <f aca="false">I370*$J$5</f>
        <v>0</v>
      </c>
    </row>
    <row r="371" customFormat="false" ht="15" hidden="false" customHeight="true" outlineLevel="0" collapsed="false">
      <c r="A371" s="12" t="n">
        <v>4415158</v>
      </c>
      <c r="B371" s="12" t="str">
        <f aca="false">IFERROR(INDEX('Catalog'!$B:$B,MATCH($A371,'Catalog'!$A:$A,0)),"")</f>
        <v>266 סד ליד דו צדדי</v>
      </c>
      <c r="C371" s="12" t="n">
        <f aca="false">SUMIFS('סופר פארם Raw'!$C$6:$C$771,'סופר פארם Raw'!$E$6:$E$771,$A371,'סופר פארם Raw'!$B$6:$B$771,2025)</f>
        <v>4521</v>
      </c>
      <c r="D371" s="12" t="n">
        <f aca="false">SUMIFS('סופר פארם Raw'!$C$6:$C$771,'סופר פארם Raw'!$E$6:$E$771,$A371,'סופר פארם Raw'!$B$6:$B$771,2026)</f>
        <v>3632</v>
      </c>
      <c r="E371" s="12" t="n">
        <f aca="false">D371*$J$5</f>
        <v>4587.78947368421</v>
      </c>
      <c r="F371" s="12" t="n">
        <f aca="false">E371-C371</f>
        <v>66.78947368421</v>
      </c>
      <c r="G371" s="21" t="n">
        <f aca="false">IF(AND(C371=0,E371=0),0,IF(C371=0,"New",(E371-C371)/C371))</f>
        <v>0.014773163831942</v>
      </c>
      <c r="H371" s="12" t="n">
        <f aca="false">SUMIFS('סופר פארם Raw'!$D$6:$D$771,'סופר פארם Raw'!$E$6:$E$771,$A371,'סופר פארם Raw'!$B$6:$B$771,2025)</f>
        <v>304743.2</v>
      </c>
      <c r="I371" s="12" t="n">
        <f aca="false">SUMIFS('סופר פארם Raw'!$D$6:$D$771,'סופר פארם Raw'!$E$6:$E$771,$A371,'סופר פארם Raw'!$B$6:$B$771,2026)</f>
        <v>245794.8</v>
      </c>
      <c r="J371" s="12" t="n">
        <f aca="false">I371*$J$5</f>
        <v>310477.642105263</v>
      </c>
    </row>
    <row r="372" customFormat="false" ht="15" hidden="false" customHeight="true" outlineLevel="0" collapsed="false">
      <c r="A372" s="12" t="n">
        <v>4415159</v>
      </c>
      <c r="B372" s="12" t="str">
        <f aca="false">IFERROR(INDEX('Catalog'!$B:$B,MATCH($A372,'Catalog'!$A:$A,0)),"")</f>
        <v>268 סד לאגודל</v>
      </c>
      <c r="C372" s="12" t="n">
        <f aca="false">SUMIFS('סופר פארם Raw'!$C$6:$C$771,'סופר פארם Raw'!$E$6:$E$771,$A372,'סופר פארם Raw'!$B$6:$B$771,2025)</f>
        <v>145</v>
      </c>
      <c r="D372" s="12" t="n">
        <f aca="false">SUMIFS('סופר פארם Raw'!$C$6:$C$771,'סופר פארם Raw'!$E$6:$E$771,$A372,'סופר פארם Raw'!$B$6:$B$771,2026)</f>
        <v>128</v>
      </c>
      <c r="E372" s="12" t="n">
        <f aca="false">D372*$J$5</f>
        <v>161.684210526316</v>
      </c>
      <c r="F372" s="12" t="n">
        <f aca="false">E372-C372</f>
        <v>16.6842105263158</v>
      </c>
      <c r="G372" s="21" t="n">
        <f aca="false">IF(AND(C372=0,E372=0),0,IF(C372=0,"New",(E372-C372)/C372))</f>
        <v>0.115063520871143</v>
      </c>
      <c r="H372" s="12" t="n">
        <f aca="false">SUMIFS('סופר פארם Raw'!$D$6:$D$771,'סופר פארם Raw'!$E$6:$E$771,$A372,'סופר פארם Raw'!$B$6:$B$771,2025)</f>
        <v>14778.5</v>
      </c>
      <c r="I372" s="12" t="n">
        <f aca="false">SUMIFS('סופר פארם Raw'!$D$6:$D$771,'סופר פארם Raw'!$E$6:$E$771,$A372,'סופר פארם Raw'!$B$6:$B$771,2026)</f>
        <v>13023.1</v>
      </c>
      <c r="J372" s="12" t="n">
        <f aca="false">I372*$J$5</f>
        <v>16450.2315789474</v>
      </c>
    </row>
    <row r="373" customFormat="false" ht="15" hidden="false" customHeight="true" outlineLevel="0" collapsed="false">
      <c r="A373" s="12" t="n">
        <v>4415160</v>
      </c>
      <c r="B373" s="12" t="str">
        <f aca="false">IFERROR(INDEX('Catalog'!$B:$B,MATCH($A373,'Catalog'!$A:$A,0)),"")</f>
        <v>238S סד ליישור אצבע</v>
      </c>
      <c r="C373" s="12" t="n">
        <f aca="false">SUMIFS('סופר פארם Raw'!$C$6:$C$771,'סופר פארם Raw'!$E$6:$E$771,$A373,'סופר פארם Raw'!$B$6:$B$771,2025)</f>
        <v>1303</v>
      </c>
      <c r="D373" s="12" t="n">
        <f aca="false">SUMIFS('סופר פארם Raw'!$C$6:$C$771,'סופר פארם Raw'!$E$6:$E$771,$A373,'סופר פארם Raw'!$B$6:$B$771,2026)</f>
        <v>1525</v>
      </c>
      <c r="E373" s="12" t="n">
        <f aca="false">D373*$J$5</f>
        <v>1926.31578947368</v>
      </c>
      <c r="F373" s="12" t="n">
        <f aca="false">E373-C373</f>
        <v>623.315789473684</v>
      </c>
      <c r="G373" s="21" t="n">
        <f aca="false">IF(AND(C373=0,E373=0),0,IF(C373=0,"New",(E373-C373)/C373))</f>
        <v>0.478369754008967</v>
      </c>
      <c r="H373" s="12" t="n">
        <f aca="false">SUMIFS('סופר פארם Raw'!$D$6:$D$771,'סופר פארם Raw'!$E$6:$E$771,$A373,'סופר פארם Raw'!$B$6:$B$771,2025)</f>
        <v>18579.7</v>
      </c>
      <c r="I373" s="12" t="n">
        <f aca="false">SUMIFS('סופר פארם Raw'!$D$6:$D$771,'סופר פארם Raw'!$E$6:$E$771,$A373,'סופר פארם Raw'!$B$6:$B$771,2026)</f>
        <v>22856</v>
      </c>
      <c r="J373" s="12" t="n">
        <f aca="false">I373*$J$5</f>
        <v>28870.7368421053</v>
      </c>
    </row>
    <row r="374" customFormat="false" ht="15" hidden="false" customHeight="true" outlineLevel="0" collapsed="false">
      <c r="A374" s="12" t="n">
        <v>4415161</v>
      </c>
      <c r="B374" s="12" t="str">
        <f aca="false">IFERROR(INDEX('Catalog'!$B:$B,MATCH($A374,'Catalog'!$A:$A,0)),"")</f>
        <v>238M סד ליישור אצבע</v>
      </c>
      <c r="C374" s="12" t="n">
        <f aca="false">SUMIFS('סופר פארם Raw'!$C$6:$C$771,'סופר פארם Raw'!$E$6:$E$771,$A374,'סופר פארם Raw'!$B$6:$B$771,2025)</f>
        <v>2021</v>
      </c>
      <c r="D374" s="12" t="n">
        <f aca="false">SUMIFS('סופר פארם Raw'!$C$6:$C$771,'סופר פארם Raw'!$E$6:$E$771,$A374,'סופר פארם Raw'!$B$6:$B$771,2026)</f>
        <v>1845</v>
      </c>
      <c r="E374" s="12" t="n">
        <f aca="false">D374*$J$5</f>
        <v>2330.52631578947</v>
      </c>
      <c r="F374" s="12" t="n">
        <f aca="false">E374-C374</f>
        <v>309.526315789474</v>
      </c>
      <c r="G374" s="21" t="n">
        <f aca="false">IF(AND(C374=0,E374=0),0,IF(C374=0,"New",(E374-C374)/C374))</f>
        <v>0.153155030078908</v>
      </c>
      <c r="H374" s="12" t="n">
        <f aca="false">SUMIFS('סופר פארם Raw'!$D$6:$D$771,'סופר פארם Raw'!$E$6:$E$771,$A374,'סופר פארם Raw'!$B$6:$B$771,2025)</f>
        <v>28832.9</v>
      </c>
      <c r="I374" s="12" t="n">
        <f aca="false">SUMIFS('סופר פארם Raw'!$D$6:$D$771,'סופר פארם Raw'!$E$6:$E$771,$A374,'סופר פארם Raw'!$B$6:$B$771,2026)</f>
        <v>27547.4</v>
      </c>
      <c r="J374" s="12" t="n">
        <f aca="false">I374*$J$5</f>
        <v>34796.7157894737</v>
      </c>
    </row>
    <row r="375" customFormat="false" ht="15" hidden="false" customHeight="true" outlineLevel="0" collapsed="false">
      <c r="A375" s="12" t="n">
        <v>4415162</v>
      </c>
      <c r="B375" s="12" t="str">
        <f aca="false">IFERROR(INDEX('Catalog'!$B:$B,MATCH($A375,'Catalog'!$A:$A,0)),"")</f>
        <v>238L סד ליישור אצבע</v>
      </c>
      <c r="C375" s="12" t="n">
        <f aca="false">SUMIFS('סופר פארם Raw'!$C$6:$C$771,'סופר פארם Raw'!$E$6:$E$771,$A375,'סופר פארם Raw'!$B$6:$B$771,2025)</f>
        <v>1840</v>
      </c>
      <c r="D375" s="12" t="n">
        <f aca="false">SUMIFS('סופר פארם Raw'!$C$6:$C$771,'סופר פארם Raw'!$E$6:$E$771,$A375,'סופר פארם Raw'!$B$6:$B$771,2026)</f>
        <v>1704</v>
      </c>
      <c r="E375" s="12" t="n">
        <f aca="false">D375*$J$5</f>
        <v>2152.42105263158</v>
      </c>
      <c r="F375" s="12" t="n">
        <f aca="false">E375-C375</f>
        <v>312.421052631579</v>
      </c>
      <c r="G375" s="21" t="n">
        <f aca="false">IF(AND(C375=0,E375=0),0,IF(C375=0,"New",(E375-C375)/C375))</f>
        <v>0.169794050343249</v>
      </c>
      <c r="H375" s="12" t="n">
        <f aca="false">SUMIFS('סופר פארם Raw'!$D$6:$D$771,'סופר פארם Raw'!$E$6:$E$771,$A375,'סופר פארם Raw'!$B$6:$B$771,2025)</f>
        <v>26241.7</v>
      </c>
      <c r="I375" s="12" t="n">
        <f aca="false">SUMIFS('סופר פארם Raw'!$D$6:$D$771,'סופר פארם Raw'!$E$6:$E$771,$A375,'סופר פארם Raw'!$B$6:$B$771,2026)</f>
        <v>25451.8</v>
      </c>
      <c r="J375" s="12" t="n">
        <f aca="false">I375*$J$5</f>
        <v>32149.6421052632</v>
      </c>
    </row>
    <row r="376" customFormat="false" ht="15" hidden="false" customHeight="true" outlineLevel="0" collapsed="false">
      <c r="A376" s="12" t="n">
        <v>4415163</v>
      </c>
      <c r="B376" s="12" t="str">
        <f aca="false">IFERROR(INDEX('Catalog'!$B:$B,MATCH($A376,'Catalog'!$A:$A,0)),"")</f>
        <v>238XL סד ליישור אצבע</v>
      </c>
      <c r="C376" s="12" t="n">
        <f aca="false">SUMIFS('סופר פארם Raw'!$C$6:$C$771,'סופר פארם Raw'!$E$6:$E$771,$A376,'סופר פארם Raw'!$B$6:$B$771,2025)</f>
        <v>1128</v>
      </c>
      <c r="D376" s="12" t="n">
        <f aca="false">SUMIFS('סופר פארם Raw'!$C$6:$C$771,'סופר פארם Raw'!$E$6:$E$771,$A376,'סופר פארם Raw'!$B$6:$B$771,2026)</f>
        <v>1023</v>
      </c>
      <c r="E376" s="12" t="n">
        <f aca="false">D376*$J$5</f>
        <v>1292.21052631579</v>
      </c>
      <c r="F376" s="12" t="n">
        <f aca="false">E376-C376</f>
        <v>164.210526315789</v>
      </c>
      <c r="G376" s="21" t="n">
        <f aca="false">IF(AND(C376=0,E376=0),0,IF(C376=0,"New",(E376-C376)/C376))</f>
        <v>0.145576707726764</v>
      </c>
      <c r="H376" s="12" t="n">
        <f aca="false">SUMIFS('סופר פארם Raw'!$D$6:$D$771,'סופר פארם Raw'!$E$6:$E$771,$A376,'סופר פארם Raw'!$B$6:$B$771,2025)</f>
        <v>16083.8</v>
      </c>
      <c r="I376" s="12" t="n">
        <f aca="false">SUMIFS('סופר פארם Raw'!$D$6:$D$771,'סופר פארם Raw'!$E$6:$E$771,$A376,'סופר פארם Raw'!$B$6:$B$771,2026)</f>
        <v>15302.1</v>
      </c>
      <c r="J376" s="12" t="n">
        <f aca="false">I376*$J$5</f>
        <v>19328.9684210526</v>
      </c>
    </row>
    <row r="377" customFormat="false" ht="15" hidden="false" customHeight="true" outlineLevel="0" collapsed="false">
      <c r="A377" s="12" t="n">
        <v>4415164</v>
      </c>
      <c r="B377" s="12" t="str">
        <f aca="false">IFERROR(INDEX('Catalog'!$B:$B,MATCH($A377,'Catalog'!$A:$A,0)),"")</f>
        <v>267LC  L-XL 'סד יד שמאל בז</v>
      </c>
      <c r="C377" s="12" t="n">
        <f aca="false">SUMIFS('סופר פארם Raw'!$C$6:$C$771,'סופר פארם Raw'!$E$6:$E$771,$A377,'סופר פארם Raw'!$B$6:$B$771,2025)</f>
        <v>0</v>
      </c>
      <c r="D377" s="12" t="n">
        <f aca="false">SUMIFS('סופר פארם Raw'!$C$6:$C$771,'סופר פארם Raw'!$E$6:$E$771,$A377,'סופר פארם Raw'!$B$6:$B$771,2026)</f>
        <v>-1</v>
      </c>
      <c r="E377" s="12" t="n">
        <f aca="false">D377*$J$5</f>
        <v>-1.26315789473684</v>
      </c>
      <c r="F377" s="12" t="n">
        <f aca="false">E377-C377</f>
        <v>-1.26315789473684</v>
      </c>
      <c r="G377" s="21" t="str">
        <f aca="false">IF(AND(C377=0,E377=0),0,IF(C377=0,"New",(E377-C377)/C377))</f>
        <v>New</v>
      </c>
      <c r="H377" s="12" t="n">
        <f aca="false">SUMIFS('סופר פארם Raw'!$D$6:$D$771,'סופר פארם Raw'!$E$6:$E$771,$A377,'סופר פארם Raw'!$B$6:$B$771,2025)</f>
        <v>0</v>
      </c>
      <c r="I377" s="12" t="n">
        <f aca="false">SUMIFS('סופר פארם Raw'!$D$6:$D$771,'סופר פארם Raw'!$E$6:$E$771,$A377,'סופר פארם Raw'!$B$6:$B$771,2026)</f>
        <v>-94.2</v>
      </c>
      <c r="J377" s="12" t="n">
        <f aca="false">I377*$J$5</f>
        <v>-118.989473684211</v>
      </c>
    </row>
    <row r="378" customFormat="false" ht="15" hidden="false" customHeight="true" outlineLevel="0" collapsed="false">
      <c r="A378" s="12" t="n">
        <v>4415165</v>
      </c>
      <c r="B378" s="12" t="str">
        <f aca="false">IFERROR(INDEX('Catalog'!$B:$B,MATCH($A378,'Catalog'!$A:$A,0)),"")</f>
        <v>267LC   S-M'סד יד שמאל בז</v>
      </c>
      <c r="C378" s="12" t="n">
        <f aca="false">SUMIFS('סופר פארם Raw'!$C$6:$C$771,'סופר פארם Raw'!$E$6:$E$771,$A378,'סופר פארם Raw'!$B$6:$B$771,2025)</f>
        <v>-2</v>
      </c>
      <c r="D378" s="12" t="n">
        <f aca="false">SUMIFS('סופר פארם Raw'!$C$6:$C$771,'סופר פארם Raw'!$E$6:$E$771,$A378,'סופר פארם Raw'!$B$6:$B$771,2026)</f>
        <v>0</v>
      </c>
      <c r="E378" s="12" t="n">
        <f aca="false">D378*$J$5</f>
        <v>0</v>
      </c>
      <c r="F378" s="12" t="n">
        <f aca="false">E378-C378</f>
        <v>2</v>
      </c>
      <c r="G378" s="21" t="n">
        <f aca="false">IF(AND(C378=0,E378=0),0,IF(C378=0,"New",(E378-C378)/C378))</f>
        <v>-1</v>
      </c>
      <c r="H378" s="12" t="n">
        <f aca="false">SUMIFS('סופר פארם Raw'!$D$6:$D$771,'סופר פארם Raw'!$E$6:$E$771,$A378,'סופר פארם Raw'!$B$6:$B$771,2025)</f>
        <v>-188.4</v>
      </c>
      <c r="I378" s="12" t="n">
        <f aca="false">SUMIFS('סופר פארם Raw'!$D$6:$D$771,'סופר פארם Raw'!$E$6:$E$771,$A378,'סופר פארם Raw'!$B$6:$B$771,2026)</f>
        <v>0</v>
      </c>
      <c r="J378" s="12" t="n">
        <f aca="false">I378*$J$5</f>
        <v>0</v>
      </c>
    </row>
    <row r="379" customFormat="false" ht="15" hidden="false" customHeight="true" outlineLevel="0" collapsed="false">
      <c r="A379" s="12" t="n">
        <v>4415297</v>
      </c>
      <c r="B379" s="12" t="str">
        <f aca="false">IFERROR(INDEX('Catalog'!$B:$B,MATCH($A379,'Catalog'!$A:$A,0)),"")</f>
        <v>313 סט פלסטרים נגד שפשופים</v>
      </c>
      <c r="C379" s="12" t="n">
        <f aca="false">SUMIFS('סופר פארם Raw'!$C$6:$C$771,'סופר פארם Raw'!$E$6:$E$771,$A379,'סופר פארם Raw'!$B$6:$B$771,2025)</f>
        <v>0</v>
      </c>
      <c r="D379" s="12" t="n">
        <f aca="false">SUMIFS('סופר פארם Raw'!$C$6:$C$771,'סופר פארם Raw'!$E$6:$E$771,$A379,'סופר פארם Raw'!$B$6:$B$771,2026)</f>
        <v>-3</v>
      </c>
      <c r="E379" s="12" t="n">
        <f aca="false">D379*$J$5</f>
        <v>-3.78947368421053</v>
      </c>
      <c r="F379" s="12" t="n">
        <f aca="false">E379-C379</f>
        <v>-3.78947368421053</v>
      </c>
      <c r="G379" s="21" t="str">
        <f aca="false">IF(AND(C379=0,E379=0),0,IF(C379=0,"New",(E379-C379)/C379))</f>
        <v>New</v>
      </c>
      <c r="H379" s="12" t="n">
        <f aca="false">SUMIFS('סופר פארם Raw'!$D$6:$D$771,'סופר פארם Raw'!$E$6:$E$771,$A379,'סופר פארם Raw'!$B$6:$B$771,2025)</f>
        <v>0</v>
      </c>
      <c r="I379" s="12" t="n">
        <f aca="false">SUMIFS('סופר פארם Raw'!$D$6:$D$771,'סופר פארם Raw'!$E$6:$E$771,$A379,'סופר פארם Raw'!$B$6:$B$771,2026)</f>
        <v>-58.3</v>
      </c>
      <c r="J379" s="12" t="n">
        <f aca="false">I379*$J$5</f>
        <v>-73.6421052631579</v>
      </c>
    </row>
    <row r="380" customFormat="false" ht="15" hidden="false" customHeight="true" outlineLevel="0" collapsed="false">
      <c r="A380" s="12" t="n">
        <v>4415298</v>
      </c>
      <c r="B380" s="12" t="str">
        <f aca="false">IFERROR(INDEX('Catalog'!$B:$B,MATCH($A380,'Catalog'!$A:$A,0)),"")</f>
        <v>388B L סד לילה שחור לבוהן שמאל</v>
      </c>
      <c r="C380" s="12" t="n">
        <f aca="false">SUMIFS('סופר פארם Raw'!$C$6:$C$771,'סופר פארם Raw'!$E$6:$E$771,$A380,'סופר פארם Raw'!$B$6:$B$771,2025)</f>
        <v>40</v>
      </c>
      <c r="D380" s="12" t="n">
        <f aca="false">SUMIFS('סופר פארם Raw'!$C$6:$C$771,'סופר פארם Raw'!$E$6:$E$771,$A380,'סופר פארם Raw'!$B$6:$B$771,2026)</f>
        <v>20</v>
      </c>
      <c r="E380" s="12" t="n">
        <f aca="false">D380*$J$5</f>
        <v>25.2631578947368</v>
      </c>
      <c r="F380" s="12" t="n">
        <f aca="false">E380-C380</f>
        <v>-14.7368421052632</v>
      </c>
      <c r="G380" s="21" t="n">
        <f aca="false">IF(AND(C380=0,E380=0),0,IF(C380=0,"New",(E380-C380)/C380))</f>
        <v>-0.368421052631579</v>
      </c>
      <c r="H380" s="12" t="n">
        <f aca="false">SUMIFS('סופר פארם Raw'!$D$6:$D$771,'סופר פארם Raw'!$E$6:$E$771,$A380,'סופר פארם Raw'!$B$6:$B$771,2025)</f>
        <v>2362.3</v>
      </c>
      <c r="I380" s="12" t="n">
        <f aca="false">SUMIFS('סופר פארם Raw'!$D$6:$D$771,'סופר פארם Raw'!$E$6:$E$771,$A380,'סופר פארם Raw'!$B$6:$B$771,2026)</f>
        <v>1293.3</v>
      </c>
      <c r="J380" s="12" t="n">
        <f aca="false">I380*$J$5</f>
        <v>1633.64210526316</v>
      </c>
    </row>
    <row r="381" customFormat="false" ht="15" hidden="false" customHeight="true" outlineLevel="0" collapsed="false">
      <c r="A381" s="12" t="n">
        <v>4415299</v>
      </c>
      <c r="B381" s="12" t="str">
        <f aca="false">IFERROR(INDEX('Catalog'!$B:$B,MATCH($A381,'Catalog'!$A:$A,0)),"")</f>
        <v>388B L סד לילה שחור לבוהן ימין</v>
      </c>
      <c r="C381" s="12" t="n">
        <f aca="false">SUMIFS('סופר פארם Raw'!$C$6:$C$771,'סופר פארם Raw'!$E$6:$E$771,$A381,'סופר פארם Raw'!$B$6:$B$771,2025)</f>
        <v>47</v>
      </c>
      <c r="D381" s="12" t="n">
        <f aca="false">SUMIFS('סופר פארם Raw'!$C$6:$C$771,'סופר פארם Raw'!$E$6:$E$771,$A381,'סופר פארם Raw'!$B$6:$B$771,2026)</f>
        <v>20</v>
      </c>
      <c r="E381" s="12" t="n">
        <f aca="false">D381*$J$5</f>
        <v>25.2631578947368</v>
      </c>
      <c r="F381" s="12" t="n">
        <f aca="false">E381-C381</f>
        <v>-21.7368421052632</v>
      </c>
      <c r="G381" s="21" t="n">
        <f aca="false">IF(AND(C381=0,E381=0),0,IF(C381=0,"New",(E381-C381)/C381))</f>
        <v>-0.462486002239642</v>
      </c>
      <c r="H381" s="12" t="n">
        <f aca="false">SUMIFS('סופר פארם Raw'!$D$6:$D$771,'סופר פארם Raw'!$E$6:$E$771,$A381,'סופר פארם Raw'!$B$6:$B$771,2025)</f>
        <v>2786.5</v>
      </c>
      <c r="I381" s="12" t="n">
        <f aca="false">SUMIFS('סופר פארם Raw'!$D$6:$D$771,'סופר פארם Raw'!$E$6:$E$771,$A381,'סופר פארם Raw'!$B$6:$B$771,2026)</f>
        <v>1278</v>
      </c>
      <c r="J381" s="12" t="n">
        <f aca="false">I381*$J$5</f>
        <v>1614.31578947368</v>
      </c>
    </row>
    <row r="382" customFormat="false" ht="15" hidden="false" customHeight="true" outlineLevel="0" collapsed="false">
      <c r="A382" s="12" t="n">
        <v>4416000</v>
      </c>
      <c r="B382" s="12" t="str">
        <f aca="false">IFERROR(INDEX('Catalog'!$B:$B,MATCH($A382,'Catalog'!$A:$A,0)),"")</f>
        <v>307 L עקבים לדורבן-זוג כריות</v>
      </c>
      <c r="C382" s="12" t="n">
        <f aca="false">SUMIFS('סופר פארם Raw'!$C$6:$C$771,'סופר פארם Raw'!$E$6:$E$771,$A382,'סופר פארם Raw'!$B$6:$B$771,2025)</f>
        <v>423</v>
      </c>
      <c r="D382" s="12" t="n">
        <f aca="false">SUMIFS('סופר פארם Raw'!$C$6:$C$771,'סופר פארם Raw'!$E$6:$E$771,$A382,'סופר פארם Raw'!$B$6:$B$771,2026)</f>
        <v>301</v>
      </c>
      <c r="E382" s="12" t="n">
        <f aca="false">D382*$J$5</f>
        <v>380.21052631579</v>
      </c>
      <c r="F382" s="12" t="n">
        <f aca="false">E382-C382</f>
        <v>-42.7894736842105</v>
      </c>
      <c r="G382" s="21" t="n">
        <f aca="false">IF(AND(C382=0,E382=0),0,IF(C382=0,"New",(E382-C382)/C382))</f>
        <v>-0.101157148189623</v>
      </c>
      <c r="H382" s="12" t="n">
        <f aca="false">SUMIFS('סופר פארם Raw'!$D$6:$D$771,'סופר פארם Raw'!$E$6:$E$771,$A382,'סופר פארם Raw'!$B$6:$B$771,2025)</f>
        <v>34315.1</v>
      </c>
      <c r="I382" s="12" t="n">
        <f aca="false">SUMIFS('סופר פארם Raw'!$D$6:$D$771,'סופר פארם Raw'!$E$6:$E$771,$A382,'סופר פארם Raw'!$B$6:$B$771,2026)</f>
        <v>24292.6</v>
      </c>
      <c r="J382" s="12" t="n">
        <f aca="false">I382*$J$5</f>
        <v>30685.3894736842</v>
      </c>
    </row>
    <row r="383" customFormat="false" ht="15" hidden="false" customHeight="true" outlineLevel="0" collapsed="false">
      <c r="A383" s="12" t="n">
        <v>4416001</v>
      </c>
      <c r="B383" s="12" t="str">
        <f aca="false">IFERROR(INDEX('Catalog'!$B:$B,MATCH($A383,'Catalog'!$A:$A,0)),"")</f>
        <v>307 M עקבים לדורבן-זוג כריות</v>
      </c>
      <c r="C383" s="12" t="n">
        <f aca="false">SUMIFS('סופר פארם Raw'!$C$6:$C$771,'סופר פארם Raw'!$E$6:$E$771,$A383,'סופר פארם Raw'!$B$6:$B$771,2025)</f>
        <v>425</v>
      </c>
      <c r="D383" s="12" t="n">
        <f aca="false">SUMIFS('סופר פארם Raw'!$C$6:$C$771,'סופר פארם Raw'!$E$6:$E$771,$A383,'סופר פארם Raw'!$B$6:$B$771,2026)</f>
        <v>305</v>
      </c>
      <c r="E383" s="12" t="n">
        <f aca="false">D383*$J$5</f>
        <v>385.263157894737</v>
      </c>
      <c r="F383" s="12" t="n">
        <f aca="false">E383-C383</f>
        <v>-39.7368421052632</v>
      </c>
      <c r="G383" s="21" t="n">
        <f aca="false">IF(AND(C383=0,E383=0),0,IF(C383=0,"New",(E383-C383)/C383))</f>
        <v>-0.093498452012384</v>
      </c>
      <c r="H383" s="12" t="n">
        <f aca="false">SUMIFS('סופר פארם Raw'!$D$6:$D$771,'סופר פארם Raw'!$E$6:$E$771,$A383,'סופר פארם Raw'!$B$6:$B$771,2025)</f>
        <v>34410.1</v>
      </c>
      <c r="I383" s="12" t="n">
        <f aca="false">SUMIFS('סופר פארם Raw'!$D$6:$D$771,'סופר פארם Raw'!$E$6:$E$771,$A383,'סופר פארם Raw'!$B$6:$B$771,2026)</f>
        <v>24529.5</v>
      </c>
      <c r="J383" s="12" t="n">
        <f aca="false">I383*$J$5</f>
        <v>30984.6315789474</v>
      </c>
    </row>
    <row r="384" customFormat="false" ht="15" hidden="false" customHeight="true" outlineLevel="0" collapsed="false">
      <c r="A384" s="12" t="n">
        <v>4416002</v>
      </c>
      <c r="B384" s="12" t="str">
        <f aca="false">IFERROR(INDEX('Catalog'!$B:$B,MATCH($A384,'Catalog'!$A:$A,0)),"")</f>
        <v>307 S עקבים לדורבן-זוג כריות</v>
      </c>
      <c r="C384" s="12" t="n">
        <f aca="false">SUMIFS('סופר פארם Raw'!$C$6:$C$771,'סופר פארם Raw'!$E$6:$E$771,$A384,'סופר פארם Raw'!$B$6:$B$771,2025)</f>
        <v>158</v>
      </c>
      <c r="D384" s="12" t="n">
        <f aca="false">SUMIFS('סופר פארם Raw'!$C$6:$C$771,'סופר פארם Raw'!$E$6:$E$771,$A384,'סופר פארם Raw'!$B$6:$B$771,2026)</f>
        <v>102</v>
      </c>
      <c r="E384" s="12" t="n">
        <f aca="false">D384*$J$5</f>
        <v>128.842105263158</v>
      </c>
      <c r="F384" s="12" t="n">
        <f aca="false">E384-C384</f>
        <v>-29.1578947368421</v>
      </c>
      <c r="G384" s="21" t="n">
        <f aca="false">IF(AND(C384=0,E384=0),0,IF(C384=0,"New",(E384-C384)/C384))</f>
        <v>-0.18454363757495</v>
      </c>
      <c r="H384" s="12" t="n">
        <f aca="false">SUMIFS('סופר פארם Raw'!$D$6:$D$771,'סופר פארם Raw'!$E$6:$E$771,$A384,'סופר פארם Raw'!$B$6:$B$771,2025)</f>
        <v>12815.8</v>
      </c>
      <c r="I384" s="12" t="n">
        <f aca="false">SUMIFS('סופר פארם Raw'!$D$6:$D$771,'סופר פארם Raw'!$E$6:$E$771,$A384,'סופר פארם Raw'!$B$6:$B$771,2026)</f>
        <v>8198.4</v>
      </c>
      <c r="J384" s="12" t="n">
        <f aca="false">I384*$J$5</f>
        <v>10355.8736842105</v>
      </c>
    </row>
    <row r="385" customFormat="false" ht="15" hidden="false" customHeight="true" outlineLevel="0" collapsed="false">
      <c r="A385" s="12" t="n">
        <v>4416003</v>
      </c>
      <c r="B385" s="12" t="str">
        <f aca="false">IFERROR(INDEX('Catalog'!$B:$B,MATCH($A385,'Catalog'!$A:$A,0)),"")</f>
        <v>308 Lעקבים סיליקון כחול לדורבן</v>
      </c>
      <c r="C385" s="12" t="n">
        <f aca="false">SUMIFS('סופר פארם Raw'!$C$6:$C$771,'סופר פארם Raw'!$E$6:$E$771,$A385,'סופר פארם Raw'!$B$6:$B$771,2025)</f>
        <v>0</v>
      </c>
      <c r="D385" s="12" t="n">
        <f aca="false">SUMIFS('סופר פארם Raw'!$C$6:$C$771,'סופר פארם Raw'!$E$6:$E$771,$A385,'סופר פארם Raw'!$B$6:$B$771,2026)</f>
        <v>-2</v>
      </c>
      <c r="E385" s="12" t="n">
        <f aca="false">D385*$J$5</f>
        <v>-2.52631578947368</v>
      </c>
      <c r="F385" s="12" t="n">
        <f aca="false">E385-C385</f>
        <v>-2.52631578947368</v>
      </c>
      <c r="G385" s="21" t="str">
        <f aca="false">IF(AND(C385=0,E385=0),0,IF(C385=0,"New",(E385-C385)/C385))</f>
        <v>New</v>
      </c>
      <c r="H385" s="12" t="n">
        <f aca="false">SUMIFS('סופר פארם Raw'!$D$6:$D$771,'סופר פארם Raw'!$E$6:$E$771,$A385,'סופר פארם Raw'!$B$6:$B$771,2025)</f>
        <v>0</v>
      </c>
      <c r="I385" s="12" t="n">
        <f aca="false">SUMIFS('סופר פארם Raw'!$D$6:$D$771,'סופר פארם Raw'!$E$6:$E$771,$A385,'סופר פארם Raw'!$B$6:$B$771,2026)</f>
        <v>-101.3</v>
      </c>
      <c r="J385" s="12" t="n">
        <f aca="false">I385*$J$5</f>
        <v>-127.957894736842</v>
      </c>
    </row>
    <row r="386" customFormat="false" ht="15" hidden="false" customHeight="true" outlineLevel="0" collapsed="false">
      <c r="A386" s="12" t="n">
        <v>4416006</v>
      </c>
      <c r="B386" s="12" t="str">
        <f aca="false">IFERROR(INDEX('Catalog'!$B:$B,MATCH($A386,'Catalog'!$A:$A,0)),"")</f>
        <v>308 Sעקבים סיליק.כחול לדורבן</v>
      </c>
      <c r="C386" s="12" t="n">
        <f aca="false">SUMIFS('סופר פארם Raw'!$C$6:$C$771,'סופר פארם Raw'!$E$6:$E$771,$A386,'סופר פארם Raw'!$B$6:$B$771,2025)</f>
        <v>-5</v>
      </c>
      <c r="D386" s="12" t="n">
        <f aca="false">SUMIFS('סופר פארם Raw'!$C$6:$C$771,'סופר פארם Raw'!$E$6:$E$771,$A386,'סופר פארם Raw'!$B$6:$B$771,2026)</f>
        <v>-1</v>
      </c>
      <c r="E386" s="12" t="n">
        <f aca="false">D386*$J$5</f>
        <v>-1.26315789473684</v>
      </c>
      <c r="F386" s="12" t="n">
        <f aca="false">E386-C386</f>
        <v>3.73684210526316</v>
      </c>
      <c r="G386" s="21" t="n">
        <f aca="false">IF(AND(C386=0,E386=0),0,IF(C386=0,"New",(E386-C386)/C386))</f>
        <v>-0.747368421052632</v>
      </c>
      <c r="H386" s="12" t="n">
        <f aca="false">SUMIFS('סופר פארם Raw'!$D$6:$D$771,'סופר פארם Raw'!$E$6:$E$771,$A386,'סופר פארם Raw'!$B$6:$B$771,2025)</f>
        <v>-245.6</v>
      </c>
      <c r="I386" s="12" t="n">
        <f aca="false">SUMIFS('סופר פארם Raw'!$D$6:$D$771,'סופר פארם Raw'!$E$6:$E$771,$A386,'סופר פארם Raw'!$B$6:$B$771,2026)</f>
        <v>-48.1</v>
      </c>
      <c r="J386" s="12" t="n">
        <f aca="false">I386*$J$5</f>
        <v>-60.7578947368421</v>
      </c>
    </row>
    <row r="387" customFormat="false" ht="15" hidden="false" customHeight="true" outlineLevel="0" collapsed="false">
      <c r="A387" s="12" t="n">
        <v>4416009</v>
      </c>
      <c r="B387" s="12" t="str">
        <f aca="false">IFERROR(INDEX('Catalog'!$B:$B,MATCH($A387,'Catalog'!$A:$A,0)),"")</f>
        <v>309 S תתמוקפאעקב סיליקון+ קשת</v>
      </c>
      <c r="C387" s="12" t="n">
        <f aca="false">SUMIFS('סופר פארם Raw'!$C$6:$C$771,'סופר פארם Raw'!$E$6:$E$771,$A387,'סופר פארם Raw'!$B$6:$B$771,2025)</f>
        <v>-3</v>
      </c>
      <c r="D387" s="12" t="n">
        <f aca="false">SUMIFS('סופר פארם Raw'!$C$6:$C$771,'סופר פארם Raw'!$E$6:$E$771,$A387,'סופר פארם Raw'!$B$6:$B$771,2026)</f>
        <v>0</v>
      </c>
      <c r="E387" s="12" t="n">
        <f aca="false">D387*$J$5</f>
        <v>0</v>
      </c>
      <c r="F387" s="12" t="n">
        <f aca="false">E387-C387</f>
        <v>3</v>
      </c>
      <c r="G387" s="21" t="n">
        <f aca="false">IF(AND(C387=0,E387=0),0,IF(C387=0,"New",(E387-C387)/C387))</f>
        <v>-1</v>
      </c>
      <c r="H387" s="12" t="n">
        <f aca="false">SUMIFS('סופר פארם Raw'!$D$6:$D$771,'סופר פארם Raw'!$E$6:$E$771,$A387,'סופר פארם Raw'!$B$6:$B$771,2025)</f>
        <v>-241.3</v>
      </c>
      <c r="I387" s="12" t="n">
        <f aca="false">SUMIFS('סופר פארם Raw'!$D$6:$D$771,'סופר פארם Raw'!$E$6:$E$771,$A387,'סופר פארם Raw'!$B$6:$B$771,2026)</f>
        <v>0</v>
      </c>
      <c r="J387" s="12" t="n">
        <f aca="false">I387*$J$5</f>
        <v>0</v>
      </c>
    </row>
    <row r="388" customFormat="false" ht="15" hidden="false" customHeight="true" outlineLevel="0" collapsed="false">
      <c r="A388" s="12" t="n">
        <v>4417000</v>
      </c>
      <c r="B388" s="12" t="str">
        <f aca="false">IFERROR(INDEX('Catalog'!$B:$B,MATCH($A388,'Catalog'!$A:$A,0)),"")</f>
        <v>PD342-פומפיה להסרת עור קשה</v>
      </c>
      <c r="C388" s="12" t="n">
        <f aca="false">SUMIFS('סופר פארם Raw'!$C$6:$C$771,'סופר פארם Raw'!$E$6:$E$771,$A388,'סופר פארם Raw'!$B$6:$B$771,2025)</f>
        <v>0</v>
      </c>
      <c r="D388" s="12" t="n">
        <f aca="false">SUMIFS('סופר פארם Raw'!$C$6:$C$771,'סופר פארם Raw'!$E$6:$E$771,$A388,'סופר פארם Raw'!$B$6:$B$771,2026)</f>
        <v>-4</v>
      </c>
      <c r="E388" s="12" t="n">
        <f aca="false">D388*$J$5</f>
        <v>-5.05263157894737</v>
      </c>
      <c r="F388" s="12" t="n">
        <f aca="false">E388-C388</f>
        <v>-5.05263157894737</v>
      </c>
      <c r="G388" s="21" t="str">
        <f aca="false">IF(AND(C388=0,E388=0),0,IF(C388=0,"New",(E388-C388)/C388))</f>
        <v>New</v>
      </c>
      <c r="H388" s="12" t="n">
        <f aca="false">SUMIFS('סופר פארם Raw'!$D$6:$D$771,'סופר פארם Raw'!$E$6:$E$771,$A388,'סופר פארם Raw'!$B$6:$B$771,2025)</f>
        <v>0</v>
      </c>
      <c r="I388" s="12" t="n">
        <f aca="false">SUMIFS('סופר פארם Raw'!$D$6:$D$771,'סופר פארם Raw'!$E$6:$E$771,$A388,'סופר פארם Raw'!$B$6:$B$771,2026)</f>
        <v>-81.2</v>
      </c>
      <c r="J388" s="12" t="n">
        <f aca="false">I388*$J$5</f>
        <v>-102.568421052632</v>
      </c>
    </row>
    <row r="389" customFormat="false" ht="15" hidden="false" customHeight="true" outlineLevel="0" collapsed="false">
      <c r="A389" s="12" t="n">
        <v>4418000</v>
      </c>
      <c r="B389" s="12" t="str">
        <f aca="false">IFERROR(INDEX('Catalog'!$B:$B,MATCH($A389,'Catalog'!$A:$A,0)),"")</f>
        <v>60 L צוארון ספוגי</v>
      </c>
      <c r="C389" s="12" t="n">
        <f aca="false">SUMIFS('סופר פארם Raw'!$C$6:$C$771,'סופר פארם Raw'!$E$6:$E$771,$A389,'סופר פארם Raw'!$B$6:$B$771,2025)</f>
        <v>596</v>
      </c>
      <c r="D389" s="12" t="n">
        <f aca="false">SUMIFS('סופר פארם Raw'!$C$6:$C$771,'סופר פארם Raw'!$E$6:$E$771,$A389,'סופר פארם Raw'!$B$6:$B$771,2026)</f>
        <v>431</v>
      </c>
      <c r="E389" s="12" t="n">
        <f aca="false">D389*$J$5</f>
        <v>544.421052631579</v>
      </c>
      <c r="F389" s="12" t="n">
        <f aca="false">E389-C389</f>
        <v>-51.578947368421</v>
      </c>
      <c r="G389" s="21" t="n">
        <f aca="false">IF(AND(C389=0,E389=0),0,IF(C389=0,"New",(E389-C389)/C389))</f>
        <v>-0.0865418580007065</v>
      </c>
      <c r="H389" s="12" t="n">
        <f aca="false">SUMIFS('סופר פארם Raw'!$D$6:$D$771,'סופר פארם Raw'!$E$6:$E$771,$A389,'סופר פארם Raw'!$B$6:$B$771,2025)</f>
        <v>17843.1</v>
      </c>
      <c r="I389" s="12" t="n">
        <f aca="false">SUMIFS('סופר פארם Raw'!$D$6:$D$771,'סופר פארם Raw'!$E$6:$E$771,$A389,'סופר פארם Raw'!$B$6:$B$771,2026)</f>
        <v>13864.9</v>
      </c>
      <c r="J389" s="12" t="n">
        <f aca="false">I389*$J$5</f>
        <v>17513.5578947368</v>
      </c>
    </row>
    <row r="390" customFormat="false" ht="15" hidden="false" customHeight="true" outlineLevel="0" collapsed="false">
      <c r="A390" s="12" t="n">
        <v>4418001</v>
      </c>
      <c r="B390" s="12" t="str">
        <f aca="false">IFERROR(INDEX('Catalog'!$B:$B,MATCH($A390,'Catalog'!$A:$A,0)),"")</f>
        <v>60 M צוארון ספוגי</v>
      </c>
      <c r="C390" s="12" t="n">
        <f aca="false">SUMIFS('סופר פארם Raw'!$C$6:$C$771,'סופר פארם Raw'!$E$6:$E$771,$A390,'סופר פארם Raw'!$B$6:$B$771,2025)</f>
        <v>635</v>
      </c>
      <c r="D390" s="12" t="n">
        <f aca="false">SUMIFS('סופר פארם Raw'!$C$6:$C$771,'סופר פארם Raw'!$E$6:$E$771,$A390,'סופר פארם Raw'!$B$6:$B$771,2026)</f>
        <v>408</v>
      </c>
      <c r="E390" s="12" t="n">
        <f aca="false">D390*$J$5</f>
        <v>515.368421052632</v>
      </c>
      <c r="F390" s="12" t="n">
        <f aca="false">E390-C390</f>
        <v>-119.631578947368</v>
      </c>
      <c r="G390" s="21" t="n">
        <f aca="false">IF(AND(C390=0,E390=0),0,IF(C390=0,"New",(E390-C390)/C390))</f>
        <v>-0.18839618731869</v>
      </c>
      <c r="H390" s="12" t="n">
        <f aca="false">SUMIFS('סופר פארם Raw'!$D$6:$D$771,'סופר פארם Raw'!$E$6:$E$771,$A390,'סופר פארם Raw'!$B$6:$B$771,2025)</f>
        <v>19003.5</v>
      </c>
      <c r="I390" s="12" t="n">
        <f aca="false">SUMIFS('סופר פארם Raw'!$D$6:$D$771,'סופר פארם Raw'!$E$6:$E$771,$A390,'סופר פארם Raw'!$B$6:$B$771,2026)</f>
        <v>12526</v>
      </c>
      <c r="J390" s="12" t="n">
        <f aca="false">I390*$J$5</f>
        <v>15822.3157894737</v>
      </c>
    </row>
    <row r="391" customFormat="false" ht="15" hidden="false" customHeight="true" outlineLevel="0" collapsed="false">
      <c r="A391" s="12" t="n">
        <v>4418002</v>
      </c>
      <c r="B391" s="12" t="str">
        <f aca="false">IFERROR(INDEX('Catalog'!$B:$B,MATCH($A391,'Catalog'!$A:$A,0)),"")</f>
        <v>60 S צוארון ספוגי</v>
      </c>
      <c r="C391" s="12" t="n">
        <f aca="false">SUMIFS('סופר פארם Raw'!$C$6:$C$771,'סופר פארם Raw'!$E$6:$E$771,$A391,'סופר פארם Raw'!$B$6:$B$771,2025)</f>
        <v>371</v>
      </c>
      <c r="D391" s="12" t="n">
        <f aca="false">SUMIFS('סופר פארם Raw'!$C$6:$C$771,'סופר פארם Raw'!$E$6:$E$771,$A391,'סופר פארם Raw'!$B$6:$B$771,2026)</f>
        <v>268</v>
      </c>
      <c r="E391" s="12" t="n">
        <f aca="false">D391*$J$5</f>
        <v>338.526315789474</v>
      </c>
      <c r="F391" s="12" t="n">
        <f aca="false">E391-C391</f>
        <v>-32.4736842105264</v>
      </c>
      <c r="G391" s="21" t="n">
        <f aca="false">IF(AND(C391=0,E391=0),0,IF(C391=0,"New",(E391-C391)/C391))</f>
        <v>-0.0875301461200171</v>
      </c>
      <c r="H391" s="12" t="n">
        <f aca="false">SUMIFS('סופר פארם Raw'!$D$6:$D$771,'סופר פארם Raw'!$E$6:$E$771,$A391,'סופר פארם Raw'!$B$6:$B$771,2025)</f>
        <v>11107.5</v>
      </c>
      <c r="I391" s="12" t="n">
        <f aca="false">SUMIFS('סופר פארם Raw'!$D$6:$D$771,'סופר פארם Raw'!$E$6:$E$771,$A391,'סופר פארם Raw'!$B$6:$B$771,2026)</f>
        <v>8507.3</v>
      </c>
      <c r="J391" s="12" t="n">
        <f aca="false">I391*$J$5</f>
        <v>10746.0631578947</v>
      </c>
    </row>
    <row r="392" customFormat="false" ht="15" hidden="false" customHeight="true" outlineLevel="0" collapsed="false">
      <c r="A392" s="12" t="n">
        <v>4418003</v>
      </c>
      <c r="B392" s="12" t="str">
        <f aca="false">IFERROR(INDEX('Catalog'!$B:$B,MATCH($A392,'Catalog'!$A:$A,0)),"")</f>
        <v>60 XL צוארון ספוגי</v>
      </c>
      <c r="C392" s="12" t="n">
        <f aca="false">SUMIFS('סופר פארם Raw'!$C$6:$C$771,'סופר פארם Raw'!$E$6:$E$771,$A392,'סופר פארם Raw'!$B$6:$B$771,2025)</f>
        <v>503</v>
      </c>
      <c r="D392" s="12" t="n">
        <f aca="false">SUMIFS('סופר פארם Raw'!$C$6:$C$771,'סופר פארם Raw'!$E$6:$E$771,$A392,'סופר פארם Raw'!$B$6:$B$771,2026)</f>
        <v>305</v>
      </c>
      <c r="E392" s="12" t="n">
        <f aca="false">D392*$J$5</f>
        <v>385.263157894737</v>
      </c>
      <c r="F392" s="12" t="n">
        <f aca="false">E392-C392</f>
        <v>-117.736842105263</v>
      </c>
      <c r="G392" s="21" t="n">
        <f aca="false">IF(AND(C392=0,E392=0),0,IF(C392=0,"New",(E392-C392)/C392))</f>
        <v>-0.234069268598933</v>
      </c>
      <c r="H392" s="12" t="n">
        <f aca="false">SUMIFS('סופר פארם Raw'!$D$6:$D$771,'סופר פארם Raw'!$E$6:$E$771,$A392,'סופר פארם Raw'!$B$6:$B$771,2025)</f>
        <v>15063</v>
      </c>
      <c r="I392" s="12" t="n">
        <f aca="false">SUMIFS('סופר פארם Raw'!$D$6:$D$771,'סופר פארם Raw'!$E$6:$E$771,$A392,'סופר פארם Raw'!$B$6:$B$771,2026)</f>
        <v>9655.5</v>
      </c>
      <c r="J392" s="12" t="n">
        <f aca="false">I392*$J$5</f>
        <v>12196.4210526316</v>
      </c>
    </row>
    <row r="393" customFormat="false" ht="15" hidden="false" customHeight="true" outlineLevel="0" collapsed="false">
      <c r="A393" s="12" t="n">
        <v>4418004</v>
      </c>
      <c r="B393" s="12" t="str">
        <f aca="false">IFERROR(INDEX('Catalog'!$B:$B,MATCH($A393,'Catalog'!$A:$A,0)),"")</f>
        <v>60 XXL צוארון ספוגי</v>
      </c>
      <c r="C393" s="12" t="n">
        <f aca="false">SUMIFS('סופר פארם Raw'!$C$6:$C$771,'סופר פארם Raw'!$E$6:$E$771,$A393,'סופר פארם Raw'!$B$6:$B$771,2025)</f>
        <v>1</v>
      </c>
      <c r="D393" s="12" t="n">
        <f aca="false">SUMIFS('סופר פארם Raw'!$C$6:$C$771,'סופר פארם Raw'!$E$6:$E$771,$A393,'סופר פארם Raw'!$B$6:$B$771,2026)</f>
        <v>0</v>
      </c>
      <c r="E393" s="12" t="n">
        <f aca="false">D393*$J$5</f>
        <v>0</v>
      </c>
      <c r="F393" s="12" t="n">
        <f aca="false">E393-C393</f>
        <v>-1</v>
      </c>
      <c r="G393" s="21" t="n">
        <f aca="false">IF(AND(C393=0,E393=0),0,IF(C393=0,"New",(E393-C393)/C393))</f>
        <v>-1</v>
      </c>
      <c r="H393" s="12" t="n">
        <f aca="false">SUMIFS('סופר פארם Raw'!$D$6:$D$771,'סופר פארם Raw'!$E$6:$E$771,$A393,'סופר פארם Raw'!$B$6:$B$771,2025)</f>
        <v>30</v>
      </c>
      <c r="I393" s="12" t="n">
        <f aca="false">SUMIFS('סופר פארם Raw'!$D$6:$D$771,'סופר פארם Raw'!$E$6:$E$771,$A393,'סופר פארם Raw'!$B$6:$B$771,2026)</f>
        <v>0</v>
      </c>
      <c r="J393" s="12" t="n">
        <f aca="false">I393*$J$5</f>
        <v>0</v>
      </c>
    </row>
    <row r="394" customFormat="false" ht="15" hidden="false" customHeight="true" outlineLevel="0" collapsed="false">
      <c r="A394" s="12" t="n">
        <v>4418016</v>
      </c>
      <c r="B394" s="12" t="str">
        <f aca="false">IFERROR(INDEX('Catalog'!$B:$B,MATCH($A394,'Catalog'!$A:$A,0)),"")</f>
        <v>60XS צוארון ספוגי</v>
      </c>
      <c r="C394" s="12" t="n">
        <f aca="false">SUMIFS('סופר פארם Raw'!$C$6:$C$771,'סופר פארם Raw'!$E$6:$E$771,$A394,'סופר פארם Raw'!$B$6:$B$771,2025)</f>
        <v>-3</v>
      </c>
      <c r="D394" s="12" t="n">
        <f aca="false">SUMIFS('סופר פארם Raw'!$C$6:$C$771,'סופר פארם Raw'!$E$6:$E$771,$A394,'סופר פארם Raw'!$B$6:$B$771,2026)</f>
        <v>0</v>
      </c>
      <c r="E394" s="12" t="n">
        <f aca="false">D394*$J$5</f>
        <v>0</v>
      </c>
      <c r="F394" s="12" t="n">
        <f aca="false">E394-C394</f>
        <v>3</v>
      </c>
      <c r="G394" s="21" t="n">
        <f aca="false">IF(AND(C394=0,E394=0),0,IF(C394=0,"New",(E394-C394)/C394))</f>
        <v>-1</v>
      </c>
      <c r="H394" s="12" t="n">
        <f aca="false">SUMIFS('סופר פארם Raw'!$D$6:$D$771,'סופר פארם Raw'!$E$6:$E$771,$A394,'סופר פארם Raw'!$B$6:$B$771,2025)</f>
        <v>-90</v>
      </c>
      <c r="I394" s="12" t="n">
        <f aca="false">SUMIFS('סופר פארם Raw'!$D$6:$D$771,'סופר פארם Raw'!$E$6:$E$771,$A394,'סופר פארם Raw'!$B$6:$B$771,2026)</f>
        <v>0</v>
      </c>
      <c r="J394" s="12" t="n">
        <f aca="false">I394*$J$5</f>
        <v>0</v>
      </c>
    </row>
    <row r="395" customFormat="false" ht="15" hidden="false" customHeight="true" outlineLevel="0" collapsed="false">
      <c r="A395" s="12" t="n">
        <v>4419006</v>
      </c>
      <c r="B395" s="12" t="str">
        <f aca="false">IFERROR(INDEX('Catalog'!$B:$B,MATCH($A395,'Catalog'!$A:$A,0)),"")</f>
        <v>PD340-קוצץ ציפורניים</v>
      </c>
      <c r="C395" s="12" t="n">
        <f aca="false">SUMIFS('סופר פארם Raw'!$C$6:$C$771,'סופר פארם Raw'!$E$6:$E$771,$A395,'סופר פארם Raw'!$B$6:$B$771,2025)</f>
        <v>0</v>
      </c>
      <c r="D395" s="12" t="n">
        <f aca="false">SUMIFS('סופר פארם Raw'!$C$6:$C$771,'סופר פארם Raw'!$E$6:$E$771,$A395,'סופר פארם Raw'!$B$6:$B$771,2026)</f>
        <v>-2</v>
      </c>
      <c r="E395" s="12" t="n">
        <f aca="false">D395*$J$5</f>
        <v>-2.52631578947368</v>
      </c>
      <c r="F395" s="12" t="n">
        <f aca="false">E395-C395</f>
        <v>-2.52631578947368</v>
      </c>
      <c r="G395" s="21" t="str">
        <f aca="false">IF(AND(C395=0,E395=0),0,IF(C395=0,"New",(E395-C395)/C395))</f>
        <v>New</v>
      </c>
      <c r="H395" s="12" t="n">
        <f aca="false">SUMIFS('סופר פארם Raw'!$D$6:$D$771,'סופר פארם Raw'!$E$6:$E$771,$A395,'סופר פארם Raw'!$B$6:$B$771,2025)</f>
        <v>0</v>
      </c>
      <c r="I395" s="12" t="n">
        <f aca="false">SUMIFS('סופר פארם Raw'!$D$6:$D$771,'סופר פארם Raw'!$E$6:$E$771,$A395,'סופר פארם Raw'!$B$6:$B$771,2026)</f>
        <v>-24.4</v>
      </c>
      <c r="J395" s="12" t="n">
        <f aca="false">I395*$J$5</f>
        <v>-30.8210526315789</v>
      </c>
    </row>
    <row r="396" customFormat="false" ht="15" hidden="false" customHeight="true" outlineLevel="0" collapsed="false">
      <c r="A396" s="12" t="n">
        <v>4419011</v>
      </c>
      <c r="B396" s="12" t="str">
        <f aca="false">IFERROR(INDEX('Catalog'!$B:$B,MATCH($A396,'Catalog'!$A:$A,0)),"")</f>
        <v>239B S-M STRAP4U</v>
      </c>
      <c r="C396" s="12" t="n">
        <f aca="false">SUMIFS('סופר פארם Raw'!$C$6:$C$771,'סופר פארם Raw'!$E$6:$E$771,$A396,'סופר פארם Raw'!$B$6:$B$771,2025)</f>
        <v>257</v>
      </c>
      <c r="D396" s="12" t="n">
        <f aca="false">SUMIFS('סופר פארם Raw'!$C$6:$C$771,'סופר פארם Raw'!$E$6:$E$771,$A396,'סופר פארם Raw'!$B$6:$B$771,2026)</f>
        <v>41</v>
      </c>
      <c r="E396" s="12" t="n">
        <f aca="false">D396*$J$5</f>
        <v>51.7894736842105</v>
      </c>
      <c r="F396" s="12" t="n">
        <f aca="false">E396-C396</f>
        <v>-205.210526315789</v>
      </c>
      <c r="G396" s="21" t="n">
        <f aca="false">IF(AND(C396=0,E396=0),0,IF(C396=0,"New",(E396-C396)/C396))</f>
        <v>-0.798484538193733</v>
      </c>
      <c r="H396" s="12" t="n">
        <f aca="false">SUMIFS('סופר פארם Raw'!$D$6:$D$771,'סופר פארם Raw'!$E$6:$E$771,$A396,'סופר פארם Raw'!$B$6:$B$771,2025)</f>
        <v>4298.7</v>
      </c>
      <c r="I396" s="12" t="n">
        <f aca="false">SUMIFS('סופר פארם Raw'!$D$6:$D$771,'סופר פארם Raw'!$E$6:$E$771,$A396,'סופר פארם Raw'!$B$6:$B$771,2026)</f>
        <v>737.4</v>
      </c>
      <c r="J396" s="12" t="n">
        <f aca="false">I396*$J$5</f>
        <v>931.452631578947</v>
      </c>
    </row>
    <row r="397" customFormat="false" ht="15" hidden="false" customHeight="true" outlineLevel="0" collapsed="false">
      <c r="A397" s="12" t="n">
        <v>4419012</v>
      </c>
      <c r="B397" s="12" t="str">
        <f aca="false">IFERROR(INDEX('Catalog'!$B:$B,MATCH($A397,'Catalog'!$A:$A,0)),"")</f>
        <v>239P S-M STRAP4U</v>
      </c>
      <c r="C397" s="12" t="n">
        <f aca="false">SUMIFS('סופר פארם Raw'!$C$6:$C$771,'סופר פארם Raw'!$E$6:$E$771,$A397,'סופר פארם Raw'!$B$6:$B$771,2025)</f>
        <v>95</v>
      </c>
      <c r="D397" s="12" t="n">
        <f aca="false">SUMIFS('סופר פארם Raw'!$C$6:$C$771,'סופר פארם Raw'!$E$6:$E$771,$A397,'סופר פארם Raw'!$B$6:$B$771,2026)</f>
        <v>-57</v>
      </c>
      <c r="E397" s="12" t="n">
        <f aca="false">D397*$J$5</f>
        <v>-72</v>
      </c>
      <c r="F397" s="12" t="n">
        <f aca="false">E397-C397</f>
        <v>-167</v>
      </c>
      <c r="G397" s="21" t="n">
        <f aca="false">IF(AND(C397=0,E397=0),0,IF(C397=0,"New",(E397-C397)/C397))</f>
        <v>-1.75789473684211</v>
      </c>
      <c r="H397" s="12" t="n">
        <f aca="false">SUMIFS('סופר פארם Raw'!$D$6:$D$771,'סופר פארם Raw'!$E$6:$E$771,$A397,'סופר פארם Raw'!$B$6:$B$771,2025)</f>
        <v>1673</v>
      </c>
      <c r="I397" s="12" t="n">
        <f aca="false">SUMIFS('סופר פארם Raw'!$D$6:$D$771,'סופר פארם Raw'!$E$6:$E$771,$A397,'סופר פארם Raw'!$B$6:$B$771,2026)</f>
        <v>-564.6</v>
      </c>
      <c r="J397" s="12" t="n">
        <f aca="false">I397*$J$5</f>
        <v>-713.178947368421</v>
      </c>
    </row>
    <row r="398" customFormat="false" ht="15" hidden="false" customHeight="true" outlineLevel="0" collapsed="false">
      <c r="A398" s="12" t="n">
        <v>4419013</v>
      </c>
      <c r="B398" s="12" t="str">
        <f aca="false">IFERROR(INDEX('Catalog'!$B:$B,MATCH($A398,'Catalog'!$A:$A,0)),"")</f>
        <v>239B L-XL STRAP4U</v>
      </c>
      <c r="C398" s="12" t="n">
        <f aca="false">SUMIFS('סופר פארם Raw'!$C$6:$C$771,'סופר פארם Raw'!$E$6:$E$771,$A398,'סופר פארם Raw'!$B$6:$B$771,2025)</f>
        <v>239</v>
      </c>
      <c r="D398" s="12" t="n">
        <f aca="false">SUMIFS('סופר פארם Raw'!$C$6:$C$771,'סופר פארם Raw'!$E$6:$E$771,$A398,'סופר פארם Raw'!$B$6:$B$771,2026)</f>
        <v>48</v>
      </c>
      <c r="E398" s="12" t="n">
        <f aca="false">D398*$J$5</f>
        <v>60.6315789473684</v>
      </c>
      <c r="F398" s="12" t="n">
        <f aca="false">E398-C398</f>
        <v>-178.368421052632</v>
      </c>
      <c r="G398" s="21" t="n">
        <f aca="false">IF(AND(C398=0,E398=0),0,IF(C398=0,"New",(E398-C398)/C398))</f>
        <v>-0.746311385157454</v>
      </c>
      <c r="H398" s="12" t="n">
        <f aca="false">SUMIFS('סופר פארם Raw'!$D$6:$D$771,'סופר פארם Raw'!$E$6:$E$771,$A398,'סופר פארם Raw'!$B$6:$B$771,2025)</f>
        <v>3993.5</v>
      </c>
      <c r="I398" s="12" t="n">
        <f aca="false">SUMIFS('סופר פארם Raw'!$D$6:$D$771,'סופר פארם Raw'!$E$6:$E$771,$A398,'סופר פארם Raw'!$B$6:$B$771,2026)</f>
        <v>874.8</v>
      </c>
      <c r="J398" s="12" t="n">
        <f aca="false">I398*$J$5</f>
        <v>1105.01052631579</v>
      </c>
    </row>
    <row r="399" customFormat="false" ht="15" hidden="false" customHeight="true" outlineLevel="0" collapsed="false">
      <c r="A399" s="12" t="n">
        <v>4419014</v>
      </c>
      <c r="B399" s="12" t="str">
        <f aca="false">IFERROR(INDEX('Catalog'!$B:$B,MATCH($A399,'Catalog'!$A:$A,0)),"")</f>
        <v>239TR L-XL STRAP4U</v>
      </c>
      <c r="C399" s="12" t="n">
        <f aca="false">SUMIFS('סופר פארם Raw'!$C$6:$C$771,'סופר פארם Raw'!$E$6:$E$771,$A399,'סופר פארם Raw'!$B$6:$B$771,2025)</f>
        <v>328</v>
      </c>
      <c r="D399" s="12" t="n">
        <f aca="false">SUMIFS('סופר פארם Raw'!$C$6:$C$771,'סופר פארם Raw'!$E$6:$E$771,$A399,'סופר פארם Raw'!$B$6:$B$771,2026)</f>
        <v>118</v>
      </c>
      <c r="E399" s="12" t="n">
        <f aca="false">D399*$J$5</f>
        <v>149.052631578947</v>
      </c>
      <c r="F399" s="12" t="n">
        <f aca="false">E399-C399</f>
        <v>-178.947368421053</v>
      </c>
      <c r="G399" s="21" t="n">
        <f aca="false">IF(AND(C399=0,E399=0),0,IF(C399=0,"New",(E399-C399)/C399))</f>
        <v>-0.545571245186136</v>
      </c>
      <c r="H399" s="12" t="n">
        <f aca="false">SUMIFS('סופר פארם Raw'!$D$6:$D$771,'סופר פארם Raw'!$E$6:$E$771,$A399,'סופר פארם Raw'!$B$6:$B$771,2025)</f>
        <v>5450</v>
      </c>
      <c r="I399" s="12" t="n">
        <f aca="false">SUMIFS('סופר פארם Raw'!$D$6:$D$771,'סופר פארם Raw'!$E$6:$E$771,$A399,'סופר פארם Raw'!$B$6:$B$771,2026)</f>
        <v>1978.2</v>
      </c>
      <c r="J399" s="12" t="n">
        <f aca="false">I399*$J$5</f>
        <v>2498.77894736842</v>
      </c>
    </row>
    <row r="400" customFormat="false" ht="15" hidden="false" customHeight="true" outlineLevel="0" collapsed="false">
      <c r="A400" s="12" t="n">
        <v>4420001</v>
      </c>
      <c r="B400" s="12" t="str">
        <f aca="false">IFERROR(INDEX('Catalog'!$B:$B,MATCH($A400,'Catalog'!$A:$A,0)),"")</f>
        <v>371 רפידת מגבת כותנה-זוג</v>
      </c>
      <c r="C400" s="12" t="n">
        <f aca="false">SUMIFS('סופר פארם Raw'!$C$6:$C$771,'סופר פארם Raw'!$E$6:$E$771,$A400,'סופר פארם Raw'!$B$6:$B$771,2025)</f>
        <v>34</v>
      </c>
      <c r="D400" s="12" t="n">
        <f aca="false">SUMIFS('סופר פארם Raw'!$C$6:$C$771,'סופר פארם Raw'!$E$6:$E$771,$A400,'סופר פארם Raw'!$B$6:$B$771,2026)</f>
        <v>28</v>
      </c>
      <c r="E400" s="12" t="n">
        <f aca="false">D400*$J$5</f>
        <v>35.3684210526316</v>
      </c>
      <c r="F400" s="12" t="n">
        <f aca="false">E400-C400</f>
        <v>1.36842105263158</v>
      </c>
      <c r="G400" s="21" t="n">
        <f aca="false">IF(AND(C400=0,E400=0),0,IF(C400=0,"New",(E400-C400)/C400))</f>
        <v>0.0402476780185757</v>
      </c>
      <c r="H400" s="12" t="n">
        <f aca="false">SUMIFS('סופר פארם Raw'!$D$6:$D$771,'סופר פארם Raw'!$E$6:$E$771,$A400,'סופר פארם Raw'!$B$6:$B$771,2025)</f>
        <v>336.9</v>
      </c>
      <c r="I400" s="12" t="n">
        <f aca="false">SUMIFS('סופר פארם Raw'!$D$6:$D$771,'סופר פארם Raw'!$E$6:$E$771,$A400,'סופר פארם Raw'!$B$6:$B$771,2026)</f>
        <v>279.9</v>
      </c>
      <c r="J400" s="12" t="n">
        <f aca="false">I400*$J$5</f>
        <v>353.557894736842</v>
      </c>
    </row>
    <row r="401" customFormat="false" ht="15" hidden="false" customHeight="true" outlineLevel="0" collapsed="false">
      <c r="A401" s="12" t="n">
        <v>4420005</v>
      </c>
      <c r="B401" s="12" t="str">
        <f aca="false">IFERROR(INDEX('Catalog'!$B:$B,MATCH($A401,'Catalog'!$A:$A,0)),"")</f>
        <v>377 רפ.אורטופדית ספורט זוג36</v>
      </c>
      <c r="C401" s="12" t="n">
        <f aca="false">SUMIFS('סופר פארם Raw'!$C$6:$C$771,'סופר פארם Raw'!$E$6:$E$771,$A401,'סופר פארם Raw'!$B$6:$B$771,2025)</f>
        <v>0</v>
      </c>
      <c r="D401" s="12" t="n">
        <f aca="false">SUMIFS('סופר פארם Raw'!$C$6:$C$771,'סופר פארם Raw'!$E$6:$E$771,$A401,'סופר פארם Raw'!$B$6:$B$771,2026)</f>
        <v>-2</v>
      </c>
      <c r="E401" s="12" t="n">
        <f aca="false">D401*$J$5</f>
        <v>-2.52631578947368</v>
      </c>
      <c r="F401" s="12" t="n">
        <f aca="false">E401-C401</f>
        <v>-2.52631578947368</v>
      </c>
      <c r="G401" s="21" t="str">
        <f aca="false">IF(AND(C401=0,E401=0),0,IF(C401=0,"New",(E401-C401)/C401))</f>
        <v>New</v>
      </c>
      <c r="H401" s="12" t="n">
        <f aca="false">SUMIFS('סופר פארם Raw'!$D$6:$D$771,'סופר פארם Raw'!$E$6:$E$771,$A401,'סופר פארם Raw'!$B$6:$B$771,2025)</f>
        <v>7.7</v>
      </c>
      <c r="I401" s="12" t="n">
        <f aca="false">SUMIFS('סופר פארם Raw'!$D$6:$D$771,'סופר פארם Raw'!$E$6:$E$771,$A401,'סופר פארם Raw'!$B$6:$B$771,2026)</f>
        <v>-73</v>
      </c>
      <c r="J401" s="12" t="n">
        <f aca="false">I401*$J$5</f>
        <v>-92.2105263157895</v>
      </c>
    </row>
    <row r="402" customFormat="false" ht="15" hidden="false" customHeight="true" outlineLevel="0" collapsed="false">
      <c r="A402" s="12" t="n">
        <v>4420006</v>
      </c>
      <c r="B402" s="12" t="str">
        <f aca="false">IFERROR(INDEX('Catalog'!$B:$B,MATCH($A402,'Catalog'!$A:$A,0)),"")</f>
        <v>377  רפ.אורטופדית ספורט זוג37</v>
      </c>
      <c r="C402" s="12" t="n">
        <f aca="false">SUMIFS('סופר פארם Raw'!$C$6:$C$771,'סופר פארם Raw'!$E$6:$E$771,$A402,'סופר פארם Raw'!$B$6:$B$771,2025)</f>
        <v>0</v>
      </c>
      <c r="D402" s="12" t="n">
        <f aca="false">SUMIFS('סופר פארם Raw'!$C$6:$C$771,'סופר פארם Raw'!$E$6:$E$771,$A402,'סופר פארם Raw'!$B$6:$B$771,2026)</f>
        <v>-1</v>
      </c>
      <c r="E402" s="12" t="n">
        <f aca="false">D402*$J$5</f>
        <v>-1.26315789473684</v>
      </c>
      <c r="F402" s="12" t="n">
        <f aca="false">E402-C402</f>
        <v>-1.26315789473684</v>
      </c>
      <c r="G402" s="21" t="str">
        <f aca="false">IF(AND(C402=0,E402=0),0,IF(C402=0,"New",(E402-C402)/C402))</f>
        <v>New</v>
      </c>
      <c r="H402" s="12" t="n">
        <f aca="false">SUMIFS('סופר פארם Raw'!$D$6:$D$771,'סופר פארם Raw'!$E$6:$E$771,$A402,'סופר פארם Raw'!$B$6:$B$771,2025)</f>
        <v>0</v>
      </c>
      <c r="I402" s="12" t="n">
        <f aca="false">SUMIFS('סופר פארם Raw'!$D$6:$D$771,'סופר פארם Raw'!$E$6:$E$771,$A402,'סופר פארם Raw'!$B$6:$B$771,2026)</f>
        <v>-36.5</v>
      </c>
      <c r="J402" s="12" t="n">
        <f aca="false">I402*$J$5</f>
        <v>-46.1052631578947</v>
      </c>
    </row>
    <row r="403" customFormat="false" ht="15" hidden="false" customHeight="true" outlineLevel="0" collapsed="false">
      <c r="A403" s="12" t="n">
        <v>4420007</v>
      </c>
      <c r="B403" s="12" t="str">
        <f aca="false">IFERROR(INDEX('Catalog'!$B:$B,MATCH($A403,'Catalog'!$A:$A,0)),"")</f>
        <v>377   רפ.ורטופדית ספורט זוג38</v>
      </c>
      <c r="C403" s="12" t="n">
        <f aca="false">SUMIFS('סופר פארם Raw'!$C$6:$C$771,'סופר פארם Raw'!$E$6:$E$771,$A403,'סופר פארם Raw'!$B$6:$B$771,2025)</f>
        <v>6</v>
      </c>
      <c r="D403" s="12" t="n">
        <f aca="false">SUMIFS('סופר פארם Raw'!$C$6:$C$771,'סופר פארם Raw'!$E$6:$E$771,$A403,'סופר פארם Raw'!$B$6:$B$771,2026)</f>
        <v>0</v>
      </c>
      <c r="E403" s="12" t="n">
        <f aca="false">D403*$J$5</f>
        <v>0</v>
      </c>
      <c r="F403" s="12" t="n">
        <f aca="false">E403-C403</f>
        <v>-6</v>
      </c>
      <c r="G403" s="21" t="n">
        <f aca="false">IF(AND(C403=0,E403=0),0,IF(C403=0,"New",(E403-C403)/C403))</f>
        <v>-1</v>
      </c>
      <c r="H403" s="12" t="n">
        <f aca="false">SUMIFS('סופר פארם Raw'!$D$6:$D$771,'סופר פארם Raw'!$E$6:$E$771,$A403,'סופר פארם Raw'!$B$6:$B$771,2025)</f>
        <v>219.1</v>
      </c>
      <c r="I403" s="12" t="n">
        <f aca="false">SUMIFS('סופר פארם Raw'!$D$6:$D$771,'סופר פארם Raw'!$E$6:$E$771,$A403,'סופר פארם Raw'!$B$6:$B$771,2026)</f>
        <v>0</v>
      </c>
      <c r="J403" s="12" t="n">
        <f aca="false">I403*$J$5</f>
        <v>0</v>
      </c>
    </row>
    <row r="404" customFormat="false" ht="15" hidden="false" customHeight="true" outlineLevel="0" collapsed="false">
      <c r="A404" s="12" t="n">
        <v>4420008</v>
      </c>
      <c r="B404" s="12" t="str">
        <f aca="false">IFERROR(INDEX('Catalog'!$B:$B,MATCH($A404,'Catalog'!$A:$A,0)),"")</f>
        <v>377  רפ.אורטופדית ספורט זוג39</v>
      </c>
      <c r="C404" s="12" t="n">
        <f aca="false">SUMIFS('סופר פארם Raw'!$C$6:$C$771,'סופר פארם Raw'!$E$6:$E$771,$A404,'סופר פארם Raw'!$B$6:$B$771,2025)</f>
        <v>3</v>
      </c>
      <c r="D404" s="12" t="n">
        <f aca="false">SUMIFS('סופר פארם Raw'!$C$6:$C$771,'סופר פארם Raw'!$E$6:$E$771,$A404,'סופר פארם Raw'!$B$6:$B$771,2026)</f>
        <v>0</v>
      </c>
      <c r="E404" s="12" t="n">
        <f aca="false">D404*$J$5</f>
        <v>0</v>
      </c>
      <c r="F404" s="12" t="n">
        <f aca="false">E404-C404</f>
        <v>-3</v>
      </c>
      <c r="G404" s="21" t="n">
        <f aca="false">IF(AND(C404=0,E404=0),0,IF(C404=0,"New",(E404-C404)/C404))</f>
        <v>-1</v>
      </c>
      <c r="H404" s="12" t="n">
        <f aca="false">SUMIFS('סופר פארם Raw'!$D$6:$D$771,'סופר פארם Raw'!$E$6:$E$771,$A404,'סופר פארם Raw'!$B$6:$B$771,2025)</f>
        <v>109.6</v>
      </c>
      <c r="I404" s="12" t="n">
        <f aca="false">SUMIFS('סופר פארם Raw'!$D$6:$D$771,'סופר פארם Raw'!$E$6:$E$771,$A404,'סופר פארם Raw'!$B$6:$B$771,2026)</f>
        <v>0</v>
      </c>
      <c r="J404" s="12" t="n">
        <f aca="false">I404*$J$5</f>
        <v>0</v>
      </c>
    </row>
    <row r="405" customFormat="false" ht="15" hidden="false" customHeight="true" outlineLevel="0" collapsed="false">
      <c r="A405" s="12" t="n">
        <v>4420010</v>
      </c>
      <c r="B405" s="12" t="str">
        <f aca="false">IFERROR(INDEX('Catalog'!$B:$B,MATCH($A405,'Catalog'!$A:$A,0)),"")</f>
        <v>377  רפידה אורטופ.ספורט זוג41</v>
      </c>
      <c r="C405" s="12" t="n">
        <f aca="false">SUMIFS('סופר פארם Raw'!$C$6:$C$771,'סופר פארם Raw'!$E$6:$E$771,$A405,'סופר פארם Raw'!$B$6:$B$771,2025)</f>
        <v>1</v>
      </c>
      <c r="D405" s="12" t="n">
        <f aca="false">SUMIFS('סופר פארם Raw'!$C$6:$C$771,'סופר פארם Raw'!$E$6:$E$771,$A405,'סופר פארם Raw'!$B$6:$B$771,2026)</f>
        <v>-1</v>
      </c>
      <c r="E405" s="12" t="n">
        <f aca="false">D405*$J$5</f>
        <v>-1.26315789473684</v>
      </c>
      <c r="F405" s="12" t="n">
        <f aca="false">E405-C405</f>
        <v>-2.26315789473684</v>
      </c>
      <c r="G405" s="21" t="n">
        <f aca="false">IF(AND(C405=0,E405=0),0,IF(C405=0,"New",(E405-C405)/C405))</f>
        <v>-2.26315789473684</v>
      </c>
      <c r="H405" s="12" t="n">
        <f aca="false">SUMIFS('סופר פארם Raw'!$D$6:$D$771,'סופר פארם Raw'!$E$6:$E$771,$A405,'סופר פארם Raw'!$B$6:$B$771,2025)</f>
        <v>36.5</v>
      </c>
      <c r="I405" s="12" t="n">
        <f aca="false">SUMIFS('סופר פארם Raw'!$D$6:$D$771,'סופר פארם Raw'!$E$6:$E$771,$A405,'סופר פארם Raw'!$B$6:$B$771,2026)</f>
        <v>-32.7</v>
      </c>
      <c r="J405" s="12" t="n">
        <f aca="false">I405*$J$5</f>
        <v>-41.3052631578947</v>
      </c>
    </row>
    <row r="406" customFormat="false" ht="15" hidden="false" customHeight="true" outlineLevel="0" collapsed="false">
      <c r="A406" s="12" t="n">
        <v>4420011</v>
      </c>
      <c r="B406" s="12" t="str">
        <f aca="false">IFERROR(INDEX('Catalog'!$B:$B,MATCH($A406,'Catalog'!$A:$A,0)),"")</f>
        <v>377 רפידה אורטופ.ספורט זוג42</v>
      </c>
      <c r="C406" s="12" t="n">
        <f aca="false">SUMIFS('סופר פארם Raw'!$C$6:$C$771,'סופר פארם Raw'!$E$6:$E$771,$A406,'סופר פארם Raw'!$B$6:$B$771,2025)</f>
        <v>-2</v>
      </c>
      <c r="D406" s="12" t="n">
        <f aca="false">SUMIFS('סופר פארם Raw'!$C$6:$C$771,'סופר פארם Raw'!$E$6:$E$771,$A406,'סופר פארם Raw'!$B$6:$B$771,2026)</f>
        <v>0</v>
      </c>
      <c r="E406" s="12" t="n">
        <f aca="false">D406*$J$5</f>
        <v>0</v>
      </c>
      <c r="F406" s="12" t="n">
        <f aca="false">E406-C406</f>
        <v>2</v>
      </c>
      <c r="G406" s="21" t="n">
        <f aca="false">IF(AND(C406=0,E406=0),0,IF(C406=0,"New",(E406-C406)/C406))</f>
        <v>-1</v>
      </c>
      <c r="H406" s="12" t="n">
        <f aca="false">SUMIFS('סופר פארם Raw'!$D$6:$D$771,'סופר פארם Raw'!$E$6:$E$771,$A406,'סופר פארם Raw'!$B$6:$B$771,2025)</f>
        <v>-73</v>
      </c>
      <c r="I406" s="12" t="n">
        <f aca="false">SUMIFS('סופר פארם Raw'!$D$6:$D$771,'סופר פארם Raw'!$E$6:$E$771,$A406,'סופר פארם Raw'!$B$6:$B$771,2026)</f>
        <v>0</v>
      </c>
      <c r="J406" s="12" t="n">
        <f aca="false">I406*$J$5</f>
        <v>0</v>
      </c>
    </row>
    <row r="407" customFormat="false" ht="15" hidden="false" customHeight="true" outlineLevel="0" collapsed="false">
      <c r="A407" s="12" t="n">
        <v>4420012</v>
      </c>
      <c r="B407" s="12" t="str">
        <f aca="false">IFERROR(INDEX('Catalog'!$B:$B,MATCH($A407,'Catalog'!$A:$A,0)),"")</f>
        <v>377   רפידה אורט.ספורט זוג43</v>
      </c>
      <c r="C407" s="12" t="n">
        <f aca="false">SUMIFS('סופר פארם Raw'!$C$6:$C$771,'סופר פארם Raw'!$E$6:$E$771,$A407,'סופר פארם Raw'!$B$6:$B$771,2025)</f>
        <v>3</v>
      </c>
      <c r="D407" s="12" t="n">
        <f aca="false">SUMIFS('סופר פארם Raw'!$C$6:$C$771,'סופר פארם Raw'!$E$6:$E$771,$A407,'סופר פארם Raw'!$B$6:$B$771,2026)</f>
        <v>-1</v>
      </c>
      <c r="E407" s="12" t="n">
        <f aca="false">D407*$J$5</f>
        <v>-1.26315789473684</v>
      </c>
      <c r="F407" s="12" t="n">
        <f aca="false">E407-C407</f>
        <v>-4.26315789473684</v>
      </c>
      <c r="G407" s="21" t="n">
        <f aca="false">IF(AND(C407=0,E407=0),0,IF(C407=0,"New",(E407-C407)/C407))</f>
        <v>-1.42105263157895</v>
      </c>
      <c r="H407" s="12" t="n">
        <f aca="false">SUMIFS('סופר פארם Raw'!$D$6:$D$771,'סופר פארם Raw'!$E$6:$E$771,$A407,'סופר פארם Raw'!$B$6:$B$771,2025)</f>
        <v>109.6</v>
      </c>
      <c r="I407" s="12" t="n">
        <f aca="false">SUMIFS('סופר פארם Raw'!$D$6:$D$771,'סופר פארם Raw'!$E$6:$E$771,$A407,'סופר פארם Raw'!$B$6:$B$771,2026)</f>
        <v>-36.5</v>
      </c>
      <c r="J407" s="12" t="n">
        <f aca="false">I407*$J$5</f>
        <v>-46.1052631578947</v>
      </c>
    </row>
    <row r="408" customFormat="false" ht="15" hidden="false" customHeight="true" outlineLevel="0" collapsed="false">
      <c r="A408" s="12" t="n">
        <v>4420013</v>
      </c>
      <c r="B408" s="12" t="str">
        <f aca="false">IFERROR(INDEX('Catalog'!$B:$B,MATCH($A408,'Catalog'!$A:$A,0)),"")</f>
        <v>377  רפידה אורט.ספורט זוג44</v>
      </c>
      <c r="C408" s="12" t="n">
        <f aca="false">SUMIFS('סופר פארם Raw'!$C$6:$C$771,'סופר פארם Raw'!$E$6:$E$771,$A408,'סופר פארם Raw'!$B$6:$B$771,2025)</f>
        <v>0</v>
      </c>
      <c r="D408" s="12" t="n">
        <f aca="false">SUMIFS('סופר פארם Raw'!$C$6:$C$771,'סופר פארם Raw'!$E$6:$E$771,$A408,'סופר פארם Raw'!$B$6:$B$771,2026)</f>
        <v>0</v>
      </c>
      <c r="E408" s="12" t="n">
        <f aca="false">D408*$J$5</f>
        <v>0</v>
      </c>
      <c r="F408" s="12" t="n">
        <f aca="false">E408-C408</f>
        <v>0</v>
      </c>
      <c r="G408" s="21" t="n">
        <f aca="false">IF(AND(C408=0,E408=0),0,IF(C408=0,"New",(E408-C408)/C408))</f>
        <v>0</v>
      </c>
      <c r="H408" s="12" t="n">
        <f aca="false">SUMIFS('סופר פארם Raw'!$D$6:$D$771,'סופר פארם Raw'!$E$6:$E$771,$A408,'סופר פארם Raw'!$B$6:$B$771,2025)</f>
        <v>3.7</v>
      </c>
      <c r="I408" s="12" t="n">
        <f aca="false">SUMIFS('סופר פארם Raw'!$D$6:$D$771,'סופר פארם Raw'!$E$6:$E$771,$A408,'סופר פארם Raw'!$B$6:$B$771,2026)</f>
        <v>0</v>
      </c>
      <c r="J408" s="12" t="n">
        <f aca="false">I408*$J$5</f>
        <v>0</v>
      </c>
    </row>
    <row r="409" customFormat="false" ht="15" hidden="false" customHeight="true" outlineLevel="0" collapsed="false">
      <c r="A409" s="12" t="n">
        <v>4420014</v>
      </c>
      <c r="B409" s="12" t="str">
        <f aca="false">IFERROR(INDEX('Catalog'!$B:$B,MATCH($A409,'Catalog'!$A:$A,0)),"")</f>
        <v>377 רפ.אורטופדית ספורט זוג45</v>
      </c>
      <c r="C409" s="12" t="n">
        <f aca="false">SUMIFS('סופר פארם Raw'!$C$6:$C$771,'סופר פארם Raw'!$E$6:$E$771,$A409,'סופר פארם Raw'!$B$6:$B$771,2025)</f>
        <v>-5</v>
      </c>
      <c r="D409" s="12" t="n">
        <f aca="false">SUMIFS('סופר פארם Raw'!$C$6:$C$771,'סופר פארם Raw'!$E$6:$E$771,$A409,'סופר פארם Raw'!$B$6:$B$771,2026)</f>
        <v>0</v>
      </c>
      <c r="E409" s="12" t="n">
        <f aca="false">D409*$J$5</f>
        <v>0</v>
      </c>
      <c r="F409" s="12" t="n">
        <f aca="false">E409-C409</f>
        <v>5</v>
      </c>
      <c r="G409" s="21" t="n">
        <f aca="false">IF(AND(C409=0,E409=0),0,IF(C409=0,"New",(E409-C409)/C409))</f>
        <v>-1</v>
      </c>
      <c r="H409" s="12" t="n">
        <f aca="false">SUMIFS('סופר פארם Raw'!$D$6:$D$771,'סופר פארם Raw'!$E$6:$E$771,$A409,'סופר פארם Raw'!$B$6:$B$771,2025)</f>
        <v>-182.6</v>
      </c>
      <c r="I409" s="12" t="n">
        <f aca="false">SUMIFS('סופר פארם Raw'!$D$6:$D$771,'סופר פארם Raw'!$E$6:$E$771,$A409,'סופר פארם Raw'!$B$6:$B$771,2026)</f>
        <v>0</v>
      </c>
      <c r="J409" s="12" t="n">
        <f aca="false">I409*$J$5</f>
        <v>0</v>
      </c>
    </row>
    <row r="410" customFormat="false" ht="15" hidden="false" customHeight="true" outlineLevel="0" collapsed="false">
      <c r="A410" s="12" t="n">
        <v>4420015</v>
      </c>
      <c r="B410" s="12" t="str">
        <f aca="false">IFERROR(INDEX('Catalog'!$B:$B,MATCH($A410,'Catalog'!$A:$A,0)),"")</f>
        <v>377  רפ.אורטופדית ספורט זוג46</v>
      </c>
      <c r="C410" s="12" t="n">
        <f aca="false">SUMIFS('סופר פארם Raw'!$C$6:$C$771,'סופר פארם Raw'!$E$6:$E$771,$A410,'סופר פארם Raw'!$B$6:$B$771,2025)</f>
        <v>-3</v>
      </c>
      <c r="D410" s="12" t="n">
        <f aca="false">SUMIFS('סופר פארם Raw'!$C$6:$C$771,'סופר פארם Raw'!$E$6:$E$771,$A410,'סופר פארם Raw'!$B$6:$B$771,2026)</f>
        <v>-1</v>
      </c>
      <c r="E410" s="12" t="n">
        <f aca="false">D410*$J$5</f>
        <v>-1.26315789473684</v>
      </c>
      <c r="F410" s="12" t="n">
        <f aca="false">E410-C410</f>
        <v>1.73684210526316</v>
      </c>
      <c r="G410" s="21" t="n">
        <f aca="false">IF(AND(C410=0,E410=0),0,IF(C410=0,"New",(E410-C410)/C410))</f>
        <v>-0.578947368421053</v>
      </c>
      <c r="H410" s="12" t="n">
        <f aca="false">SUMIFS('סופר פארם Raw'!$D$6:$D$771,'סופר פארם Raw'!$E$6:$E$771,$A410,'סופר פארם Raw'!$B$6:$B$771,2025)</f>
        <v>-109.6</v>
      </c>
      <c r="I410" s="12" t="n">
        <f aca="false">SUMIFS('סופר פארם Raw'!$D$6:$D$771,'סופר פארם Raw'!$E$6:$E$771,$A410,'סופר פארם Raw'!$B$6:$B$771,2026)</f>
        <v>-36.5</v>
      </c>
      <c r="J410" s="12" t="n">
        <f aca="false">I410*$J$5</f>
        <v>-46.1052631578947</v>
      </c>
    </row>
    <row r="411" customFormat="false" ht="15" hidden="false" customHeight="true" outlineLevel="0" collapsed="false">
      <c r="A411" s="12" t="n">
        <v>4420016</v>
      </c>
      <c r="B411" s="12" t="str">
        <f aca="false">IFERROR(INDEX('Catalog'!$B:$B,MATCH($A411,'Catalog'!$A:$A,0)),"")</f>
        <v>40-רצועת פיקה לברך</v>
      </c>
      <c r="C411" s="12" t="n">
        <f aca="false">SUMIFS('סופר פארם Raw'!$C$6:$C$771,'סופר פארם Raw'!$E$6:$E$771,$A411,'סופר פארם Raw'!$B$6:$B$771,2025)</f>
        <v>965</v>
      </c>
      <c r="D411" s="12" t="n">
        <f aca="false">SUMIFS('סופר פארם Raw'!$C$6:$C$771,'סופר פארם Raw'!$E$6:$E$771,$A411,'סופר פארם Raw'!$B$6:$B$771,2026)</f>
        <v>461</v>
      </c>
      <c r="E411" s="12" t="n">
        <f aca="false">D411*$J$5</f>
        <v>582.315789473684</v>
      </c>
      <c r="F411" s="12" t="n">
        <f aca="false">E411-C411</f>
        <v>-382.684210526316</v>
      </c>
      <c r="G411" s="21" t="n">
        <f aca="false">IF(AND(C411=0,E411=0),0,IF(C411=0,"New",(E411-C411)/C411))</f>
        <v>-0.396563948731934</v>
      </c>
      <c r="H411" s="12" t="n">
        <f aca="false">SUMIFS('סופר פארם Raw'!$D$6:$D$771,'סופר פארם Raw'!$E$6:$E$771,$A411,'סופר פארם Raw'!$B$6:$B$771,2025)</f>
        <v>43385.1</v>
      </c>
      <c r="I411" s="12" t="n">
        <f aca="false">SUMIFS('סופר פארם Raw'!$D$6:$D$771,'סופר פארם Raw'!$E$6:$E$771,$A411,'סופר פארם Raw'!$B$6:$B$771,2026)</f>
        <v>20707.1</v>
      </c>
      <c r="J411" s="12" t="n">
        <f aca="false">I411*$J$5</f>
        <v>26156.3368421053</v>
      </c>
    </row>
    <row r="412" customFormat="false" ht="15" hidden="false" customHeight="true" outlineLevel="0" collapsed="false">
      <c r="A412" s="12" t="n">
        <v>4420017</v>
      </c>
      <c r="B412" s="12" t="str">
        <f aca="false">IFERROR(INDEX('Catalog'!$B:$B,MATCH($A412,'Catalog'!$A:$A,0)),"")</f>
        <v>4022 רצועת ""פיקה""+כרית</v>
      </c>
      <c r="C412" s="12" t="n">
        <f aca="false">SUMIFS('סופר פארם Raw'!$C$6:$C$771,'סופר פארם Raw'!$E$6:$E$771,$A412,'סופר פארם Raw'!$B$6:$B$771,2025)</f>
        <v>40</v>
      </c>
      <c r="D412" s="12" t="n">
        <f aca="false">SUMIFS('סופר פארם Raw'!$C$6:$C$771,'סופר פארם Raw'!$E$6:$E$771,$A412,'סופר פארם Raw'!$B$6:$B$771,2026)</f>
        <v>12</v>
      </c>
      <c r="E412" s="12" t="n">
        <f aca="false">D412*$J$5</f>
        <v>15.1578947368421</v>
      </c>
      <c r="F412" s="12" t="n">
        <f aca="false">E412-C412</f>
        <v>-24.8421052631579</v>
      </c>
      <c r="G412" s="21" t="n">
        <f aca="false">IF(AND(C412=0,E412=0),0,IF(C412=0,"New",(E412-C412)/C412))</f>
        <v>-0.621052631578947</v>
      </c>
      <c r="H412" s="12" t="n">
        <f aca="false">SUMIFS('סופר פארם Raw'!$D$6:$D$771,'סופר פארם Raw'!$E$6:$E$771,$A412,'סופר פארם Raw'!$B$6:$B$771,2025)</f>
        <v>3726.4</v>
      </c>
      <c r="I412" s="12" t="n">
        <f aca="false">SUMIFS('סופר פארם Raw'!$D$6:$D$771,'סופר פארם Raw'!$E$6:$E$771,$A412,'סופר פארם Raw'!$B$6:$B$771,2026)</f>
        <v>1185.3</v>
      </c>
      <c r="J412" s="12" t="n">
        <f aca="false">I412*$J$5</f>
        <v>1497.22105263158</v>
      </c>
    </row>
    <row r="413" customFormat="false" ht="15" hidden="false" customHeight="true" outlineLevel="0" collapsed="false">
      <c r="A413" s="12" t="n">
        <v>4420019</v>
      </c>
      <c r="B413" s="12" t="str">
        <f aca="false">IFERROR(INDEX('Catalog'!$B:$B,MATCH($A413,'Catalog'!$A:$A,0)),"")</f>
        <v>T91  L-XL רצועת טניס אלבו</v>
      </c>
      <c r="C413" s="12" t="n">
        <f aca="false">SUMIFS('סופר פארם Raw'!$C$6:$C$771,'סופר פארם Raw'!$E$6:$E$771,$A413,'סופר פארם Raw'!$B$6:$B$771,2025)</f>
        <v>2</v>
      </c>
      <c r="D413" s="12" t="n">
        <f aca="false">SUMIFS('סופר פארם Raw'!$C$6:$C$771,'סופר פארם Raw'!$E$6:$E$771,$A413,'סופר פארם Raw'!$B$6:$B$771,2026)</f>
        <v>-1</v>
      </c>
      <c r="E413" s="12" t="n">
        <f aca="false">D413*$J$5</f>
        <v>-1.26315789473684</v>
      </c>
      <c r="F413" s="12" t="n">
        <f aca="false">E413-C413</f>
        <v>-3.26315789473684</v>
      </c>
      <c r="G413" s="21" t="n">
        <f aca="false">IF(AND(C413=0,E413=0),0,IF(C413=0,"New",(E413-C413)/C413))</f>
        <v>-1.63157894736842</v>
      </c>
      <c r="H413" s="12" t="n">
        <f aca="false">SUMIFS('סופר פארם Raw'!$D$6:$D$771,'סופר פארם Raw'!$E$6:$E$771,$A413,'סופר פארם Raw'!$B$6:$B$771,2025)</f>
        <v>98.2</v>
      </c>
      <c r="I413" s="12" t="n">
        <f aca="false">SUMIFS('סופר פארם Raw'!$D$6:$D$771,'סופר פארם Raw'!$E$6:$E$771,$A413,'סופר פארם Raw'!$B$6:$B$771,2026)</f>
        <v>-49.1</v>
      </c>
      <c r="J413" s="12" t="n">
        <f aca="false">I413*$J$5</f>
        <v>-62.021052631579</v>
      </c>
    </row>
    <row r="414" customFormat="false" ht="15" hidden="false" customHeight="true" outlineLevel="0" collapsed="false">
      <c r="A414" s="12" t="n">
        <v>4420021</v>
      </c>
      <c r="B414" s="12" t="str">
        <f aca="false">IFERROR(INDEX('Catalog'!$B:$B,MATCH($A414,'Catalog'!$A:$A,0)),"")</f>
        <v>T40 רצועת פיקה לברך</v>
      </c>
      <c r="C414" s="12" t="n">
        <f aca="false">SUMIFS('סופר פארם Raw'!$C$6:$C$771,'סופר פארם Raw'!$E$6:$E$771,$A414,'סופר פארם Raw'!$B$6:$B$771,2025)</f>
        <v>-1</v>
      </c>
      <c r="D414" s="12" t="n">
        <f aca="false">SUMIFS('סופר פארם Raw'!$C$6:$C$771,'סופר פארם Raw'!$E$6:$E$771,$A414,'סופר פארם Raw'!$B$6:$B$771,2026)</f>
        <v>-2</v>
      </c>
      <c r="E414" s="12" t="n">
        <f aca="false">D414*$J$5</f>
        <v>-2.52631578947368</v>
      </c>
      <c r="F414" s="12" t="n">
        <f aca="false">E414-C414</f>
        <v>-1.52631578947368</v>
      </c>
      <c r="G414" s="21" t="n">
        <f aca="false">IF(AND(C414=0,E414=0),0,IF(C414=0,"New",(E414-C414)/C414))</f>
        <v>1.52631578947368</v>
      </c>
      <c r="H414" s="12" t="n">
        <f aca="false">SUMIFS('סופר פארם Raw'!$D$6:$D$771,'סופר פארם Raw'!$E$6:$E$771,$A414,'סופר פארם Raw'!$B$6:$B$771,2025)</f>
        <v>-73.9</v>
      </c>
      <c r="I414" s="12" t="n">
        <f aca="false">SUMIFS('סופר פארם Raw'!$D$6:$D$771,'סופר פארם Raw'!$E$6:$E$771,$A414,'סופר פארם Raw'!$B$6:$B$771,2026)</f>
        <v>-147.8</v>
      </c>
      <c r="J414" s="12" t="n">
        <f aca="false">I414*$J$5</f>
        <v>-186.694736842105</v>
      </c>
    </row>
    <row r="415" customFormat="false" ht="15" hidden="false" customHeight="true" outlineLevel="0" collapsed="false">
      <c r="A415" s="12" t="n">
        <v>4420023</v>
      </c>
      <c r="B415" s="12" t="str">
        <f aca="false">IFERROR(INDEX('Catalog'!$B:$B,MATCH($A415,'Catalog'!$A:$A,0)),"")</f>
        <v>LF371 ריפוד סיליקון לנעלי אצבע</v>
      </c>
      <c r="C415" s="12" t="n">
        <f aca="false">SUMIFS('סופר פארם Raw'!$C$6:$C$771,'סופר פארם Raw'!$E$6:$E$771,$A415,'סופר פארם Raw'!$B$6:$B$771,2025)</f>
        <v>-3</v>
      </c>
      <c r="D415" s="12" t="n">
        <f aca="false">SUMIFS('סופר פארם Raw'!$C$6:$C$771,'סופר פארם Raw'!$E$6:$E$771,$A415,'סופר פארם Raw'!$B$6:$B$771,2026)</f>
        <v>1</v>
      </c>
      <c r="E415" s="12" t="n">
        <f aca="false">D415*$J$5</f>
        <v>1.26315789473684</v>
      </c>
      <c r="F415" s="12" t="n">
        <f aca="false">E415-C415</f>
        <v>4.26315789473684</v>
      </c>
      <c r="G415" s="21" t="n">
        <f aca="false">IF(AND(C415=0,E415=0),0,IF(C415=0,"New",(E415-C415)/C415))</f>
        <v>-1.42105263157895</v>
      </c>
      <c r="H415" s="12" t="n">
        <f aca="false">SUMIFS('סופר פארם Raw'!$D$6:$D$771,'סופר פארם Raw'!$E$6:$E$771,$A415,'סופר פארם Raw'!$B$6:$B$771,2025)</f>
        <v>-85.8</v>
      </c>
      <c r="I415" s="12" t="n">
        <f aca="false">SUMIFS('סופר פארם Raw'!$D$6:$D$771,'סופר פארם Raw'!$E$6:$E$771,$A415,'סופר פארם Raw'!$B$6:$B$771,2026)</f>
        <v>24.3</v>
      </c>
      <c r="J415" s="12" t="n">
        <f aca="false">I415*$J$5</f>
        <v>30.6947368421053</v>
      </c>
    </row>
    <row r="416" customFormat="false" ht="15" hidden="false" customHeight="true" outlineLevel="0" collapsed="false">
      <c r="A416" s="12" t="n">
        <v>4420025</v>
      </c>
      <c r="B416" s="12" t="str">
        <f aca="false">IFERROR(INDEX('Catalog'!$B:$B,MATCH($A416,'Catalog'!$A:$A,0)),"")</f>
        <v>LF374 ריפוד סיליק.לעקב תחתון</v>
      </c>
      <c r="C416" s="12" t="n">
        <f aca="false">SUMIFS('סופר פארם Raw'!$C$6:$C$771,'סופר פארם Raw'!$E$6:$E$771,$A416,'סופר פארם Raw'!$B$6:$B$771,2025)</f>
        <v>-2</v>
      </c>
      <c r="D416" s="12" t="n">
        <f aca="false">SUMIFS('סופר פארם Raw'!$C$6:$C$771,'סופר פארם Raw'!$E$6:$E$771,$A416,'סופר פארם Raw'!$B$6:$B$771,2026)</f>
        <v>-3</v>
      </c>
      <c r="E416" s="12" t="n">
        <f aca="false">D416*$J$5</f>
        <v>-3.78947368421053</v>
      </c>
      <c r="F416" s="12" t="n">
        <f aca="false">E416-C416</f>
        <v>-1.78947368421053</v>
      </c>
      <c r="G416" s="21" t="n">
        <f aca="false">IF(AND(C416=0,E416=0),0,IF(C416=0,"New",(E416-C416)/C416))</f>
        <v>0.894736842105263</v>
      </c>
      <c r="H416" s="12" t="n">
        <f aca="false">SUMIFS('סופר פארם Raw'!$D$6:$D$771,'סופר פארם Raw'!$E$6:$E$771,$A416,'סופר פארם Raw'!$B$6:$B$771,2025)</f>
        <v>-40.5</v>
      </c>
      <c r="I416" s="12" t="n">
        <f aca="false">SUMIFS('סופר פארם Raw'!$D$6:$D$771,'סופר פארם Raw'!$E$6:$E$771,$A416,'סופר פארם Raw'!$B$6:$B$771,2026)</f>
        <v>-60.8</v>
      </c>
      <c r="J416" s="12" t="n">
        <f aca="false">I416*$J$5</f>
        <v>-76.8</v>
      </c>
    </row>
    <row r="417" customFormat="false" ht="15" hidden="false" customHeight="true" outlineLevel="0" collapsed="false">
      <c r="A417" s="12" t="n">
        <v>4420027</v>
      </c>
      <c r="B417" s="12" t="str">
        <f aca="false">IFERROR(INDEX('Catalog'!$B:$B,MATCH($A417,'Catalog'!$A:$A,0)),"")</f>
        <v>370K 0 רפידת לילדים אנטי ריח</v>
      </c>
      <c r="C417" s="12" t="n">
        <f aca="false">SUMIFS('סופר פארם Raw'!$C$6:$C$771,'סופר פארם Raw'!$E$6:$E$771,$A417,'סופר פארם Raw'!$B$6:$B$771,2025)</f>
        <v>140</v>
      </c>
      <c r="D417" s="12" t="n">
        <f aca="false">SUMIFS('סופר פארם Raw'!$C$6:$C$771,'סופר פארם Raw'!$E$6:$E$771,$A417,'סופר פארם Raw'!$B$6:$B$771,2026)</f>
        <v>56</v>
      </c>
      <c r="E417" s="12" t="n">
        <f aca="false">D417*$J$5</f>
        <v>70.7368421052632</v>
      </c>
      <c r="F417" s="12" t="n">
        <f aca="false">E417-C417</f>
        <v>-69.2631578947369</v>
      </c>
      <c r="G417" s="21" t="n">
        <f aca="false">IF(AND(C417=0,E417=0),0,IF(C417=0,"New",(E417-C417)/C417))</f>
        <v>-0.494736842105263</v>
      </c>
      <c r="H417" s="12" t="n">
        <f aca="false">SUMIFS('סופר פארם Raw'!$D$6:$D$771,'סופר פארם Raw'!$E$6:$E$771,$A417,'סופר פארם Raw'!$B$6:$B$771,2025)</f>
        <v>1434.1</v>
      </c>
      <c r="I417" s="12" t="n">
        <f aca="false">SUMIFS('סופר פארם Raw'!$D$6:$D$771,'סופר פארם Raw'!$E$6:$E$771,$A417,'סופר פארם Raw'!$B$6:$B$771,2026)</f>
        <v>574.5</v>
      </c>
      <c r="J417" s="12" t="n">
        <f aca="false">I417*$J$5</f>
        <v>725.684210526316</v>
      </c>
    </row>
    <row r="418" customFormat="false" ht="15" hidden="false" customHeight="true" outlineLevel="0" collapsed="false">
      <c r="A418" s="12" t="n">
        <v>4421001</v>
      </c>
      <c r="B418" s="12" t="str">
        <f aca="false">IFERROR(INDEX('Catalog'!$B:$B,MATCH($A418,'Catalog'!$A:$A,0)),"")</f>
        <v>3611 שרוול מטטרזלי מסיליקון</v>
      </c>
      <c r="C418" s="12" t="n">
        <f aca="false">SUMIFS('סופר פארם Raw'!$C$6:$C$771,'סופר פארם Raw'!$E$6:$E$771,$A418,'סופר פארם Raw'!$B$6:$B$771,2025)</f>
        <v>1179</v>
      </c>
      <c r="D418" s="12" t="n">
        <f aca="false">SUMIFS('סופר פארם Raw'!$C$6:$C$771,'סופר פארם Raw'!$E$6:$E$771,$A418,'סופר פארם Raw'!$B$6:$B$771,2026)</f>
        <v>724</v>
      </c>
      <c r="E418" s="12" t="n">
        <f aca="false">D418*$J$5</f>
        <v>914.526315789474</v>
      </c>
      <c r="F418" s="12" t="n">
        <f aca="false">E418-C418</f>
        <v>-264.473684210526</v>
      </c>
      <c r="G418" s="21" t="n">
        <f aca="false">IF(AND(C418=0,E418=0),0,IF(C418=0,"New",(E418-C418)/C418))</f>
        <v>-0.224320342841837</v>
      </c>
      <c r="H418" s="12" t="n">
        <f aca="false">SUMIFS('סופר פארם Raw'!$D$6:$D$771,'סופר פארם Raw'!$E$6:$E$771,$A418,'סופר פארם Raw'!$B$6:$B$771,2025)</f>
        <v>61190.5</v>
      </c>
      <c r="I418" s="12" t="n">
        <f aca="false">SUMIFS('סופר פארם Raw'!$D$6:$D$771,'סופר פארם Raw'!$E$6:$E$771,$A418,'סופר פארם Raw'!$B$6:$B$771,2026)</f>
        <v>37711.2</v>
      </c>
      <c r="J418" s="12" t="n">
        <f aca="false">I418*$J$5</f>
        <v>47635.2</v>
      </c>
    </row>
    <row r="419" customFormat="false" ht="15" hidden="false" customHeight="true" outlineLevel="0" collapsed="false">
      <c r="A419" s="12" t="n">
        <v>4421003</v>
      </c>
      <c r="B419" s="12" t="str">
        <f aca="false">IFERROR(INDEX('Catalog'!$B:$B,MATCH($A419,'Catalog'!$A:$A,0)),"")</f>
        <v>3672 שרוול מגן לבוניון</v>
      </c>
      <c r="C419" s="12" t="n">
        <f aca="false">SUMIFS('סופר פארם Raw'!$C$6:$C$771,'סופר פארם Raw'!$E$6:$E$771,$A419,'סופר פארם Raw'!$B$6:$B$771,2025)</f>
        <v>968</v>
      </c>
      <c r="D419" s="12" t="n">
        <f aca="false">SUMIFS('סופר פארם Raw'!$C$6:$C$771,'סופר פארם Raw'!$E$6:$E$771,$A419,'סופר פארם Raw'!$B$6:$B$771,2026)</f>
        <v>650</v>
      </c>
      <c r="E419" s="12" t="n">
        <f aca="false">D419*$J$5</f>
        <v>821.052631578947</v>
      </c>
      <c r="F419" s="12" t="n">
        <f aca="false">E419-C419</f>
        <v>-146.947368421053</v>
      </c>
      <c r="G419" s="21" t="n">
        <f aca="false">IF(AND(C419=0,E419=0),0,IF(C419=0,"New",(E419-C419)/C419))</f>
        <v>-0.151805132666377</v>
      </c>
      <c r="H419" s="12" t="n">
        <f aca="false">SUMIFS('סופר פארם Raw'!$D$6:$D$771,'סופר פארם Raw'!$E$6:$E$771,$A419,'סופר פארם Raw'!$B$6:$B$771,2025)</f>
        <v>27666.3</v>
      </c>
      <c r="I419" s="12" t="n">
        <f aca="false">SUMIFS('סופר פארם Raw'!$D$6:$D$771,'סופר פארם Raw'!$E$6:$E$771,$A419,'סופר פארם Raw'!$B$6:$B$771,2026)</f>
        <v>19108.9</v>
      </c>
      <c r="J419" s="12" t="n">
        <f aca="false">I419*$J$5</f>
        <v>24137.5578947368</v>
      </c>
    </row>
    <row r="420" customFormat="false" ht="15" hidden="false" customHeight="true" outlineLevel="0" collapsed="false">
      <c r="A420" s="12" t="n">
        <v>4421005</v>
      </c>
      <c r="B420" s="12" t="str">
        <f aca="false">IFERROR(INDEX('Catalog'!$B:$B,MATCH($A420,'Catalog'!$A:$A,0)),"")</f>
        <v>שרוול לגבס קצר יד</v>
      </c>
      <c r="C420" s="12" t="n">
        <f aca="false">SUMIFS('סופר פארם Raw'!$C$6:$C$771,'סופר פארם Raw'!$E$6:$E$771,$A420,'סופר פארם Raw'!$B$6:$B$771,2025)</f>
        <v>382</v>
      </c>
      <c r="D420" s="12" t="n">
        <f aca="false">SUMIFS('סופר פארם Raw'!$C$6:$C$771,'סופר פארם Raw'!$E$6:$E$771,$A420,'סופר פארם Raw'!$B$6:$B$771,2026)</f>
        <v>396</v>
      </c>
      <c r="E420" s="12" t="n">
        <f aca="false">D420*$J$5</f>
        <v>500.210526315789</v>
      </c>
      <c r="F420" s="12" t="n">
        <f aca="false">E420-C420</f>
        <v>118.210526315789</v>
      </c>
      <c r="G420" s="21" t="n">
        <f aca="false">IF(AND(C420=0,E420=0),0,IF(C420=0,"New",(E420-C420)/C420))</f>
        <v>0.309451639570129</v>
      </c>
      <c r="H420" s="12" t="n">
        <f aca="false">SUMIFS('סופר פארם Raw'!$D$6:$D$771,'סופר פארם Raw'!$E$6:$E$771,$A420,'סופר פארם Raw'!$B$6:$B$771,2025)</f>
        <v>10951.3</v>
      </c>
      <c r="I420" s="12" t="n">
        <f aca="false">SUMIFS('סופר פארם Raw'!$D$6:$D$771,'סופר פארם Raw'!$E$6:$E$771,$A420,'סופר פארם Raw'!$B$6:$B$771,2026)</f>
        <v>11294.3</v>
      </c>
      <c r="J420" s="12" t="n">
        <f aca="false">I420*$J$5</f>
        <v>14266.4842105263</v>
      </c>
    </row>
    <row r="421" customFormat="false" ht="15" hidden="false" customHeight="true" outlineLevel="0" collapsed="false">
      <c r="A421" s="12" t="n">
        <v>4421006</v>
      </c>
      <c r="B421" s="12" t="str">
        <f aca="false">IFERROR(INDEX('Catalog'!$B:$B,MATCH($A421,'Catalog'!$A:$A,0)),"")</f>
        <v>שרוול לגבס ארוך יד</v>
      </c>
      <c r="C421" s="12" t="n">
        <f aca="false">SUMIFS('סופר פארם Raw'!$C$6:$C$771,'סופר פארם Raw'!$E$6:$E$771,$A421,'סופר פארם Raw'!$B$6:$B$771,2025)</f>
        <v>532</v>
      </c>
      <c r="D421" s="12" t="n">
        <f aca="false">SUMIFS('סופר פארם Raw'!$C$6:$C$771,'סופר פארם Raw'!$E$6:$E$771,$A421,'סופר פארם Raw'!$B$6:$B$771,2026)</f>
        <v>585</v>
      </c>
      <c r="E421" s="12" t="n">
        <f aca="false">D421*$J$5</f>
        <v>738.947368421053</v>
      </c>
      <c r="F421" s="12" t="n">
        <f aca="false">E421-C421</f>
        <v>206.947368421053</v>
      </c>
      <c r="G421" s="21" t="n">
        <f aca="false">IF(AND(C421=0,E421=0),0,IF(C421=0,"New",(E421-C421)/C421))</f>
        <v>0.388998812821527</v>
      </c>
      <c r="H421" s="12" t="n">
        <f aca="false">SUMIFS('סופר פארם Raw'!$D$6:$D$771,'סופר פארם Raw'!$E$6:$E$771,$A421,'סופר פארם Raw'!$B$6:$B$771,2025)</f>
        <v>16470.8</v>
      </c>
      <c r="I421" s="12" t="n">
        <f aca="false">SUMIFS('סופר פארם Raw'!$D$6:$D$771,'סופר פארם Raw'!$E$6:$E$771,$A421,'סופר פארם Raw'!$B$6:$B$771,2026)</f>
        <v>18111.4</v>
      </c>
      <c r="J421" s="12" t="n">
        <f aca="false">I421*$J$5</f>
        <v>22877.5578947368</v>
      </c>
    </row>
    <row r="422" customFormat="false" ht="15" hidden="false" customHeight="true" outlineLevel="0" collapsed="false">
      <c r="A422" s="12" t="n">
        <v>4421007</v>
      </c>
      <c r="B422" s="12" t="str">
        <f aca="false">IFERROR(INDEX('Catalog'!$B:$B,MATCH($A422,'Catalog'!$A:$A,0)),"")</f>
        <v>שרוול לגבס קצר רגל</v>
      </c>
      <c r="C422" s="12" t="n">
        <f aca="false">SUMIFS('סופר פארם Raw'!$C$6:$C$771,'סופר פארם Raw'!$E$6:$E$771,$A422,'סופר פארם Raw'!$B$6:$B$771,2025)</f>
        <v>262</v>
      </c>
      <c r="D422" s="12" t="n">
        <f aca="false">SUMIFS('סופר פארם Raw'!$C$6:$C$771,'סופר פארם Raw'!$E$6:$E$771,$A422,'סופר פארם Raw'!$B$6:$B$771,2026)</f>
        <v>315</v>
      </c>
      <c r="E422" s="12" t="n">
        <f aca="false">D422*$J$5</f>
        <v>397.894736842105</v>
      </c>
      <c r="F422" s="12" t="n">
        <f aca="false">E422-C422</f>
        <v>135.894736842105</v>
      </c>
      <c r="G422" s="21" t="n">
        <f aca="false">IF(AND(C422=0,E422=0),0,IF(C422=0,"New",(E422-C422)/C422))</f>
        <v>0.518682201687425</v>
      </c>
      <c r="H422" s="12" t="n">
        <f aca="false">SUMIFS('סופר פארם Raw'!$D$6:$D$771,'סופר פארם Raw'!$E$6:$E$771,$A422,'סופר פארם Raw'!$B$6:$B$771,2025)</f>
        <v>9621.9</v>
      </c>
      <c r="I422" s="12" t="n">
        <f aca="false">SUMIFS('סופר פארם Raw'!$D$6:$D$771,'סופר פארם Raw'!$E$6:$E$771,$A422,'סופר פארם Raw'!$B$6:$B$771,2026)</f>
        <v>11553.6</v>
      </c>
      <c r="J422" s="12" t="n">
        <f aca="false">I422*$J$5</f>
        <v>14594.0210526316</v>
      </c>
    </row>
    <row r="423" customFormat="false" ht="15" hidden="false" customHeight="true" outlineLevel="0" collapsed="false">
      <c r="A423" s="12" t="n">
        <v>4421008</v>
      </c>
      <c r="B423" s="12" t="str">
        <f aca="false">IFERROR(INDEX('Catalog'!$B:$B,MATCH($A423,'Catalog'!$A:$A,0)),"")</f>
        <v>שרוול לגבס ארוך רגל</v>
      </c>
      <c r="C423" s="12" t="n">
        <f aca="false">SUMIFS('סופר פארם Raw'!$C$6:$C$771,'סופר פארם Raw'!$E$6:$E$771,$A423,'סופר פארם Raw'!$B$6:$B$771,2025)</f>
        <v>350</v>
      </c>
      <c r="D423" s="12" t="n">
        <f aca="false">SUMIFS('סופר פארם Raw'!$C$6:$C$771,'סופר פארם Raw'!$E$6:$E$771,$A423,'סופר פארם Raw'!$B$6:$B$771,2026)</f>
        <v>299</v>
      </c>
      <c r="E423" s="12" t="n">
        <f aca="false">D423*$J$5</f>
        <v>377.684210526316</v>
      </c>
      <c r="F423" s="12" t="n">
        <f aca="false">E423-C423</f>
        <v>27.6842105263158</v>
      </c>
      <c r="G423" s="21" t="n">
        <f aca="false">IF(AND(C423=0,E423=0),0,IF(C423=0,"New",(E423-C423)/C423))</f>
        <v>0.0790977443609022</v>
      </c>
      <c r="H423" s="12" t="n">
        <f aca="false">SUMIFS('סופר פארם Raw'!$D$6:$D$771,'סופר פארם Raw'!$E$6:$E$771,$A423,'סופר פארם Raw'!$B$6:$B$771,2025)</f>
        <v>13563.4</v>
      </c>
      <c r="I423" s="12" t="n">
        <f aca="false">SUMIFS('סופר פארם Raw'!$D$6:$D$771,'סופר פארם Raw'!$E$6:$E$771,$A423,'סופר פארם Raw'!$B$6:$B$771,2026)</f>
        <v>11543.6</v>
      </c>
      <c r="J423" s="12" t="n">
        <f aca="false">I423*$J$5</f>
        <v>14581.3894736842</v>
      </c>
    </row>
    <row r="424" customFormat="false" ht="15" hidden="false" customHeight="true" outlineLevel="0" collapsed="false">
      <c r="A424" s="12" t="n">
        <v>4422000</v>
      </c>
      <c r="B424" s="12" t="str">
        <f aca="false">IFERROR(INDEX('Catalog'!$B:$B,MATCH($A424,'Catalog'!$A:$A,0)),"")</f>
        <v>801  תחבושת אלסטית מקררת</v>
      </c>
      <c r="C424" s="12" t="n">
        <f aca="false">SUMIFS('סופר פארם Raw'!$C$6:$C$771,'סופר פארם Raw'!$E$6:$E$771,$A424,'סופר פארם Raw'!$B$6:$B$771,2025)</f>
        <v>283</v>
      </c>
      <c r="D424" s="12" t="n">
        <f aca="false">SUMIFS('סופר פארם Raw'!$C$6:$C$771,'סופר פארם Raw'!$E$6:$E$771,$A424,'סופר פארם Raw'!$B$6:$B$771,2026)</f>
        <v>428</v>
      </c>
      <c r="E424" s="12" t="n">
        <f aca="false">D424*$J$5</f>
        <v>540.631578947368</v>
      </c>
      <c r="F424" s="12" t="n">
        <f aca="false">E424-C424</f>
        <v>257.631578947368</v>
      </c>
      <c r="G424" s="21" t="n">
        <f aca="false">IF(AND(C424=0,E424=0),0,IF(C424=0,"New",(E424-C424)/C424))</f>
        <v>0.910358936209783</v>
      </c>
      <c r="H424" s="12" t="n">
        <f aca="false">SUMIFS('סופר פארם Raw'!$D$6:$D$771,'סופר פארם Raw'!$E$6:$E$771,$A424,'סופר פארם Raw'!$B$6:$B$771,2025)</f>
        <v>4566.7</v>
      </c>
      <c r="I424" s="12" t="n">
        <f aca="false">SUMIFS('סופר פארם Raw'!$D$6:$D$771,'סופר פארם Raw'!$E$6:$E$771,$A424,'סופר פארם Raw'!$B$6:$B$771,2026)</f>
        <v>7064.7</v>
      </c>
      <c r="J424" s="12" t="n">
        <f aca="false">I424*$J$5</f>
        <v>8923.83157894737</v>
      </c>
    </row>
    <row r="425" customFormat="false" ht="15" hidden="false" customHeight="true" outlineLevel="0" collapsed="false">
      <c r="A425" s="12" t="n">
        <v>4422003</v>
      </c>
      <c r="B425" s="12" t="str">
        <f aca="false">IFERROR(INDEX('Catalog'!$B:$B,MATCH($A425,'Catalog'!$A:$A,0)),"")</f>
        <v>FC331Z- 120 תתתרסיס מרענן לרגל</v>
      </c>
      <c r="C425" s="12" t="n">
        <f aca="false">SUMIFS('סופר פארם Raw'!$C$6:$C$771,'סופר פארם Raw'!$E$6:$E$771,$A425,'סופר פארם Raw'!$B$6:$B$771,2025)</f>
        <v>-3</v>
      </c>
      <c r="D425" s="12" t="n">
        <f aca="false">SUMIFS('סופר פארם Raw'!$C$6:$C$771,'סופר פארם Raw'!$E$6:$E$771,$A425,'סופר פארם Raw'!$B$6:$B$771,2026)</f>
        <v>0</v>
      </c>
      <c r="E425" s="12" t="n">
        <f aca="false">D425*$J$5</f>
        <v>0</v>
      </c>
      <c r="F425" s="12" t="n">
        <f aca="false">E425-C425</f>
        <v>3</v>
      </c>
      <c r="G425" s="21" t="n">
        <f aca="false">IF(AND(C425=0,E425=0),0,IF(C425=0,"New",(E425-C425)/C425))</f>
        <v>-1</v>
      </c>
      <c r="H425" s="12" t="n">
        <f aca="false">SUMIFS('סופר פארם Raw'!$D$6:$D$771,'סופר פארם Raw'!$E$6:$E$771,$A425,'סופר פארם Raw'!$B$6:$B$771,2025)</f>
        <v>-70.7</v>
      </c>
      <c r="I425" s="12" t="n">
        <f aca="false">SUMIFS('סופר פארם Raw'!$D$6:$D$771,'סופר פארם Raw'!$E$6:$E$771,$A425,'סופר פארם Raw'!$B$6:$B$771,2026)</f>
        <v>0</v>
      </c>
      <c r="J425" s="12" t="n">
        <f aca="false">I425*$J$5</f>
        <v>0</v>
      </c>
    </row>
    <row r="426" customFormat="false" ht="15" hidden="false" customHeight="true" outlineLevel="0" collapsed="false">
      <c r="A426" s="12" t="n">
        <v>4422005</v>
      </c>
      <c r="B426" s="12" t="str">
        <f aca="false">IFERROR(INDEX('Catalog'!$B:$B,MATCH($A426,'Catalog'!$A:$A,0)),"")</f>
        <v>T78 M תומך זרוע וכתף</v>
      </c>
      <c r="C426" s="12" t="n">
        <f aca="false">SUMIFS('סופר פארם Raw'!$C$6:$C$771,'סופר פארם Raw'!$E$6:$E$771,$A426,'סופר פארם Raw'!$B$6:$B$771,2025)</f>
        <v>5</v>
      </c>
      <c r="D426" s="12" t="n">
        <f aca="false">SUMIFS('סופר פארם Raw'!$C$6:$C$771,'סופר פארם Raw'!$E$6:$E$771,$A426,'סופר פארם Raw'!$B$6:$B$771,2026)</f>
        <v>6</v>
      </c>
      <c r="E426" s="12" t="n">
        <f aca="false">D426*$J$5</f>
        <v>7.57894736842105</v>
      </c>
      <c r="F426" s="12" t="n">
        <f aca="false">E426-C426</f>
        <v>2.57894736842105</v>
      </c>
      <c r="G426" s="21" t="n">
        <f aca="false">IF(AND(C426=0,E426=0),0,IF(C426=0,"New",(E426-C426)/C426))</f>
        <v>0.515789473684211</v>
      </c>
      <c r="H426" s="12" t="n">
        <f aca="false">SUMIFS('סופר פארם Raw'!$D$6:$D$771,'סופר פארם Raw'!$E$6:$E$771,$A426,'סופר פארם Raw'!$B$6:$B$771,2025)</f>
        <v>827.4</v>
      </c>
      <c r="I426" s="12" t="n">
        <f aca="false">SUMIFS('סופר פארם Raw'!$D$6:$D$771,'סופר פארם Raw'!$E$6:$E$771,$A426,'סופר פארם Raw'!$B$6:$B$771,2026)</f>
        <v>790.4</v>
      </c>
      <c r="J426" s="12" t="n">
        <f aca="false">I426*$J$5</f>
        <v>998.4</v>
      </c>
    </row>
    <row r="427" customFormat="false" ht="15" hidden="false" customHeight="true" outlineLevel="0" collapsed="false">
      <c r="A427" s="12" t="n">
        <v>4422006</v>
      </c>
      <c r="B427" s="12" t="str">
        <f aca="false">IFERROR(INDEX('Catalog'!$B:$B,MATCH($A427,'Catalog'!$A:$A,0)),"")</f>
        <v>T78 L תומך זרוע וכתף</v>
      </c>
      <c r="C427" s="12" t="n">
        <f aca="false">SUMIFS('סופר פארם Raw'!$C$6:$C$771,'סופר פארם Raw'!$E$6:$E$771,$A427,'סופר פארם Raw'!$B$6:$B$771,2025)</f>
        <v>4</v>
      </c>
      <c r="D427" s="12" t="n">
        <f aca="false">SUMIFS('סופר פארם Raw'!$C$6:$C$771,'סופר פארם Raw'!$E$6:$E$771,$A427,'סופר פארם Raw'!$B$6:$B$771,2026)</f>
        <v>6</v>
      </c>
      <c r="E427" s="12" t="n">
        <f aca="false">D427*$J$5</f>
        <v>7.57894736842105</v>
      </c>
      <c r="F427" s="12" t="n">
        <f aca="false">E427-C427</f>
        <v>3.57894736842105</v>
      </c>
      <c r="G427" s="21" t="n">
        <f aca="false">IF(AND(C427=0,E427=0),0,IF(C427=0,"New",(E427-C427)/C427))</f>
        <v>0.894736842105263</v>
      </c>
      <c r="H427" s="12" t="n">
        <f aca="false">SUMIFS('סופר פארם Raw'!$D$6:$D$771,'סופר פארם Raw'!$E$6:$E$771,$A427,'סופר פארם Raw'!$B$6:$B$771,2025)</f>
        <v>655.4</v>
      </c>
      <c r="I427" s="12" t="n">
        <f aca="false">SUMIFS('סופר פארם Raw'!$D$6:$D$771,'סופר פארם Raw'!$E$6:$E$771,$A427,'סופר פארם Raw'!$B$6:$B$771,2026)</f>
        <v>975.3</v>
      </c>
      <c r="J427" s="12" t="n">
        <f aca="false">I427*$J$5</f>
        <v>1231.95789473684</v>
      </c>
    </row>
    <row r="428" customFormat="false" ht="15" hidden="false" customHeight="true" outlineLevel="0" collapsed="false">
      <c r="A428" s="12" t="n">
        <v>4422007</v>
      </c>
      <c r="B428" s="12" t="str">
        <f aca="false">IFERROR(INDEX('Catalog'!$B:$B,MATCH($A428,'Catalog'!$A:$A,0)),"")</f>
        <v>T78 XLתומך זרוע וכתף</v>
      </c>
      <c r="C428" s="12" t="n">
        <f aca="false">SUMIFS('סופר פארם Raw'!$C$6:$C$771,'סופר פארם Raw'!$E$6:$E$771,$A428,'סופר פארם Raw'!$B$6:$B$771,2025)</f>
        <v>4</v>
      </c>
      <c r="D428" s="12" t="n">
        <f aca="false">SUMIFS('סופר פארם Raw'!$C$6:$C$771,'סופר פארם Raw'!$E$6:$E$771,$A428,'סופר פארם Raw'!$B$6:$B$771,2026)</f>
        <v>6</v>
      </c>
      <c r="E428" s="12" t="n">
        <f aca="false">D428*$J$5</f>
        <v>7.57894736842105</v>
      </c>
      <c r="F428" s="12" t="n">
        <f aca="false">E428-C428</f>
        <v>3.57894736842105</v>
      </c>
      <c r="G428" s="21" t="n">
        <f aca="false">IF(AND(C428=0,E428=0),0,IF(C428=0,"New",(E428-C428)/C428))</f>
        <v>0.894736842105263</v>
      </c>
      <c r="H428" s="12" t="n">
        <f aca="false">SUMIFS('סופר פארם Raw'!$D$6:$D$771,'סופר פארם Raw'!$E$6:$E$771,$A428,'סופר פארם Raw'!$B$6:$B$771,2025)</f>
        <v>655.4</v>
      </c>
      <c r="I428" s="12" t="n">
        <f aca="false">SUMIFS('סופר פארם Raw'!$D$6:$D$771,'סופר פארם Raw'!$E$6:$E$771,$A428,'סופר פארם Raw'!$B$6:$B$771,2026)</f>
        <v>975.3</v>
      </c>
      <c r="J428" s="12" t="n">
        <f aca="false">I428*$J$5</f>
        <v>1231.95789473684</v>
      </c>
    </row>
    <row r="429" customFormat="false" ht="15" hidden="false" customHeight="true" outlineLevel="0" collapsed="false">
      <c r="A429" s="12" t="n">
        <v>4422023</v>
      </c>
      <c r="B429" s="12" t="str">
        <f aca="false">IFERROR(INDEX('Catalog'!$B:$B,MATCH($A429,'Catalog'!$A:$A,0)),"")</f>
        <v>806CB-BEIGE      תחבושת א.נצמ</v>
      </c>
      <c r="C429" s="12" t="n">
        <f aca="false">SUMIFS('סופר פארם Raw'!$C$6:$C$771,'סופר פארם Raw'!$E$6:$E$771,$A429,'סופר פארם Raw'!$B$6:$B$771,2025)</f>
        <v>3203</v>
      </c>
      <c r="D429" s="12" t="n">
        <f aca="false">SUMIFS('סופר פארם Raw'!$C$6:$C$771,'סופר פארם Raw'!$E$6:$E$771,$A429,'סופר פארם Raw'!$B$6:$B$771,2026)</f>
        <v>1177</v>
      </c>
      <c r="E429" s="12" t="n">
        <f aca="false">D429*$J$5</f>
        <v>1486.73684210526</v>
      </c>
      <c r="F429" s="12" t="n">
        <f aca="false">E429-C429</f>
        <v>-1716.26315789474</v>
      </c>
      <c r="G429" s="21" t="n">
        <f aca="false">IF(AND(C429=0,E429=0),0,IF(C429=0,"New",(E429-C429)/C429))</f>
        <v>-0.535829896314311</v>
      </c>
      <c r="H429" s="12" t="n">
        <f aca="false">SUMIFS('סופר פארם Raw'!$D$6:$D$771,'סופר פארם Raw'!$E$6:$E$771,$A429,'סופר פארם Raw'!$B$6:$B$771,2025)</f>
        <v>32526.4</v>
      </c>
      <c r="I429" s="12" t="n">
        <f aca="false">SUMIFS('סופר פארם Raw'!$D$6:$D$771,'סופר פארם Raw'!$E$6:$E$771,$A429,'סופר פארם Raw'!$B$6:$B$771,2026)</f>
        <v>12016.1</v>
      </c>
      <c r="J429" s="12" t="n">
        <f aca="false">I429*$J$5</f>
        <v>15178.2315789474</v>
      </c>
    </row>
    <row r="430" customFormat="false" ht="15" hidden="false" customHeight="true" outlineLevel="0" collapsed="false">
      <c r="A430" s="12" t="n">
        <v>4422024</v>
      </c>
      <c r="B430" s="12" t="str">
        <f aca="false">IFERROR(INDEX('Catalog'!$B:$B,MATCH($A430,'Catalog'!$A:$A,0)),"")</f>
        <v>806CB-BLACK      תחבושת א.נצמ</v>
      </c>
      <c r="C430" s="12" t="n">
        <f aca="false">SUMIFS('סופר פארם Raw'!$C$6:$C$771,'סופר פארם Raw'!$E$6:$E$771,$A430,'סופר פארם Raw'!$B$6:$B$771,2025)</f>
        <v>2756</v>
      </c>
      <c r="D430" s="12" t="n">
        <f aca="false">SUMIFS('סופר פארם Raw'!$C$6:$C$771,'סופר פארם Raw'!$E$6:$E$771,$A430,'סופר פארם Raw'!$B$6:$B$771,2026)</f>
        <v>1822</v>
      </c>
      <c r="E430" s="12" t="n">
        <f aca="false">D430*$J$5</f>
        <v>2301.47368421053</v>
      </c>
      <c r="F430" s="12" t="n">
        <f aca="false">E430-C430</f>
        <v>-454.526315789474</v>
      </c>
      <c r="G430" s="21" t="n">
        <f aca="false">IF(AND(C430=0,E430=0),0,IF(C430=0,"New",(E430-C430)/C430))</f>
        <v>-0.16492246581621</v>
      </c>
      <c r="H430" s="12" t="n">
        <f aca="false">SUMIFS('סופר פארם Raw'!$D$6:$D$771,'סופר פארם Raw'!$E$6:$E$771,$A430,'סופר פארם Raw'!$B$6:$B$771,2025)</f>
        <v>28005.4</v>
      </c>
      <c r="I430" s="12" t="n">
        <f aca="false">SUMIFS('סופר פארם Raw'!$D$6:$D$771,'סופר פארם Raw'!$E$6:$E$771,$A430,'סופר פארם Raw'!$B$6:$B$771,2026)</f>
        <v>18650.2</v>
      </c>
      <c r="J430" s="12" t="n">
        <f aca="false">I430*$J$5</f>
        <v>23558.1473684211</v>
      </c>
    </row>
    <row r="431" customFormat="false" ht="15" hidden="false" customHeight="true" outlineLevel="0" collapsed="false">
      <c r="A431" s="12" t="n">
        <v>4422025</v>
      </c>
      <c r="B431" s="12" t="str">
        <f aca="false">IFERROR(INDEX('Catalog'!$B:$B,MATCH($A431,'Catalog'!$A:$A,0)),"")</f>
        <v>806CB-GREEN      תחבושת א.נצמ</v>
      </c>
      <c r="C431" s="12" t="n">
        <f aca="false">SUMIFS('סופר פארם Raw'!$C$6:$C$771,'סופר פארם Raw'!$E$6:$E$771,$A431,'סופר פארם Raw'!$B$6:$B$771,2025)</f>
        <v>1749</v>
      </c>
      <c r="D431" s="12" t="n">
        <f aca="false">SUMIFS('סופר פארם Raw'!$C$6:$C$771,'סופר פארם Raw'!$E$6:$E$771,$A431,'סופר פארם Raw'!$B$6:$B$771,2026)</f>
        <v>820</v>
      </c>
      <c r="E431" s="12" t="n">
        <f aca="false">D431*$J$5</f>
        <v>1035.78947368421</v>
      </c>
      <c r="F431" s="12" t="n">
        <f aca="false">E431-C431</f>
        <v>-713.21052631579</v>
      </c>
      <c r="G431" s="21" t="n">
        <f aca="false">IF(AND(C431=0,E431=0),0,IF(C431=0,"New",(E431-C431)/C431))</f>
        <v>-0.407781890403539</v>
      </c>
      <c r="H431" s="12" t="n">
        <f aca="false">SUMIFS('סופר פארם Raw'!$D$6:$D$771,'סופר פארם Raw'!$E$6:$E$771,$A431,'סופר פארם Raw'!$B$6:$B$771,2025)</f>
        <v>17832.6</v>
      </c>
      <c r="I431" s="12" t="n">
        <f aca="false">SUMIFS('סופר פארם Raw'!$D$6:$D$771,'סופר פארם Raw'!$E$6:$E$771,$A431,'סופר פארם Raw'!$B$6:$B$771,2026)</f>
        <v>8468.2</v>
      </c>
      <c r="J431" s="12" t="n">
        <f aca="false">I431*$J$5</f>
        <v>10696.6736842105</v>
      </c>
    </row>
    <row r="432" customFormat="false" ht="15" hidden="false" customHeight="true" outlineLevel="0" collapsed="false">
      <c r="A432" s="12" t="n">
        <v>4422026</v>
      </c>
      <c r="B432" s="12" t="str">
        <f aca="false">IFERROR(INDEX('Catalog'!$B:$B,MATCH($A432,'Catalog'!$A:$A,0)),"")</f>
        <v>806CB-PINK       תחבושת א.נצמ</v>
      </c>
      <c r="C432" s="12" t="n">
        <f aca="false">SUMIFS('סופר פארם Raw'!$C$6:$C$771,'סופר פארם Raw'!$E$6:$E$771,$A432,'סופר פארם Raw'!$B$6:$B$771,2025)</f>
        <v>980</v>
      </c>
      <c r="D432" s="12" t="n">
        <f aca="false">SUMIFS('סופר פארם Raw'!$C$6:$C$771,'סופר פארם Raw'!$E$6:$E$771,$A432,'סופר פארם Raw'!$B$6:$B$771,2026)</f>
        <v>697</v>
      </c>
      <c r="E432" s="12" t="n">
        <f aca="false">D432*$J$5</f>
        <v>880.421052631579</v>
      </c>
      <c r="F432" s="12" t="n">
        <f aca="false">E432-C432</f>
        <v>-99.5789473684212</v>
      </c>
      <c r="G432" s="21" t="n">
        <f aca="false">IF(AND(C432=0,E432=0),0,IF(C432=0,"New",(E432-C432)/C432))</f>
        <v>-0.101611170784103</v>
      </c>
      <c r="H432" s="12" t="n">
        <f aca="false">SUMIFS('סופר פארם Raw'!$D$6:$D$771,'סופר פארם Raw'!$E$6:$E$771,$A432,'סופר פארם Raw'!$B$6:$B$771,2025)</f>
        <v>9936.3</v>
      </c>
      <c r="I432" s="12" t="n">
        <f aca="false">SUMIFS('סופר פארם Raw'!$D$6:$D$771,'סופר פארם Raw'!$E$6:$E$771,$A432,'סופר פארם Raw'!$B$6:$B$771,2026)</f>
        <v>7156.9</v>
      </c>
      <c r="J432" s="12" t="n">
        <f aca="false">I432*$J$5</f>
        <v>9040.29473684211</v>
      </c>
    </row>
    <row r="433" customFormat="false" ht="15" hidden="false" customHeight="true" outlineLevel="0" collapsed="false">
      <c r="A433" s="12" t="n">
        <v>4422031</v>
      </c>
      <c r="B433" s="12" t="str">
        <f aca="false">IFERROR(INDEX('Catalog'!$B:$B,MATCH($A433,'Catalog'!$A:$A,0)),"")</f>
        <v>807CB-Cתחבושת נצמדת בז' 20 מ""מ</v>
      </c>
      <c r="C433" s="12" t="n">
        <f aca="false">SUMIFS('סופר פארם Raw'!$C$6:$C$771,'סופר פארם Raw'!$E$6:$E$771,$A433,'סופר פארם Raw'!$B$6:$B$771,2025)</f>
        <v>1235</v>
      </c>
      <c r="D433" s="12" t="n">
        <f aca="false">SUMIFS('סופר פארם Raw'!$C$6:$C$771,'סופר פארם Raw'!$E$6:$E$771,$A433,'סופר פארם Raw'!$B$6:$B$771,2026)</f>
        <v>988</v>
      </c>
      <c r="E433" s="12" t="n">
        <f aca="false">D433*$J$5</f>
        <v>1248</v>
      </c>
      <c r="F433" s="12" t="n">
        <f aca="false">E433-C433</f>
        <v>13</v>
      </c>
      <c r="G433" s="21" t="n">
        <f aca="false">IF(AND(C433=0,E433=0),0,IF(C433=0,"New",(E433-C433)/C433))</f>
        <v>0.0105263157894737</v>
      </c>
      <c r="H433" s="12" t="n">
        <f aca="false">SUMIFS('סופר פארם Raw'!$D$6:$D$771,'סופר פארם Raw'!$E$6:$E$771,$A433,'סופר פארם Raw'!$B$6:$B$771,2025)</f>
        <v>12532.2</v>
      </c>
      <c r="I433" s="12" t="n">
        <f aca="false">SUMIFS('סופר פארם Raw'!$D$6:$D$771,'סופר פארם Raw'!$E$6:$E$771,$A433,'סופר פארם Raw'!$B$6:$B$771,2026)</f>
        <v>10070.6</v>
      </c>
      <c r="J433" s="12" t="n">
        <f aca="false">I433*$J$5</f>
        <v>12720.7578947368</v>
      </c>
    </row>
    <row r="434" customFormat="false" ht="15" hidden="false" customHeight="true" outlineLevel="0" collapsed="false">
      <c r="A434" s="12" t="n">
        <v>4422032</v>
      </c>
      <c r="B434" s="12" t="str">
        <f aca="false">IFERROR(INDEX('Catalog'!$B:$B,MATCH($A434,'Catalog'!$A:$A,0)),"")</f>
        <v>807B-Bתחבושת נצמדת שחור 20 מ""מ</v>
      </c>
      <c r="C434" s="12" t="n">
        <f aca="false">SUMIFS('סופר פארם Raw'!$C$6:$C$771,'סופר פארם Raw'!$E$6:$E$771,$A434,'סופר פארם Raw'!$B$6:$B$771,2025)</f>
        <v>1790</v>
      </c>
      <c r="D434" s="12" t="n">
        <f aca="false">SUMIFS('סופר פארם Raw'!$C$6:$C$771,'סופר פארם Raw'!$E$6:$E$771,$A434,'סופר פארם Raw'!$B$6:$B$771,2026)</f>
        <v>580</v>
      </c>
      <c r="E434" s="12" t="n">
        <f aca="false">D434*$J$5</f>
        <v>732.631578947368</v>
      </c>
      <c r="F434" s="12" t="n">
        <f aca="false">E434-C434</f>
        <v>-1057.36842105263</v>
      </c>
      <c r="G434" s="21" t="n">
        <f aca="false">IF(AND(C434=0,E434=0),0,IF(C434=0,"New",(E434-C434)/C434))</f>
        <v>-0.590708615113202</v>
      </c>
      <c r="H434" s="12" t="n">
        <f aca="false">SUMIFS('סופר פארם Raw'!$D$6:$D$771,'סופר פארם Raw'!$E$6:$E$771,$A434,'סופר פארם Raw'!$B$6:$B$771,2025)</f>
        <v>18164.7</v>
      </c>
      <c r="I434" s="12" t="n">
        <f aca="false">SUMIFS('סופר פארם Raw'!$D$6:$D$771,'סופר פארם Raw'!$E$6:$E$771,$A434,'סופר פארם Raw'!$B$6:$B$771,2026)</f>
        <v>5942.1</v>
      </c>
      <c r="J434" s="12" t="n">
        <f aca="false">I434*$J$5</f>
        <v>7505.81052631579</v>
      </c>
    </row>
    <row r="435" customFormat="false" ht="15" hidden="false" customHeight="true" outlineLevel="0" collapsed="false">
      <c r="A435" s="12" t="n">
        <v>4422033</v>
      </c>
      <c r="B435" s="12" t="str">
        <f aca="false">IFERROR(INDEX('Catalog'!$B:$B,MATCH($A435,'Catalog'!$A:$A,0)),"")</f>
        <v>807CB-BLתחבושת נצמדת כחול20מ""מ</v>
      </c>
      <c r="C435" s="12" t="n">
        <f aca="false">SUMIFS('סופר פארם Raw'!$C$6:$C$771,'סופר פארם Raw'!$E$6:$E$771,$A435,'סופר פארם Raw'!$B$6:$B$771,2025)</f>
        <v>1556</v>
      </c>
      <c r="D435" s="12" t="n">
        <f aca="false">SUMIFS('סופר פארם Raw'!$C$6:$C$771,'סופר פארם Raw'!$E$6:$E$771,$A435,'סופר פארם Raw'!$B$6:$B$771,2026)</f>
        <v>358</v>
      </c>
      <c r="E435" s="12" t="n">
        <f aca="false">D435*$J$5</f>
        <v>452.210526315789</v>
      </c>
      <c r="F435" s="12" t="n">
        <f aca="false">E435-C435</f>
        <v>-1103.78947368421</v>
      </c>
      <c r="G435" s="21" t="n">
        <f aca="false">IF(AND(C435=0,E435=0),0,IF(C435=0,"New",(E435-C435)/C435))</f>
        <v>-0.709376268434583</v>
      </c>
      <c r="H435" s="12" t="n">
        <f aca="false">SUMIFS('סופר פארם Raw'!$D$6:$D$771,'סופר פארם Raw'!$E$6:$E$771,$A435,'סופר פארם Raw'!$B$6:$B$771,2025)</f>
        <v>15795.7</v>
      </c>
      <c r="I435" s="12" t="n">
        <f aca="false">SUMIFS('סופר פארם Raw'!$D$6:$D$771,'סופר פארם Raw'!$E$6:$E$771,$A435,'סופר פארם Raw'!$B$6:$B$771,2026)</f>
        <v>3674.8</v>
      </c>
      <c r="J435" s="12" t="n">
        <f aca="false">I435*$J$5</f>
        <v>4641.85263157895</v>
      </c>
    </row>
    <row r="436" customFormat="false" ht="15" hidden="false" customHeight="true" outlineLevel="0" collapsed="false">
      <c r="A436" s="12" t="n">
        <v>4422034</v>
      </c>
      <c r="B436" s="12" t="str">
        <f aca="false">IFERROR(INDEX('Catalog'!$B:$B,MATCH($A436,'Catalog'!$A:$A,0)),"")</f>
        <v>807CB-P תחבושת נצמדת ורוד 20ממ</v>
      </c>
      <c r="C436" s="12" t="n">
        <f aca="false">SUMIFS('סופר פארם Raw'!$C$6:$C$771,'סופר פארם Raw'!$E$6:$E$771,$A436,'סופר פארם Raw'!$B$6:$B$771,2025)</f>
        <v>1134</v>
      </c>
      <c r="D436" s="12" t="n">
        <f aca="false">SUMIFS('סופר פארם Raw'!$C$6:$C$771,'סופר פארם Raw'!$E$6:$E$771,$A436,'סופר פארם Raw'!$B$6:$B$771,2026)</f>
        <v>283</v>
      </c>
      <c r="E436" s="12" t="n">
        <f aca="false">D436*$J$5</f>
        <v>357.473684210526</v>
      </c>
      <c r="F436" s="12" t="n">
        <f aca="false">E436-C436</f>
        <v>-776.526315789474</v>
      </c>
      <c r="G436" s="21" t="n">
        <f aca="false">IF(AND(C436=0,E436=0),0,IF(C436=0,"New",(E436-C436)/C436))</f>
        <v>-0.684767474241159</v>
      </c>
      <c r="H436" s="12" t="n">
        <f aca="false">SUMIFS('סופר פארם Raw'!$D$6:$D$771,'סופר פארם Raw'!$E$6:$E$771,$A436,'סופר פארם Raw'!$B$6:$B$771,2025)</f>
        <v>11512.2</v>
      </c>
      <c r="I436" s="12" t="n">
        <f aca="false">SUMIFS('סופר פארם Raw'!$D$6:$D$771,'סופר פארם Raw'!$E$6:$E$771,$A436,'סופר פארם Raw'!$B$6:$B$771,2026)</f>
        <v>2916</v>
      </c>
      <c r="J436" s="12" t="n">
        <f aca="false">I436*$J$5</f>
        <v>3683.36842105263</v>
      </c>
    </row>
    <row r="437" customFormat="false" ht="15" hidden="false" customHeight="true" outlineLevel="0" collapsed="false">
      <c r="A437" s="12" t="n">
        <v>4422035</v>
      </c>
      <c r="B437" s="12" t="str">
        <f aca="false">IFERROR(INDEX('Catalog'!$B:$B,MATCH($A437,'Catalog'!$A:$A,0)),"")</f>
        <v>FCתרסיס דאודורנט אנטיבק.נעל333</v>
      </c>
      <c r="C437" s="12" t="n">
        <f aca="false">SUMIFS('סופר פארם Raw'!$C$6:$C$771,'סופר פארם Raw'!$E$6:$E$771,$A437,'סופר פארם Raw'!$B$6:$B$771,2025)</f>
        <v>1663</v>
      </c>
      <c r="D437" s="12" t="n">
        <f aca="false">SUMIFS('סופר פארם Raw'!$C$6:$C$771,'סופר פארם Raw'!$E$6:$E$771,$A437,'סופר פארם Raw'!$B$6:$B$771,2026)</f>
        <v>1283</v>
      </c>
      <c r="E437" s="12" t="n">
        <f aca="false">D437*$J$5</f>
        <v>1620.63157894737</v>
      </c>
      <c r="F437" s="12" t="n">
        <f aca="false">E437-C437</f>
        <v>-42.3684210526317</v>
      </c>
      <c r="G437" s="21" t="n">
        <f aca="false">IF(AND(C437=0,E437=0),0,IF(C437=0,"New",(E437-C437)/C437))</f>
        <v>-0.0254771022565434</v>
      </c>
      <c r="H437" s="12" t="n">
        <f aca="false">SUMIFS('סופר פארם Raw'!$D$6:$D$771,'סופר פארם Raw'!$E$6:$E$771,$A437,'סופר פארם Raw'!$B$6:$B$771,2025)</f>
        <v>30574.4</v>
      </c>
      <c r="I437" s="12" t="n">
        <f aca="false">SUMIFS('סופר פארם Raw'!$D$6:$D$771,'סופר פארם Raw'!$E$6:$E$771,$A437,'סופר פארם Raw'!$B$6:$B$771,2026)</f>
        <v>22225.7</v>
      </c>
      <c r="J437" s="12" t="n">
        <f aca="false">I437*$J$5</f>
        <v>28074.5684210526</v>
      </c>
    </row>
    <row r="438" customFormat="false" ht="15" hidden="false" customHeight="true" outlineLevel="0" collapsed="false">
      <c r="A438" s="12" t="n">
        <v>4422036</v>
      </c>
      <c r="B438" s="12" t="str">
        <f aca="false">IFERROR(INDEX('Catalog'!$B:$B,MATCH($A438,'Catalog'!$A:$A,0)),"")</f>
        <v>FC334  תרסיס דאודורנט לכף הרגל</v>
      </c>
      <c r="C438" s="12" t="n">
        <f aca="false">SUMIFS('סופר פארם Raw'!$C$6:$C$771,'סופר פארם Raw'!$E$6:$E$771,$A438,'סופר פארם Raw'!$B$6:$B$771,2025)</f>
        <v>583</v>
      </c>
      <c r="D438" s="12" t="n">
        <f aca="false">SUMIFS('סופר פארם Raw'!$C$6:$C$771,'סופר פארם Raw'!$E$6:$E$771,$A438,'סופר פארם Raw'!$B$6:$B$771,2026)</f>
        <v>536</v>
      </c>
      <c r="E438" s="12" t="n">
        <f aca="false">D438*$J$5</f>
        <v>677.052631578947</v>
      </c>
      <c r="F438" s="12" t="n">
        <f aca="false">E438-C438</f>
        <v>94.0526315789473</v>
      </c>
      <c r="G438" s="21" t="n">
        <f aca="false">IF(AND(C438=0,E438=0),0,IF(C438=0,"New",(E438-C438)/C438))</f>
        <v>0.161325268574524</v>
      </c>
      <c r="H438" s="12" t="n">
        <f aca="false">SUMIFS('סופר פארם Raw'!$D$6:$D$771,'סופר פארם Raw'!$E$6:$E$771,$A438,'סופר פארם Raw'!$B$6:$B$771,2025)</f>
        <v>12662</v>
      </c>
      <c r="I438" s="12" t="n">
        <f aca="false">SUMIFS('סופר פארם Raw'!$D$6:$D$771,'סופר פארם Raw'!$E$6:$E$771,$A438,'סופר פארם Raw'!$B$6:$B$771,2026)</f>
        <v>10680.7</v>
      </c>
      <c r="J438" s="12" t="n">
        <f aca="false">I438*$J$5</f>
        <v>13491.4105263158</v>
      </c>
    </row>
    <row r="439" customFormat="false" ht="15" hidden="false" customHeight="true" outlineLevel="0" collapsed="false">
      <c r="A439" s="12" t="n">
        <v>4422037</v>
      </c>
      <c r="B439" s="12" t="str">
        <f aca="false">IFERROR(INDEX('Catalog'!$B:$B,MATCH($A439,'Catalog'!$A:$A,0)),"")</f>
        <v>SH422 1 תומך ברך גנושילד</v>
      </c>
      <c r="C439" s="12" t="n">
        <f aca="false">SUMIFS('סופר פארם Raw'!$C$6:$C$771,'סופר פארם Raw'!$E$6:$E$771,$A439,'סופר פארם Raw'!$B$6:$B$771,2025)</f>
        <v>0</v>
      </c>
      <c r="D439" s="12" t="n">
        <f aca="false">SUMIFS('סופר פארם Raw'!$C$6:$C$771,'סופר פארם Raw'!$E$6:$E$771,$A439,'סופר פארם Raw'!$B$6:$B$771,2026)</f>
        <v>17</v>
      </c>
      <c r="E439" s="12" t="n">
        <f aca="false">D439*$J$5</f>
        <v>21.4736842105263</v>
      </c>
      <c r="F439" s="12" t="n">
        <f aca="false">E439-C439</f>
        <v>21.4736842105263</v>
      </c>
      <c r="G439" s="21" t="str">
        <f aca="false">IF(AND(C439=0,E439=0),0,IF(C439=0,"New",(E439-C439)/C439))</f>
        <v>New</v>
      </c>
      <c r="H439" s="12" t="n">
        <f aca="false">SUMIFS('סופר פארם Raw'!$D$6:$D$771,'סופר פארם Raw'!$E$6:$E$771,$A439,'סופר פארם Raw'!$B$6:$B$771,2025)</f>
        <v>0</v>
      </c>
      <c r="I439" s="12" t="n">
        <f aca="false">SUMIFS('סופר פארם Raw'!$D$6:$D$771,'סופר פארם Raw'!$E$6:$E$771,$A439,'סופר פארם Raw'!$B$6:$B$771,2026)</f>
        <v>3043</v>
      </c>
      <c r="J439" s="12" t="n">
        <f aca="false">I439*$J$5</f>
        <v>3843.78947368421</v>
      </c>
    </row>
    <row r="440" customFormat="false" ht="15" hidden="false" customHeight="true" outlineLevel="0" collapsed="false">
      <c r="A440" s="12" t="n">
        <v>4422038</v>
      </c>
      <c r="B440" s="12" t="str">
        <f aca="false">IFERROR(INDEX('Catalog'!$B:$B,MATCH($A440,'Catalog'!$A:$A,0)),"")</f>
        <v>SH422 2 תומך ברך גנושילד</v>
      </c>
      <c r="C440" s="12" t="n">
        <f aca="false">SUMIFS('סופר פארם Raw'!$C$6:$C$771,'סופר פארם Raw'!$E$6:$E$771,$A440,'סופר פארם Raw'!$B$6:$B$771,2025)</f>
        <v>0</v>
      </c>
      <c r="D440" s="12" t="n">
        <f aca="false">SUMIFS('סופר פארם Raw'!$C$6:$C$771,'סופר פארם Raw'!$E$6:$E$771,$A440,'סופר פארם Raw'!$B$6:$B$771,2026)</f>
        <v>20</v>
      </c>
      <c r="E440" s="12" t="n">
        <f aca="false">D440*$J$5</f>
        <v>25.2631578947368</v>
      </c>
      <c r="F440" s="12" t="n">
        <f aca="false">E440-C440</f>
        <v>25.2631578947368</v>
      </c>
      <c r="G440" s="21" t="str">
        <f aca="false">IF(AND(C440=0,E440=0),0,IF(C440=0,"New",(E440-C440)/C440))</f>
        <v>New</v>
      </c>
      <c r="H440" s="12" t="n">
        <f aca="false">SUMIFS('סופר פארם Raw'!$D$6:$D$771,'סופר פארם Raw'!$E$6:$E$771,$A440,'סופר פארם Raw'!$B$6:$B$771,2025)</f>
        <v>0</v>
      </c>
      <c r="I440" s="12" t="n">
        <f aca="false">SUMIFS('סופר פארם Raw'!$D$6:$D$771,'סופר פארם Raw'!$E$6:$E$771,$A440,'סופר פארם Raw'!$B$6:$B$771,2026)</f>
        <v>3627.8</v>
      </c>
      <c r="J440" s="12" t="n">
        <f aca="false">I440*$J$5</f>
        <v>4582.48421052632</v>
      </c>
    </row>
    <row r="441" customFormat="false" ht="15" hidden="false" customHeight="true" outlineLevel="0" collapsed="false">
      <c r="A441" s="12" t="n">
        <v>4422039</v>
      </c>
      <c r="B441" s="12" t="str">
        <f aca="false">IFERROR(INDEX('Catalog'!$B:$B,MATCH($A441,'Catalog'!$A:$A,0)),"")</f>
        <v>SH422 3 תומך ברך גנושילד</v>
      </c>
      <c r="C441" s="12" t="n">
        <f aca="false">SUMIFS('סופר פארם Raw'!$C$6:$C$771,'סופר פארם Raw'!$E$6:$E$771,$A441,'סופר פארם Raw'!$B$6:$B$771,2025)</f>
        <v>0</v>
      </c>
      <c r="D441" s="12" t="n">
        <f aca="false">SUMIFS('סופר פארם Raw'!$C$6:$C$771,'סופר פארם Raw'!$E$6:$E$771,$A441,'סופר פארם Raw'!$B$6:$B$771,2026)</f>
        <v>26</v>
      </c>
      <c r="E441" s="12" t="n">
        <f aca="false">D441*$J$5</f>
        <v>32.8421052631579</v>
      </c>
      <c r="F441" s="12" t="n">
        <f aca="false">E441-C441</f>
        <v>32.8421052631579</v>
      </c>
      <c r="G441" s="21" t="str">
        <f aca="false">IF(AND(C441=0,E441=0),0,IF(C441=0,"New",(E441-C441)/C441))</f>
        <v>New</v>
      </c>
      <c r="H441" s="12" t="n">
        <f aca="false">SUMIFS('סופר פארם Raw'!$D$6:$D$771,'סופר פארם Raw'!$E$6:$E$771,$A441,'סופר פארם Raw'!$B$6:$B$771,2025)</f>
        <v>0</v>
      </c>
      <c r="I441" s="12" t="n">
        <f aca="false">SUMIFS('סופר פארם Raw'!$D$6:$D$771,'סופר פארם Raw'!$E$6:$E$771,$A441,'סופר פארם Raw'!$B$6:$B$771,2026)</f>
        <v>4687.8</v>
      </c>
      <c r="J441" s="12" t="n">
        <f aca="false">I441*$J$5</f>
        <v>5921.43157894737</v>
      </c>
    </row>
    <row r="442" customFormat="false" ht="15" hidden="false" customHeight="true" outlineLevel="0" collapsed="false">
      <c r="A442" s="12" t="n">
        <v>4422040</v>
      </c>
      <c r="B442" s="12" t="str">
        <f aca="false">IFERROR(INDEX('Catalog'!$B:$B,MATCH($A442,'Catalog'!$A:$A,0)),"")</f>
        <v>SH422 4 תומך ברך גנושילד</v>
      </c>
      <c r="C442" s="12" t="n">
        <f aca="false">SUMIFS('סופר פארם Raw'!$C$6:$C$771,'סופר פארם Raw'!$E$6:$E$771,$A442,'סופר פארם Raw'!$B$6:$B$771,2025)</f>
        <v>0</v>
      </c>
      <c r="D442" s="12" t="n">
        <f aca="false">SUMIFS('סופר פארם Raw'!$C$6:$C$771,'סופר פארם Raw'!$E$6:$E$771,$A442,'סופר פארם Raw'!$B$6:$B$771,2026)</f>
        <v>42</v>
      </c>
      <c r="E442" s="12" t="n">
        <f aca="false">D442*$J$5</f>
        <v>53.0526315789474</v>
      </c>
      <c r="F442" s="12" t="n">
        <f aca="false">E442-C442</f>
        <v>53.0526315789474</v>
      </c>
      <c r="G442" s="21" t="str">
        <f aca="false">IF(AND(C442=0,E442=0),0,IF(C442=0,"New",(E442-C442)/C442))</f>
        <v>New</v>
      </c>
      <c r="H442" s="12" t="n">
        <f aca="false">SUMIFS('סופר פארם Raw'!$D$6:$D$771,'סופר פארם Raw'!$E$6:$E$771,$A442,'סופר פארם Raw'!$B$6:$B$771,2025)</f>
        <v>0</v>
      </c>
      <c r="I442" s="12" t="n">
        <f aca="false">SUMIFS('סופר פארם Raw'!$D$6:$D$771,'סופר פארם Raw'!$E$6:$E$771,$A442,'סופר פארם Raw'!$B$6:$B$771,2026)</f>
        <v>7611.9</v>
      </c>
      <c r="J442" s="12" t="n">
        <f aca="false">I442*$J$5</f>
        <v>9615.03157894737</v>
      </c>
    </row>
    <row r="443" customFormat="false" ht="15" hidden="false" customHeight="true" outlineLevel="0" collapsed="false">
      <c r="A443" s="12" t="n">
        <v>4422041</v>
      </c>
      <c r="B443" s="12" t="str">
        <f aca="false">IFERROR(INDEX('Catalog'!$B:$B,MATCH($A443,'Catalog'!$A:$A,0)),"")</f>
        <v>SH422 5 תומך ברך גנושילד</v>
      </c>
      <c r="C443" s="12" t="n">
        <f aca="false">SUMIFS('סופר פארם Raw'!$C$6:$C$771,'סופר פארם Raw'!$E$6:$E$771,$A443,'סופר פארם Raw'!$B$6:$B$771,2025)</f>
        <v>0</v>
      </c>
      <c r="D443" s="12" t="n">
        <f aca="false">SUMIFS('סופר פארם Raw'!$C$6:$C$771,'סופר פארם Raw'!$E$6:$E$771,$A443,'סופר פארם Raw'!$B$6:$B$771,2026)</f>
        <v>30</v>
      </c>
      <c r="E443" s="12" t="n">
        <f aca="false">D443*$J$5</f>
        <v>37.8947368421053</v>
      </c>
      <c r="F443" s="12" t="n">
        <f aca="false">E443-C443</f>
        <v>37.8947368421053</v>
      </c>
      <c r="G443" s="21" t="str">
        <f aca="false">IF(AND(C443=0,E443=0),0,IF(C443=0,"New",(E443-C443)/C443))</f>
        <v>New</v>
      </c>
      <c r="H443" s="12" t="n">
        <f aca="false">SUMIFS('סופר פארם Raw'!$D$6:$D$771,'סופר פארם Raw'!$E$6:$E$771,$A443,'סופר פארם Raw'!$B$6:$B$771,2025)</f>
        <v>0</v>
      </c>
      <c r="I443" s="12" t="n">
        <f aca="false">SUMIFS('סופר פארם Raw'!$D$6:$D$771,'סופר פארם Raw'!$E$6:$E$771,$A443,'סופר פארם Raw'!$B$6:$B$771,2026)</f>
        <v>5400.5</v>
      </c>
      <c r="J443" s="12" t="n">
        <f aca="false">I443*$J$5</f>
        <v>6821.68421052632</v>
      </c>
    </row>
    <row r="444" customFormat="false" ht="15" hidden="false" customHeight="true" outlineLevel="0" collapsed="false">
      <c r="A444" s="12" t="n">
        <v>4422042</v>
      </c>
      <c r="B444" s="12" t="str">
        <f aca="false">IFERROR(INDEX('Catalog'!$B:$B,MATCH($A444,'Catalog'!$A:$A,0)),"")</f>
        <v>SH422 6 תומך ברך גנושילד</v>
      </c>
      <c r="C444" s="12" t="n">
        <f aca="false">SUMIFS('סופר פארם Raw'!$C$6:$C$771,'סופר פארם Raw'!$E$6:$E$771,$A444,'סופר פארם Raw'!$B$6:$B$771,2025)</f>
        <v>0</v>
      </c>
      <c r="D444" s="12" t="n">
        <f aca="false">SUMIFS('סופר פארם Raw'!$C$6:$C$771,'סופר פארם Raw'!$E$6:$E$771,$A444,'סופר פארם Raw'!$B$6:$B$771,2026)</f>
        <v>14</v>
      </c>
      <c r="E444" s="12" t="n">
        <f aca="false">D444*$J$5</f>
        <v>17.6842105263158</v>
      </c>
      <c r="F444" s="12" t="n">
        <f aca="false">E444-C444</f>
        <v>17.6842105263158</v>
      </c>
      <c r="G444" s="21" t="str">
        <f aca="false">IF(AND(C444=0,E444=0),0,IF(C444=0,"New",(E444-C444)/C444))</f>
        <v>New</v>
      </c>
      <c r="H444" s="12" t="n">
        <f aca="false">SUMIFS('סופר פארם Raw'!$D$6:$D$771,'סופר פארם Raw'!$E$6:$E$771,$A444,'סופר פארם Raw'!$B$6:$B$771,2025)</f>
        <v>0</v>
      </c>
      <c r="I444" s="12" t="n">
        <f aca="false">SUMIFS('סופר פארם Raw'!$D$6:$D$771,'סופר פארם Raw'!$E$6:$E$771,$A444,'סופר פארם Raw'!$B$6:$B$771,2026)</f>
        <v>2522.1</v>
      </c>
      <c r="J444" s="12" t="n">
        <f aca="false">I444*$J$5</f>
        <v>3185.81052631579</v>
      </c>
    </row>
    <row r="446" customFormat="false" ht="15" hidden="false" customHeight="true" outlineLevel="0" collapsed="false">
      <c r="A446" s="27"/>
      <c r="B446" s="25" t="s">
        <v>942</v>
      </c>
      <c r="C446" s="25" t="n">
        <f aca="false">SUM(C9:C444)</f>
        <v>176505</v>
      </c>
      <c r="D446" s="25" t="n">
        <f aca="false">SUM(D9:D444)</f>
        <v>118307</v>
      </c>
      <c r="E446" s="25" t="n">
        <f aca="false">SUM(E9:E444)</f>
        <v>149440.421052632</v>
      </c>
      <c r="F446" s="25" t="n">
        <f aca="false">SUM(F9:F444)</f>
        <v>-27064.5789473684</v>
      </c>
      <c r="G446" s="28" t="n">
        <f aca="false">IF(C446=0,"N/A",F446/C446)</f>
        <v>-0.153336046839287</v>
      </c>
      <c r="H446" s="25" t="n">
        <f aca="false">SUM(H9:H444)</f>
        <v>6689220.5</v>
      </c>
      <c r="I446" s="25" t="n">
        <f aca="false">SUM(I9:I444)</f>
        <v>4476515.3</v>
      </c>
      <c r="J446" s="25" t="n">
        <f aca="false">SUM(J9:J444)</f>
        <v>5654545.64210526</v>
      </c>
    </row>
  </sheetData>
  <mergeCells count="2">
    <mergeCell ref="A3:J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42"/>
    <col collapsed="false" customWidth="true" hidden="false" outlineLevel="0" max="2" min="2" style="1" width="8"/>
    <col collapsed="false" customWidth="true" hidden="false" outlineLevel="0" max="3" min="3" style="1" width="12"/>
    <col collapsed="false" customWidth="true" hidden="false" outlineLevel="0" max="5" min="4" style="1" width="14"/>
    <col collapsed="false" customWidth="true" hidden="false" outlineLevel="0" max="6" min="6" style="1" width="24"/>
  </cols>
  <sheetData>
    <row r="1" customFormat="false" ht="15" hidden="false" customHeight="true" outlineLevel="0" collapsed="false">
      <c r="A1" s="11" t="s">
        <v>1279</v>
      </c>
    </row>
    <row r="2" customFormat="false" ht="15" hidden="false" customHeight="true" outlineLevel="0" collapsed="false">
      <c r="A2" s="3" t="s">
        <v>1</v>
      </c>
      <c r="B2" s="4" t="n">
        <v>46290</v>
      </c>
    </row>
    <row r="3" customFormat="false" ht="21.75" hidden="false" customHeight="true" outlineLevel="0" collapsed="false">
      <c r="A3" s="5" t="s">
        <v>1280</v>
      </c>
      <c r="B3" s="5"/>
      <c r="C3" s="5"/>
      <c r="D3" s="5"/>
      <c r="E3" s="5"/>
      <c r="F3" s="5"/>
      <c r="G3" s="5"/>
    </row>
    <row r="5" customFormat="false" ht="15" hidden="false" customHeight="true" outlineLevel="0" collapsed="false">
      <c r="A5" s="19" t="s">
        <v>946</v>
      </c>
      <c r="B5" s="19" t="s">
        <v>947</v>
      </c>
      <c r="C5" s="19" t="s">
        <v>948</v>
      </c>
      <c r="D5" s="19" t="s">
        <v>949</v>
      </c>
      <c r="E5" s="19" t="s">
        <v>70</v>
      </c>
      <c r="F5" s="19" t="s">
        <v>1276</v>
      </c>
    </row>
    <row r="6" customFormat="false" ht="15" hidden="false" customHeight="true" outlineLevel="0" collapsed="false">
      <c r="A6" s="12" t="s">
        <v>564</v>
      </c>
      <c r="B6" s="12" t="n">
        <v>2025</v>
      </c>
      <c r="C6" s="12" t="n">
        <v>1030</v>
      </c>
      <c r="D6" s="12" t="n">
        <v>22376.6</v>
      </c>
      <c r="E6" s="12" t="n">
        <f aca="false">IFERROR(INDEX('Catalog'!$A:$A,MATCH($A6,'Catalog'!$B:$B,0)),IFERROR(INDEX('Catalog'!$A:$A,MATCH(TRIM(SUBSTITUTE($A6,CHAR(160)," ")),'Catalog'!$C:$C,0)),""))</f>
        <v>4401000</v>
      </c>
      <c r="F6" s="12" t="str">
        <f aca="false">IF($E6="","Unmatched","Matched")</f>
        <v>Matched</v>
      </c>
    </row>
    <row r="7" customFormat="false" ht="15" hidden="false" customHeight="true" outlineLevel="0" collapsed="false">
      <c r="A7" s="12" t="s">
        <v>563</v>
      </c>
      <c r="B7" s="12" t="n">
        <v>2025</v>
      </c>
      <c r="C7" s="12" t="n">
        <v>1142</v>
      </c>
      <c r="D7" s="12" t="n">
        <v>25972.9</v>
      </c>
      <c r="E7" s="12" t="n">
        <f aca="false">IFERROR(INDEX('Catalog'!$A:$A,MATCH($A7,'Catalog'!$B:$B,0)),IFERROR(INDEX('Catalog'!$A:$A,MATCH(TRIM(SUBSTITUTE($A7,CHAR(160)," ")),'Catalog'!$C:$C,0)),""))</f>
        <v>4401001</v>
      </c>
      <c r="F7" s="12" t="str">
        <f aca="false">IF($E7="","Unmatched","Matched")</f>
        <v>Matched</v>
      </c>
    </row>
    <row r="8" customFormat="false" ht="15" hidden="false" customHeight="true" outlineLevel="0" collapsed="false">
      <c r="A8" s="12" t="s">
        <v>550</v>
      </c>
      <c r="B8" s="12" t="n">
        <v>2025</v>
      </c>
      <c r="C8" s="12" t="n">
        <v>199</v>
      </c>
      <c r="D8" s="12" t="n">
        <v>4320.4</v>
      </c>
      <c r="E8" s="12" t="n">
        <f aca="false">IFERROR(INDEX('Catalog'!$A:$A,MATCH($A8,'Catalog'!$B:$B,0)),IFERROR(INDEX('Catalog'!$A:$A,MATCH(TRIM(SUBSTITUTE($A8,CHAR(160)," ")),'Catalog'!$C:$C,0)),""))</f>
        <v>4402000</v>
      </c>
      <c r="F8" s="12" t="str">
        <f aca="false">IF($E8="","Unmatched","Matched")</f>
        <v>Matched</v>
      </c>
    </row>
    <row r="9" customFormat="false" ht="15" hidden="false" customHeight="true" outlineLevel="0" collapsed="false">
      <c r="A9" s="12" t="s">
        <v>546</v>
      </c>
      <c r="B9" s="12" t="n">
        <v>2025</v>
      </c>
      <c r="C9" s="12" t="n">
        <v>1909</v>
      </c>
      <c r="D9" s="12" t="n">
        <v>33927.9</v>
      </c>
      <c r="E9" s="12" t="n">
        <f aca="false">IFERROR(INDEX('Catalog'!$A:$A,MATCH($A9,'Catalog'!$B:$B,0)),IFERROR(INDEX('Catalog'!$A:$A,MATCH(TRIM(SUBSTITUTE($A9,CHAR(160)," ")),'Catalog'!$C:$C,0)),""))</f>
        <v>4402007</v>
      </c>
      <c r="F9" s="12" t="str">
        <f aca="false">IF($E9="","Unmatched","Matched")</f>
        <v>Matched</v>
      </c>
    </row>
    <row r="10" customFormat="false" ht="15" hidden="false" customHeight="true" outlineLevel="0" collapsed="false">
      <c r="A10" s="12" t="s">
        <v>188</v>
      </c>
      <c r="B10" s="12" t="n">
        <v>2025</v>
      </c>
      <c r="C10" s="12" t="n">
        <v>30</v>
      </c>
      <c r="D10" s="12" t="n">
        <v>882.1</v>
      </c>
      <c r="E10" s="12" t="n">
        <f aca="false">IFERROR(INDEX('Catalog'!$A:$A,MATCH($A10,'Catalog'!$B:$B,0)),IFERROR(INDEX('Catalog'!$A:$A,MATCH(TRIM(SUBSTITUTE($A10,CHAR(160)," ")),'Catalog'!$C:$C,0)),""))</f>
        <v>4403000</v>
      </c>
      <c r="F10" s="12" t="str">
        <f aca="false">IF($E10="","Unmatched","Matched")</f>
        <v>Matched</v>
      </c>
    </row>
    <row r="11" customFormat="false" ht="15" hidden="false" customHeight="true" outlineLevel="0" collapsed="false">
      <c r="A11" s="12" t="s">
        <v>186</v>
      </c>
      <c r="B11" s="12" t="n">
        <v>2025</v>
      </c>
      <c r="C11" s="12" t="n">
        <v>75</v>
      </c>
      <c r="D11" s="12" t="n">
        <v>2179.1</v>
      </c>
      <c r="E11" s="12" t="n">
        <f aca="false">IFERROR(INDEX('Catalog'!$A:$A,MATCH($A11,'Catalog'!$B:$B,0)),IFERROR(INDEX('Catalog'!$A:$A,MATCH(TRIM(SUBSTITUTE($A11,CHAR(160)," ")),'Catalog'!$C:$C,0)),""))</f>
        <v>4403001</v>
      </c>
      <c r="F11" s="12" t="str">
        <f aca="false">IF($E11="","Unmatched","Matched")</f>
        <v>Matched</v>
      </c>
    </row>
    <row r="12" customFormat="false" ht="15" hidden="false" customHeight="true" outlineLevel="0" collapsed="false">
      <c r="A12" s="12" t="s">
        <v>187</v>
      </c>
      <c r="B12" s="12" t="n">
        <v>2025</v>
      </c>
      <c r="C12" s="12" t="n">
        <v>96</v>
      </c>
      <c r="D12" s="12" t="n">
        <v>2791.6</v>
      </c>
      <c r="E12" s="12" t="n">
        <f aca="false">IFERROR(INDEX('Catalog'!$A:$A,MATCH($A12,'Catalog'!$B:$B,0)),IFERROR(INDEX('Catalog'!$A:$A,MATCH(TRIM(SUBSTITUTE($A12,CHAR(160)," ")),'Catalog'!$C:$C,0)),""))</f>
        <v>4403002</v>
      </c>
      <c r="F12" s="12" t="str">
        <f aca="false">IF($E12="","Unmatched","Matched")</f>
        <v>Matched</v>
      </c>
    </row>
    <row r="13" customFormat="false" ht="15" hidden="false" customHeight="true" outlineLevel="0" collapsed="false">
      <c r="A13" s="12" t="s">
        <v>190</v>
      </c>
      <c r="B13" s="12" t="n">
        <v>2025</v>
      </c>
      <c r="C13" s="12" t="n">
        <v>22</v>
      </c>
      <c r="D13" s="12" t="n">
        <v>644.1</v>
      </c>
      <c r="E13" s="12" t="n">
        <f aca="false">IFERROR(INDEX('Catalog'!$A:$A,MATCH($A13,'Catalog'!$B:$B,0)),IFERROR(INDEX('Catalog'!$A:$A,MATCH(TRIM(SUBSTITUTE($A13,CHAR(160)," ")),'Catalog'!$C:$C,0)),""))</f>
        <v>4403003</v>
      </c>
      <c r="F13" s="12" t="str">
        <f aca="false">IF($E13="","Unmatched","Matched")</f>
        <v>Matched</v>
      </c>
    </row>
    <row r="14" customFormat="false" ht="15" hidden="false" customHeight="true" outlineLevel="0" collapsed="false">
      <c r="A14" s="12" t="s">
        <v>189</v>
      </c>
      <c r="B14" s="12" t="n">
        <v>2025</v>
      </c>
      <c r="C14" s="12" t="n">
        <v>52</v>
      </c>
      <c r="D14" s="12" t="n">
        <v>1517.5</v>
      </c>
      <c r="E14" s="12" t="n">
        <f aca="false">IFERROR(INDEX('Catalog'!$A:$A,MATCH($A14,'Catalog'!$B:$B,0)),IFERROR(INDEX('Catalog'!$A:$A,MATCH(TRIM(SUBSTITUTE($A14,CHAR(160)," ")),'Catalog'!$C:$C,0)),""))</f>
        <v>4403004</v>
      </c>
      <c r="F14" s="12" t="str">
        <f aca="false">IF($E14="","Unmatched","Matched")</f>
        <v>Matched</v>
      </c>
    </row>
    <row r="15" customFormat="false" ht="15" hidden="false" customHeight="true" outlineLevel="0" collapsed="false">
      <c r="A15" s="12" t="s">
        <v>213</v>
      </c>
      <c r="B15" s="12" t="n">
        <v>2025</v>
      </c>
      <c r="C15" s="12" t="n">
        <v>39</v>
      </c>
      <c r="D15" s="12" t="n">
        <v>1147.9</v>
      </c>
      <c r="E15" s="12" t="n">
        <f aca="false">IFERROR(INDEX('Catalog'!$A:$A,MATCH($A15,'Catalog'!$B:$B,0)),IFERROR(INDEX('Catalog'!$A:$A,MATCH(TRIM(SUBSTITUTE($A15,CHAR(160)," ")),'Catalog'!$C:$C,0)),""))</f>
        <v>4403005</v>
      </c>
      <c r="F15" s="12" t="str">
        <f aca="false">IF($E15="","Unmatched","Matched")</f>
        <v>Matched</v>
      </c>
    </row>
    <row r="16" customFormat="false" ht="15" hidden="false" customHeight="true" outlineLevel="0" collapsed="false">
      <c r="A16" s="12" t="s">
        <v>191</v>
      </c>
      <c r="B16" s="12" t="n">
        <v>2025</v>
      </c>
      <c r="C16" s="12" t="n">
        <v>20</v>
      </c>
      <c r="D16" s="12" t="n">
        <v>585.7</v>
      </c>
      <c r="E16" s="12" t="n">
        <f aca="false">IFERROR(INDEX('Catalog'!$A:$A,MATCH($A16,'Catalog'!$B:$B,0)),IFERROR(INDEX('Catalog'!$A:$A,MATCH(TRIM(SUBSTITUTE($A16,CHAR(160)," ")),'Catalog'!$C:$C,0)),""))</f>
        <v>4403006</v>
      </c>
      <c r="F16" s="12" t="str">
        <f aca="false">IF($E16="","Unmatched","Matched")</f>
        <v>Matched</v>
      </c>
    </row>
    <row r="17" customFormat="false" ht="15" hidden="false" customHeight="true" outlineLevel="0" collapsed="false">
      <c r="A17" s="12" t="s">
        <v>192</v>
      </c>
      <c r="B17" s="12" t="n">
        <v>2025</v>
      </c>
      <c r="C17" s="12" t="n">
        <v>35</v>
      </c>
      <c r="D17" s="12" t="n">
        <v>1022.4</v>
      </c>
      <c r="E17" s="12" t="n">
        <f aca="false">IFERROR(INDEX('Catalog'!$A:$A,MATCH($A17,'Catalog'!$B:$B,0)),IFERROR(INDEX('Catalog'!$A:$A,MATCH(TRIM(SUBSTITUTE($A17,CHAR(160)," ")),'Catalog'!$C:$C,0)),""))</f>
        <v>4403007</v>
      </c>
      <c r="F17" s="12" t="str">
        <f aca="false">IF($E17="","Unmatched","Matched")</f>
        <v>Matched</v>
      </c>
    </row>
    <row r="18" customFormat="false" ht="15" hidden="false" customHeight="true" outlineLevel="0" collapsed="false">
      <c r="A18" s="12" t="s">
        <v>193</v>
      </c>
      <c r="B18" s="12" t="n">
        <v>2025</v>
      </c>
      <c r="C18" s="12" t="n">
        <v>34</v>
      </c>
      <c r="D18" s="12" t="n">
        <v>992.3</v>
      </c>
      <c r="E18" s="12" t="n">
        <f aca="false">IFERROR(INDEX('Catalog'!$A:$A,MATCH($A18,'Catalog'!$B:$B,0)),IFERROR(INDEX('Catalog'!$A:$A,MATCH(TRIM(SUBSTITUTE($A18,CHAR(160)," ")),'Catalog'!$C:$C,0)),""))</f>
        <v>4403008</v>
      </c>
      <c r="F18" s="12" t="str">
        <f aca="false">IF($E18="","Unmatched","Matched")</f>
        <v>Matched</v>
      </c>
    </row>
    <row r="19" customFormat="false" ht="15" hidden="false" customHeight="true" outlineLevel="0" collapsed="false">
      <c r="A19" s="12" t="s">
        <v>183</v>
      </c>
      <c r="B19" s="12" t="n">
        <v>2025</v>
      </c>
      <c r="C19" s="12" t="n">
        <v>-1</v>
      </c>
      <c r="D19" s="12" t="n">
        <v>-28.4</v>
      </c>
      <c r="E19" s="12" t="n">
        <f aca="false">IFERROR(INDEX('Catalog'!$A:$A,MATCH($A19,'Catalog'!$B:$B,0)),IFERROR(INDEX('Catalog'!$A:$A,MATCH(TRIM(SUBSTITUTE($A19,CHAR(160)," ")),'Catalog'!$C:$C,0)),""))</f>
        <v>4403011</v>
      </c>
      <c r="F19" s="12" t="str">
        <f aca="false">IF($E19="","Unmatched","Matched")</f>
        <v>Matched</v>
      </c>
    </row>
    <row r="20" customFormat="false" ht="15" hidden="false" customHeight="true" outlineLevel="0" collapsed="false">
      <c r="A20" s="12" t="s">
        <v>194</v>
      </c>
      <c r="B20" s="12" t="n">
        <v>2025</v>
      </c>
      <c r="C20" s="12" t="n">
        <v>77</v>
      </c>
      <c r="D20" s="12" t="n">
        <v>1714.9</v>
      </c>
      <c r="E20" s="12" t="n">
        <f aca="false">IFERROR(INDEX('Catalog'!$A:$A,MATCH($A20,'Catalog'!$B:$B,0)),IFERROR(INDEX('Catalog'!$A:$A,MATCH(TRIM(SUBSTITUTE($A20,CHAR(160)," ")),'Catalog'!$C:$C,0)),""))</f>
        <v>4403017</v>
      </c>
      <c r="F20" s="12" t="str">
        <f aca="false">IF($E20="","Unmatched","Matched")</f>
        <v>Matched</v>
      </c>
    </row>
    <row r="21" customFormat="false" ht="15" hidden="false" customHeight="true" outlineLevel="0" collapsed="false">
      <c r="A21" s="12" t="s">
        <v>195</v>
      </c>
      <c r="B21" s="12" t="n">
        <v>2025</v>
      </c>
      <c r="C21" s="12" t="n">
        <v>148</v>
      </c>
      <c r="D21" s="12" t="n">
        <v>3293.1</v>
      </c>
      <c r="E21" s="12" t="n">
        <f aca="false">IFERROR(INDEX('Catalog'!$A:$A,MATCH($A21,'Catalog'!$B:$B,0)),IFERROR(INDEX('Catalog'!$A:$A,MATCH(TRIM(SUBSTITUTE($A21,CHAR(160)," ")),'Catalog'!$C:$C,0)),""))</f>
        <v>4403018</v>
      </c>
      <c r="F21" s="12" t="str">
        <f aca="false">IF($E21="","Unmatched","Matched")</f>
        <v>Matched</v>
      </c>
    </row>
    <row r="22" customFormat="false" ht="15" hidden="false" customHeight="true" outlineLevel="0" collapsed="false">
      <c r="A22" s="12" t="s">
        <v>196</v>
      </c>
      <c r="B22" s="12" t="n">
        <v>2025</v>
      </c>
      <c r="C22" s="12" t="n">
        <v>213</v>
      </c>
      <c r="D22" s="12" t="n">
        <v>4724.4</v>
      </c>
      <c r="E22" s="12" t="n">
        <f aca="false">IFERROR(INDEX('Catalog'!$A:$A,MATCH($A22,'Catalog'!$B:$B,0)),IFERROR(INDEX('Catalog'!$A:$A,MATCH(TRIM(SUBSTITUTE($A22,CHAR(160)," ")),'Catalog'!$C:$C,0)),""))</f>
        <v>4403019</v>
      </c>
      <c r="F22" s="12" t="str">
        <f aca="false">IF($E22="","Unmatched","Matched")</f>
        <v>Matched</v>
      </c>
    </row>
    <row r="23" customFormat="false" ht="15" hidden="false" customHeight="true" outlineLevel="0" collapsed="false">
      <c r="A23" s="12" t="s">
        <v>197</v>
      </c>
      <c r="B23" s="12" t="n">
        <v>2025</v>
      </c>
      <c r="C23" s="12" t="n">
        <v>42</v>
      </c>
      <c r="D23" s="12" t="n">
        <v>939.9</v>
      </c>
      <c r="E23" s="12" t="n">
        <f aca="false">IFERROR(INDEX('Catalog'!$A:$A,MATCH($A23,'Catalog'!$B:$B,0)),IFERROR(INDEX('Catalog'!$A:$A,MATCH(TRIM(SUBSTITUTE($A23,CHAR(160)," ")),'Catalog'!$C:$C,0)),""))</f>
        <v>4403020</v>
      </c>
      <c r="F23" s="12" t="str">
        <f aca="false">IF($E23="","Unmatched","Matched")</f>
        <v>Matched</v>
      </c>
    </row>
    <row r="24" customFormat="false" ht="15" hidden="false" customHeight="true" outlineLevel="0" collapsed="false">
      <c r="A24" s="12" t="s">
        <v>198</v>
      </c>
      <c r="B24" s="12" t="n">
        <v>2025</v>
      </c>
      <c r="C24" s="12" t="n">
        <v>57</v>
      </c>
      <c r="D24" s="12" t="n">
        <v>1262.2</v>
      </c>
      <c r="E24" s="12" t="n">
        <f aca="false">IFERROR(INDEX('Catalog'!$A:$A,MATCH($A24,'Catalog'!$B:$B,0)),IFERROR(INDEX('Catalog'!$A:$A,MATCH(TRIM(SUBSTITUTE($A24,CHAR(160)," ")),'Catalog'!$C:$C,0)),""))</f>
        <v>4403021</v>
      </c>
      <c r="F24" s="12" t="str">
        <f aca="false">IF($E24="","Unmatched","Matched")</f>
        <v>Matched</v>
      </c>
    </row>
    <row r="25" customFormat="false" ht="15" hidden="false" customHeight="true" outlineLevel="0" collapsed="false">
      <c r="A25" s="12" t="s">
        <v>199</v>
      </c>
      <c r="B25" s="12" t="n">
        <v>2025</v>
      </c>
      <c r="C25" s="12" t="n">
        <v>58</v>
      </c>
      <c r="D25" s="12" t="n">
        <v>1297.6</v>
      </c>
      <c r="E25" s="12" t="n">
        <f aca="false">IFERROR(INDEX('Catalog'!$A:$A,MATCH($A25,'Catalog'!$B:$B,0)),IFERROR(INDEX('Catalog'!$A:$A,MATCH(TRIM(SUBSTITUTE($A25,CHAR(160)," ")),'Catalog'!$C:$C,0)),""))</f>
        <v>4403022</v>
      </c>
      <c r="F25" s="12" t="str">
        <f aca="false">IF($E25="","Unmatched","Matched")</f>
        <v>Matched</v>
      </c>
    </row>
    <row r="26" customFormat="false" ht="15" hidden="false" customHeight="true" outlineLevel="0" collapsed="false">
      <c r="A26" s="12" t="s">
        <v>200</v>
      </c>
      <c r="B26" s="12" t="n">
        <v>2025</v>
      </c>
      <c r="C26" s="12" t="n">
        <v>25</v>
      </c>
      <c r="D26" s="12" t="n">
        <v>561.1</v>
      </c>
      <c r="E26" s="12" t="n">
        <f aca="false">IFERROR(INDEX('Catalog'!$A:$A,MATCH($A26,'Catalog'!$B:$B,0)),IFERROR(INDEX('Catalog'!$A:$A,MATCH(TRIM(SUBSTITUTE($A26,CHAR(160)," ")),'Catalog'!$C:$C,0)),""))</f>
        <v>4403023</v>
      </c>
      <c r="F26" s="12" t="str">
        <f aca="false">IF($E26="","Unmatched","Matched")</f>
        <v>Matched</v>
      </c>
    </row>
    <row r="27" customFormat="false" ht="15" hidden="false" customHeight="true" outlineLevel="0" collapsed="false">
      <c r="A27" s="12" t="s">
        <v>201</v>
      </c>
      <c r="B27" s="12" t="n">
        <v>2025</v>
      </c>
      <c r="C27" s="12" t="n">
        <v>78</v>
      </c>
      <c r="D27" s="12" t="n">
        <v>1734.3</v>
      </c>
      <c r="E27" s="12" t="n">
        <f aca="false">IFERROR(INDEX('Catalog'!$A:$A,MATCH($A27,'Catalog'!$B:$B,0)),IFERROR(INDEX('Catalog'!$A:$A,MATCH(TRIM(SUBSTITUTE($A27,CHAR(160)," ")),'Catalog'!$C:$C,0)),""))</f>
        <v>4403024</v>
      </c>
      <c r="F27" s="12" t="str">
        <f aca="false">IF($E27="","Unmatched","Matched")</f>
        <v>Matched</v>
      </c>
    </row>
    <row r="28" customFormat="false" ht="15" hidden="false" customHeight="true" outlineLevel="0" collapsed="false">
      <c r="A28" s="12" t="s">
        <v>202</v>
      </c>
      <c r="B28" s="12" t="n">
        <v>2025</v>
      </c>
      <c r="C28" s="12" t="n">
        <v>85</v>
      </c>
      <c r="D28" s="12" t="n">
        <v>1886.6</v>
      </c>
      <c r="E28" s="12" t="n">
        <f aca="false">IFERROR(INDEX('Catalog'!$A:$A,MATCH($A28,'Catalog'!$B:$B,0)),IFERROR(INDEX('Catalog'!$A:$A,MATCH(TRIM(SUBSTITUTE($A28,CHAR(160)," ")),'Catalog'!$C:$C,0)),""))</f>
        <v>4403025</v>
      </c>
      <c r="F28" s="12" t="str">
        <f aca="false">IF($E28="","Unmatched","Matched")</f>
        <v>Matched</v>
      </c>
    </row>
    <row r="29" customFormat="false" ht="15" hidden="false" customHeight="true" outlineLevel="0" collapsed="false">
      <c r="A29" s="12" t="s">
        <v>705</v>
      </c>
      <c r="B29" s="12" t="n">
        <v>2025</v>
      </c>
      <c r="C29" s="12" t="n">
        <v>-2</v>
      </c>
      <c r="D29" s="12" t="n">
        <v>-47.1</v>
      </c>
      <c r="E29" s="12" t="n">
        <f aca="false">IFERROR(INDEX('Catalog'!$A:$A,MATCH($A29,'Catalog'!$B:$B,0)),IFERROR(INDEX('Catalog'!$A:$A,MATCH(TRIM(SUBSTITUTE($A29,CHAR(160)," ")),'Catalog'!$C:$C,0)),""))</f>
        <v>4404000</v>
      </c>
      <c r="F29" s="12" t="str">
        <f aca="false">IF($E29="","Unmatched","Matched")</f>
        <v>Matched</v>
      </c>
    </row>
    <row r="30" customFormat="false" ht="15" hidden="false" customHeight="true" outlineLevel="0" collapsed="false">
      <c r="A30" s="12" t="s">
        <v>220</v>
      </c>
      <c r="B30" s="12" t="n">
        <v>2025</v>
      </c>
      <c r="C30" s="12" t="n">
        <v>-1</v>
      </c>
      <c r="D30" s="12" t="n">
        <v>-147.4</v>
      </c>
      <c r="E30" s="12" t="n">
        <f aca="false">IFERROR(INDEX('Catalog'!$A:$A,MATCH($A30,'Catalog'!$B:$B,0)),IFERROR(INDEX('Catalog'!$A:$A,MATCH(TRIM(SUBSTITUTE($A30,CHAR(160)," ")),'Catalog'!$C:$C,0)),""))</f>
        <v>4408005</v>
      </c>
      <c r="F30" s="12" t="str">
        <f aca="false">IF($E30="","Unmatched","Matched")</f>
        <v>Matched</v>
      </c>
    </row>
    <row r="31" customFormat="false" ht="15" hidden="false" customHeight="true" outlineLevel="0" collapsed="false">
      <c r="A31" s="12" t="s">
        <v>244</v>
      </c>
      <c r="B31" s="12" t="n">
        <v>2025</v>
      </c>
      <c r="C31" s="12" t="n">
        <v>2</v>
      </c>
      <c r="D31" s="12" t="n">
        <v>202.7</v>
      </c>
      <c r="E31" s="12" t="n">
        <f aca="false">IFERROR(INDEX('Catalog'!$A:$A,MATCH($A31,'Catalog'!$B:$B,0)),IFERROR(INDEX('Catalog'!$A:$A,MATCH(TRIM(SUBSTITUTE($A31,CHAR(160)," ")),'Catalog'!$C:$C,0)),""))</f>
        <v>4408009</v>
      </c>
      <c r="F31" s="12" t="str">
        <f aca="false">IF($E31="","Unmatched","Matched")</f>
        <v>Matched</v>
      </c>
    </row>
    <row r="32" customFormat="false" ht="15" hidden="false" customHeight="true" outlineLevel="0" collapsed="false">
      <c r="A32" s="12" t="s">
        <v>243</v>
      </c>
      <c r="B32" s="12" t="n">
        <v>2025</v>
      </c>
      <c r="C32" s="12" t="n">
        <v>-3</v>
      </c>
      <c r="D32" s="12" t="n">
        <v>-265.4</v>
      </c>
      <c r="E32" s="12" t="n">
        <f aca="false">IFERROR(INDEX('Catalog'!$A:$A,MATCH($A32,'Catalog'!$B:$B,0)),IFERROR(INDEX('Catalog'!$A:$A,MATCH(TRIM(SUBSTITUTE($A32,CHAR(160)," ")),'Catalog'!$C:$C,0)),""))</f>
        <v>4408010</v>
      </c>
      <c r="F32" s="12" t="str">
        <f aca="false">IF($E32="","Unmatched","Matched")</f>
        <v>Matched</v>
      </c>
    </row>
    <row r="33" customFormat="false" ht="15" hidden="false" customHeight="true" outlineLevel="0" collapsed="false">
      <c r="A33" s="12" t="s">
        <v>242</v>
      </c>
      <c r="B33" s="12" t="n">
        <v>2025</v>
      </c>
      <c r="C33" s="12" t="n">
        <v>-2</v>
      </c>
      <c r="D33" s="12" t="n">
        <v>-151.1</v>
      </c>
      <c r="E33" s="12" t="n">
        <f aca="false">IFERROR(INDEX('Catalog'!$A:$A,MATCH($A33,'Catalog'!$B:$B,0)),IFERROR(INDEX('Catalog'!$A:$A,MATCH(TRIM(SUBSTITUTE($A33,CHAR(160)," ")),'Catalog'!$C:$C,0)),""))</f>
        <v>4408011</v>
      </c>
      <c r="F33" s="12" t="str">
        <f aca="false">IF($E33="","Unmatched","Matched")</f>
        <v>Matched</v>
      </c>
    </row>
    <row r="34" customFormat="false" ht="15" hidden="false" customHeight="true" outlineLevel="0" collapsed="false">
      <c r="A34" s="12" t="s">
        <v>245</v>
      </c>
      <c r="B34" s="12" t="n">
        <v>2025</v>
      </c>
      <c r="C34" s="12" t="n">
        <v>-6</v>
      </c>
      <c r="D34" s="12" t="n">
        <v>-507.7</v>
      </c>
      <c r="E34" s="12" t="n">
        <f aca="false">IFERROR(INDEX('Catalog'!$A:$A,MATCH($A34,'Catalog'!$B:$B,0)),IFERROR(INDEX('Catalog'!$A:$A,MATCH(TRIM(SUBSTITUTE($A34,CHAR(160)," ")),'Catalog'!$C:$C,0)),""))</f>
        <v>4408012</v>
      </c>
      <c r="F34" s="12" t="str">
        <f aca="false">IF($E34="","Unmatched","Matched")</f>
        <v>Matched</v>
      </c>
    </row>
    <row r="35" customFormat="false" ht="15" hidden="false" customHeight="true" outlineLevel="0" collapsed="false">
      <c r="A35" s="12" t="s">
        <v>246</v>
      </c>
      <c r="B35" s="12" t="n">
        <v>2025</v>
      </c>
      <c r="C35" s="12" t="n">
        <v>3</v>
      </c>
      <c r="D35" s="12" t="n">
        <v>276.4</v>
      </c>
      <c r="E35" s="12" t="n">
        <f aca="false">IFERROR(INDEX('Catalog'!$A:$A,MATCH($A35,'Catalog'!$B:$B,0)),IFERROR(INDEX('Catalog'!$A:$A,MATCH(TRIM(SUBSTITUTE($A35,CHAR(160)," ")),'Catalog'!$C:$C,0)),""))</f>
        <v>4408013</v>
      </c>
      <c r="F35" s="12" t="str">
        <f aca="false">IF($E35="","Unmatched","Matched")</f>
        <v>Matched</v>
      </c>
    </row>
    <row r="36" customFormat="false" ht="15" hidden="false" customHeight="true" outlineLevel="0" collapsed="false">
      <c r="A36" s="12" t="s">
        <v>250</v>
      </c>
      <c r="B36" s="12" t="n">
        <v>2025</v>
      </c>
      <c r="C36" s="12" t="n">
        <v>-1</v>
      </c>
      <c r="D36" s="12" t="n">
        <v>-215.4</v>
      </c>
      <c r="E36" s="12" t="n">
        <f aca="false">IFERROR(INDEX('Catalog'!$A:$A,MATCH($A36,'Catalog'!$B:$B,0)),IFERROR(INDEX('Catalog'!$A:$A,MATCH(TRIM(SUBSTITUTE($A36,CHAR(160)," ")),'Catalog'!$C:$C,0)),""))</f>
        <v>4408017</v>
      </c>
      <c r="F36" s="12" t="str">
        <f aca="false">IF($E36="","Unmatched","Matched")</f>
        <v>Matched</v>
      </c>
    </row>
    <row r="37" customFormat="false" ht="15" hidden="false" customHeight="true" outlineLevel="0" collapsed="false">
      <c r="A37" s="12" t="s">
        <v>255</v>
      </c>
      <c r="B37" s="12" t="n">
        <v>2025</v>
      </c>
      <c r="C37" s="12" t="n">
        <v>6</v>
      </c>
      <c r="D37" s="12" t="n">
        <v>786.4</v>
      </c>
      <c r="E37" s="12" t="n">
        <f aca="false">IFERROR(INDEX('Catalog'!$A:$A,MATCH($A37,'Catalog'!$B:$B,0)),IFERROR(INDEX('Catalog'!$A:$A,MATCH(TRIM(SUBSTITUTE($A37,CHAR(160)," ")),'Catalog'!$C:$C,0)),""))</f>
        <v>4408026</v>
      </c>
      <c r="F37" s="12" t="str">
        <f aca="false">IF($E37="","Unmatched","Matched")</f>
        <v>Matched</v>
      </c>
    </row>
    <row r="38" customFormat="false" ht="15" hidden="false" customHeight="true" outlineLevel="0" collapsed="false">
      <c r="A38" s="12" t="s">
        <v>253</v>
      </c>
      <c r="B38" s="12" t="n">
        <v>2025</v>
      </c>
      <c r="C38" s="12" t="n">
        <v>58</v>
      </c>
      <c r="D38" s="12" t="n">
        <v>7575.9</v>
      </c>
      <c r="E38" s="12" t="n">
        <f aca="false">IFERROR(INDEX('Catalog'!$A:$A,MATCH($A38,'Catalog'!$B:$B,0)),IFERROR(INDEX('Catalog'!$A:$A,MATCH(TRIM(SUBSTITUTE($A38,CHAR(160)," ")),'Catalog'!$C:$C,0)),""))</f>
        <v>4408027</v>
      </c>
      <c r="F38" s="12" t="str">
        <f aca="false">IF($E38="","Unmatched","Matched")</f>
        <v>Matched</v>
      </c>
    </row>
    <row r="39" customFormat="false" ht="15" hidden="false" customHeight="true" outlineLevel="0" collapsed="false">
      <c r="A39" s="12" t="s">
        <v>254</v>
      </c>
      <c r="B39" s="12" t="n">
        <v>2025</v>
      </c>
      <c r="C39" s="12" t="n">
        <v>37</v>
      </c>
      <c r="D39" s="12" t="n">
        <v>4875.8</v>
      </c>
      <c r="E39" s="12" t="n">
        <f aca="false">IFERROR(INDEX('Catalog'!$A:$A,MATCH($A39,'Catalog'!$B:$B,0)),IFERROR(INDEX('Catalog'!$A:$A,MATCH(TRIM(SUBSTITUTE($A39,CHAR(160)," ")),'Catalog'!$C:$C,0)),""))</f>
        <v>4408028</v>
      </c>
      <c r="F39" s="12" t="str">
        <f aca="false">IF($E39="","Unmatched","Matched")</f>
        <v>Matched</v>
      </c>
    </row>
    <row r="40" customFormat="false" ht="15" hidden="false" customHeight="true" outlineLevel="0" collapsed="false">
      <c r="A40" s="12" t="s">
        <v>256</v>
      </c>
      <c r="B40" s="12" t="n">
        <v>2025</v>
      </c>
      <c r="C40" s="12" t="n">
        <v>65</v>
      </c>
      <c r="D40" s="12" t="n">
        <v>8519.6</v>
      </c>
      <c r="E40" s="12" t="n">
        <f aca="false">IFERROR(INDEX('Catalog'!$A:$A,MATCH($A40,'Catalog'!$B:$B,0)),IFERROR(INDEX('Catalog'!$A:$A,MATCH(TRIM(SUBSTITUTE($A40,CHAR(160)," ")),'Catalog'!$C:$C,0)),""))</f>
        <v>4408029</v>
      </c>
      <c r="F40" s="12" t="str">
        <f aca="false">IF($E40="","Unmatched","Matched")</f>
        <v>Matched</v>
      </c>
    </row>
    <row r="41" customFormat="false" ht="15" hidden="false" customHeight="true" outlineLevel="0" collapsed="false">
      <c r="A41" s="12" t="s">
        <v>257</v>
      </c>
      <c r="B41" s="12" t="n">
        <v>2025</v>
      </c>
      <c r="C41" s="12" t="n">
        <v>4</v>
      </c>
      <c r="D41" s="12" t="n">
        <v>524.2</v>
      </c>
      <c r="E41" s="12" t="n">
        <f aca="false">IFERROR(INDEX('Catalog'!$A:$A,MATCH($A41,'Catalog'!$B:$B,0)),IFERROR(INDEX('Catalog'!$A:$A,MATCH(TRIM(SUBSTITUTE($A41,CHAR(160)," ")),'Catalog'!$C:$C,0)),""))</f>
        <v>4408030</v>
      </c>
      <c r="F41" s="12" t="str">
        <f aca="false">IF($E41="","Unmatched","Matched")</f>
        <v>Matched</v>
      </c>
    </row>
    <row r="42" customFormat="false" ht="15" hidden="false" customHeight="true" outlineLevel="0" collapsed="false">
      <c r="A42" s="12" t="s">
        <v>260</v>
      </c>
      <c r="B42" s="12" t="n">
        <v>2025</v>
      </c>
      <c r="C42" s="12" t="n">
        <v>147</v>
      </c>
      <c r="D42" s="12" t="n">
        <v>13244.7</v>
      </c>
      <c r="E42" s="12" t="n">
        <f aca="false">IFERROR(INDEX('Catalog'!$A:$A,MATCH($A42,'Catalog'!$B:$B,0)),IFERROR(INDEX('Catalog'!$A:$A,MATCH(TRIM(SUBSTITUTE($A42,CHAR(160)," ")),'Catalog'!$C:$C,0)),""))</f>
        <v>4408031</v>
      </c>
      <c r="F42" s="12" t="str">
        <f aca="false">IF($E42="","Unmatched","Matched")</f>
        <v>Matched</v>
      </c>
    </row>
    <row r="43" customFormat="false" ht="15" hidden="false" customHeight="true" outlineLevel="0" collapsed="false">
      <c r="A43" s="12" t="s">
        <v>258</v>
      </c>
      <c r="B43" s="12" t="n">
        <v>2025</v>
      </c>
      <c r="C43" s="12" t="n">
        <v>412</v>
      </c>
      <c r="D43" s="12" t="n">
        <v>37050.2</v>
      </c>
      <c r="E43" s="12" t="n">
        <f aca="false">IFERROR(INDEX('Catalog'!$A:$A,MATCH($A43,'Catalog'!$B:$B,0)),IFERROR(INDEX('Catalog'!$A:$A,MATCH(TRIM(SUBSTITUTE($A43,CHAR(160)," ")),'Catalog'!$C:$C,0)),""))</f>
        <v>4408032</v>
      </c>
      <c r="F43" s="12" t="str">
        <f aca="false">IF($E43="","Unmatched","Matched")</f>
        <v>Matched</v>
      </c>
    </row>
    <row r="44" customFormat="false" ht="15" hidden="false" customHeight="true" outlineLevel="0" collapsed="false">
      <c r="A44" s="12" t="s">
        <v>259</v>
      </c>
      <c r="B44" s="12" t="n">
        <v>2025</v>
      </c>
      <c r="C44" s="12" t="n">
        <v>313</v>
      </c>
      <c r="D44" s="12" t="n">
        <v>28070.8</v>
      </c>
      <c r="E44" s="12" t="n">
        <f aca="false">IFERROR(INDEX('Catalog'!$A:$A,MATCH($A44,'Catalog'!$B:$B,0)),IFERROR(INDEX('Catalog'!$A:$A,MATCH(TRIM(SUBSTITUTE($A44,CHAR(160)," ")),'Catalog'!$C:$C,0)),""))</f>
        <v>4408033</v>
      </c>
      <c r="F44" s="12" t="str">
        <f aca="false">IF($E44="","Unmatched","Matched")</f>
        <v>Matched</v>
      </c>
    </row>
    <row r="45" customFormat="false" ht="15" hidden="false" customHeight="true" outlineLevel="0" collapsed="false">
      <c r="A45" s="12" t="s">
        <v>261</v>
      </c>
      <c r="B45" s="12" t="n">
        <v>2025</v>
      </c>
      <c r="C45" s="12" t="n">
        <v>399</v>
      </c>
      <c r="D45" s="12" t="n">
        <v>35878.9</v>
      </c>
      <c r="E45" s="12" t="n">
        <f aca="false">IFERROR(INDEX('Catalog'!$A:$A,MATCH($A45,'Catalog'!$B:$B,0)),IFERROR(INDEX('Catalog'!$A:$A,MATCH(TRIM(SUBSTITUTE($A45,CHAR(160)," ")),'Catalog'!$C:$C,0)),""))</f>
        <v>4408034</v>
      </c>
      <c r="F45" s="12" t="str">
        <f aca="false">IF($E45="","Unmatched","Matched")</f>
        <v>Matched</v>
      </c>
    </row>
    <row r="46" customFormat="false" ht="15" hidden="false" customHeight="true" outlineLevel="0" collapsed="false">
      <c r="A46" s="12" t="s">
        <v>263</v>
      </c>
      <c r="B46" s="12" t="n">
        <v>2025</v>
      </c>
      <c r="C46" s="12" t="n">
        <v>98</v>
      </c>
      <c r="D46" s="12" t="n">
        <v>8750.6</v>
      </c>
      <c r="E46" s="12" t="n">
        <f aca="false">IFERROR(INDEX('Catalog'!$A:$A,MATCH($A46,'Catalog'!$B:$B,0)),IFERROR(INDEX('Catalog'!$A:$A,MATCH(TRIM(SUBSTITUTE($A46,CHAR(160)," ")),'Catalog'!$C:$C,0)),""))</f>
        <v>4408035</v>
      </c>
      <c r="F46" s="12" t="str">
        <f aca="false">IF($E46="","Unmatched","Matched")</f>
        <v>Matched</v>
      </c>
    </row>
    <row r="47" customFormat="false" ht="15" hidden="false" customHeight="true" outlineLevel="0" collapsed="false">
      <c r="A47" s="12" t="s">
        <v>291</v>
      </c>
      <c r="B47" s="12" t="n">
        <v>2025</v>
      </c>
      <c r="C47" s="12" t="n">
        <v>-1</v>
      </c>
      <c r="D47" s="12" t="n">
        <v>-178.6</v>
      </c>
      <c r="E47" s="12" t="n">
        <f aca="false">IFERROR(INDEX('Catalog'!$A:$A,MATCH($A47,'Catalog'!$B:$B,0)),IFERROR(INDEX('Catalog'!$A:$A,MATCH(TRIM(SUBSTITUTE($A47,CHAR(160)," ")),'Catalog'!$C:$C,0)),""))</f>
        <v>4408038</v>
      </c>
      <c r="F47" s="12" t="str">
        <f aca="false">IF($E47="","Unmatched","Matched")</f>
        <v>Matched</v>
      </c>
    </row>
    <row r="48" customFormat="false" ht="15" hidden="false" customHeight="true" outlineLevel="0" collapsed="false">
      <c r="A48" s="12" t="s">
        <v>580</v>
      </c>
      <c r="B48" s="12" t="n">
        <v>2025</v>
      </c>
      <c r="C48" s="12" t="n">
        <v>189</v>
      </c>
      <c r="D48" s="12" t="n">
        <v>4743.3</v>
      </c>
      <c r="E48" s="12" t="n">
        <f aca="false">IFERROR(INDEX('Catalog'!$A:$A,MATCH($A48,'Catalog'!$B:$B,0)),IFERROR(INDEX('Catalog'!$A:$A,MATCH(TRIM(SUBSTITUTE($A48,CHAR(160)," ")),'Catalog'!$C:$C,0)),""))</f>
        <v>4408046</v>
      </c>
      <c r="F48" s="12" t="str">
        <f aca="false">IF($E48="","Unmatched","Matched")</f>
        <v>Matched</v>
      </c>
    </row>
    <row r="49" customFormat="false" ht="15" hidden="false" customHeight="true" outlineLevel="0" collapsed="false">
      <c r="A49" s="12" t="s">
        <v>581</v>
      </c>
      <c r="B49" s="12" t="n">
        <v>2025</v>
      </c>
      <c r="C49" s="12" t="n">
        <v>282</v>
      </c>
      <c r="D49" s="12" t="n">
        <v>7085.9</v>
      </c>
      <c r="E49" s="12" t="n">
        <f aca="false">IFERROR(INDEX('Catalog'!$A:$A,MATCH($A49,'Catalog'!$B:$B,0)),IFERROR(INDEX('Catalog'!$A:$A,MATCH(TRIM(SUBSTITUTE($A49,CHAR(160)," ")),'Catalog'!$C:$C,0)),""))</f>
        <v>4408047</v>
      </c>
      <c r="F49" s="12" t="str">
        <f aca="false">IF($E49="","Unmatched","Matched")</f>
        <v>Matched</v>
      </c>
    </row>
    <row r="50" customFormat="false" ht="15" hidden="false" customHeight="true" outlineLevel="0" collapsed="false">
      <c r="A50" s="12" t="s">
        <v>582</v>
      </c>
      <c r="B50" s="12" t="n">
        <v>2025</v>
      </c>
      <c r="C50" s="12" t="n">
        <v>183</v>
      </c>
      <c r="D50" s="12" t="n">
        <v>4593.4</v>
      </c>
      <c r="E50" s="12" t="n">
        <f aca="false">IFERROR(INDEX('Catalog'!$A:$A,MATCH($A50,'Catalog'!$B:$B,0)),IFERROR(INDEX('Catalog'!$A:$A,MATCH(TRIM(SUBSTITUTE($A50,CHAR(160)," ")),'Catalog'!$C:$C,0)),""))</f>
        <v>4408048</v>
      </c>
      <c r="F50" s="12" t="str">
        <f aca="false">IF($E50="","Unmatched","Matched")</f>
        <v>Matched</v>
      </c>
    </row>
    <row r="51" customFormat="false" ht="15" hidden="false" customHeight="true" outlineLevel="0" collapsed="false">
      <c r="A51" s="12" t="s">
        <v>583</v>
      </c>
      <c r="B51" s="12" t="n">
        <v>2025</v>
      </c>
      <c r="C51" s="12" t="n">
        <v>84</v>
      </c>
      <c r="D51" s="12" t="n">
        <v>2104.6</v>
      </c>
      <c r="E51" s="12" t="n">
        <f aca="false">IFERROR(INDEX('Catalog'!$A:$A,MATCH($A51,'Catalog'!$B:$B,0)),IFERROR(INDEX('Catalog'!$A:$A,MATCH(TRIM(SUBSTITUTE($A51,CHAR(160)," ")),'Catalog'!$C:$C,0)),""))</f>
        <v>4408049</v>
      </c>
      <c r="F51" s="12" t="str">
        <f aca="false">IF($E51="","Unmatched","Matched")</f>
        <v>Matched</v>
      </c>
    </row>
    <row r="52" customFormat="false" ht="15" hidden="false" customHeight="true" outlineLevel="0" collapsed="false">
      <c r="A52" s="12" t="s">
        <v>584</v>
      </c>
      <c r="B52" s="12" t="n">
        <v>2025</v>
      </c>
      <c r="C52" s="12" t="n">
        <v>1</v>
      </c>
      <c r="D52" s="12" t="n">
        <v>25.2</v>
      </c>
      <c r="E52" s="12" t="n">
        <f aca="false">IFERROR(INDEX('Catalog'!$A:$A,MATCH($A52,'Catalog'!$B:$B,0)),IFERROR(INDEX('Catalog'!$A:$A,MATCH(TRIM(SUBSTITUTE($A52,CHAR(160)," ")),'Catalog'!$C:$C,0)),""))</f>
        <v>4408050</v>
      </c>
      <c r="F52" s="12" t="str">
        <f aca="false">IF($E52="","Unmatched","Matched")</f>
        <v>Matched</v>
      </c>
    </row>
    <row r="53" customFormat="false" ht="15" hidden="false" customHeight="true" outlineLevel="0" collapsed="false">
      <c r="A53" s="12" t="s">
        <v>588</v>
      </c>
      <c r="B53" s="12" t="n">
        <v>2025</v>
      </c>
      <c r="C53" s="12" t="n">
        <v>2255</v>
      </c>
      <c r="D53" s="12" t="n">
        <v>73733</v>
      </c>
      <c r="E53" s="12" t="n">
        <f aca="false">IFERROR(INDEX('Catalog'!$A:$A,MATCH($A53,'Catalog'!$B:$B,0)),IFERROR(INDEX('Catalog'!$A:$A,MATCH(TRIM(SUBSTITUTE($A53,CHAR(160)," ")),'Catalog'!$C:$C,0)),""))</f>
        <v>4408051</v>
      </c>
      <c r="F53" s="12" t="str">
        <f aca="false">IF($E53="","Unmatched","Matched")</f>
        <v>Matched</v>
      </c>
    </row>
    <row r="54" customFormat="false" ht="15" hidden="false" customHeight="true" outlineLevel="0" collapsed="false">
      <c r="A54" s="12" t="s">
        <v>586</v>
      </c>
      <c r="B54" s="12" t="n">
        <v>2025</v>
      </c>
      <c r="C54" s="12" t="n">
        <v>2160</v>
      </c>
      <c r="D54" s="12" t="n">
        <v>70516.7</v>
      </c>
      <c r="E54" s="12" t="n">
        <f aca="false">IFERROR(INDEX('Catalog'!$A:$A,MATCH($A54,'Catalog'!$B:$B,0)),IFERROR(INDEX('Catalog'!$A:$A,MATCH(TRIM(SUBSTITUTE($A54,CHAR(160)," ")),'Catalog'!$C:$C,0)),""))</f>
        <v>4408052</v>
      </c>
      <c r="F54" s="12" t="str">
        <f aca="false">IF($E54="","Unmatched","Matched")</f>
        <v>Matched</v>
      </c>
    </row>
    <row r="55" customFormat="false" ht="15" hidden="false" customHeight="true" outlineLevel="0" collapsed="false">
      <c r="A55" s="12" t="s">
        <v>587</v>
      </c>
      <c r="B55" s="12" t="n">
        <v>2025</v>
      </c>
      <c r="C55" s="12" t="n">
        <v>3042</v>
      </c>
      <c r="D55" s="12" t="n">
        <v>99452.8</v>
      </c>
      <c r="E55" s="12" t="n">
        <f aca="false">IFERROR(INDEX('Catalog'!$A:$A,MATCH($A55,'Catalog'!$B:$B,0)),IFERROR(INDEX('Catalog'!$A:$A,MATCH(TRIM(SUBSTITUTE($A55,CHAR(160)," ")),'Catalog'!$C:$C,0)),""))</f>
        <v>4408053</v>
      </c>
      <c r="F55" s="12" t="str">
        <f aca="false">IF($E55="","Unmatched","Matched")</f>
        <v>Matched</v>
      </c>
    </row>
    <row r="56" customFormat="false" ht="15" hidden="false" customHeight="true" outlineLevel="0" collapsed="false">
      <c r="A56" s="12" t="s">
        <v>589</v>
      </c>
      <c r="B56" s="12" t="n">
        <v>2025</v>
      </c>
      <c r="C56" s="12" t="n">
        <v>801</v>
      </c>
      <c r="D56" s="12" t="n">
        <v>26160</v>
      </c>
      <c r="E56" s="12" t="n">
        <f aca="false">IFERROR(INDEX('Catalog'!$A:$A,MATCH($A56,'Catalog'!$B:$B,0)),IFERROR(INDEX('Catalog'!$A:$A,MATCH(TRIM(SUBSTITUTE($A56,CHAR(160)," ")),'Catalog'!$C:$C,0)),""))</f>
        <v>4408054</v>
      </c>
      <c r="F56" s="12" t="str">
        <f aca="false">IF($E56="","Unmatched","Matched")</f>
        <v>Matched</v>
      </c>
    </row>
    <row r="57" customFormat="false" ht="15" hidden="false" customHeight="true" outlineLevel="0" collapsed="false">
      <c r="A57" s="12" t="s">
        <v>610</v>
      </c>
      <c r="B57" s="12" t="n">
        <v>2025</v>
      </c>
      <c r="C57" s="12" t="n">
        <v>-5</v>
      </c>
      <c r="D57" s="12" t="n">
        <v>-318.1</v>
      </c>
      <c r="E57" s="12" t="n">
        <f aca="false">IFERROR(INDEX('Catalog'!$A:$A,MATCH($A57,'Catalog'!$B:$B,0)),IFERROR(INDEX('Catalog'!$A:$A,MATCH(TRIM(SUBSTITUTE($A57,CHAR(160)," ")),'Catalog'!$C:$C,0)),""))</f>
        <v>4408059</v>
      </c>
      <c r="F57" s="12" t="str">
        <f aca="false">IF($E57="","Unmatched","Matched")</f>
        <v>Matched</v>
      </c>
    </row>
    <row r="58" customFormat="false" ht="15" hidden="false" customHeight="true" outlineLevel="0" collapsed="false">
      <c r="A58" s="12" t="s">
        <v>611</v>
      </c>
      <c r="B58" s="12" t="n">
        <v>2025</v>
      </c>
      <c r="C58" s="12" t="n">
        <v>-1</v>
      </c>
      <c r="D58" s="12" t="n">
        <v>-63.6</v>
      </c>
      <c r="E58" s="12" t="n">
        <f aca="false">IFERROR(INDEX('Catalog'!$A:$A,MATCH($A58,'Catalog'!$B:$B,0)),IFERROR(INDEX('Catalog'!$A:$A,MATCH(TRIM(SUBSTITUTE($A58,CHAR(160)," ")),'Catalog'!$C:$C,0)),""))</f>
        <v>4408060</v>
      </c>
      <c r="F58" s="12" t="str">
        <f aca="false">IF($E58="","Unmatched","Matched")</f>
        <v>Matched</v>
      </c>
    </row>
    <row r="59" customFormat="false" ht="15" hidden="false" customHeight="true" outlineLevel="0" collapsed="false">
      <c r="A59" s="12" t="s">
        <v>613</v>
      </c>
      <c r="B59" s="12" t="n">
        <v>2025</v>
      </c>
      <c r="C59" s="12" t="n">
        <v>-5</v>
      </c>
      <c r="D59" s="12" t="n">
        <v>-318.1</v>
      </c>
      <c r="E59" s="12" t="n">
        <f aca="false">IFERROR(INDEX('Catalog'!$A:$A,MATCH($A59,'Catalog'!$B:$B,0)),IFERROR(INDEX('Catalog'!$A:$A,MATCH(TRIM(SUBSTITUTE($A59,CHAR(160)," ")),'Catalog'!$C:$C,0)),""))</f>
        <v>4408062</v>
      </c>
      <c r="F59" s="12" t="str">
        <f aca="false">IF($E59="","Unmatched","Matched")</f>
        <v>Matched</v>
      </c>
    </row>
    <row r="60" customFormat="false" ht="15" hidden="false" customHeight="true" outlineLevel="0" collapsed="false">
      <c r="A60" s="12" t="s">
        <v>565</v>
      </c>
      <c r="B60" s="12" t="n">
        <v>2025</v>
      </c>
      <c r="C60" s="12" t="n">
        <v>-2</v>
      </c>
      <c r="D60" s="12" t="n">
        <v>-136.3</v>
      </c>
      <c r="E60" s="12" t="n">
        <f aca="false">IFERROR(INDEX('Catalog'!$A:$A,MATCH($A60,'Catalog'!$B:$B,0)),IFERROR(INDEX('Catalog'!$A:$A,MATCH(TRIM(SUBSTITUTE($A60,CHAR(160)," ")),'Catalog'!$C:$C,0)),""))</f>
        <v>4408069</v>
      </c>
      <c r="F60" s="12" t="str">
        <f aca="false">IF($E60="","Unmatched","Matched")</f>
        <v>Matched</v>
      </c>
    </row>
    <row r="61" customFormat="false" ht="15" hidden="false" customHeight="true" outlineLevel="0" collapsed="false">
      <c r="A61" s="12" t="s">
        <v>460</v>
      </c>
      <c r="B61" s="12" t="n">
        <v>2025</v>
      </c>
      <c r="C61" s="12" t="n">
        <v>-1</v>
      </c>
      <c r="D61" s="12" t="n">
        <v>-166.1</v>
      </c>
      <c r="E61" s="12" t="n">
        <f aca="false">IFERROR(INDEX('Catalog'!$A:$A,MATCH($A61,'Catalog'!$B:$B,0)),IFERROR(INDEX('Catalog'!$A:$A,MATCH(TRIM(SUBSTITUTE($A61,CHAR(160)," ")),'Catalog'!$C:$C,0)),""))</f>
        <v>4408077</v>
      </c>
      <c r="F61" s="12" t="str">
        <f aca="false">IF($E61="","Unmatched","Matched")</f>
        <v>Matched</v>
      </c>
    </row>
    <row r="62" customFormat="false" ht="15" hidden="false" customHeight="true" outlineLevel="0" collapsed="false">
      <c r="A62" s="12" t="s">
        <v>463</v>
      </c>
      <c r="B62" s="12" t="n">
        <v>2025</v>
      </c>
      <c r="C62" s="12" t="n">
        <v>1</v>
      </c>
      <c r="D62" s="12" t="n">
        <v>166.1</v>
      </c>
      <c r="E62" s="12" t="n">
        <f aca="false">IFERROR(INDEX('Catalog'!$A:$A,MATCH($A62,'Catalog'!$B:$B,0)),IFERROR(INDEX('Catalog'!$A:$A,MATCH(TRIM(SUBSTITUTE($A62,CHAR(160)," ")),'Catalog'!$C:$C,0)),""))</f>
        <v>4408080</v>
      </c>
      <c r="F62" s="12" t="str">
        <f aca="false">IF($E62="","Unmatched","Matched")</f>
        <v>Matched</v>
      </c>
    </row>
    <row r="63" customFormat="false" ht="15" hidden="false" customHeight="true" outlineLevel="0" collapsed="false">
      <c r="A63" s="12" t="s">
        <v>464</v>
      </c>
      <c r="B63" s="12" t="n">
        <v>2025</v>
      </c>
      <c r="C63" s="12" t="n">
        <v>-1</v>
      </c>
      <c r="D63" s="12" t="n">
        <v>-166.1</v>
      </c>
      <c r="E63" s="12" t="n">
        <f aca="false">IFERROR(INDEX('Catalog'!$A:$A,MATCH($A63,'Catalog'!$B:$B,0)),IFERROR(INDEX('Catalog'!$A:$A,MATCH(TRIM(SUBSTITUTE($A63,CHAR(160)," ")),'Catalog'!$C:$C,0)),""))</f>
        <v>4408081</v>
      </c>
      <c r="F63" s="12" t="str">
        <f aca="false">IF($E63="","Unmatched","Matched")</f>
        <v>Matched</v>
      </c>
    </row>
    <row r="64" customFormat="false" ht="15" hidden="false" customHeight="true" outlineLevel="0" collapsed="false">
      <c r="A64" s="12" t="s">
        <v>466</v>
      </c>
      <c r="B64" s="12" t="n">
        <v>2025</v>
      </c>
      <c r="C64" s="12" t="n">
        <v>-2</v>
      </c>
      <c r="D64" s="12" t="n">
        <v>-332.2</v>
      </c>
      <c r="E64" s="12" t="n">
        <f aca="false">IFERROR(INDEX('Catalog'!$A:$A,MATCH($A64,'Catalog'!$B:$B,0)),IFERROR(INDEX('Catalog'!$A:$A,MATCH(TRIM(SUBSTITUTE($A64,CHAR(160)," ")),'Catalog'!$C:$C,0)),""))</f>
        <v>4408082</v>
      </c>
      <c r="F64" s="12" t="str">
        <f aca="false">IF($E64="","Unmatched","Matched")</f>
        <v>Matched</v>
      </c>
    </row>
    <row r="65" customFormat="false" ht="15" hidden="false" customHeight="true" outlineLevel="0" collapsed="false">
      <c r="A65" s="12" t="s">
        <v>475</v>
      </c>
      <c r="B65" s="12" t="n">
        <v>2025</v>
      </c>
      <c r="C65" s="12" t="n">
        <v>-2</v>
      </c>
      <c r="D65" s="12" t="n">
        <v>-262.1</v>
      </c>
      <c r="E65" s="12" t="n">
        <f aca="false">IFERROR(INDEX('Catalog'!$A:$A,MATCH($A65,'Catalog'!$B:$B,0)),IFERROR(INDEX('Catalog'!$A:$A,MATCH(TRIM(SUBSTITUTE($A65,CHAR(160)," ")),'Catalog'!$C:$C,0)),""))</f>
        <v>4408085</v>
      </c>
      <c r="F65" s="12" t="str">
        <f aca="false">IF($E65="","Unmatched","Matched")</f>
        <v>Matched</v>
      </c>
    </row>
    <row r="66" customFormat="false" ht="15" hidden="false" customHeight="true" outlineLevel="0" collapsed="false">
      <c r="A66" s="12" t="s">
        <v>471</v>
      </c>
      <c r="B66" s="12" t="n">
        <v>2025</v>
      </c>
      <c r="C66" s="12" t="n">
        <v>224</v>
      </c>
      <c r="D66" s="12" t="n">
        <v>15661.5</v>
      </c>
      <c r="E66" s="12" t="n">
        <f aca="false">IFERROR(INDEX('Catalog'!$A:$A,MATCH($A66,'Catalog'!$B:$B,0)),IFERROR(INDEX('Catalog'!$A:$A,MATCH(TRIM(SUBSTITUTE($A66,CHAR(160)," ")),'Catalog'!$C:$C,0)),""))</f>
        <v>4408088</v>
      </c>
      <c r="F66" s="12" t="str">
        <f aca="false">IF($E66="","Unmatched","Matched")</f>
        <v>Matched</v>
      </c>
    </row>
    <row r="67" customFormat="false" ht="15" hidden="false" customHeight="true" outlineLevel="0" collapsed="false">
      <c r="A67" s="12" t="s">
        <v>338</v>
      </c>
      <c r="B67" s="12" t="n">
        <v>2025</v>
      </c>
      <c r="C67" s="12" t="n">
        <v>-1</v>
      </c>
      <c r="D67" s="12" t="n">
        <v>-81.9</v>
      </c>
      <c r="E67" s="12" t="n">
        <f aca="false">IFERROR(INDEX('Catalog'!$A:$A,MATCH($A67,'Catalog'!$B:$B,0)),IFERROR(INDEX('Catalog'!$A:$A,MATCH(TRIM(SUBSTITUTE($A67,CHAR(160)," ")),'Catalog'!$C:$C,0)),""))</f>
        <v>4408089</v>
      </c>
      <c r="F67" s="12" t="str">
        <f aca="false">IF($E67="","Unmatched","Matched")</f>
        <v>Matched</v>
      </c>
    </row>
    <row r="68" customFormat="false" ht="15" hidden="false" customHeight="true" outlineLevel="0" collapsed="false">
      <c r="A68" s="12" t="s">
        <v>336</v>
      </c>
      <c r="B68" s="12" t="n">
        <v>2025</v>
      </c>
      <c r="C68" s="12" t="n">
        <v>9</v>
      </c>
      <c r="D68" s="12" t="n">
        <v>728.9</v>
      </c>
      <c r="E68" s="12" t="n">
        <f aca="false">IFERROR(INDEX('Catalog'!$A:$A,MATCH($A68,'Catalog'!$B:$B,0)),IFERROR(INDEX('Catalog'!$A:$A,MATCH(TRIM(SUBSTITUTE($A68,CHAR(160)," ")),'Catalog'!$C:$C,0)),""))</f>
        <v>4408090</v>
      </c>
      <c r="F68" s="12" t="str">
        <f aca="false">IF($E68="","Unmatched","Matched")</f>
        <v>Matched</v>
      </c>
    </row>
    <row r="69" customFormat="false" ht="15" hidden="false" customHeight="true" outlineLevel="0" collapsed="false">
      <c r="A69" s="12" t="s">
        <v>337</v>
      </c>
      <c r="B69" s="12" t="n">
        <v>2025</v>
      </c>
      <c r="C69" s="12" t="n">
        <v>7</v>
      </c>
      <c r="D69" s="12" t="n">
        <v>573.3</v>
      </c>
      <c r="E69" s="12" t="n">
        <f aca="false">IFERROR(INDEX('Catalog'!$A:$A,MATCH($A69,'Catalog'!$B:$B,0)),IFERROR(INDEX('Catalog'!$A:$A,MATCH(TRIM(SUBSTITUTE($A69,CHAR(160)," ")),'Catalog'!$C:$C,0)),""))</f>
        <v>4408091</v>
      </c>
      <c r="F69" s="12" t="str">
        <f aca="false">IF($E69="","Unmatched","Matched")</f>
        <v>Matched</v>
      </c>
    </row>
    <row r="70" customFormat="false" ht="15" hidden="false" customHeight="true" outlineLevel="0" collapsed="false">
      <c r="A70" s="12" t="s">
        <v>339</v>
      </c>
      <c r="B70" s="12" t="n">
        <v>2025</v>
      </c>
      <c r="C70" s="12" t="n">
        <v>13</v>
      </c>
      <c r="D70" s="12" t="n">
        <v>1052.4</v>
      </c>
      <c r="E70" s="12" t="n">
        <f aca="false">IFERROR(INDEX('Catalog'!$A:$A,MATCH($A70,'Catalog'!$B:$B,0)),IFERROR(INDEX('Catalog'!$A:$A,MATCH(TRIM(SUBSTITUTE($A70,CHAR(160)," ")),'Catalog'!$C:$C,0)),""))</f>
        <v>4408092</v>
      </c>
      <c r="F70" s="12" t="str">
        <f aca="false">IF($E70="","Unmatched","Matched")</f>
        <v>Matched</v>
      </c>
    </row>
    <row r="71" customFormat="false" ht="15" hidden="false" customHeight="true" outlineLevel="0" collapsed="false">
      <c r="A71" s="12" t="s">
        <v>653</v>
      </c>
      <c r="B71" s="12" t="n">
        <v>2025</v>
      </c>
      <c r="C71" s="12" t="n">
        <v>187</v>
      </c>
      <c r="D71" s="12" t="n">
        <v>5949.8</v>
      </c>
      <c r="E71" s="12" t="n">
        <f aca="false">IFERROR(INDEX('Catalog'!$A:$A,MATCH($A71,'Catalog'!$B:$B,0)),IFERROR(INDEX('Catalog'!$A:$A,MATCH(TRIM(SUBSTITUTE($A71,CHAR(160)," ")),'Catalog'!$C:$C,0)),""))</f>
        <v>4408094</v>
      </c>
      <c r="F71" s="12" t="str">
        <f aca="false">IF($E71="","Unmatched","Matched")</f>
        <v>Matched</v>
      </c>
    </row>
    <row r="72" customFormat="false" ht="15" hidden="false" customHeight="true" outlineLevel="0" collapsed="false">
      <c r="A72" s="12" t="s">
        <v>652</v>
      </c>
      <c r="B72" s="12" t="n">
        <v>2025</v>
      </c>
      <c r="C72" s="12" t="n">
        <v>121</v>
      </c>
      <c r="D72" s="12" t="n">
        <v>3854.3</v>
      </c>
      <c r="E72" s="12" t="n">
        <f aca="false">IFERROR(INDEX('Catalog'!$A:$A,MATCH($A72,'Catalog'!$B:$B,0)),IFERROR(INDEX('Catalog'!$A:$A,MATCH(TRIM(SUBSTITUTE($A72,CHAR(160)," ")),'Catalog'!$C:$C,0)),""))</f>
        <v>4408095</v>
      </c>
      <c r="F72" s="12" t="str">
        <f aca="false">IF($E72="","Unmatched","Matched")</f>
        <v>Matched</v>
      </c>
    </row>
    <row r="73" customFormat="false" ht="15" hidden="false" customHeight="true" outlineLevel="0" collapsed="false">
      <c r="A73" s="12" t="s">
        <v>655</v>
      </c>
      <c r="B73" s="12" t="n">
        <v>2025</v>
      </c>
      <c r="C73" s="12" t="n">
        <v>102</v>
      </c>
      <c r="D73" s="12" t="n">
        <v>3246.9</v>
      </c>
      <c r="E73" s="12" t="n">
        <f aca="false">IFERROR(INDEX('Catalog'!$A:$A,MATCH($A73,'Catalog'!$B:$B,0)),IFERROR(INDEX('Catalog'!$A:$A,MATCH(TRIM(SUBSTITUTE($A73,CHAR(160)," ")),'Catalog'!$C:$C,0)),""))</f>
        <v>4408096</v>
      </c>
      <c r="F73" s="12" t="str">
        <f aca="false">IF($E73="","Unmatched","Matched")</f>
        <v>Matched</v>
      </c>
    </row>
    <row r="74" customFormat="false" ht="15" hidden="false" customHeight="true" outlineLevel="0" collapsed="false">
      <c r="A74" s="12" t="s">
        <v>654</v>
      </c>
      <c r="B74" s="12" t="n">
        <v>2025</v>
      </c>
      <c r="C74" s="12" t="n">
        <v>116</v>
      </c>
      <c r="D74" s="12" t="n">
        <v>3688.3</v>
      </c>
      <c r="E74" s="12" t="n">
        <f aca="false">IFERROR(INDEX('Catalog'!$A:$A,MATCH($A74,'Catalog'!$B:$B,0)),IFERROR(INDEX('Catalog'!$A:$A,MATCH(TRIM(SUBSTITUTE($A74,CHAR(160)," ")),'Catalog'!$C:$C,0)),""))</f>
        <v>4408097</v>
      </c>
      <c r="F74" s="12" t="str">
        <f aca="false">IF($E74="","Unmatched","Matched")</f>
        <v>Matched</v>
      </c>
    </row>
    <row r="75" customFormat="false" ht="15" hidden="false" customHeight="true" outlineLevel="0" collapsed="false">
      <c r="A75" s="12" t="s">
        <v>656</v>
      </c>
      <c r="B75" s="12" t="n">
        <v>2025</v>
      </c>
      <c r="C75" s="12" t="n">
        <v>4392</v>
      </c>
      <c r="D75" s="12" t="n">
        <v>161481.4</v>
      </c>
      <c r="E75" s="12" t="n">
        <f aca="false">IFERROR(INDEX('Catalog'!$A:$A,MATCH($A75,'Catalog'!$B:$B,0)),IFERROR(INDEX('Catalog'!$A:$A,MATCH(TRIM(SUBSTITUTE($A75,CHAR(160)," ")),'Catalog'!$C:$C,0)),""))</f>
        <v>4408098</v>
      </c>
      <c r="F75" s="12" t="str">
        <f aca="false">IF($E75="","Unmatched","Matched")</f>
        <v>Matched</v>
      </c>
    </row>
    <row r="76" customFormat="false" ht="15" hidden="false" customHeight="true" outlineLevel="0" collapsed="false">
      <c r="A76" s="12" t="s">
        <v>658</v>
      </c>
      <c r="B76" s="12" t="n">
        <v>2025</v>
      </c>
      <c r="C76" s="12" t="n">
        <v>5414</v>
      </c>
      <c r="D76" s="12" t="n">
        <v>199054.3</v>
      </c>
      <c r="E76" s="12" t="n">
        <f aca="false">IFERROR(INDEX('Catalog'!$A:$A,MATCH($A76,'Catalog'!$B:$B,0)),IFERROR(INDEX('Catalog'!$A:$A,MATCH(TRIM(SUBSTITUTE($A76,CHAR(160)," ")),'Catalog'!$C:$C,0)),""))</f>
        <v>4408099</v>
      </c>
      <c r="F76" s="12" t="str">
        <f aca="false">IF($E76="","Unmatched","Matched")</f>
        <v>Matched</v>
      </c>
    </row>
    <row r="77" customFormat="false" ht="15" hidden="false" customHeight="true" outlineLevel="0" collapsed="false">
      <c r="A77" s="12" t="s">
        <v>265</v>
      </c>
      <c r="B77" s="12" t="n">
        <v>2025</v>
      </c>
      <c r="C77" s="12" t="n">
        <v>10</v>
      </c>
      <c r="D77" s="12" t="n">
        <v>882.9</v>
      </c>
      <c r="E77" s="12" t="n">
        <f aca="false">IFERROR(INDEX('Catalog'!$A:$A,MATCH($A77,'Catalog'!$B:$B,0)),IFERROR(INDEX('Catalog'!$A:$A,MATCH(TRIM(SUBSTITUTE($A77,CHAR(160)," ")),'Catalog'!$C:$C,0)),""))</f>
        <v>4408114</v>
      </c>
      <c r="F77" s="12" t="str">
        <f aca="false">IF($E77="","Unmatched","Matched")</f>
        <v>Matched</v>
      </c>
    </row>
    <row r="78" customFormat="false" ht="15" hidden="false" customHeight="true" outlineLevel="0" collapsed="false">
      <c r="A78" s="12" t="s">
        <v>269</v>
      </c>
      <c r="B78" s="12" t="n">
        <v>2025</v>
      </c>
      <c r="C78" s="12" t="n">
        <v>3</v>
      </c>
      <c r="D78" s="12" t="n">
        <v>315.2</v>
      </c>
      <c r="E78" s="12" t="n">
        <f aca="false">IFERROR(INDEX('Catalog'!$A:$A,MATCH($A78,'Catalog'!$B:$B,0)),IFERROR(INDEX('Catalog'!$A:$A,MATCH(TRIM(SUBSTITUTE($A78,CHAR(160)," ")),'Catalog'!$C:$C,0)),""))</f>
        <v>4408147</v>
      </c>
      <c r="F78" s="12" t="str">
        <f aca="false">IF($E78="","Unmatched","Matched")</f>
        <v>Matched</v>
      </c>
    </row>
    <row r="79" customFormat="false" ht="15" hidden="false" customHeight="true" outlineLevel="0" collapsed="false">
      <c r="A79" s="12" t="s">
        <v>272</v>
      </c>
      <c r="B79" s="12" t="n">
        <v>2025</v>
      </c>
      <c r="C79" s="12" t="n">
        <v>3</v>
      </c>
      <c r="D79" s="12" t="n">
        <v>315.2</v>
      </c>
      <c r="E79" s="12" t="n">
        <f aca="false">IFERROR(INDEX('Catalog'!$A:$A,MATCH($A79,'Catalog'!$B:$B,0)),IFERROR(INDEX('Catalog'!$A:$A,MATCH(TRIM(SUBSTITUTE($A79,CHAR(160)," ")),'Catalog'!$C:$C,0)),""))</f>
        <v>4408148</v>
      </c>
      <c r="F79" s="12" t="str">
        <f aca="false">IF($E79="","Unmatched","Matched")</f>
        <v>Matched</v>
      </c>
    </row>
    <row r="80" customFormat="false" ht="15" hidden="false" customHeight="true" outlineLevel="0" collapsed="false">
      <c r="A80" s="12" t="s">
        <v>280</v>
      </c>
      <c r="B80" s="12" t="n">
        <v>2025</v>
      </c>
      <c r="C80" s="12" t="n">
        <v>13</v>
      </c>
      <c r="D80" s="12" t="n">
        <v>1743.6</v>
      </c>
      <c r="E80" s="12" t="n">
        <f aca="false">IFERROR(INDEX('Catalog'!$A:$A,MATCH($A80,'Catalog'!$B:$B,0)),IFERROR(INDEX('Catalog'!$A:$A,MATCH(TRIM(SUBSTITUTE($A80,CHAR(160)," ")),'Catalog'!$C:$C,0)),""))</f>
        <v>4408151</v>
      </c>
      <c r="F80" s="12" t="str">
        <f aca="false">IF($E80="","Unmatched","Matched")</f>
        <v>Matched</v>
      </c>
    </row>
    <row r="81" customFormat="false" ht="15" hidden="false" customHeight="true" outlineLevel="0" collapsed="false">
      <c r="A81" s="12" t="s">
        <v>279</v>
      </c>
      <c r="B81" s="12" t="n">
        <v>2025</v>
      </c>
      <c r="C81" s="12" t="n">
        <v>10</v>
      </c>
      <c r="D81" s="12" t="n">
        <v>1304.3</v>
      </c>
      <c r="E81" s="12" t="n">
        <f aca="false">IFERROR(INDEX('Catalog'!$A:$A,MATCH($A81,'Catalog'!$B:$B,0)),IFERROR(INDEX('Catalog'!$A:$A,MATCH(TRIM(SUBSTITUTE($A81,CHAR(160)," ")),'Catalog'!$C:$C,0)),""))</f>
        <v>4408152</v>
      </c>
      <c r="F81" s="12" t="str">
        <f aca="false">IF($E81="","Unmatched","Matched")</f>
        <v>Matched</v>
      </c>
    </row>
    <row r="82" customFormat="false" ht="15" hidden="false" customHeight="true" outlineLevel="0" collapsed="false">
      <c r="A82" s="12" t="s">
        <v>282</v>
      </c>
      <c r="B82" s="12" t="n">
        <v>2025</v>
      </c>
      <c r="C82" s="12" t="n">
        <v>19</v>
      </c>
      <c r="D82" s="12" t="n">
        <v>2500.4</v>
      </c>
      <c r="E82" s="12" t="n">
        <f aca="false">IFERROR(INDEX('Catalog'!$A:$A,MATCH($A82,'Catalog'!$B:$B,0)),IFERROR(INDEX('Catalog'!$A:$A,MATCH(TRIM(SUBSTITUTE($A82,CHAR(160)," ")),'Catalog'!$C:$C,0)),""))</f>
        <v>4408153</v>
      </c>
      <c r="F82" s="12" t="str">
        <f aca="false">IF($E82="","Unmatched","Matched")</f>
        <v>Matched</v>
      </c>
    </row>
    <row r="83" customFormat="false" ht="15" hidden="false" customHeight="true" outlineLevel="0" collapsed="false">
      <c r="A83" s="12" t="s">
        <v>283</v>
      </c>
      <c r="B83" s="12" t="n">
        <v>2025</v>
      </c>
      <c r="C83" s="12" t="n">
        <v>21</v>
      </c>
      <c r="D83" s="12" t="n">
        <v>2777.5</v>
      </c>
      <c r="E83" s="12" t="n">
        <f aca="false">IFERROR(INDEX('Catalog'!$A:$A,MATCH($A83,'Catalog'!$B:$B,0)),IFERROR(INDEX('Catalog'!$A:$A,MATCH(TRIM(SUBSTITUTE($A83,CHAR(160)," ")),'Catalog'!$C:$C,0)),""))</f>
        <v>4408154</v>
      </c>
      <c r="F83" s="12" t="str">
        <f aca="false">IF($E83="","Unmatched","Matched")</f>
        <v>Matched</v>
      </c>
    </row>
    <row r="84" customFormat="false" ht="15" hidden="false" customHeight="true" outlineLevel="0" collapsed="false">
      <c r="A84" s="12" t="s">
        <v>294</v>
      </c>
      <c r="B84" s="12" t="n">
        <v>2025</v>
      </c>
      <c r="C84" s="12" t="n">
        <v>-1</v>
      </c>
      <c r="D84" s="12" t="n">
        <v>-135</v>
      </c>
      <c r="E84" s="12" t="n">
        <f aca="false">IFERROR(INDEX('Catalog'!$A:$A,MATCH($A84,'Catalog'!$B:$B,0)),IFERROR(INDEX('Catalog'!$A:$A,MATCH(TRIM(SUBSTITUTE($A84,CHAR(160)," ")),'Catalog'!$C:$C,0)),""))</f>
        <v>4408178</v>
      </c>
      <c r="F84" s="12" t="str">
        <f aca="false">IF($E84="","Unmatched","Matched")</f>
        <v>Matched</v>
      </c>
    </row>
    <row r="85" customFormat="false" ht="15" hidden="false" customHeight="true" outlineLevel="0" collapsed="false">
      <c r="A85" s="12" t="s">
        <v>331</v>
      </c>
      <c r="B85" s="12" t="n">
        <v>2025</v>
      </c>
      <c r="C85" s="12" t="n">
        <v>65</v>
      </c>
      <c r="D85" s="12" t="n">
        <v>6213.6</v>
      </c>
      <c r="E85" s="12" t="n">
        <f aca="false">IFERROR(INDEX('Catalog'!$A:$A,MATCH($A85,'Catalog'!$B:$B,0)),IFERROR(INDEX('Catalog'!$A:$A,MATCH(TRIM(SUBSTITUTE($A85,CHAR(160)," ")),'Catalog'!$C:$C,0)),""))</f>
        <v>4408190</v>
      </c>
      <c r="F85" s="12" t="str">
        <f aca="false">IF($E85="","Unmatched","Matched")</f>
        <v>Matched</v>
      </c>
    </row>
    <row r="86" customFormat="false" ht="15" hidden="false" customHeight="true" outlineLevel="0" collapsed="false">
      <c r="A86" s="12" t="s">
        <v>229</v>
      </c>
      <c r="B86" s="12" t="n">
        <v>2025</v>
      </c>
      <c r="C86" s="12" t="n">
        <v>164</v>
      </c>
      <c r="D86" s="12" t="n">
        <v>15702.7</v>
      </c>
      <c r="E86" s="12" t="n">
        <f aca="false">IFERROR(INDEX('Catalog'!$A:$A,MATCH($A86,'Catalog'!$B:$B,0)),IFERROR(INDEX('Catalog'!$A:$A,MATCH(TRIM(SUBSTITUTE($A86,CHAR(160)," ")),'Catalog'!$C:$C,0)),""))</f>
        <v>4408192</v>
      </c>
      <c r="F86" s="12" t="str">
        <f aca="false">IF($E86="","Unmatched","Matched")</f>
        <v>Matched</v>
      </c>
    </row>
    <row r="87" customFormat="false" ht="15" hidden="false" customHeight="true" outlineLevel="0" collapsed="false">
      <c r="A87" s="12" t="s">
        <v>299</v>
      </c>
      <c r="B87" s="12" t="n">
        <v>2025</v>
      </c>
      <c r="C87" s="12" t="n">
        <v>2</v>
      </c>
      <c r="D87" s="12" t="n">
        <v>442.1</v>
      </c>
      <c r="E87" s="12" t="n">
        <f aca="false">IFERROR(INDEX('Catalog'!$A:$A,MATCH($A87,'Catalog'!$B:$B,0)),IFERROR(INDEX('Catalog'!$A:$A,MATCH(TRIM(SUBSTITUTE($A87,CHAR(160)," ")),'Catalog'!$C:$C,0)),""))</f>
        <v>4408203</v>
      </c>
      <c r="F87" s="12" t="str">
        <f aca="false">IF($E87="","Unmatched","Matched")</f>
        <v>Matched</v>
      </c>
    </row>
    <row r="88" customFormat="false" ht="15" hidden="false" customHeight="true" outlineLevel="0" collapsed="false">
      <c r="A88" s="12" t="s">
        <v>500</v>
      </c>
      <c r="B88" s="12" t="n">
        <v>2025</v>
      </c>
      <c r="C88" s="12" t="n">
        <v>803</v>
      </c>
      <c r="D88" s="12" t="n">
        <v>21410.6</v>
      </c>
      <c r="E88" s="12" t="n">
        <f aca="false">IFERROR(INDEX('Catalog'!$A:$A,MATCH($A88,'Catalog'!$B:$B,0)),IFERROR(INDEX('Catalog'!$A:$A,MATCH(TRIM(SUBSTITUTE($A88,CHAR(160)," ")),'Catalog'!$C:$C,0)),""))</f>
        <v>4408208</v>
      </c>
      <c r="F88" s="12" t="str">
        <f aca="false">IF($E88="","Unmatched","Matched")</f>
        <v>Matched</v>
      </c>
    </row>
    <row r="89" customFormat="false" ht="15" hidden="false" customHeight="true" outlineLevel="0" collapsed="false">
      <c r="A89" s="12" t="s">
        <v>334</v>
      </c>
      <c r="B89" s="12" t="n">
        <v>2025</v>
      </c>
      <c r="C89" s="12" t="n">
        <v>11</v>
      </c>
      <c r="D89" s="12" t="n">
        <v>1035.5</v>
      </c>
      <c r="E89" s="12" t="n">
        <f aca="false">IFERROR(INDEX('Catalog'!$A:$A,MATCH($A89,'Catalog'!$B:$B,0)),IFERROR(INDEX('Catalog'!$A:$A,MATCH(TRIM(SUBSTITUTE($A89,CHAR(160)," ")),'Catalog'!$C:$C,0)),""))</f>
        <v>4408217</v>
      </c>
      <c r="F89" s="12" t="str">
        <f aca="false">IF($E89="","Unmatched","Matched")</f>
        <v>Matched</v>
      </c>
    </row>
    <row r="90" customFormat="false" ht="15" hidden="false" customHeight="true" outlineLevel="0" collapsed="false">
      <c r="A90" s="12" t="s">
        <v>240</v>
      </c>
      <c r="B90" s="12" t="n">
        <v>2025</v>
      </c>
      <c r="C90" s="12" t="n">
        <v>132</v>
      </c>
      <c r="D90" s="12" t="n">
        <v>12600.2</v>
      </c>
      <c r="E90" s="12" t="n">
        <f aca="false">IFERROR(INDEX('Catalog'!$A:$A,MATCH($A90,'Catalog'!$B:$B,0)),IFERROR(INDEX('Catalog'!$A:$A,MATCH(TRIM(SUBSTITUTE($A90,CHAR(160)," ")),'Catalog'!$C:$C,0)),""))</f>
        <v>4408218</v>
      </c>
      <c r="F90" s="12" t="str">
        <f aca="false">IF($E90="","Unmatched","Matched")</f>
        <v>Matched</v>
      </c>
    </row>
    <row r="91" customFormat="false" ht="15" hidden="false" customHeight="true" outlineLevel="0" collapsed="false">
      <c r="A91" s="12" t="s">
        <v>554</v>
      </c>
      <c r="B91" s="12" t="n">
        <v>2025</v>
      </c>
      <c r="C91" s="12" t="n">
        <v>223</v>
      </c>
      <c r="D91" s="12" t="n">
        <v>2310.4</v>
      </c>
      <c r="E91" s="12" t="n">
        <f aca="false">IFERROR(INDEX('Catalog'!$A:$A,MATCH($A91,'Catalog'!$B:$B,0)),IFERROR(INDEX('Catalog'!$A:$A,MATCH(TRIM(SUBSTITUTE($A91,CHAR(160)," ")),'Catalog'!$C:$C,0)),""))</f>
        <v>4409001</v>
      </c>
      <c r="F91" s="12" t="str">
        <f aca="false">IF($E91="","Unmatched","Matched")</f>
        <v>Matched</v>
      </c>
    </row>
    <row r="92" customFormat="false" ht="15" hidden="false" customHeight="true" outlineLevel="0" collapsed="false">
      <c r="A92" s="12" t="s">
        <v>707</v>
      </c>
      <c r="B92" s="12" t="n">
        <v>2025</v>
      </c>
      <c r="C92" s="12" t="n">
        <v>-8</v>
      </c>
      <c r="D92" s="12" t="n">
        <v>-235.1</v>
      </c>
      <c r="E92" s="12" t="n">
        <f aca="false">IFERROR(INDEX('Catalog'!$A:$A,MATCH($A92,'Catalog'!$B:$B,0)),IFERROR(INDEX('Catalog'!$A:$A,MATCH(TRIM(SUBSTITUTE($A92,CHAR(160)," ")),'Catalog'!$C:$C,0)),""))</f>
        <v>4409002</v>
      </c>
      <c r="F92" s="12" t="str">
        <f aca="false">IF($E92="","Unmatched","Matched")</f>
        <v>Matched</v>
      </c>
    </row>
    <row r="93" customFormat="false" ht="15" hidden="false" customHeight="true" outlineLevel="0" collapsed="false">
      <c r="A93" s="12" t="s">
        <v>367</v>
      </c>
      <c r="B93" s="12" t="n">
        <v>2025</v>
      </c>
      <c r="C93" s="12" t="n">
        <v>1282</v>
      </c>
      <c r="D93" s="12" t="n">
        <v>20668.1</v>
      </c>
      <c r="E93" s="12" t="n">
        <f aca="false">IFERROR(INDEX('Catalog'!$A:$A,MATCH($A93,'Catalog'!$B:$B,0)),IFERROR(INDEX('Catalog'!$A:$A,MATCH(TRIM(SUBSTITUTE($A93,CHAR(160)," ")),'Catalog'!$C:$C,0)),""))</f>
        <v>4409004</v>
      </c>
      <c r="F93" s="12" t="str">
        <f aca="false">IF($E93="","Unmatched","Matched")</f>
        <v>Matched</v>
      </c>
    </row>
    <row r="94" customFormat="false" ht="15" hidden="false" customHeight="true" outlineLevel="0" collapsed="false">
      <c r="A94" s="12" t="s">
        <v>571</v>
      </c>
      <c r="B94" s="12" t="n">
        <v>2025</v>
      </c>
      <c r="C94" s="12" t="n">
        <v>2204</v>
      </c>
      <c r="D94" s="12" t="n">
        <v>51118.9</v>
      </c>
      <c r="E94" s="12" t="n">
        <f aca="false">IFERROR(INDEX('Catalog'!$A:$A,MATCH($A94,'Catalog'!$B:$B,0)),IFERROR(INDEX('Catalog'!$A:$A,MATCH(TRIM(SUBSTITUTE($A94,CHAR(160)," ")),'Catalog'!$C:$C,0)),""))</f>
        <v>4411000</v>
      </c>
      <c r="F94" s="12" t="str">
        <f aca="false">IF($E94="","Unmatched","Matched")</f>
        <v>Matched</v>
      </c>
    </row>
    <row r="95" customFormat="false" ht="15" hidden="false" customHeight="true" outlineLevel="0" collapsed="false">
      <c r="A95" s="12" t="s">
        <v>549</v>
      </c>
      <c r="B95" s="12" t="n">
        <v>2025</v>
      </c>
      <c r="C95" s="12" t="n">
        <v>235</v>
      </c>
      <c r="D95" s="12" t="n">
        <v>5701.6</v>
      </c>
      <c r="E95" s="12" t="n">
        <f aca="false">IFERROR(INDEX('Catalog'!$A:$A,MATCH($A95,'Catalog'!$B:$B,0)),IFERROR(INDEX('Catalog'!$A:$A,MATCH(TRIM(SUBSTITUTE($A95,CHAR(160)," ")),'Catalog'!$C:$C,0)),""))</f>
        <v>4411001</v>
      </c>
      <c r="F95" s="12" t="str">
        <f aca="false">IF($E95="","Unmatched","Matched")</f>
        <v>Matched</v>
      </c>
    </row>
    <row r="96" customFormat="false" ht="15" hidden="false" customHeight="true" outlineLevel="0" collapsed="false">
      <c r="A96" s="12" t="s">
        <v>359</v>
      </c>
      <c r="B96" s="12" t="n">
        <v>2025</v>
      </c>
      <c r="C96" s="12" t="n">
        <v>-3</v>
      </c>
      <c r="D96" s="12" t="n">
        <v>-393.2</v>
      </c>
      <c r="E96" s="12" t="n">
        <f aca="false">IFERROR(INDEX('Catalog'!$A:$A,MATCH($A96,'Catalog'!$B:$B,0)),IFERROR(INDEX('Catalog'!$A:$A,MATCH(TRIM(SUBSTITUTE($A96,CHAR(160)," ")),'Catalog'!$C:$C,0)),""))</f>
        <v>4411002</v>
      </c>
      <c r="F96" s="12" t="str">
        <f aca="false">IF($E96="","Unmatched","Matched")</f>
        <v>Matched</v>
      </c>
    </row>
    <row r="97" customFormat="false" ht="15" hidden="false" customHeight="true" outlineLevel="0" collapsed="false">
      <c r="A97" s="12" t="s">
        <v>569</v>
      </c>
      <c r="B97" s="12" t="n">
        <v>2025</v>
      </c>
      <c r="C97" s="12" t="n">
        <v>21</v>
      </c>
      <c r="D97" s="12" t="n">
        <v>826.4</v>
      </c>
      <c r="E97" s="12" t="n">
        <f aca="false">IFERROR(INDEX('Catalog'!$A:$A,MATCH($A97,'Catalog'!$B:$B,0)),IFERROR(INDEX('Catalog'!$A:$A,MATCH(TRIM(SUBSTITUTE($A97,CHAR(160)," ")),'Catalog'!$C:$C,0)),""))</f>
        <v>4411015</v>
      </c>
      <c r="F97" s="12" t="str">
        <f aca="false">IF($E97="","Unmatched","Matched")</f>
        <v>Matched</v>
      </c>
    </row>
    <row r="98" customFormat="false" ht="15" hidden="false" customHeight="true" outlineLevel="0" collapsed="false">
      <c r="A98" s="12" t="s">
        <v>710</v>
      </c>
      <c r="B98" s="12" t="n">
        <v>2025</v>
      </c>
      <c r="C98" s="12" t="n">
        <v>26</v>
      </c>
      <c r="D98" s="12" t="n">
        <v>1507.5</v>
      </c>
      <c r="E98" s="12" t="n">
        <f aca="false">IFERROR(INDEX('Catalog'!$A:$A,MATCH($A98,'Catalog'!$B:$B,0)),IFERROR(INDEX('Catalog'!$A:$A,MATCH(TRIM(SUBSTITUTE($A98,CHAR(160)," ")),'Catalog'!$C:$C,0)),""))</f>
        <v>4413000</v>
      </c>
      <c r="F98" s="12" t="str">
        <f aca="false">IF($E98="","Unmatched","Matched")</f>
        <v>Matched</v>
      </c>
    </row>
    <row r="99" customFormat="false" ht="15" hidden="false" customHeight="true" outlineLevel="0" collapsed="false">
      <c r="A99" s="12" t="s">
        <v>708</v>
      </c>
      <c r="B99" s="12" t="n">
        <v>2025</v>
      </c>
      <c r="C99" s="12" t="n">
        <v>30</v>
      </c>
      <c r="D99" s="12" t="n">
        <v>1755.2</v>
      </c>
      <c r="E99" s="12" t="n">
        <f aca="false">IFERROR(INDEX('Catalog'!$A:$A,MATCH($A99,'Catalog'!$B:$B,0)),IFERROR(INDEX('Catalog'!$A:$A,MATCH(TRIM(SUBSTITUTE($A99,CHAR(160)," ")),'Catalog'!$C:$C,0)),""))</f>
        <v>4413002</v>
      </c>
      <c r="F99" s="12" t="str">
        <f aca="false">IF($E99="","Unmatched","Matched")</f>
        <v>Matched</v>
      </c>
    </row>
    <row r="100" customFormat="false" ht="15" hidden="false" customHeight="true" outlineLevel="0" collapsed="false">
      <c r="A100" s="12" t="s">
        <v>709</v>
      </c>
      <c r="B100" s="12" t="n">
        <v>2025</v>
      </c>
      <c r="C100" s="12" t="n">
        <v>31</v>
      </c>
      <c r="D100" s="12" t="n">
        <v>1802.1</v>
      </c>
      <c r="E100" s="12" t="n">
        <f aca="false">IFERROR(INDEX('Catalog'!$A:$A,MATCH($A100,'Catalog'!$B:$B,0)),IFERROR(INDEX('Catalog'!$A:$A,MATCH(TRIM(SUBSTITUTE($A100,CHAR(160)," ")),'Catalog'!$C:$C,0)),""))</f>
        <v>4413003</v>
      </c>
      <c r="F100" s="12" t="str">
        <f aca="false">IF($E100="","Unmatched","Matched")</f>
        <v>Matched</v>
      </c>
    </row>
    <row r="101" customFormat="false" ht="15" hidden="false" customHeight="true" outlineLevel="0" collapsed="false">
      <c r="A101" s="12" t="s">
        <v>711</v>
      </c>
      <c r="B101" s="12" t="n">
        <v>2025</v>
      </c>
      <c r="C101" s="12" t="n">
        <v>11</v>
      </c>
      <c r="D101" s="12" t="n">
        <v>659.2</v>
      </c>
      <c r="E101" s="12" t="n">
        <f aca="false">IFERROR(INDEX('Catalog'!$A:$A,MATCH($A101,'Catalog'!$B:$B,0)),IFERROR(INDEX('Catalog'!$A:$A,MATCH(TRIM(SUBSTITUTE($A101,CHAR(160)," ")),'Catalog'!$C:$C,0)),""))</f>
        <v>4413004</v>
      </c>
      <c r="F101" s="12" t="str">
        <f aca="false">IF($E101="","Unmatched","Matched")</f>
        <v>Matched</v>
      </c>
    </row>
    <row r="102" customFormat="false" ht="15" hidden="false" customHeight="true" outlineLevel="0" collapsed="false">
      <c r="A102" s="12" t="s">
        <v>712</v>
      </c>
      <c r="B102" s="12" t="n">
        <v>2025</v>
      </c>
      <c r="C102" s="12" t="n">
        <v>-1</v>
      </c>
      <c r="D102" s="12" t="n">
        <v>-54.5</v>
      </c>
      <c r="E102" s="12" t="n">
        <f aca="false">IFERROR(INDEX('Catalog'!$A:$A,MATCH($A102,'Catalog'!$B:$B,0)),IFERROR(INDEX('Catalog'!$A:$A,MATCH(TRIM(SUBSTITUTE($A102,CHAR(160)," ")),'Catalog'!$C:$C,0)),""))</f>
        <v>4413005</v>
      </c>
      <c r="F102" s="12" t="str">
        <f aca="false">IF($E102="","Unmatched","Matched")</f>
        <v>Matched</v>
      </c>
    </row>
    <row r="103" customFormat="false" ht="15" hidden="false" customHeight="true" outlineLevel="0" collapsed="false">
      <c r="A103" s="12" t="s">
        <v>420</v>
      </c>
      <c r="B103" s="12" t="n">
        <v>2025</v>
      </c>
      <c r="C103" s="12" t="n">
        <v>-1</v>
      </c>
      <c r="D103" s="12" t="n">
        <v>-102.6</v>
      </c>
      <c r="E103" s="12" t="n">
        <f aca="false">IFERROR(INDEX('Catalog'!$A:$A,MATCH($A103,'Catalog'!$B:$B,0)),IFERROR(INDEX('Catalog'!$A:$A,MATCH(TRIM(SUBSTITUTE($A103,CHAR(160)," ")),'Catalog'!$C:$C,0)),""))</f>
        <v>4413020</v>
      </c>
      <c r="F103" s="12" t="str">
        <f aca="false">IF($E103="","Unmatched","Matched")</f>
        <v>Matched</v>
      </c>
    </row>
    <row r="104" customFormat="false" ht="15" hidden="false" customHeight="true" outlineLevel="0" collapsed="false">
      <c r="A104" s="12" t="s">
        <v>422</v>
      </c>
      <c r="B104" s="12" t="n">
        <v>2025</v>
      </c>
      <c r="C104" s="12" t="n">
        <v>-5</v>
      </c>
      <c r="D104" s="12" t="n">
        <v>-513</v>
      </c>
      <c r="E104" s="12" t="n">
        <f aca="false">IFERROR(INDEX('Catalog'!$A:$A,MATCH($A104,'Catalog'!$B:$B,0)),IFERROR(INDEX('Catalog'!$A:$A,MATCH(TRIM(SUBSTITUTE($A104,CHAR(160)," ")),'Catalog'!$C:$C,0)),""))</f>
        <v>4413022</v>
      </c>
      <c r="F104" s="12" t="str">
        <f aca="false">IF($E104="","Unmatched","Matched")</f>
        <v>Matched</v>
      </c>
    </row>
    <row r="105" customFormat="false" ht="15" hidden="false" customHeight="true" outlineLevel="0" collapsed="false">
      <c r="A105" s="12" t="s">
        <v>543</v>
      </c>
      <c r="B105" s="12" t="n">
        <v>2025</v>
      </c>
      <c r="C105" s="12" t="n">
        <v>4057</v>
      </c>
      <c r="D105" s="12" t="n">
        <v>50190</v>
      </c>
      <c r="E105" s="12" t="n">
        <f aca="false">IFERROR(INDEX('Catalog'!$A:$A,MATCH($A105,'Catalog'!$B:$B,0)),IFERROR(INDEX('Catalog'!$A:$A,MATCH(TRIM(SUBSTITUTE($A105,CHAR(160)," ")),'Catalog'!$C:$C,0)),""))</f>
        <v>4413033</v>
      </c>
      <c r="F105" s="12" t="str">
        <f aca="false">IF($E105="","Unmatched","Matched")</f>
        <v>Matched</v>
      </c>
    </row>
    <row r="106" customFormat="false" ht="15" hidden="false" customHeight="true" outlineLevel="0" collapsed="false">
      <c r="A106" s="12" t="s">
        <v>544</v>
      </c>
      <c r="B106" s="12" t="n">
        <v>2025</v>
      </c>
      <c r="C106" s="12" t="n">
        <v>208</v>
      </c>
      <c r="D106" s="12" t="n">
        <v>4120.4</v>
      </c>
      <c r="E106" s="12" t="n">
        <f aca="false">IFERROR(INDEX('Catalog'!$A:$A,MATCH($A106,'Catalog'!$B:$B,0)),IFERROR(INDEX('Catalog'!$A:$A,MATCH(TRIM(SUBSTITUTE($A106,CHAR(160)," ")),'Catalog'!$C:$C,0)),""))</f>
        <v>4413034</v>
      </c>
      <c r="F106" s="12" t="str">
        <f aca="false">IF($E106="","Unmatched","Matched")</f>
        <v>Matched</v>
      </c>
    </row>
    <row r="107" customFormat="false" ht="15" hidden="false" customHeight="true" outlineLevel="0" collapsed="false">
      <c r="A107" s="12" t="s">
        <v>732</v>
      </c>
      <c r="B107" s="12" t="n">
        <v>2025</v>
      </c>
      <c r="C107" s="12" t="n">
        <v>1906</v>
      </c>
      <c r="D107" s="12" t="n">
        <v>71558.8</v>
      </c>
      <c r="E107" s="12" t="n">
        <f aca="false">IFERROR(INDEX('Catalog'!$A:$A,MATCH($A107,'Catalog'!$B:$B,0)),IFERROR(INDEX('Catalog'!$A:$A,MATCH(TRIM(SUBSTITUTE($A107,CHAR(160)," ")),'Catalog'!$C:$C,0)),""))</f>
        <v>4413041</v>
      </c>
      <c r="F107" s="12" t="str">
        <f aca="false">IF($E107="","Unmatched","Matched")</f>
        <v>Matched</v>
      </c>
    </row>
    <row r="108" customFormat="false" ht="15" hidden="false" customHeight="true" outlineLevel="0" collapsed="false">
      <c r="A108" s="12" t="s">
        <v>733</v>
      </c>
      <c r="B108" s="12" t="n">
        <v>2025</v>
      </c>
      <c r="C108" s="12" t="n">
        <v>1192</v>
      </c>
      <c r="D108" s="12" t="n">
        <v>44734.6</v>
      </c>
      <c r="E108" s="12" t="n">
        <f aca="false">IFERROR(INDEX('Catalog'!$A:$A,MATCH($A108,'Catalog'!$B:$B,0)),IFERROR(INDEX('Catalog'!$A:$A,MATCH(TRIM(SUBSTITUTE($A108,CHAR(160)," ")),'Catalog'!$C:$C,0)),""))</f>
        <v>4413042</v>
      </c>
      <c r="F108" s="12" t="str">
        <f aca="false">IF($E108="","Unmatched","Matched")</f>
        <v>Matched</v>
      </c>
    </row>
    <row r="109" customFormat="false" ht="15" hidden="false" customHeight="true" outlineLevel="0" collapsed="false">
      <c r="A109" s="12" t="s">
        <v>731</v>
      </c>
      <c r="B109" s="12" t="n">
        <v>2025</v>
      </c>
      <c r="C109" s="12" t="n">
        <v>1793</v>
      </c>
      <c r="D109" s="12" t="n">
        <v>67283.3</v>
      </c>
      <c r="E109" s="12" t="n">
        <f aca="false">IFERROR(INDEX('Catalog'!$A:$A,MATCH($A109,'Catalog'!$B:$B,0)),IFERROR(INDEX('Catalog'!$A:$A,MATCH(TRIM(SUBSTITUTE($A109,CHAR(160)," ")),'Catalog'!$C:$C,0)),""))</f>
        <v>4413043</v>
      </c>
      <c r="F109" s="12" t="str">
        <f aca="false">IF($E109="","Unmatched","Matched")</f>
        <v>Matched</v>
      </c>
    </row>
    <row r="110" customFormat="false" ht="15" hidden="false" customHeight="true" outlineLevel="0" collapsed="false">
      <c r="A110" s="12" t="s">
        <v>734</v>
      </c>
      <c r="B110" s="12" t="n">
        <v>2025</v>
      </c>
      <c r="C110" s="12" t="n">
        <v>1232</v>
      </c>
      <c r="D110" s="12" t="n">
        <v>46241.2</v>
      </c>
      <c r="E110" s="12" t="n">
        <f aca="false">IFERROR(INDEX('Catalog'!$A:$A,MATCH($A110,'Catalog'!$B:$B,0)),IFERROR(INDEX('Catalog'!$A:$A,MATCH(TRIM(SUBSTITUTE($A110,CHAR(160)," ")),'Catalog'!$C:$C,0)),""))</f>
        <v>4413044</v>
      </c>
      <c r="F110" s="12" t="str">
        <f aca="false">IF($E110="","Unmatched","Matched")</f>
        <v>Matched</v>
      </c>
    </row>
    <row r="111" customFormat="false" ht="15" hidden="false" customHeight="true" outlineLevel="0" collapsed="false">
      <c r="A111" s="12" t="s">
        <v>736</v>
      </c>
      <c r="B111" s="12" t="n">
        <v>2025</v>
      </c>
      <c r="C111" s="12" t="n">
        <v>54</v>
      </c>
      <c r="D111" s="12" t="n">
        <v>2028.5</v>
      </c>
      <c r="E111" s="12" t="n">
        <f aca="false">IFERROR(INDEX('Catalog'!$A:$A,MATCH($A111,'Catalog'!$B:$B,0)),IFERROR(INDEX('Catalog'!$A:$A,MATCH(TRIM(SUBSTITUTE($A111,CHAR(160)," ")),'Catalog'!$C:$C,0)),""))</f>
        <v>4413046</v>
      </c>
      <c r="F111" s="12" t="str">
        <f aca="false">IF($E111="","Unmatched","Matched")</f>
        <v>Matched</v>
      </c>
    </row>
    <row r="112" customFormat="false" ht="15" hidden="false" customHeight="true" outlineLevel="0" collapsed="false">
      <c r="A112" s="12" t="s">
        <v>744</v>
      </c>
      <c r="B112" s="12" t="n">
        <v>2025</v>
      </c>
      <c r="C112" s="12" t="n">
        <v>1156</v>
      </c>
      <c r="D112" s="12" t="n">
        <v>29720.7</v>
      </c>
      <c r="E112" s="12" t="n">
        <f aca="false">IFERROR(INDEX('Catalog'!$A:$A,MATCH($A112,'Catalog'!$B:$B,0)),IFERROR(INDEX('Catalog'!$A:$A,MATCH(TRIM(SUBSTITUTE($A112,CHAR(160)," ")),'Catalog'!$C:$C,0)),""))</f>
        <v>4413047</v>
      </c>
      <c r="F112" s="12" t="str">
        <f aca="false">IF($E112="","Unmatched","Matched")</f>
        <v>Matched</v>
      </c>
    </row>
    <row r="113" customFormat="false" ht="15" hidden="false" customHeight="true" outlineLevel="0" collapsed="false">
      <c r="A113" s="12" t="s">
        <v>742</v>
      </c>
      <c r="B113" s="12" t="n">
        <v>2025</v>
      </c>
      <c r="C113" s="12" t="n">
        <v>1656</v>
      </c>
      <c r="D113" s="12" t="n">
        <v>42561.6</v>
      </c>
      <c r="E113" s="12" t="n">
        <f aca="false">IFERROR(INDEX('Catalog'!$A:$A,MATCH($A113,'Catalog'!$B:$B,0)),IFERROR(INDEX('Catalog'!$A:$A,MATCH(TRIM(SUBSTITUTE($A113,CHAR(160)," ")),'Catalog'!$C:$C,0)),""))</f>
        <v>4413048</v>
      </c>
      <c r="F113" s="12" t="str">
        <f aca="false">IF($E113="","Unmatched","Matched")</f>
        <v>Matched</v>
      </c>
    </row>
    <row r="114" customFormat="false" ht="15" hidden="false" customHeight="true" outlineLevel="0" collapsed="false">
      <c r="A114" s="12" t="s">
        <v>743</v>
      </c>
      <c r="B114" s="12" t="n">
        <v>2025</v>
      </c>
      <c r="C114" s="12" t="n">
        <v>1895</v>
      </c>
      <c r="D114" s="12" t="n">
        <v>48710.8</v>
      </c>
      <c r="E114" s="12" t="n">
        <f aca="false">IFERROR(INDEX('Catalog'!$A:$A,MATCH($A114,'Catalog'!$B:$B,0)),IFERROR(INDEX('Catalog'!$A:$A,MATCH(TRIM(SUBSTITUTE($A114,CHAR(160)," ")),'Catalog'!$C:$C,0)),""))</f>
        <v>4413049</v>
      </c>
      <c r="F114" s="12" t="str">
        <f aca="false">IF($E114="","Unmatched","Matched")</f>
        <v>Matched</v>
      </c>
    </row>
    <row r="115" customFormat="false" ht="15" hidden="false" customHeight="true" outlineLevel="0" collapsed="false">
      <c r="A115" s="12" t="s">
        <v>745</v>
      </c>
      <c r="B115" s="12" t="n">
        <v>2025</v>
      </c>
      <c r="C115" s="12" t="n">
        <v>1115</v>
      </c>
      <c r="D115" s="12" t="n">
        <v>28674.2</v>
      </c>
      <c r="E115" s="12" t="n">
        <f aca="false">IFERROR(INDEX('Catalog'!$A:$A,MATCH($A115,'Catalog'!$B:$B,0)),IFERROR(INDEX('Catalog'!$A:$A,MATCH(TRIM(SUBSTITUTE($A115,CHAR(160)," ")),'Catalog'!$C:$C,0)),""))</f>
        <v>4413050</v>
      </c>
      <c r="F115" s="12" t="str">
        <f aca="false">IF($E115="","Unmatched","Matched")</f>
        <v>Matched</v>
      </c>
    </row>
    <row r="116" customFormat="false" ht="15" hidden="false" customHeight="true" outlineLevel="0" collapsed="false">
      <c r="A116" s="12" t="s">
        <v>747</v>
      </c>
      <c r="B116" s="12" t="n">
        <v>2025</v>
      </c>
      <c r="C116" s="12" t="n">
        <v>88</v>
      </c>
      <c r="D116" s="12" t="n">
        <v>2262.6</v>
      </c>
      <c r="E116" s="12" t="n">
        <f aca="false">IFERROR(INDEX('Catalog'!$A:$A,MATCH($A116,'Catalog'!$B:$B,0)),IFERROR(INDEX('Catalog'!$A:$A,MATCH(TRIM(SUBSTITUTE($A116,CHAR(160)," ")),'Catalog'!$C:$C,0)),""))</f>
        <v>4413051</v>
      </c>
      <c r="F116" s="12" t="str">
        <f aca="false">IF($E116="","Unmatched","Matched")</f>
        <v>Matched</v>
      </c>
    </row>
    <row r="117" customFormat="false" ht="15" hidden="false" customHeight="true" outlineLevel="0" collapsed="false">
      <c r="A117" s="12" t="s">
        <v>755</v>
      </c>
      <c r="B117" s="12" t="n">
        <v>2025</v>
      </c>
      <c r="C117" s="12" t="n">
        <v>2476</v>
      </c>
      <c r="D117" s="12" t="n">
        <v>63730.9</v>
      </c>
      <c r="E117" s="12" t="n">
        <f aca="false">IFERROR(INDEX('Catalog'!$A:$A,MATCH($A117,'Catalog'!$B:$B,0)),IFERROR(INDEX('Catalog'!$A:$A,MATCH(TRIM(SUBSTITUTE($A117,CHAR(160)," ")),'Catalog'!$C:$C,0)),""))</f>
        <v>4413052</v>
      </c>
      <c r="F117" s="12" t="str">
        <f aca="false">IF($E117="","Unmatched","Matched")</f>
        <v>Matched</v>
      </c>
    </row>
    <row r="118" customFormat="false" ht="15" hidden="false" customHeight="true" outlineLevel="0" collapsed="false">
      <c r="A118" s="12" t="s">
        <v>753</v>
      </c>
      <c r="B118" s="12" t="n">
        <v>2025</v>
      </c>
      <c r="C118" s="12" t="n">
        <v>3121</v>
      </c>
      <c r="D118" s="12" t="n">
        <v>80301.8</v>
      </c>
      <c r="E118" s="12" t="n">
        <f aca="false">IFERROR(INDEX('Catalog'!$A:$A,MATCH($A118,'Catalog'!$B:$B,0)),IFERROR(INDEX('Catalog'!$A:$A,MATCH(TRIM(SUBSTITUTE($A118,CHAR(160)," ")),'Catalog'!$C:$C,0)),""))</f>
        <v>4413053</v>
      </c>
      <c r="F118" s="12" t="str">
        <f aca="false">IF($E118="","Unmatched","Matched")</f>
        <v>Matched</v>
      </c>
    </row>
    <row r="119" customFormat="false" ht="15" hidden="false" customHeight="true" outlineLevel="0" collapsed="false">
      <c r="A119" s="12" t="s">
        <v>754</v>
      </c>
      <c r="B119" s="12" t="n">
        <v>2025</v>
      </c>
      <c r="C119" s="12" t="n">
        <v>3288</v>
      </c>
      <c r="D119" s="12" t="n">
        <v>84599.4</v>
      </c>
      <c r="E119" s="12" t="n">
        <f aca="false">IFERROR(INDEX('Catalog'!$A:$A,MATCH($A119,'Catalog'!$B:$B,0)),IFERROR(INDEX('Catalog'!$A:$A,MATCH(TRIM(SUBSTITUTE($A119,CHAR(160)," ")),'Catalog'!$C:$C,0)),""))</f>
        <v>4413054</v>
      </c>
      <c r="F119" s="12" t="str">
        <f aca="false">IF($E119="","Unmatched","Matched")</f>
        <v>Matched</v>
      </c>
    </row>
    <row r="120" customFormat="false" ht="15" hidden="false" customHeight="true" outlineLevel="0" collapsed="false">
      <c r="A120" s="12" t="s">
        <v>756</v>
      </c>
      <c r="B120" s="12" t="n">
        <v>2025</v>
      </c>
      <c r="C120" s="12" t="n">
        <v>1866</v>
      </c>
      <c r="D120" s="12" t="n">
        <v>47984.9</v>
      </c>
      <c r="E120" s="12" t="n">
        <f aca="false">IFERROR(INDEX('Catalog'!$A:$A,MATCH($A120,'Catalog'!$B:$B,0)),IFERROR(INDEX('Catalog'!$A:$A,MATCH(TRIM(SUBSTITUTE($A120,CHAR(160)," ")),'Catalog'!$C:$C,0)),""))</f>
        <v>4413055</v>
      </c>
      <c r="F120" s="12" t="str">
        <f aca="false">IF($E120="","Unmatched","Matched")</f>
        <v>Matched</v>
      </c>
    </row>
    <row r="121" customFormat="false" ht="15" hidden="false" customHeight="true" outlineLevel="0" collapsed="false">
      <c r="A121" s="12" t="s">
        <v>403</v>
      </c>
      <c r="B121" s="12" t="n">
        <v>2025</v>
      </c>
      <c r="C121" s="12" t="n">
        <v>44</v>
      </c>
      <c r="D121" s="12" t="n">
        <v>891.9</v>
      </c>
      <c r="E121" s="12" t="n">
        <f aca="false">IFERROR(INDEX('Catalog'!$A:$A,MATCH($A121,'Catalog'!$B:$B,0)),IFERROR(INDEX('Catalog'!$A:$A,MATCH(TRIM(SUBSTITUTE($A121,CHAR(160)," ")),'Catalog'!$C:$C,0)),""))</f>
        <v>4413056</v>
      </c>
      <c r="F121" s="12" t="str">
        <f aca="false">IF($E121="","Unmatched","Matched")</f>
        <v>Matched</v>
      </c>
    </row>
    <row r="122" customFormat="false" ht="15" hidden="false" customHeight="true" outlineLevel="0" collapsed="false">
      <c r="A122" s="12" t="s">
        <v>548</v>
      </c>
      <c r="B122" s="12" t="n">
        <v>2025</v>
      </c>
      <c r="C122" s="12" t="n">
        <v>571</v>
      </c>
      <c r="D122" s="12" t="n">
        <v>15313.6</v>
      </c>
      <c r="E122" s="12" t="n">
        <f aca="false">IFERROR(INDEX('Catalog'!$A:$A,MATCH($A122,'Catalog'!$B:$B,0)),IFERROR(INDEX('Catalog'!$A:$A,MATCH(TRIM(SUBSTITUTE($A122,CHAR(160)," ")),'Catalog'!$C:$C,0)),""))</f>
        <v>4413058</v>
      </c>
      <c r="F122" s="12" t="str">
        <f aca="false">IF($E122="","Unmatched","Matched")</f>
        <v>Matched</v>
      </c>
    </row>
    <row r="123" customFormat="false" ht="15" hidden="false" customHeight="true" outlineLevel="0" collapsed="false">
      <c r="A123" s="12" t="s">
        <v>553</v>
      </c>
      <c r="B123" s="12" t="n">
        <v>2025</v>
      </c>
      <c r="C123" s="12" t="n">
        <v>-4</v>
      </c>
      <c r="D123" s="12" t="n">
        <v>-47.7</v>
      </c>
      <c r="E123" s="12" t="n">
        <f aca="false">IFERROR(INDEX('Catalog'!$A:$A,MATCH($A123,'Catalog'!$B:$B,0)),IFERROR(INDEX('Catalog'!$A:$A,MATCH(TRIM(SUBSTITUTE($A123,CHAR(160)," ")),'Catalog'!$C:$C,0)),""))</f>
        <v>4413059</v>
      </c>
      <c r="F123" s="12" t="str">
        <f aca="false">IF($E123="","Unmatched","Matched")</f>
        <v>Matched</v>
      </c>
    </row>
    <row r="124" customFormat="false" ht="15" hidden="false" customHeight="true" outlineLevel="0" collapsed="false">
      <c r="A124" s="12" t="s">
        <v>567</v>
      </c>
      <c r="B124" s="12" t="n">
        <v>2025</v>
      </c>
      <c r="C124" s="12" t="n">
        <v>-16</v>
      </c>
      <c r="D124" s="12" t="n">
        <v>-1026.6</v>
      </c>
      <c r="E124" s="12" t="n">
        <f aca="false">IFERROR(INDEX('Catalog'!$A:$A,MATCH($A124,'Catalog'!$B:$B,0)),IFERROR(INDEX('Catalog'!$A:$A,MATCH(TRIM(SUBSTITUTE($A124,CHAR(160)," ")),'Catalog'!$C:$C,0)),""))</f>
        <v>4413069</v>
      </c>
      <c r="F124" s="12" t="str">
        <f aca="false">IF($E124="","Unmatched","Matched")</f>
        <v>Matched</v>
      </c>
    </row>
    <row r="125" customFormat="false" ht="15" hidden="false" customHeight="true" outlineLevel="0" collapsed="false">
      <c r="A125" s="12" t="s">
        <v>568</v>
      </c>
      <c r="B125" s="12" t="n">
        <v>2025</v>
      </c>
      <c r="C125" s="12" t="n">
        <v>-12</v>
      </c>
      <c r="D125" s="12" t="n">
        <v>-769.9</v>
      </c>
      <c r="E125" s="12" t="n">
        <f aca="false">IFERROR(INDEX('Catalog'!$A:$A,MATCH($A125,'Catalog'!$B:$B,0)),IFERROR(INDEX('Catalog'!$A:$A,MATCH(TRIM(SUBSTITUTE($A125,CHAR(160)," ")),'Catalog'!$C:$C,0)),""))</f>
        <v>4413070</v>
      </c>
      <c r="F125" s="12" t="str">
        <f aca="false">IF($E125="","Unmatched","Matched")</f>
        <v>Matched</v>
      </c>
    </row>
    <row r="126" customFormat="false" ht="15" hidden="false" customHeight="true" outlineLevel="0" collapsed="false">
      <c r="A126" s="12" t="s">
        <v>87</v>
      </c>
      <c r="B126" s="12" t="n">
        <v>2025</v>
      </c>
      <c r="C126" s="12" t="n">
        <v>3</v>
      </c>
      <c r="D126" s="12" t="n">
        <v>319.4</v>
      </c>
      <c r="E126" s="12" t="n">
        <f aca="false">IFERROR(INDEX('Catalog'!$A:$A,MATCH($A126,'Catalog'!$B:$B,0)),IFERROR(INDEX('Catalog'!$A:$A,MATCH(TRIM(SUBSTITUTE($A126,CHAR(160)," ")),'Catalog'!$C:$C,0)),""))</f>
        <v>4413072</v>
      </c>
      <c r="F126" s="12" t="str">
        <f aca="false">IF($E126="","Unmatched","Matched")</f>
        <v>Matched</v>
      </c>
    </row>
    <row r="127" customFormat="false" ht="15" hidden="false" customHeight="true" outlineLevel="0" collapsed="false">
      <c r="A127" s="12" t="s">
        <v>88</v>
      </c>
      <c r="B127" s="12" t="n">
        <v>2025</v>
      </c>
      <c r="C127" s="12" t="n">
        <v>1</v>
      </c>
      <c r="D127" s="12" t="n">
        <v>106.5</v>
      </c>
      <c r="E127" s="12" t="n">
        <f aca="false">IFERROR(INDEX('Catalog'!$A:$A,MATCH($A127,'Catalog'!$B:$B,0)),IFERROR(INDEX('Catalog'!$A:$A,MATCH(TRIM(SUBSTITUTE($A127,CHAR(160)," ")),'Catalog'!$C:$C,0)),""))</f>
        <v>4413073</v>
      </c>
      <c r="F127" s="12" t="str">
        <f aca="false">IF($E127="","Unmatched","Matched")</f>
        <v>Matched</v>
      </c>
    </row>
    <row r="128" customFormat="false" ht="15" hidden="false" customHeight="true" outlineLevel="0" collapsed="false">
      <c r="A128" s="12" t="s">
        <v>86</v>
      </c>
      <c r="B128" s="12" t="n">
        <v>2025</v>
      </c>
      <c r="C128" s="12" t="n">
        <v>3</v>
      </c>
      <c r="D128" s="12" t="n">
        <v>319.4</v>
      </c>
      <c r="E128" s="12" t="n">
        <f aca="false">IFERROR(INDEX('Catalog'!$A:$A,MATCH($A128,'Catalog'!$B:$B,0)),IFERROR(INDEX('Catalog'!$A:$A,MATCH(TRIM(SUBSTITUTE($A128,CHAR(160)," ")),'Catalog'!$C:$C,0)),""))</f>
        <v>4413074</v>
      </c>
      <c r="F128" s="12" t="str">
        <f aca="false">IF($E128="","Unmatched","Matched")</f>
        <v>Matched</v>
      </c>
    </row>
    <row r="129" customFormat="false" ht="15" hidden="false" customHeight="true" outlineLevel="0" collapsed="false">
      <c r="A129" s="12" t="s">
        <v>94</v>
      </c>
      <c r="B129" s="12" t="n">
        <v>2025</v>
      </c>
      <c r="C129" s="12" t="n">
        <v>-1</v>
      </c>
      <c r="D129" s="12" t="n">
        <v>-116.7</v>
      </c>
      <c r="E129" s="12" t="n">
        <f aca="false">IFERROR(INDEX('Catalog'!$A:$A,MATCH($A129,'Catalog'!$B:$B,0)),IFERROR(INDEX('Catalog'!$A:$A,MATCH(TRIM(SUBSTITUTE($A129,CHAR(160)," ")),'Catalog'!$C:$C,0)),""))</f>
        <v>4413078</v>
      </c>
      <c r="F129" s="12" t="str">
        <f aca="false">IF($E129="","Unmatched","Matched")</f>
        <v>Matched</v>
      </c>
    </row>
    <row r="130" customFormat="false" ht="15" hidden="false" customHeight="true" outlineLevel="0" collapsed="false">
      <c r="A130" s="12" t="s">
        <v>98</v>
      </c>
      <c r="B130" s="12" t="n">
        <v>2025</v>
      </c>
      <c r="C130" s="12" t="n">
        <v>-2</v>
      </c>
      <c r="D130" s="12" t="n">
        <v>-272.8</v>
      </c>
      <c r="E130" s="12" t="n">
        <f aca="false">IFERROR(INDEX('Catalog'!$A:$A,MATCH($A130,'Catalog'!$B:$B,0)),IFERROR(INDEX('Catalog'!$A:$A,MATCH(TRIM(SUBSTITUTE($A130,CHAR(160)," ")),'Catalog'!$C:$C,0)),""))</f>
        <v>4413087</v>
      </c>
      <c r="F130" s="12" t="str">
        <f aca="false">IF($E130="","Unmatched","Matched")</f>
        <v>Matched</v>
      </c>
    </row>
    <row r="131" customFormat="false" ht="15" hidden="false" customHeight="true" outlineLevel="0" collapsed="false">
      <c r="A131" s="12" t="s">
        <v>99</v>
      </c>
      <c r="B131" s="12" t="n">
        <v>2025</v>
      </c>
      <c r="C131" s="12" t="n">
        <v>0</v>
      </c>
      <c r="D131" s="12" t="n">
        <v>30.3</v>
      </c>
      <c r="E131" s="12" t="n">
        <f aca="false">IFERROR(INDEX('Catalog'!$A:$A,MATCH($A131,'Catalog'!$B:$B,0)),IFERROR(INDEX('Catalog'!$A:$A,MATCH(TRIM(SUBSTITUTE($A131,CHAR(160)," ")),'Catalog'!$C:$C,0)),""))</f>
        <v>4413088</v>
      </c>
      <c r="F131" s="12" t="str">
        <f aca="false">IF($E131="","Unmatched","Matched")</f>
        <v>Matched</v>
      </c>
    </row>
    <row r="132" customFormat="false" ht="15" hidden="false" customHeight="true" outlineLevel="0" collapsed="false">
      <c r="A132" s="12" t="s">
        <v>100</v>
      </c>
      <c r="B132" s="12" t="n">
        <v>2025</v>
      </c>
      <c r="C132" s="12" t="n">
        <v>-3</v>
      </c>
      <c r="D132" s="12" t="n">
        <v>-454.6</v>
      </c>
      <c r="E132" s="12" t="n">
        <f aca="false">IFERROR(INDEX('Catalog'!$A:$A,MATCH($A132,'Catalog'!$B:$B,0)),IFERROR(INDEX('Catalog'!$A:$A,MATCH(TRIM(SUBSTITUTE($A132,CHAR(160)," ")),'Catalog'!$C:$C,0)),""))</f>
        <v>4413089</v>
      </c>
      <c r="F132" s="12" t="str">
        <f aca="false">IF($E132="","Unmatched","Matched")</f>
        <v>Matched</v>
      </c>
    </row>
    <row r="133" customFormat="false" ht="15" hidden="false" customHeight="true" outlineLevel="0" collapsed="false">
      <c r="A133" s="12" t="s">
        <v>101</v>
      </c>
      <c r="B133" s="12" t="n">
        <v>2025</v>
      </c>
      <c r="C133" s="12" t="n">
        <v>0</v>
      </c>
      <c r="D133" s="12" t="n">
        <v>7.6</v>
      </c>
      <c r="E133" s="12" t="n">
        <f aca="false">IFERROR(INDEX('Catalog'!$A:$A,MATCH($A133,'Catalog'!$B:$B,0)),IFERROR(INDEX('Catalog'!$A:$A,MATCH(TRIM(SUBSTITUTE($A133,CHAR(160)," ")),'Catalog'!$C:$C,0)),""))</f>
        <v>4413090</v>
      </c>
      <c r="F133" s="12" t="str">
        <f aca="false">IF($E133="","Unmatched","Matched")</f>
        <v>Matched</v>
      </c>
    </row>
    <row r="134" customFormat="false" ht="15" hidden="false" customHeight="true" outlineLevel="0" collapsed="false">
      <c r="A134" s="12" t="s">
        <v>102</v>
      </c>
      <c r="B134" s="12" t="n">
        <v>2025</v>
      </c>
      <c r="C134" s="12" t="n">
        <v>2</v>
      </c>
      <c r="D134" s="12" t="n">
        <v>303.1</v>
      </c>
      <c r="E134" s="12" t="n">
        <f aca="false">IFERROR(INDEX('Catalog'!$A:$A,MATCH($A134,'Catalog'!$B:$B,0)),IFERROR(INDEX('Catalog'!$A:$A,MATCH(TRIM(SUBSTITUTE($A134,CHAR(160)," ")),'Catalog'!$C:$C,0)),""))</f>
        <v>4413091</v>
      </c>
      <c r="F134" s="12" t="str">
        <f aca="false">IF($E134="","Unmatched","Matched")</f>
        <v>Matched</v>
      </c>
    </row>
    <row r="135" customFormat="false" ht="15" hidden="false" customHeight="true" outlineLevel="0" collapsed="false">
      <c r="A135" s="12" t="s">
        <v>119</v>
      </c>
      <c r="B135" s="12" t="n">
        <v>2025</v>
      </c>
      <c r="C135" s="12" t="n">
        <v>1539</v>
      </c>
      <c r="D135" s="12" t="n">
        <v>39564.5</v>
      </c>
      <c r="E135" s="12" t="n">
        <f aca="false">IFERROR(INDEX('Catalog'!$A:$A,MATCH($A135,'Catalog'!$B:$B,0)),IFERROR(INDEX('Catalog'!$A:$A,MATCH(TRIM(SUBSTITUTE($A135,CHAR(160)," ")),'Catalog'!$C:$C,0)),""))</f>
        <v>4413092</v>
      </c>
      <c r="F135" s="12" t="str">
        <f aca="false">IF($E135="","Unmatched","Matched")</f>
        <v>Matched</v>
      </c>
    </row>
    <row r="136" customFormat="false" ht="15" hidden="false" customHeight="true" outlineLevel="0" collapsed="false">
      <c r="A136" s="12" t="s">
        <v>120</v>
      </c>
      <c r="B136" s="12" t="n">
        <v>2025</v>
      </c>
      <c r="C136" s="12" t="n">
        <v>1665</v>
      </c>
      <c r="D136" s="12" t="n">
        <v>42810</v>
      </c>
      <c r="E136" s="12" t="n">
        <f aca="false">IFERROR(INDEX('Catalog'!$A:$A,MATCH($A136,'Catalog'!$B:$B,0)),IFERROR(INDEX('Catalog'!$A:$A,MATCH(TRIM(SUBSTITUTE($A136,CHAR(160)," ")),'Catalog'!$C:$C,0)),""))</f>
        <v>4413093</v>
      </c>
      <c r="F136" s="12" t="str">
        <f aca="false">IF($E136="","Unmatched","Matched")</f>
        <v>Matched</v>
      </c>
    </row>
    <row r="137" customFormat="false" ht="15" hidden="false" customHeight="true" outlineLevel="0" collapsed="false">
      <c r="A137" s="12" t="s">
        <v>121</v>
      </c>
      <c r="B137" s="12" t="n">
        <v>2025</v>
      </c>
      <c r="C137" s="12" t="n">
        <v>956</v>
      </c>
      <c r="D137" s="12" t="n">
        <v>24598.1</v>
      </c>
      <c r="E137" s="12" t="n">
        <f aca="false">IFERROR(INDEX('Catalog'!$A:$A,MATCH($A137,'Catalog'!$B:$B,0)),IFERROR(INDEX('Catalog'!$A:$A,MATCH(TRIM(SUBSTITUTE($A137,CHAR(160)," ")),'Catalog'!$C:$C,0)),""))</f>
        <v>4413094</v>
      </c>
      <c r="F137" s="12" t="str">
        <f aca="false">IF($E137="","Unmatched","Matched")</f>
        <v>Matched</v>
      </c>
    </row>
    <row r="138" customFormat="false" ht="15" hidden="false" customHeight="true" outlineLevel="0" collapsed="false">
      <c r="A138" s="12" t="s">
        <v>122</v>
      </c>
      <c r="B138" s="12" t="n">
        <v>2025</v>
      </c>
      <c r="C138" s="12" t="n">
        <v>1001</v>
      </c>
      <c r="D138" s="12" t="n">
        <v>25735.4</v>
      </c>
      <c r="E138" s="12" t="n">
        <f aca="false">IFERROR(INDEX('Catalog'!$A:$A,MATCH($A138,'Catalog'!$B:$B,0)),IFERROR(INDEX('Catalog'!$A:$A,MATCH(TRIM(SUBSTITUTE($A138,CHAR(160)," ")),'Catalog'!$C:$C,0)),""))</f>
        <v>4413095</v>
      </c>
      <c r="F138" s="12" t="str">
        <f aca="false">IF($E138="","Unmatched","Matched")</f>
        <v>Matched</v>
      </c>
    </row>
    <row r="139" customFormat="false" ht="15" hidden="false" customHeight="true" outlineLevel="0" collapsed="false">
      <c r="A139" s="12" t="s">
        <v>123</v>
      </c>
      <c r="B139" s="12" t="n">
        <v>2025</v>
      </c>
      <c r="C139" s="12" t="n">
        <v>288</v>
      </c>
      <c r="D139" s="12" t="n">
        <v>7405</v>
      </c>
      <c r="E139" s="12" t="n">
        <f aca="false">IFERROR(INDEX('Catalog'!$A:$A,MATCH($A139,'Catalog'!$B:$B,0)),IFERROR(INDEX('Catalog'!$A:$A,MATCH(TRIM(SUBSTITUTE($A139,CHAR(160)," ")),'Catalog'!$C:$C,0)),""))</f>
        <v>4413096</v>
      </c>
      <c r="F139" s="12" t="str">
        <f aca="false">IF($E139="","Unmatched","Matched")</f>
        <v>Matched</v>
      </c>
    </row>
    <row r="140" customFormat="false" ht="15" hidden="false" customHeight="true" outlineLevel="0" collapsed="false">
      <c r="A140" s="12" t="s">
        <v>131</v>
      </c>
      <c r="B140" s="12" t="n">
        <v>2025</v>
      </c>
      <c r="C140" s="12" t="n">
        <v>1789</v>
      </c>
      <c r="D140" s="12" t="n">
        <v>46049.9</v>
      </c>
      <c r="E140" s="12" t="n">
        <f aca="false">IFERROR(INDEX('Catalog'!$A:$A,MATCH($A140,'Catalog'!$B:$B,0)),IFERROR(INDEX('Catalog'!$A:$A,MATCH(TRIM(SUBSTITUTE($A140,CHAR(160)," ")),'Catalog'!$C:$C,0)),""))</f>
        <v>4413097</v>
      </c>
      <c r="F140" s="12" t="str">
        <f aca="false">IF($E140="","Unmatched","Matched")</f>
        <v>Matched</v>
      </c>
    </row>
    <row r="141" customFormat="false" ht="15" hidden="false" customHeight="true" outlineLevel="0" collapsed="false">
      <c r="A141" s="12" t="s">
        <v>129</v>
      </c>
      <c r="B141" s="12" t="n">
        <v>2025</v>
      </c>
      <c r="C141" s="12" t="n">
        <v>3042</v>
      </c>
      <c r="D141" s="12" t="n">
        <v>78269.8</v>
      </c>
      <c r="E141" s="12" t="n">
        <f aca="false">IFERROR(INDEX('Catalog'!$A:$A,MATCH($A141,'Catalog'!$B:$B,0)),IFERROR(INDEX('Catalog'!$A:$A,MATCH(TRIM(SUBSTITUTE($A141,CHAR(160)," ")),'Catalog'!$C:$C,0)),""))</f>
        <v>4413098</v>
      </c>
      <c r="F141" s="12" t="str">
        <f aca="false">IF($E141="","Unmatched","Matched")</f>
        <v>Matched</v>
      </c>
    </row>
    <row r="142" customFormat="false" ht="15" hidden="false" customHeight="true" outlineLevel="0" collapsed="false">
      <c r="A142" s="12" t="s">
        <v>130</v>
      </c>
      <c r="B142" s="12" t="n">
        <v>2025</v>
      </c>
      <c r="C142" s="12" t="n">
        <v>3009</v>
      </c>
      <c r="D142" s="12" t="n">
        <v>77434.1</v>
      </c>
      <c r="E142" s="12" t="n">
        <f aca="false">IFERROR(INDEX('Catalog'!$A:$A,MATCH($A142,'Catalog'!$B:$B,0)),IFERROR(INDEX('Catalog'!$A:$A,MATCH(TRIM(SUBSTITUTE($A142,CHAR(160)," ")),'Catalog'!$C:$C,0)),""))</f>
        <v>4413099</v>
      </c>
      <c r="F142" s="12" t="str">
        <f aca="false">IF($E142="","Unmatched","Matched")</f>
        <v>Matched</v>
      </c>
    </row>
    <row r="143" customFormat="false" ht="15" hidden="false" customHeight="true" outlineLevel="0" collapsed="false">
      <c r="A143" s="12" t="s">
        <v>132</v>
      </c>
      <c r="B143" s="12" t="n">
        <v>2025</v>
      </c>
      <c r="C143" s="12" t="n">
        <v>2229</v>
      </c>
      <c r="D143" s="12" t="n">
        <v>57363.1</v>
      </c>
      <c r="E143" s="12" t="n">
        <f aca="false">IFERROR(INDEX('Catalog'!$A:$A,MATCH($A143,'Catalog'!$B:$B,0)),IFERROR(INDEX('Catalog'!$A:$A,MATCH(TRIM(SUBSTITUTE($A143,CHAR(160)," ")),'Catalog'!$C:$C,0)),""))</f>
        <v>4413100</v>
      </c>
      <c r="F143" s="12" t="str">
        <f aca="false">IF($E143="","Unmatched","Matched")</f>
        <v>Matched</v>
      </c>
    </row>
    <row r="144" customFormat="false" ht="15" hidden="false" customHeight="true" outlineLevel="0" collapsed="false">
      <c r="A144" s="12" t="s">
        <v>135</v>
      </c>
      <c r="B144" s="12" t="n">
        <v>2025</v>
      </c>
      <c r="C144" s="12" t="n">
        <v>533</v>
      </c>
      <c r="D144" s="12" t="n">
        <v>16595.5</v>
      </c>
      <c r="E144" s="12" t="n">
        <f aca="false">IFERROR(INDEX('Catalog'!$A:$A,MATCH($A144,'Catalog'!$B:$B,0)),IFERROR(INDEX('Catalog'!$A:$A,MATCH(TRIM(SUBSTITUTE($A144,CHAR(160)," ")),'Catalog'!$C:$C,0)),""))</f>
        <v>4413101</v>
      </c>
      <c r="F144" s="12" t="str">
        <f aca="false">IF($E144="","Unmatched","Matched")</f>
        <v>Matched</v>
      </c>
    </row>
    <row r="145" customFormat="false" ht="15" hidden="false" customHeight="true" outlineLevel="0" collapsed="false">
      <c r="A145" s="12" t="s">
        <v>133</v>
      </c>
      <c r="B145" s="12" t="n">
        <v>2025</v>
      </c>
      <c r="C145" s="12" t="n">
        <v>1537</v>
      </c>
      <c r="D145" s="12" t="n">
        <v>47701.2</v>
      </c>
      <c r="E145" s="12" t="n">
        <f aca="false">IFERROR(INDEX('Catalog'!$A:$A,MATCH($A145,'Catalog'!$B:$B,0)),IFERROR(INDEX('Catalog'!$A:$A,MATCH(TRIM(SUBSTITUTE($A145,CHAR(160)," ")),'Catalog'!$C:$C,0)),""))</f>
        <v>4413102</v>
      </c>
      <c r="F145" s="12" t="str">
        <f aca="false">IF($E145="","Unmatched","Matched")</f>
        <v>Matched</v>
      </c>
    </row>
    <row r="146" customFormat="false" ht="15" hidden="false" customHeight="true" outlineLevel="0" collapsed="false">
      <c r="A146" s="12" t="s">
        <v>134</v>
      </c>
      <c r="B146" s="12" t="n">
        <v>2025</v>
      </c>
      <c r="C146" s="12" t="n">
        <v>1338</v>
      </c>
      <c r="D146" s="12" t="n">
        <v>41507.4</v>
      </c>
      <c r="E146" s="12" t="n">
        <f aca="false">IFERROR(INDEX('Catalog'!$A:$A,MATCH($A146,'Catalog'!$B:$B,0)),IFERROR(INDEX('Catalog'!$A:$A,MATCH(TRIM(SUBSTITUTE($A146,CHAR(160)," ")),'Catalog'!$C:$C,0)),""))</f>
        <v>4413103</v>
      </c>
      <c r="F146" s="12" t="str">
        <f aca="false">IF($E146="","Unmatched","Matched")</f>
        <v>Matched</v>
      </c>
    </row>
    <row r="147" customFormat="false" ht="15" hidden="false" customHeight="true" outlineLevel="0" collapsed="false">
      <c r="A147" s="12" t="s">
        <v>136</v>
      </c>
      <c r="B147" s="12" t="n">
        <v>2025</v>
      </c>
      <c r="C147" s="12" t="n">
        <v>1095</v>
      </c>
      <c r="D147" s="12" t="n">
        <v>33971.4</v>
      </c>
      <c r="E147" s="12" t="n">
        <f aca="false">IFERROR(INDEX('Catalog'!$A:$A,MATCH($A147,'Catalog'!$B:$B,0)),IFERROR(INDEX('Catalog'!$A:$A,MATCH(TRIM(SUBSTITUTE($A147,CHAR(160)," ")),'Catalog'!$C:$C,0)),""))</f>
        <v>4413104</v>
      </c>
      <c r="F147" s="12" t="str">
        <f aca="false">IF($E147="","Unmatched","Matched")</f>
        <v>Matched</v>
      </c>
    </row>
    <row r="148" customFormat="false" ht="15" hidden="false" customHeight="true" outlineLevel="0" collapsed="false">
      <c r="A148" s="12" t="s">
        <v>137</v>
      </c>
      <c r="B148" s="12" t="n">
        <v>2025</v>
      </c>
      <c r="C148" s="12" t="n">
        <v>154</v>
      </c>
      <c r="D148" s="12" t="n">
        <v>4772.4</v>
      </c>
      <c r="E148" s="12" t="n">
        <f aca="false">IFERROR(INDEX('Catalog'!$A:$A,MATCH($A148,'Catalog'!$B:$B,0)),IFERROR(INDEX('Catalog'!$A:$A,MATCH(TRIM(SUBSTITUTE($A148,CHAR(160)," ")),'Catalog'!$C:$C,0)),""))</f>
        <v>4413105</v>
      </c>
      <c r="F148" s="12" t="str">
        <f aca="false">IF($E148="","Unmatched","Matched")</f>
        <v>Matched</v>
      </c>
    </row>
    <row r="149" customFormat="false" ht="15" hidden="false" customHeight="true" outlineLevel="0" collapsed="false">
      <c r="A149" s="12" t="s">
        <v>145</v>
      </c>
      <c r="B149" s="12" t="n">
        <v>2025</v>
      </c>
      <c r="C149" s="12" t="n">
        <v>2</v>
      </c>
      <c r="D149" s="12" t="n">
        <v>97.2</v>
      </c>
      <c r="E149" s="12" t="n">
        <f aca="false">IFERROR(INDEX('Catalog'!$A:$A,MATCH($A149,'Catalog'!$B:$B,0)),IFERROR(INDEX('Catalog'!$A:$A,MATCH(TRIM(SUBSTITUTE($A149,CHAR(160)," ")),'Catalog'!$C:$C,0)),""))</f>
        <v>4413106</v>
      </c>
      <c r="F149" s="12" t="str">
        <f aca="false">IF($E149="","Unmatched","Matched")</f>
        <v>Matched</v>
      </c>
    </row>
    <row r="150" customFormat="false" ht="15" hidden="false" customHeight="true" outlineLevel="0" collapsed="false">
      <c r="A150" s="12" t="s">
        <v>143</v>
      </c>
      <c r="B150" s="12" t="n">
        <v>2025</v>
      </c>
      <c r="C150" s="12" t="n">
        <v>13</v>
      </c>
      <c r="D150" s="12" t="n">
        <v>632.1</v>
      </c>
      <c r="E150" s="12" t="n">
        <f aca="false">IFERROR(INDEX('Catalog'!$A:$A,MATCH($A150,'Catalog'!$B:$B,0)),IFERROR(INDEX('Catalog'!$A:$A,MATCH(TRIM(SUBSTITUTE($A150,CHAR(160)," ")),'Catalog'!$C:$C,0)),""))</f>
        <v>4413107</v>
      </c>
      <c r="F150" s="12" t="str">
        <f aca="false">IF($E150="","Unmatched","Matched")</f>
        <v>Matched</v>
      </c>
    </row>
    <row r="151" customFormat="false" ht="15" hidden="false" customHeight="true" outlineLevel="0" collapsed="false">
      <c r="A151" s="12" t="s">
        <v>144</v>
      </c>
      <c r="B151" s="12" t="n">
        <v>2025</v>
      </c>
      <c r="C151" s="12" t="n">
        <v>5</v>
      </c>
      <c r="D151" s="12" t="n">
        <v>243.1</v>
      </c>
      <c r="E151" s="12" t="n">
        <f aca="false">IFERROR(INDEX('Catalog'!$A:$A,MATCH($A151,'Catalog'!$B:$B,0)),IFERROR(INDEX('Catalog'!$A:$A,MATCH(TRIM(SUBSTITUTE($A151,CHAR(160)," ")),'Catalog'!$C:$C,0)),""))</f>
        <v>4413108</v>
      </c>
      <c r="F151" s="12" t="str">
        <f aca="false">IF($E151="","Unmatched","Matched")</f>
        <v>Matched</v>
      </c>
    </row>
    <row r="152" customFormat="false" ht="15" hidden="false" customHeight="true" outlineLevel="0" collapsed="false">
      <c r="A152" s="12" t="s">
        <v>146</v>
      </c>
      <c r="B152" s="12" t="n">
        <v>2025</v>
      </c>
      <c r="C152" s="12" t="n">
        <v>8</v>
      </c>
      <c r="D152" s="12" t="n">
        <v>389</v>
      </c>
      <c r="E152" s="12" t="n">
        <f aca="false">IFERROR(INDEX('Catalog'!$A:$A,MATCH($A152,'Catalog'!$B:$B,0)),IFERROR(INDEX('Catalog'!$A:$A,MATCH(TRIM(SUBSTITUTE($A152,CHAR(160)," ")),'Catalog'!$C:$C,0)),""))</f>
        <v>4413109</v>
      </c>
      <c r="F152" s="12" t="str">
        <f aca="false">IF($E152="","Unmatched","Matched")</f>
        <v>Matched</v>
      </c>
    </row>
    <row r="153" customFormat="false" ht="15" hidden="false" customHeight="true" outlineLevel="0" collapsed="false">
      <c r="A153" s="12" t="s">
        <v>147</v>
      </c>
      <c r="B153" s="12" t="n">
        <v>2025</v>
      </c>
      <c r="C153" s="12" t="n">
        <v>2</v>
      </c>
      <c r="D153" s="12" t="n">
        <v>97.2</v>
      </c>
      <c r="E153" s="12" t="n">
        <f aca="false">IFERROR(INDEX('Catalog'!$A:$A,MATCH($A153,'Catalog'!$B:$B,0)),IFERROR(INDEX('Catalog'!$A:$A,MATCH(TRIM(SUBSTITUTE($A153,CHAR(160)," ")),'Catalog'!$C:$C,0)),""))</f>
        <v>4413110</v>
      </c>
      <c r="F153" s="12" t="str">
        <f aca="false">IF($E153="","Unmatched","Matched")</f>
        <v>Matched</v>
      </c>
    </row>
    <row r="154" customFormat="false" ht="15" hidden="false" customHeight="true" outlineLevel="0" collapsed="false">
      <c r="A154" s="12" t="s">
        <v>798</v>
      </c>
      <c r="B154" s="12" t="n">
        <v>2025</v>
      </c>
      <c r="C154" s="12" t="n">
        <v>28</v>
      </c>
      <c r="D154" s="12" t="n">
        <v>799.1</v>
      </c>
      <c r="E154" s="12" t="n">
        <f aca="false">IFERROR(INDEX('Catalog'!$A:$A,MATCH($A154,'Catalog'!$B:$B,0)),IFERROR(INDEX('Catalog'!$A:$A,MATCH(TRIM(SUBSTITUTE($A154,CHAR(160)," ")),'Catalog'!$C:$C,0)),""))</f>
        <v>4413111</v>
      </c>
      <c r="F154" s="12" t="str">
        <f aca="false">IF($E154="","Unmatched","Matched")</f>
        <v>Matched</v>
      </c>
    </row>
    <row r="155" customFormat="false" ht="15" hidden="false" customHeight="true" outlineLevel="0" collapsed="false">
      <c r="A155" s="12" t="s">
        <v>796</v>
      </c>
      <c r="B155" s="12" t="n">
        <v>2025</v>
      </c>
      <c r="C155" s="12" t="n">
        <v>82</v>
      </c>
      <c r="D155" s="12" t="n">
        <v>2334.2</v>
      </c>
      <c r="E155" s="12" t="n">
        <f aca="false">IFERROR(INDEX('Catalog'!$A:$A,MATCH($A155,'Catalog'!$B:$B,0)),IFERROR(INDEX('Catalog'!$A:$A,MATCH(TRIM(SUBSTITUTE($A155,CHAR(160)," ")),'Catalog'!$C:$C,0)),""))</f>
        <v>4413112</v>
      </c>
      <c r="F155" s="12" t="str">
        <f aca="false">IF($E155="","Unmatched","Matched")</f>
        <v>Matched</v>
      </c>
    </row>
    <row r="156" customFormat="false" ht="15" hidden="false" customHeight="true" outlineLevel="0" collapsed="false">
      <c r="A156" s="12" t="s">
        <v>797</v>
      </c>
      <c r="B156" s="12" t="n">
        <v>2025</v>
      </c>
      <c r="C156" s="12" t="n">
        <v>54</v>
      </c>
      <c r="D156" s="12" t="n">
        <v>1553.7</v>
      </c>
      <c r="E156" s="12" t="n">
        <f aca="false">IFERROR(INDEX('Catalog'!$A:$A,MATCH($A156,'Catalog'!$B:$B,0)),IFERROR(INDEX('Catalog'!$A:$A,MATCH(TRIM(SUBSTITUTE($A156,CHAR(160)," ")),'Catalog'!$C:$C,0)),""))</f>
        <v>4413113</v>
      </c>
      <c r="F156" s="12" t="str">
        <f aca="false">IF($E156="","Unmatched","Matched")</f>
        <v>Matched</v>
      </c>
    </row>
    <row r="157" customFormat="false" ht="15" hidden="false" customHeight="true" outlineLevel="0" collapsed="false">
      <c r="A157" s="12" t="s">
        <v>799</v>
      </c>
      <c r="B157" s="12" t="n">
        <v>2025</v>
      </c>
      <c r="C157" s="12" t="n">
        <v>53</v>
      </c>
      <c r="D157" s="12" t="n">
        <v>1513.6</v>
      </c>
      <c r="E157" s="12" t="n">
        <f aca="false">IFERROR(INDEX('Catalog'!$A:$A,MATCH($A157,'Catalog'!$B:$B,0)),IFERROR(INDEX('Catalog'!$A:$A,MATCH(TRIM(SUBSTITUTE($A157,CHAR(160)," ")),'Catalog'!$C:$C,0)),""))</f>
        <v>4413114</v>
      </c>
      <c r="F157" s="12" t="str">
        <f aca="false">IF($E157="","Unmatched","Matched")</f>
        <v>Matched</v>
      </c>
    </row>
    <row r="158" customFormat="false" ht="15" hidden="false" customHeight="true" outlineLevel="0" collapsed="false">
      <c r="A158" s="12" t="s">
        <v>800</v>
      </c>
      <c r="B158" s="12" t="n">
        <v>2025</v>
      </c>
      <c r="C158" s="12" t="n">
        <v>1</v>
      </c>
      <c r="D158" s="12" t="n">
        <v>28.6</v>
      </c>
      <c r="E158" s="12" t="n">
        <f aca="false">IFERROR(INDEX('Catalog'!$A:$A,MATCH($A158,'Catalog'!$B:$B,0)),IFERROR(INDEX('Catalog'!$A:$A,MATCH(TRIM(SUBSTITUTE($A158,CHAR(160)," ")),'Catalog'!$C:$C,0)),""))</f>
        <v>4413115</v>
      </c>
      <c r="F158" s="12" t="str">
        <f aca="false">IF($E158="","Unmatched","Matched")</f>
        <v>Matched</v>
      </c>
    </row>
    <row r="159" customFormat="false" ht="15" hidden="false" customHeight="true" outlineLevel="0" collapsed="false">
      <c r="A159" s="12" t="s">
        <v>449</v>
      </c>
      <c r="B159" s="12" t="n">
        <v>2025</v>
      </c>
      <c r="C159" s="12" t="n">
        <v>-1</v>
      </c>
      <c r="D159" s="12" t="n">
        <v>-71.3</v>
      </c>
      <c r="E159" s="12" t="n">
        <f aca="false">IFERROR(INDEX('Catalog'!$A:$A,MATCH($A159,'Catalog'!$B:$B,0)),IFERROR(INDEX('Catalog'!$A:$A,MATCH(TRIM(SUBSTITUTE($A159,CHAR(160)," ")),'Catalog'!$C:$C,0)),""))</f>
        <v>4413122</v>
      </c>
      <c r="F159" s="12" t="str">
        <f aca="false">IF($E159="","Unmatched","Matched")</f>
        <v>Matched</v>
      </c>
    </row>
    <row r="160" customFormat="false" ht="15" hidden="false" customHeight="true" outlineLevel="0" collapsed="false">
      <c r="A160" s="12" t="s">
        <v>376</v>
      </c>
      <c r="B160" s="12" t="n">
        <v>2025</v>
      </c>
      <c r="C160" s="12" t="n">
        <v>18</v>
      </c>
      <c r="D160" s="12" t="n">
        <v>2437.9</v>
      </c>
      <c r="E160" s="12" t="n">
        <f aca="false">IFERROR(INDEX('Catalog'!$A:$A,MATCH($A160,'Catalog'!$B:$B,0)),IFERROR(INDEX('Catalog'!$A:$A,MATCH(TRIM(SUBSTITUTE($A160,CHAR(160)," ")),'Catalog'!$C:$C,0)),""))</f>
        <v>4413126</v>
      </c>
      <c r="F160" s="12" t="str">
        <f aca="false">IF($E160="","Unmatched","Matched")</f>
        <v>Matched</v>
      </c>
    </row>
    <row r="161" customFormat="false" ht="15" hidden="false" customHeight="true" outlineLevel="0" collapsed="false">
      <c r="A161" s="12" t="s">
        <v>374</v>
      </c>
      <c r="B161" s="12" t="n">
        <v>2025</v>
      </c>
      <c r="C161" s="12" t="n">
        <v>69</v>
      </c>
      <c r="D161" s="12" t="n">
        <v>9083.1</v>
      </c>
      <c r="E161" s="12" t="n">
        <f aca="false">IFERROR(INDEX('Catalog'!$A:$A,MATCH($A161,'Catalog'!$B:$B,0)),IFERROR(INDEX('Catalog'!$A:$A,MATCH(TRIM(SUBSTITUTE($A161,CHAR(160)," ")),'Catalog'!$C:$C,0)),""))</f>
        <v>4413127</v>
      </c>
      <c r="F161" s="12" t="str">
        <f aca="false">IF($E161="","Unmatched","Matched")</f>
        <v>Matched</v>
      </c>
    </row>
    <row r="162" customFormat="false" ht="15" hidden="false" customHeight="true" outlineLevel="0" collapsed="false">
      <c r="A162" s="12" t="s">
        <v>375</v>
      </c>
      <c r="B162" s="12" t="n">
        <v>2025</v>
      </c>
      <c r="C162" s="12" t="n">
        <v>37</v>
      </c>
      <c r="D162" s="12" t="n">
        <v>4934.7</v>
      </c>
      <c r="E162" s="12" t="n">
        <f aca="false">IFERROR(INDEX('Catalog'!$A:$A,MATCH($A162,'Catalog'!$B:$B,0)),IFERROR(INDEX('Catalog'!$A:$A,MATCH(TRIM(SUBSTITUTE($A162,CHAR(160)," ")),'Catalog'!$C:$C,0)),""))</f>
        <v>4413128</v>
      </c>
      <c r="F162" s="12" t="str">
        <f aca="false">IF($E162="","Unmatched","Matched")</f>
        <v>Matched</v>
      </c>
    </row>
    <row r="163" customFormat="false" ht="15" hidden="false" customHeight="true" outlineLevel="0" collapsed="false">
      <c r="A163" s="12" t="s">
        <v>377</v>
      </c>
      <c r="B163" s="12" t="n">
        <v>2025</v>
      </c>
      <c r="C163" s="12" t="n">
        <v>33</v>
      </c>
      <c r="D163" s="12" t="n">
        <v>4377.7</v>
      </c>
      <c r="E163" s="12" t="n">
        <f aca="false">IFERROR(INDEX('Catalog'!$A:$A,MATCH($A163,'Catalog'!$B:$B,0)),IFERROR(INDEX('Catalog'!$A:$A,MATCH(TRIM(SUBSTITUTE($A163,CHAR(160)," ")),'Catalog'!$C:$C,0)),""))</f>
        <v>4413129</v>
      </c>
      <c r="F163" s="12" t="str">
        <f aca="false">IF($E163="","Unmatched","Matched")</f>
        <v>Matched</v>
      </c>
    </row>
    <row r="164" customFormat="false" ht="15" hidden="false" customHeight="true" outlineLevel="0" collapsed="false">
      <c r="A164" s="12" t="s">
        <v>373</v>
      </c>
      <c r="B164" s="12" t="n">
        <v>2025</v>
      </c>
      <c r="C164" s="12" t="n">
        <v>-2</v>
      </c>
      <c r="D164" s="12" t="n">
        <v>-262.1</v>
      </c>
      <c r="E164" s="12" t="n">
        <f aca="false">IFERROR(INDEX('Catalog'!$A:$A,MATCH($A164,'Catalog'!$B:$B,0)),IFERROR(INDEX('Catalog'!$A:$A,MATCH(TRIM(SUBSTITUTE($A164,CHAR(160)," ")),'Catalog'!$C:$C,0)),""))</f>
        <v>4413130</v>
      </c>
      <c r="F164" s="12" t="str">
        <f aca="false">IF($E164="","Unmatched","Matched")</f>
        <v>Matched</v>
      </c>
    </row>
    <row r="165" customFormat="false" ht="15" hidden="false" customHeight="true" outlineLevel="0" collapsed="false">
      <c r="A165" s="12" t="s">
        <v>380</v>
      </c>
      <c r="B165" s="12" t="n">
        <v>2025</v>
      </c>
      <c r="C165" s="12" t="n">
        <v>4</v>
      </c>
      <c r="D165" s="12" t="n">
        <v>655.3</v>
      </c>
      <c r="E165" s="12" t="n">
        <f aca="false">IFERROR(INDEX('Catalog'!$A:$A,MATCH($A165,'Catalog'!$B:$B,0)),IFERROR(INDEX('Catalog'!$A:$A,MATCH(TRIM(SUBSTITUTE($A165,CHAR(160)," ")),'Catalog'!$C:$C,0)),""))</f>
        <v>4413131</v>
      </c>
      <c r="F165" s="12" t="str">
        <f aca="false">IF($E165="","Unmatched","Matched")</f>
        <v>Matched</v>
      </c>
    </row>
    <row r="166" customFormat="false" ht="15" hidden="false" customHeight="true" outlineLevel="0" collapsed="false">
      <c r="A166" s="12" t="s">
        <v>378</v>
      </c>
      <c r="B166" s="12" t="n">
        <v>2025</v>
      </c>
      <c r="C166" s="12" t="n">
        <v>6</v>
      </c>
      <c r="D166" s="12" t="n">
        <v>983</v>
      </c>
      <c r="E166" s="12" t="n">
        <f aca="false">IFERROR(INDEX('Catalog'!$A:$A,MATCH($A166,'Catalog'!$B:$B,0)),IFERROR(INDEX('Catalog'!$A:$A,MATCH(TRIM(SUBSTITUTE($A166,CHAR(160)," ")),'Catalog'!$C:$C,0)),""))</f>
        <v>4413132</v>
      </c>
      <c r="F166" s="12" t="str">
        <f aca="false">IF($E166="","Unmatched","Matched")</f>
        <v>Matched</v>
      </c>
    </row>
    <row r="167" customFormat="false" ht="15" hidden="false" customHeight="true" outlineLevel="0" collapsed="false">
      <c r="A167" s="12" t="s">
        <v>379</v>
      </c>
      <c r="B167" s="12" t="n">
        <v>2025</v>
      </c>
      <c r="C167" s="12" t="n">
        <v>10</v>
      </c>
      <c r="D167" s="12" t="n">
        <v>1638.4</v>
      </c>
      <c r="E167" s="12" t="n">
        <f aca="false">IFERROR(INDEX('Catalog'!$A:$A,MATCH($A167,'Catalog'!$B:$B,0)),IFERROR(INDEX('Catalog'!$A:$A,MATCH(TRIM(SUBSTITUTE($A167,CHAR(160)," ")),'Catalog'!$C:$C,0)),""))</f>
        <v>4413133</v>
      </c>
      <c r="F167" s="12" t="str">
        <f aca="false">IF($E167="","Unmatched","Matched")</f>
        <v>Matched</v>
      </c>
    </row>
    <row r="168" customFormat="false" ht="15" hidden="false" customHeight="true" outlineLevel="0" collapsed="false">
      <c r="A168" s="12" t="s">
        <v>381</v>
      </c>
      <c r="B168" s="12" t="n">
        <v>2025</v>
      </c>
      <c r="C168" s="12" t="n">
        <v>2</v>
      </c>
      <c r="D168" s="12" t="n">
        <v>327.7</v>
      </c>
      <c r="E168" s="12" t="n">
        <f aca="false">IFERROR(INDEX('Catalog'!$A:$A,MATCH($A168,'Catalog'!$B:$B,0)),IFERROR(INDEX('Catalog'!$A:$A,MATCH(TRIM(SUBSTITUTE($A168,CHAR(160)," ")),'Catalog'!$C:$C,0)),""))</f>
        <v>4413134</v>
      </c>
      <c r="F168" s="12" t="str">
        <f aca="false">IF($E168="","Unmatched","Matched")</f>
        <v>Matched</v>
      </c>
    </row>
    <row r="169" customFormat="false" ht="15" hidden="false" customHeight="true" outlineLevel="0" collapsed="false">
      <c r="A169" s="12" t="s">
        <v>519</v>
      </c>
      <c r="B169" s="12" t="n">
        <v>2025</v>
      </c>
      <c r="C169" s="12" t="n">
        <v>721</v>
      </c>
      <c r="D169" s="12" t="n">
        <v>35030.1</v>
      </c>
      <c r="E169" s="12" t="n">
        <f aca="false">IFERROR(INDEX('Catalog'!$A:$A,MATCH($A169,'Catalog'!$B:$B,0)),IFERROR(INDEX('Catalog'!$A:$A,MATCH(TRIM(SUBSTITUTE($A169,CHAR(160)," ")),'Catalog'!$C:$C,0)),""))</f>
        <v>4413135</v>
      </c>
      <c r="F169" s="12" t="str">
        <f aca="false">IF($E169="","Unmatched","Matched")</f>
        <v>Matched</v>
      </c>
    </row>
    <row r="170" customFormat="false" ht="15" hidden="false" customHeight="true" outlineLevel="0" collapsed="false">
      <c r="A170" s="12" t="s">
        <v>520</v>
      </c>
      <c r="B170" s="12" t="n">
        <v>2025</v>
      </c>
      <c r="C170" s="12" t="n">
        <v>650</v>
      </c>
      <c r="D170" s="12" t="n">
        <v>31572.4</v>
      </c>
      <c r="E170" s="12" t="n">
        <f aca="false">IFERROR(INDEX('Catalog'!$A:$A,MATCH($A170,'Catalog'!$B:$B,0)),IFERROR(INDEX('Catalog'!$A:$A,MATCH(TRIM(SUBSTITUTE($A170,CHAR(160)," ")),'Catalog'!$C:$C,0)),""))</f>
        <v>4413136</v>
      </c>
      <c r="F170" s="12" t="str">
        <f aca="false">IF($E170="","Unmatched","Matched")</f>
        <v>Matched</v>
      </c>
    </row>
    <row r="171" customFormat="false" ht="15" hidden="false" customHeight="true" outlineLevel="0" collapsed="false">
      <c r="A171" s="12" t="s">
        <v>521</v>
      </c>
      <c r="B171" s="12" t="n">
        <v>2025</v>
      </c>
      <c r="C171" s="12" t="n">
        <v>329</v>
      </c>
      <c r="D171" s="12" t="n">
        <v>16012.6</v>
      </c>
      <c r="E171" s="12" t="n">
        <f aca="false">IFERROR(INDEX('Catalog'!$A:$A,MATCH($A171,'Catalog'!$B:$B,0)),IFERROR(INDEX('Catalog'!$A:$A,MATCH(TRIM(SUBSTITUTE($A171,CHAR(160)," ")),'Catalog'!$C:$C,0)),""))</f>
        <v>4413137</v>
      </c>
      <c r="F171" s="12" t="str">
        <f aca="false">IF($E171="","Unmatched","Matched")</f>
        <v>Matched</v>
      </c>
    </row>
    <row r="172" customFormat="false" ht="15" hidden="false" customHeight="true" outlineLevel="0" collapsed="false">
      <c r="A172" s="12" t="s">
        <v>522</v>
      </c>
      <c r="B172" s="12" t="n">
        <v>2025</v>
      </c>
      <c r="C172" s="12" t="n">
        <v>370</v>
      </c>
      <c r="D172" s="12" t="n">
        <v>17970.4</v>
      </c>
      <c r="E172" s="12" t="n">
        <f aca="false">IFERROR(INDEX('Catalog'!$A:$A,MATCH($A172,'Catalog'!$B:$B,0)),IFERROR(INDEX('Catalog'!$A:$A,MATCH(TRIM(SUBSTITUTE($A172,CHAR(160)," ")),'Catalog'!$C:$C,0)),""))</f>
        <v>4413138</v>
      </c>
      <c r="F172" s="12" t="str">
        <f aca="false">IF($E172="","Unmatched","Matched")</f>
        <v>Matched</v>
      </c>
    </row>
    <row r="173" customFormat="false" ht="15" hidden="false" customHeight="true" outlineLevel="0" collapsed="false">
      <c r="A173" s="12" t="s">
        <v>479</v>
      </c>
      <c r="B173" s="12" t="n">
        <v>2025</v>
      </c>
      <c r="C173" s="12" t="n">
        <v>410</v>
      </c>
      <c r="D173" s="12" t="n">
        <v>10557.7</v>
      </c>
      <c r="E173" s="12" t="n">
        <f aca="false">IFERROR(INDEX('Catalog'!$A:$A,MATCH($A173,'Catalog'!$B:$B,0)),IFERROR(INDEX('Catalog'!$A:$A,MATCH(TRIM(SUBSTITUTE($A173,CHAR(160)," ")),'Catalog'!$C:$C,0)),""))</f>
        <v>4413139</v>
      </c>
      <c r="F173" s="12" t="str">
        <f aca="false">IF($E173="","Unmatched","Matched")</f>
        <v>Matched</v>
      </c>
    </row>
    <row r="174" customFormat="false" ht="15" hidden="false" customHeight="true" outlineLevel="0" collapsed="false">
      <c r="A174" s="12" t="s">
        <v>480</v>
      </c>
      <c r="B174" s="12" t="n">
        <v>2025</v>
      </c>
      <c r="C174" s="12" t="n">
        <v>555</v>
      </c>
      <c r="D174" s="12" t="n">
        <v>14270.6</v>
      </c>
      <c r="E174" s="12" t="n">
        <f aca="false">IFERROR(INDEX('Catalog'!$A:$A,MATCH($A174,'Catalog'!$B:$B,0)),IFERROR(INDEX('Catalog'!$A:$A,MATCH(TRIM(SUBSTITUTE($A174,CHAR(160)," ")),'Catalog'!$C:$C,0)),""))</f>
        <v>4413140</v>
      </c>
      <c r="F174" s="12" t="str">
        <f aca="false">IF($E174="","Unmatched","Matched")</f>
        <v>Matched</v>
      </c>
    </row>
    <row r="175" customFormat="false" ht="15" hidden="false" customHeight="true" outlineLevel="0" collapsed="false">
      <c r="A175" s="12" t="s">
        <v>481</v>
      </c>
      <c r="B175" s="12" t="n">
        <v>2025</v>
      </c>
      <c r="C175" s="12" t="n">
        <v>391</v>
      </c>
      <c r="D175" s="12" t="n">
        <v>10058</v>
      </c>
      <c r="E175" s="12" t="n">
        <f aca="false">IFERROR(INDEX('Catalog'!$A:$A,MATCH($A175,'Catalog'!$B:$B,0)),IFERROR(INDEX('Catalog'!$A:$A,MATCH(TRIM(SUBSTITUTE($A175,CHAR(160)," ")),'Catalog'!$C:$C,0)),""))</f>
        <v>4413141</v>
      </c>
      <c r="F175" s="12" t="str">
        <f aca="false">IF($E175="","Unmatched","Matched")</f>
        <v>Matched</v>
      </c>
    </row>
    <row r="176" customFormat="false" ht="15" hidden="false" customHeight="true" outlineLevel="0" collapsed="false">
      <c r="A176" s="12" t="s">
        <v>482</v>
      </c>
      <c r="B176" s="12" t="n">
        <v>2025</v>
      </c>
      <c r="C176" s="12" t="n">
        <v>205</v>
      </c>
      <c r="D176" s="12" t="n">
        <v>5281.3</v>
      </c>
      <c r="E176" s="12" t="n">
        <f aca="false">IFERROR(INDEX('Catalog'!$A:$A,MATCH($A176,'Catalog'!$B:$B,0)),IFERROR(INDEX('Catalog'!$A:$A,MATCH(TRIM(SUBSTITUTE($A176,CHAR(160)," ")),'Catalog'!$C:$C,0)),""))</f>
        <v>4413142</v>
      </c>
      <c r="F176" s="12" t="str">
        <f aca="false">IF($E176="","Unmatched","Matched")</f>
        <v>Matched</v>
      </c>
    </row>
    <row r="177" customFormat="false" ht="15" hidden="false" customHeight="true" outlineLevel="0" collapsed="false">
      <c r="A177" s="12" t="s">
        <v>483</v>
      </c>
      <c r="B177" s="12" t="n">
        <v>2025</v>
      </c>
      <c r="C177" s="12" t="n">
        <v>37</v>
      </c>
      <c r="D177" s="12" t="n">
        <v>953.5</v>
      </c>
      <c r="E177" s="12" t="n">
        <f aca="false">IFERROR(INDEX('Catalog'!$A:$A,MATCH($A177,'Catalog'!$B:$B,0)),IFERROR(INDEX('Catalog'!$A:$A,MATCH(TRIM(SUBSTITUTE($A177,CHAR(160)," ")),'Catalog'!$C:$C,0)),""))</f>
        <v>4413143</v>
      </c>
      <c r="F177" s="12" t="str">
        <f aca="false">IF($E177="","Unmatched","Matched")</f>
        <v>Matched</v>
      </c>
    </row>
    <row r="178" customFormat="false" ht="15" hidden="false" customHeight="true" outlineLevel="0" collapsed="false">
      <c r="A178" s="12" t="s">
        <v>484</v>
      </c>
      <c r="B178" s="12" t="n">
        <v>2025</v>
      </c>
      <c r="C178" s="12" t="n">
        <v>5</v>
      </c>
      <c r="D178" s="12" t="n">
        <v>128.9</v>
      </c>
      <c r="E178" s="12" t="n">
        <f aca="false">IFERROR(INDEX('Catalog'!$A:$A,MATCH($A178,'Catalog'!$B:$B,0)),IFERROR(INDEX('Catalog'!$A:$A,MATCH(TRIM(SUBSTITUTE($A178,CHAR(160)," ")),'Catalog'!$C:$C,0)),""))</f>
        <v>4413144</v>
      </c>
      <c r="F178" s="12" t="str">
        <f aca="false">IF($E178="","Unmatched","Matched")</f>
        <v>Matched</v>
      </c>
    </row>
    <row r="179" customFormat="false" ht="15" hidden="false" customHeight="true" outlineLevel="0" collapsed="false">
      <c r="A179" s="12" t="s">
        <v>365</v>
      </c>
      <c r="B179" s="12" t="n">
        <v>2025</v>
      </c>
      <c r="C179" s="12" t="n">
        <v>871</v>
      </c>
      <c r="D179" s="12" t="n">
        <v>8834.2</v>
      </c>
      <c r="E179" s="12" t="n">
        <f aca="false">IFERROR(INDEX('Catalog'!$A:$A,MATCH($A179,'Catalog'!$B:$B,0)),IFERROR(INDEX('Catalog'!$A:$A,MATCH(TRIM(SUBSTITUTE($A179,CHAR(160)," ")),'Catalog'!$C:$C,0)),""))</f>
        <v>4413149</v>
      </c>
      <c r="F179" s="12" t="str">
        <f aca="false">IF($E179="","Unmatched","Matched")</f>
        <v>Matched</v>
      </c>
    </row>
    <row r="180" customFormat="false" ht="15" hidden="false" customHeight="true" outlineLevel="0" collapsed="false">
      <c r="A180" s="12" t="s">
        <v>574</v>
      </c>
      <c r="B180" s="12" t="n">
        <v>2025</v>
      </c>
      <c r="C180" s="12" t="n">
        <v>68</v>
      </c>
      <c r="D180" s="12" t="n">
        <v>1686.8</v>
      </c>
      <c r="E180" s="12" t="n">
        <f aca="false">IFERROR(INDEX('Catalog'!$A:$A,MATCH($A180,'Catalog'!$B:$B,0)),IFERROR(INDEX('Catalog'!$A:$A,MATCH(TRIM(SUBSTITUTE($A180,CHAR(160)," ")),'Catalog'!$C:$C,0)),""))</f>
        <v>4413150</v>
      </c>
      <c r="F180" s="12" t="str">
        <f aca="false">IF($E180="","Unmatched","Matched")</f>
        <v>Matched</v>
      </c>
    </row>
    <row r="181" customFormat="false" ht="15" hidden="false" customHeight="true" outlineLevel="0" collapsed="false">
      <c r="A181" s="12" t="s">
        <v>423</v>
      </c>
      <c r="B181" s="12" t="n">
        <v>2025</v>
      </c>
      <c r="C181" s="12" t="n">
        <v>-96</v>
      </c>
      <c r="D181" s="12" t="n">
        <v>-5920.6</v>
      </c>
      <c r="E181" s="12" t="n">
        <f aca="false">IFERROR(INDEX('Catalog'!$A:$A,MATCH($A181,'Catalog'!$B:$B,0)),IFERROR(INDEX('Catalog'!$A:$A,MATCH(TRIM(SUBSTITUTE($A181,CHAR(160)," ")),'Catalog'!$C:$C,0)),""))</f>
        <v>4413153</v>
      </c>
      <c r="F181" s="12" t="str">
        <f aca="false">IF($E181="","Unmatched","Matched")</f>
        <v>Matched</v>
      </c>
    </row>
    <row r="182" customFormat="false" ht="15" hidden="false" customHeight="true" outlineLevel="0" collapsed="false">
      <c r="A182" s="12" t="s">
        <v>424</v>
      </c>
      <c r="B182" s="12" t="n">
        <v>2025</v>
      </c>
      <c r="C182" s="12" t="n">
        <v>9</v>
      </c>
      <c r="D182" s="12" t="n">
        <v>764</v>
      </c>
      <c r="E182" s="12" t="n">
        <f aca="false">IFERROR(INDEX('Catalog'!$A:$A,MATCH($A182,'Catalog'!$B:$B,0)),IFERROR(INDEX('Catalog'!$A:$A,MATCH(TRIM(SUBSTITUTE($A182,CHAR(160)," ")),'Catalog'!$C:$C,0)),""))</f>
        <v>4413154</v>
      </c>
      <c r="F182" s="12" t="str">
        <f aca="false">IF($E182="","Unmatched","Matched")</f>
        <v>Matched</v>
      </c>
    </row>
    <row r="183" customFormat="false" ht="15" hidden="false" customHeight="true" outlineLevel="0" collapsed="false">
      <c r="A183" s="12" t="s">
        <v>425</v>
      </c>
      <c r="B183" s="12" t="n">
        <v>2025</v>
      </c>
      <c r="C183" s="12" t="n">
        <v>39</v>
      </c>
      <c r="D183" s="12" t="n">
        <v>2750.2</v>
      </c>
      <c r="E183" s="12" t="n">
        <f aca="false">IFERROR(INDEX('Catalog'!$A:$A,MATCH($A183,'Catalog'!$B:$B,0)),IFERROR(INDEX('Catalog'!$A:$A,MATCH(TRIM(SUBSTITUTE($A183,CHAR(160)," ")),'Catalog'!$C:$C,0)),""))</f>
        <v>4413155</v>
      </c>
      <c r="F183" s="12" t="str">
        <f aca="false">IF($E183="","Unmatched","Matched")</f>
        <v>Matched</v>
      </c>
    </row>
    <row r="184" customFormat="false" ht="15" hidden="false" customHeight="true" outlineLevel="0" collapsed="false">
      <c r="A184" s="12" t="s">
        <v>426</v>
      </c>
      <c r="B184" s="12" t="n">
        <v>2025</v>
      </c>
      <c r="C184" s="12" t="n">
        <v>173</v>
      </c>
      <c r="D184" s="12" t="n">
        <v>11235.7</v>
      </c>
      <c r="E184" s="12" t="n">
        <f aca="false">IFERROR(INDEX('Catalog'!$A:$A,MATCH($A184,'Catalog'!$B:$B,0)),IFERROR(INDEX('Catalog'!$A:$A,MATCH(TRIM(SUBSTITUTE($A184,CHAR(160)," ")),'Catalog'!$C:$C,0)),""))</f>
        <v>4413156</v>
      </c>
      <c r="F184" s="12" t="str">
        <f aca="false">IF($E184="","Unmatched","Matched")</f>
        <v>Matched</v>
      </c>
    </row>
    <row r="185" customFormat="false" ht="15" hidden="false" customHeight="true" outlineLevel="0" collapsed="false">
      <c r="A185" s="12" t="s">
        <v>427</v>
      </c>
      <c r="B185" s="12" t="n">
        <v>2025</v>
      </c>
      <c r="C185" s="12" t="n">
        <v>226</v>
      </c>
      <c r="D185" s="12" t="n">
        <v>14677.4</v>
      </c>
      <c r="E185" s="12" t="n">
        <f aca="false">IFERROR(INDEX('Catalog'!$A:$A,MATCH($A185,'Catalog'!$B:$B,0)),IFERROR(INDEX('Catalog'!$A:$A,MATCH(TRIM(SUBSTITUTE($A185,CHAR(160)," ")),'Catalog'!$C:$C,0)),""))</f>
        <v>4413157</v>
      </c>
      <c r="F185" s="12" t="str">
        <f aca="false">IF($E185="","Unmatched","Matched")</f>
        <v>Matched</v>
      </c>
    </row>
    <row r="186" customFormat="false" ht="15" hidden="false" customHeight="true" outlineLevel="0" collapsed="false">
      <c r="A186" s="12" t="s">
        <v>428</v>
      </c>
      <c r="B186" s="12" t="n">
        <v>2025</v>
      </c>
      <c r="C186" s="12" t="n">
        <v>144</v>
      </c>
      <c r="D186" s="12" t="n">
        <v>9409.4</v>
      </c>
      <c r="E186" s="12" t="n">
        <f aca="false">IFERROR(INDEX('Catalog'!$A:$A,MATCH($A186,'Catalog'!$B:$B,0)),IFERROR(INDEX('Catalog'!$A:$A,MATCH(TRIM(SUBSTITUTE($A186,CHAR(160)," ")),'Catalog'!$C:$C,0)),""))</f>
        <v>4413158</v>
      </c>
      <c r="F186" s="12" t="str">
        <f aca="false">IF($E186="","Unmatched","Matched")</f>
        <v>Matched</v>
      </c>
    </row>
    <row r="187" customFormat="false" ht="15" hidden="false" customHeight="true" outlineLevel="0" collapsed="false">
      <c r="A187" s="12" t="s">
        <v>739</v>
      </c>
      <c r="B187" s="12" t="n">
        <v>2025</v>
      </c>
      <c r="C187" s="12" t="n">
        <v>53</v>
      </c>
      <c r="D187" s="12" t="n">
        <v>2791.4</v>
      </c>
      <c r="E187" s="12" t="n">
        <f aca="false">IFERROR(INDEX('Catalog'!$A:$A,MATCH($A187,'Catalog'!$B:$B,0)),IFERROR(INDEX('Catalog'!$A:$A,MATCH(TRIM(SUBSTITUTE($A187,CHAR(160)," ")),'Catalog'!$C:$C,0)),""))</f>
        <v>4413159</v>
      </c>
      <c r="F187" s="12" t="str">
        <f aca="false">IF($E187="","Unmatched","Matched")</f>
        <v>Matched</v>
      </c>
    </row>
    <row r="188" customFormat="false" ht="15" hidden="false" customHeight="true" outlineLevel="0" collapsed="false">
      <c r="A188" s="12" t="s">
        <v>738</v>
      </c>
      <c r="B188" s="12" t="n">
        <v>2025</v>
      </c>
      <c r="C188" s="12" t="n">
        <v>123</v>
      </c>
      <c r="D188" s="12" t="n">
        <v>6495.5</v>
      </c>
      <c r="E188" s="12" t="n">
        <f aca="false">IFERROR(INDEX('Catalog'!$A:$A,MATCH($A188,'Catalog'!$B:$B,0)),IFERROR(INDEX('Catalog'!$A:$A,MATCH(TRIM(SUBSTITUTE($A188,CHAR(160)," ")),'Catalog'!$C:$C,0)),""))</f>
        <v>4413160</v>
      </c>
      <c r="F188" s="12" t="str">
        <f aca="false">IF($E188="","Unmatched","Matched")</f>
        <v>Matched</v>
      </c>
    </row>
    <row r="189" customFormat="false" ht="15" hidden="false" customHeight="true" outlineLevel="0" collapsed="false">
      <c r="A189" s="12" t="s">
        <v>737</v>
      </c>
      <c r="B189" s="12" t="n">
        <v>2025</v>
      </c>
      <c r="C189" s="12" t="n">
        <v>112</v>
      </c>
      <c r="D189" s="12" t="n">
        <v>5934</v>
      </c>
      <c r="E189" s="12" t="n">
        <f aca="false">IFERROR(INDEX('Catalog'!$A:$A,MATCH($A189,'Catalog'!$B:$B,0)),IFERROR(INDEX('Catalog'!$A:$A,MATCH(TRIM(SUBSTITUTE($A189,CHAR(160)," ")),'Catalog'!$C:$C,0)),""))</f>
        <v>4413161</v>
      </c>
      <c r="F189" s="12" t="str">
        <f aca="false">IF($E189="","Unmatched","Matched")</f>
        <v>Matched</v>
      </c>
    </row>
    <row r="190" customFormat="false" ht="15" hidden="false" customHeight="true" outlineLevel="0" collapsed="false">
      <c r="A190" s="12" t="s">
        <v>740</v>
      </c>
      <c r="B190" s="12" t="n">
        <v>2025</v>
      </c>
      <c r="C190" s="12" t="n">
        <v>83</v>
      </c>
      <c r="D190" s="12" t="n">
        <v>4401.3</v>
      </c>
      <c r="E190" s="12" t="n">
        <f aca="false">IFERROR(INDEX('Catalog'!$A:$A,MATCH($A190,'Catalog'!$B:$B,0)),IFERROR(INDEX('Catalog'!$A:$A,MATCH(TRIM(SUBSTITUTE($A190,CHAR(160)," ")),'Catalog'!$C:$C,0)),""))</f>
        <v>4413162</v>
      </c>
      <c r="F190" s="12" t="str">
        <f aca="false">IF($E190="","Unmatched","Matched")</f>
        <v>Matched</v>
      </c>
    </row>
    <row r="191" customFormat="false" ht="15" hidden="false" customHeight="true" outlineLevel="0" collapsed="false">
      <c r="A191" s="12" t="s">
        <v>515</v>
      </c>
      <c r="B191" s="12" t="n">
        <v>2025</v>
      </c>
      <c r="C191" s="12" t="n">
        <v>-1</v>
      </c>
      <c r="D191" s="12" t="n">
        <v>-32.3</v>
      </c>
      <c r="E191" s="12" t="n">
        <f aca="false">IFERROR(INDEX('Catalog'!$A:$A,MATCH($A191,'Catalog'!$B:$B,0)),IFERROR(INDEX('Catalog'!$A:$A,MATCH(TRIM(SUBSTITUTE($A191,CHAR(160)," ")),'Catalog'!$C:$C,0)),""))</f>
        <v>4413167</v>
      </c>
      <c r="F191" s="12" t="str">
        <f aca="false">IF($E191="","Unmatched","Matched")</f>
        <v>Matched</v>
      </c>
    </row>
    <row r="192" customFormat="false" ht="15" hidden="false" customHeight="true" outlineLevel="0" collapsed="false">
      <c r="A192" s="12" t="s">
        <v>167</v>
      </c>
      <c r="B192" s="12" t="n">
        <v>2025</v>
      </c>
      <c r="C192" s="12" t="n">
        <v>-1</v>
      </c>
      <c r="D192" s="12" t="n">
        <v>-81.9</v>
      </c>
      <c r="E192" s="12" t="n">
        <f aca="false">IFERROR(INDEX('Catalog'!$A:$A,MATCH($A192,'Catalog'!$B:$B,0)),IFERROR(INDEX('Catalog'!$A:$A,MATCH(TRIM(SUBSTITUTE($A192,CHAR(160)," ")),'Catalog'!$C:$C,0)),""))</f>
        <v>4413169</v>
      </c>
      <c r="F192" s="12" t="str">
        <f aca="false">IF($E192="","Unmatched","Matched")</f>
        <v>Matched</v>
      </c>
    </row>
    <row r="193" customFormat="false" ht="15" hidden="false" customHeight="true" outlineLevel="0" collapsed="false">
      <c r="A193" s="12" t="s">
        <v>524</v>
      </c>
      <c r="B193" s="12" t="n">
        <v>2025</v>
      </c>
      <c r="C193" s="12" t="n">
        <v>1</v>
      </c>
      <c r="D193" s="12" t="n">
        <v>84.9</v>
      </c>
      <c r="E193" s="12" t="n">
        <f aca="false">IFERROR(INDEX('Catalog'!$A:$A,MATCH($A193,'Catalog'!$B:$B,0)),IFERROR(INDEX('Catalog'!$A:$A,MATCH(TRIM(SUBSTITUTE($A193,CHAR(160)," ")),'Catalog'!$C:$C,0)),""))</f>
        <v>4413175</v>
      </c>
      <c r="F193" s="12" t="str">
        <f aca="false">IF($E193="","Unmatched","Matched")</f>
        <v>Matched</v>
      </c>
    </row>
    <row r="194" customFormat="false" ht="15" hidden="false" customHeight="true" outlineLevel="0" collapsed="false">
      <c r="A194" s="12" t="s">
        <v>523</v>
      </c>
      <c r="B194" s="12" t="n">
        <v>2025</v>
      </c>
      <c r="C194" s="12" t="n">
        <v>1</v>
      </c>
      <c r="D194" s="12" t="n">
        <v>81.9</v>
      </c>
      <c r="E194" s="12" t="n">
        <f aca="false">IFERROR(INDEX('Catalog'!$A:$A,MATCH($A194,'Catalog'!$B:$B,0)),IFERROR(INDEX('Catalog'!$A:$A,MATCH(TRIM(SUBSTITUTE($A194,CHAR(160)," ")),'Catalog'!$C:$C,0)),""))</f>
        <v>4413176</v>
      </c>
      <c r="F194" s="12" t="str">
        <f aca="false">IF($E194="","Unmatched","Matched")</f>
        <v>Matched</v>
      </c>
    </row>
    <row r="195" customFormat="false" ht="15" hidden="false" customHeight="true" outlineLevel="0" collapsed="false">
      <c r="A195" s="12" t="s">
        <v>526</v>
      </c>
      <c r="B195" s="12" t="n">
        <v>2025</v>
      </c>
      <c r="C195" s="12" t="n">
        <v>1</v>
      </c>
      <c r="D195" s="12" t="n">
        <v>81.9</v>
      </c>
      <c r="E195" s="12" t="n">
        <f aca="false">IFERROR(INDEX('Catalog'!$A:$A,MATCH($A195,'Catalog'!$B:$B,0)),IFERROR(INDEX('Catalog'!$A:$A,MATCH(TRIM(SUBSTITUTE($A195,CHAR(160)," ")),'Catalog'!$C:$C,0)),""))</f>
        <v>4413177</v>
      </c>
      <c r="F195" s="12" t="str">
        <f aca="false">IF($E195="","Unmatched","Matched")</f>
        <v>Matched</v>
      </c>
    </row>
    <row r="196" customFormat="false" ht="15" hidden="false" customHeight="true" outlineLevel="0" collapsed="false">
      <c r="A196" s="12" t="s">
        <v>803</v>
      </c>
      <c r="B196" s="12" t="n">
        <v>2025</v>
      </c>
      <c r="C196" s="12" t="n">
        <v>-4</v>
      </c>
      <c r="D196" s="12" t="n">
        <v>-360.4</v>
      </c>
      <c r="E196" s="12" t="n">
        <f aca="false">IFERROR(INDEX('Catalog'!$A:$A,MATCH($A196,'Catalog'!$B:$B,0)),IFERROR(INDEX('Catalog'!$A:$A,MATCH(TRIM(SUBSTITUTE($A196,CHAR(160)," ")),'Catalog'!$C:$C,0)),""))</f>
        <v>4413179</v>
      </c>
      <c r="F196" s="12" t="str">
        <f aca="false">IF($E196="","Unmatched","Matched")</f>
        <v>Matched</v>
      </c>
    </row>
    <row r="197" customFormat="false" ht="15" hidden="false" customHeight="true" outlineLevel="0" collapsed="false">
      <c r="A197" s="12" t="s">
        <v>834</v>
      </c>
      <c r="B197" s="12" t="n">
        <v>2025</v>
      </c>
      <c r="C197" s="12" t="n">
        <v>-1</v>
      </c>
      <c r="D197" s="12" t="n">
        <v>-90.1</v>
      </c>
      <c r="E197" s="12" t="n">
        <f aca="false">IFERROR(INDEX('Catalog'!$A:$A,MATCH($A197,'Catalog'!$B:$B,0)),IFERROR(INDEX('Catalog'!$A:$A,MATCH(TRIM(SUBSTITUTE($A197,CHAR(160)," ")),'Catalog'!$C:$C,0)),""))</f>
        <v>4413181</v>
      </c>
      <c r="F197" s="12" t="str">
        <f aca="false">IF($E197="","Unmatched","Matched")</f>
        <v>Matched</v>
      </c>
    </row>
    <row r="198" customFormat="false" ht="15" hidden="false" customHeight="true" outlineLevel="0" collapsed="false">
      <c r="A198" s="12" t="s">
        <v>176</v>
      </c>
      <c r="B198" s="12" t="n">
        <v>2025</v>
      </c>
      <c r="C198" s="12" t="n">
        <v>-2</v>
      </c>
      <c r="D198" s="12" t="n">
        <v>-173.9</v>
      </c>
      <c r="E198" s="12" t="n">
        <f aca="false">IFERROR(INDEX('Catalog'!$A:$A,MATCH($A198,'Catalog'!$B:$B,0)),IFERROR(INDEX('Catalog'!$A:$A,MATCH(TRIM(SUBSTITUTE($A198,CHAR(160)," ")),'Catalog'!$C:$C,0)),""))</f>
        <v>4413182</v>
      </c>
      <c r="F198" s="12" t="str">
        <f aca="false">IF($E198="","Unmatched","Matched")</f>
        <v>Matched</v>
      </c>
    </row>
    <row r="199" customFormat="false" ht="15" hidden="false" customHeight="true" outlineLevel="0" collapsed="false">
      <c r="A199" s="12" t="s">
        <v>162</v>
      </c>
      <c r="B199" s="12" t="n">
        <v>2025</v>
      </c>
      <c r="C199" s="12" t="n">
        <v>78</v>
      </c>
      <c r="D199" s="12" t="n">
        <v>7014.3</v>
      </c>
      <c r="E199" s="12" t="n">
        <f aca="false">IFERROR(INDEX('Catalog'!$A:$A,MATCH($A199,'Catalog'!$B:$B,0)),IFERROR(INDEX('Catalog'!$A:$A,MATCH(TRIM(SUBSTITUTE($A199,CHAR(160)," ")),'Catalog'!$C:$C,0)),""))</f>
        <v>4413183</v>
      </c>
      <c r="F199" s="12" t="str">
        <f aca="false">IF($E199="","Unmatched","Matched")</f>
        <v>Matched</v>
      </c>
    </row>
    <row r="200" customFormat="false" ht="15" hidden="false" customHeight="true" outlineLevel="0" collapsed="false">
      <c r="A200" s="12" t="s">
        <v>161</v>
      </c>
      <c r="B200" s="12" t="n">
        <v>2025</v>
      </c>
      <c r="C200" s="12" t="n">
        <v>87</v>
      </c>
      <c r="D200" s="12" t="n">
        <v>7827.9</v>
      </c>
      <c r="E200" s="12" t="n">
        <f aca="false">IFERROR(INDEX('Catalog'!$A:$A,MATCH($A200,'Catalog'!$B:$B,0)),IFERROR(INDEX('Catalog'!$A:$A,MATCH(TRIM(SUBSTITUTE($A200,CHAR(160)," ")),'Catalog'!$C:$C,0)),""))</f>
        <v>4413184</v>
      </c>
      <c r="F200" s="12" t="str">
        <f aca="false">IF($E200="","Unmatched","Matched")</f>
        <v>Matched</v>
      </c>
    </row>
    <row r="201" customFormat="false" ht="15" hidden="false" customHeight="true" outlineLevel="0" collapsed="false">
      <c r="A201" s="12" t="s">
        <v>163</v>
      </c>
      <c r="B201" s="12" t="n">
        <v>2025</v>
      </c>
      <c r="C201" s="12" t="n">
        <v>95</v>
      </c>
      <c r="D201" s="12" t="n">
        <v>8568.6</v>
      </c>
      <c r="E201" s="12" t="n">
        <f aca="false">IFERROR(INDEX('Catalog'!$A:$A,MATCH($A201,'Catalog'!$B:$B,0)),IFERROR(INDEX('Catalog'!$A:$A,MATCH(TRIM(SUBSTITUTE($A201,CHAR(160)," ")),'Catalog'!$C:$C,0)),""))</f>
        <v>4413185</v>
      </c>
      <c r="F201" s="12" t="str">
        <f aca="false">IF($E201="","Unmatched","Matched")</f>
        <v>Matched</v>
      </c>
    </row>
    <row r="202" customFormat="false" ht="15" hidden="false" customHeight="true" outlineLevel="0" collapsed="false">
      <c r="A202" s="12" t="s">
        <v>393</v>
      </c>
      <c r="B202" s="12" t="n">
        <v>2025</v>
      </c>
      <c r="C202" s="12" t="n">
        <v>21</v>
      </c>
      <c r="D202" s="12" t="n">
        <v>3416.1</v>
      </c>
      <c r="E202" s="12" t="n">
        <f aca="false">IFERROR(INDEX('Catalog'!$A:$A,MATCH($A202,'Catalog'!$B:$B,0)),IFERROR(INDEX('Catalog'!$A:$A,MATCH(TRIM(SUBSTITUTE($A202,CHAR(160)," ")),'Catalog'!$C:$C,0)),""))</f>
        <v>4413195</v>
      </c>
      <c r="F202" s="12" t="str">
        <f aca="false">IF($E202="","Unmatched","Matched")</f>
        <v>Matched</v>
      </c>
    </row>
    <row r="203" customFormat="false" ht="15" hidden="false" customHeight="true" outlineLevel="0" collapsed="false">
      <c r="A203" s="12" t="s">
        <v>392</v>
      </c>
      <c r="B203" s="12" t="n">
        <v>2025</v>
      </c>
      <c r="C203" s="12" t="n">
        <v>130</v>
      </c>
      <c r="D203" s="12" t="n">
        <v>20889.7</v>
      </c>
      <c r="E203" s="12" t="n">
        <f aca="false">IFERROR(INDEX('Catalog'!$A:$A,MATCH($A203,'Catalog'!$B:$B,0)),IFERROR(INDEX('Catalog'!$A:$A,MATCH(TRIM(SUBSTITUTE($A203,CHAR(160)," ")),'Catalog'!$C:$C,0)),""))</f>
        <v>4413196</v>
      </c>
      <c r="F203" s="12" t="str">
        <f aca="false">IF($E203="","Unmatched","Matched")</f>
        <v>Matched</v>
      </c>
    </row>
    <row r="204" customFormat="false" ht="15" hidden="false" customHeight="true" outlineLevel="0" collapsed="false">
      <c r="A204" s="12" t="s">
        <v>391</v>
      </c>
      <c r="B204" s="12" t="n">
        <v>2025</v>
      </c>
      <c r="C204" s="12" t="n">
        <v>213</v>
      </c>
      <c r="D204" s="12" t="n">
        <v>34398.3</v>
      </c>
      <c r="E204" s="12" t="n">
        <f aca="false">IFERROR(INDEX('Catalog'!$A:$A,MATCH($A204,'Catalog'!$B:$B,0)),IFERROR(INDEX('Catalog'!$A:$A,MATCH(TRIM(SUBSTITUTE($A204,CHAR(160)," ")),'Catalog'!$C:$C,0)),""))</f>
        <v>4413197</v>
      </c>
      <c r="F204" s="12" t="str">
        <f aca="false">IF($E204="","Unmatched","Matched")</f>
        <v>Matched</v>
      </c>
    </row>
    <row r="205" customFormat="false" ht="15" hidden="false" customHeight="true" outlineLevel="0" collapsed="false">
      <c r="A205" s="12" t="s">
        <v>394</v>
      </c>
      <c r="B205" s="12" t="n">
        <v>2025</v>
      </c>
      <c r="C205" s="12" t="n">
        <v>128</v>
      </c>
      <c r="D205" s="12" t="n">
        <v>20594.8</v>
      </c>
      <c r="E205" s="12" t="n">
        <f aca="false">IFERROR(INDEX('Catalog'!$A:$A,MATCH($A205,'Catalog'!$B:$B,0)),IFERROR(INDEX('Catalog'!$A:$A,MATCH(TRIM(SUBSTITUTE($A205,CHAR(160)," ")),'Catalog'!$C:$C,0)),""))</f>
        <v>4413198</v>
      </c>
      <c r="F205" s="12" t="str">
        <f aca="false">IF($E205="","Unmatched","Matched")</f>
        <v>Matched</v>
      </c>
    </row>
    <row r="206" customFormat="false" ht="15" hidden="false" customHeight="true" outlineLevel="0" collapsed="false">
      <c r="A206" s="12" t="s">
        <v>395</v>
      </c>
      <c r="B206" s="12" t="n">
        <v>2025</v>
      </c>
      <c r="C206" s="12" t="n">
        <v>49</v>
      </c>
      <c r="D206" s="12" t="n">
        <v>7847</v>
      </c>
      <c r="E206" s="12" t="n">
        <f aca="false">IFERROR(INDEX('Catalog'!$A:$A,MATCH($A206,'Catalog'!$B:$B,0)),IFERROR(INDEX('Catalog'!$A:$A,MATCH(TRIM(SUBSTITUTE($A206,CHAR(160)," ")),'Catalog'!$C:$C,0)),""))</f>
        <v>4413204</v>
      </c>
      <c r="F206" s="12" t="str">
        <f aca="false">IF($E206="","Unmatched","Matched")</f>
        <v>Matched</v>
      </c>
    </row>
    <row r="207" customFormat="false" ht="15" hidden="false" customHeight="true" outlineLevel="0" collapsed="false">
      <c r="A207" s="12" t="s">
        <v>407</v>
      </c>
      <c r="B207" s="12" t="n">
        <v>2025</v>
      </c>
      <c r="C207" s="12" t="n">
        <v>1</v>
      </c>
      <c r="D207" s="12" t="n">
        <v>40.6</v>
      </c>
      <c r="E207" s="12" t="n">
        <f aca="false">IFERROR(INDEX('Catalog'!$A:$A,MATCH($A207,'Catalog'!$B:$B,0)),IFERROR(INDEX('Catalog'!$A:$A,MATCH(TRIM(SUBSTITUTE($A207,CHAR(160)," ")),'Catalog'!$C:$C,0)),""))</f>
        <v>4413276</v>
      </c>
      <c r="F207" s="12" t="str">
        <f aca="false">IF($E207="","Unmatched","Matched")</f>
        <v>Matched</v>
      </c>
    </row>
    <row r="208" customFormat="false" ht="15" hidden="false" customHeight="true" outlineLevel="0" collapsed="false">
      <c r="A208" s="12" t="s">
        <v>408</v>
      </c>
      <c r="B208" s="12" t="n">
        <v>2025</v>
      </c>
      <c r="C208" s="12" t="n">
        <v>-2</v>
      </c>
      <c r="D208" s="12" t="n">
        <v>-79.1</v>
      </c>
      <c r="E208" s="12" t="n">
        <f aca="false">IFERROR(INDEX('Catalog'!$A:$A,MATCH($A208,'Catalog'!$B:$B,0)),IFERROR(INDEX('Catalog'!$A:$A,MATCH(TRIM(SUBSTITUTE($A208,CHAR(160)," ")),'Catalog'!$C:$C,0)),""))</f>
        <v>4413277</v>
      </c>
      <c r="F208" s="12" t="str">
        <f aca="false">IF($E208="","Unmatched","Matched")</f>
        <v>Matched</v>
      </c>
    </row>
    <row r="209" customFormat="false" ht="15" hidden="false" customHeight="true" outlineLevel="0" collapsed="false">
      <c r="A209" s="12" t="s">
        <v>409</v>
      </c>
      <c r="B209" s="12" t="n">
        <v>2025</v>
      </c>
      <c r="C209" s="12" t="n">
        <v>-1</v>
      </c>
      <c r="D209" s="12" t="n">
        <v>-40.6</v>
      </c>
      <c r="E209" s="12" t="n">
        <f aca="false">IFERROR(INDEX('Catalog'!$A:$A,MATCH($A209,'Catalog'!$B:$B,0)),IFERROR(INDEX('Catalog'!$A:$A,MATCH(TRIM(SUBSTITUTE($A209,CHAR(160)," ")),'Catalog'!$C:$C,0)),""))</f>
        <v>4413278</v>
      </c>
      <c r="F209" s="12" t="str">
        <f aca="false">IF($E209="","Unmatched","Matched")</f>
        <v>Matched</v>
      </c>
    </row>
    <row r="210" customFormat="false" ht="15" hidden="false" customHeight="true" outlineLevel="0" collapsed="false">
      <c r="A210" s="12" t="s">
        <v>109</v>
      </c>
      <c r="B210" s="12" t="n">
        <v>2025</v>
      </c>
      <c r="C210" s="12" t="n">
        <v>-2</v>
      </c>
      <c r="D210" s="12" t="n">
        <v>-365.4</v>
      </c>
      <c r="E210" s="12" t="n">
        <f aca="false">IFERROR(INDEX('Catalog'!$A:$A,MATCH($A210,'Catalog'!$B:$B,0)),IFERROR(INDEX('Catalog'!$A:$A,MATCH(TRIM(SUBSTITUTE($A210,CHAR(160)," ")),'Catalog'!$C:$C,0)),""))</f>
        <v>4413281</v>
      </c>
      <c r="F210" s="12" t="str">
        <f aca="false">IF($E210="","Unmatched","Matched")</f>
        <v>Matched</v>
      </c>
    </row>
    <row r="211" customFormat="false" ht="15" hidden="false" customHeight="true" outlineLevel="0" collapsed="false">
      <c r="A211" s="12" t="s">
        <v>110</v>
      </c>
      <c r="B211" s="12" t="n">
        <v>2025</v>
      </c>
      <c r="C211" s="12" t="n">
        <v>-2</v>
      </c>
      <c r="D211" s="12" t="n">
        <v>-365.4</v>
      </c>
      <c r="E211" s="12" t="n">
        <f aca="false">IFERROR(INDEX('Catalog'!$A:$A,MATCH($A211,'Catalog'!$B:$B,0)),IFERROR(INDEX('Catalog'!$A:$A,MATCH(TRIM(SUBSTITUTE($A211,CHAR(160)," ")),'Catalog'!$C:$C,0)),""))</f>
        <v>4413282</v>
      </c>
      <c r="F211" s="12" t="str">
        <f aca="false">IF($E211="","Unmatched","Matched")</f>
        <v>Matched</v>
      </c>
    </row>
    <row r="212" customFormat="false" ht="15" hidden="false" customHeight="true" outlineLevel="0" collapsed="false">
      <c r="A212" s="12" t="s">
        <v>429</v>
      </c>
      <c r="B212" s="12" t="n">
        <v>2025</v>
      </c>
      <c r="C212" s="12" t="n">
        <v>-3</v>
      </c>
      <c r="D212" s="12" t="n">
        <v>-185.8</v>
      </c>
      <c r="E212" s="12" t="n">
        <f aca="false">IFERROR(INDEX('Catalog'!$A:$A,MATCH($A212,'Catalog'!$B:$B,0)),IFERROR(INDEX('Catalog'!$A:$A,MATCH(TRIM(SUBSTITUTE($A212,CHAR(160)," ")),'Catalog'!$C:$C,0)),""))</f>
        <v>4413285</v>
      </c>
      <c r="F212" s="12" t="str">
        <f aca="false">IF($E212="","Unmatched","Matched")</f>
        <v>Matched</v>
      </c>
    </row>
    <row r="213" customFormat="false" ht="15" hidden="false" customHeight="true" outlineLevel="0" collapsed="false">
      <c r="A213" s="12" t="s">
        <v>177</v>
      </c>
      <c r="B213" s="12" t="n">
        <v>2025</v>
      </c>
      <c r="C213" s="12" t="n">
        <v>27</v>
      </c>
      <c r="D213" s="12" t="n">
        <v>2428.2</v>
      </c>
      <c r="E213" s="12" t="n">
        <f aca="false">IFERROR(INDEX('Catalog'!$A:$A,MATCH($A213,'Catalog'!$B:$B,0)),IFERROR(INDEX('Catalog'!$A:$A,MATCH(TRIM(SUBSTITUTE($A213,CHAR(160)," ")),'Catalog'!$C:$C,0)),""))</f>
        <v>4413286</v>
      </c>
      <c r="F213" s="12" t="str">
        <f aca="false">IF($E213="","Unmatched","Matched")</f>
        <v>Matched</v>
      </c>
    </row>
    <row r="214" customFormat="false" ht="15" hidden="false" customHeight="true" outlineLevel="0" collapsed="false">
      <c r="A214" s="12" t="s">
        <v>570</v>
      </c>
      <c r="B214" s="12" t="n">
        <v>2025</v>
      </c>
      <c r="C214" s="12" t="n">
        <v>962</v>
      </c>
      <c r="D214" s="12" t="n">
        <v>25707.7</v>
      </c>
      <c r="E214" s="12" t="n">
        <f aca="false">IFERROR(INDEX('Catalog'!$A:$A,MATCH($A214,'Catalog'!$B:$B,0)),IFERROR(INDEX('Catalog'!$A:$A,MATCH(TRIM(SUBSTITUTE($A214,CHAR(160)," ")),'Catalog'!$C:$C,0)),""))</f>
        <v>4413307</v>
      </c>
      <c r="F214" s="12" t="str">
        <f aca="false">IF($E214="","Unmatched","Matched")</f>
        <v>Matched</v>
      </c>
    </row>
    <row r="215" customFormat="false" ht="15" hidden="false" customHeight="true" outlineLevel="0" collapsed="false">
      <c r="A215" s="12" t="s">
        <v>150</v>
      </c>
      <c r="B215" s="12" t="n">
        <v>2025</v>
      </c>
      <c r="C215" s="12" t="n">
        <v>87</v>
      </c>
      <c r="D215" s="12" t="n">
        <v>5062.6</v>
      </c>
      <c r="E215" s="12" t="n">
        <f aca="false">IFERROR(INDEX('Catalog'!$A:$A,MATCH($A215,'Catalog'!$B:$B,0)),IFERROR(INDEX('Catalog'!$A:$A,MATCH(TRIM(SUBSTITUTE($A215,CHAR(160)," ")),'Catalog'!$C:$C,0)),""))</f>
        <v>4413329</v>
      </c>
      <c r="F215" s="12" t="str">
        <f aca="false">IF($E215="","Unmatched","Matched")</f>
        <v>Matched</v>
      </c>
    </row>
    <row r="216" customFormat="false" ht="15" hidden="false" customHeight="true" outlineLevel="0" collapsed="false">
      <c r="A216" s="12" t="s">
        <v>557</v>
      </c>
      <c r="B216" s="12" t="n">
        <v>2025</v>
      </c>
      <c r="C216" s="12" t="n">
        <v>106</v>
      </c>
      <c r="D216" s="12" t="n">
        <v>4298.2</v>
      </c>
      <c r="E216" s="12" t="n">
        <f aca="false">IFERROR(INDEX('Catalog'!$A:$A,MATCH($A216,'Catalog'!$B:$B,0)),IFERROR(INDEX('Catalog'!$A:$A,MATCH(TRIM(SUBSTITUTE($A216,CHAR(160)," ")),'Catalog'!$C:$C,0)),""))</f>
        <v>4413340</v>
      </c>
      <c r="F216" s="12" t="str">
        <f aca="false">IF($E216="","Unmatched","Matched")</f>
        <v>Matched</v>
      </c>
    </row>
    <row r="217" customFormat="false" ht="15" hidden="false" customHeight="true" outlineLevel="0" collapsed="false">
      <c r="A217" s="12" t="s">
        <v>360</v>
      </c>
      <c r="B217" s="12" t="n">
        <v>2025</v>
      </c>
      <c r="C217" s="12" t="n">
        <v>2132</v>
      </c>
      <c r="D217" s="12" t="n">
        <v>66609.4</v>
      </c>
      <c r="E217" s="12" t="n">
        <f aca="false">IFERROR(INDEX('Catalog'!$A:$A,MATCH($A217,'Catalog'!$B:$B,0)),IFERROR(INDEX('Catalog'!$A:$A,MATCH(TRIM(SUBSTITUTE($A217,CHAR(160)," ")),'Catalog'!$C:$C,0)),""))</f>
        <v>4414000</v>
      </c>
      <c r="F217" s="12" t="str">
        <f aca="false">IF($E217="","Unmatched","Matched")</f>
        <v>Matched</v>
      </c>
    </row>
    <row r="218" customFormat="false" ht="15" hidden="false" customHeight="true" outlineLevel="0" collapsed="false">
      <c r="A218" s="12" t="s">
        <v>614</v>
      </c>
      <c r="B218" s="12" t="n">
        <v>2025</v>
      </c>
      <c r="C218" s="12" t="n">
        <v>648</v>
      </c>
      <c r="D218" s="12" t="n">
        <v>53009.9</v>
      </c>
      <c r="E218" s="12" t="n">
        <f aca="false">IFERROR(INDEX('Catalog'!$A:$A,MATCH($A218,'Catalog'!$B:$B,0)),IFERROR(INDEX('Catalog'!$A:$A,MATCH(TRIM(SUBSTITUTE($A218,CHAR(160)," ")),'Catalog'!$C:$C,0)),""))</f>
        <v>4415000</v>
      </c>
      <c r="F218" s="12" t="str">
        <f aca="false">IF($E218="","Unmatched","Matched")</f>
        <v>Matched</v>
      </c>
    </row>
    <row r="219" customFormat="false" ht="15" hidden="false" customHeight="true" outlineLevel="0" collapsed="false">
      <c r="A219" s="12" t="s">
        <v>615</v>
      </c>
      <c r="B219" s="12" t="n">
        <v>2025</v>
      </c>
      <c r="C219" s="12" t="n">
        <v>797</v>
      </c>
      <c r="D219" s="12" t="n">
        <v>65159.7</v>
      </c>
      <c r="E219" s="12" t="n">
        <f aca="false">IFERROR(INDEX('Catalog'!$A:$A,MATCH($A219,'Catalog'!$B:$B,0)),IFERROR(INDEX('Catalog'!$A:$A,MATCH(TRIM(SUBSTITUTE($A219,CHAR(160)," ")),'Catalog'!$C:$C,0)),""))</f>
        <v>4415001</v>
      </c>
      <c r="F219" s="12" t="str">
        <f aca="false">IF($E219="","Unmatched","Matched")</f>
        <v>Matched</v>
      </c>
    </row>
    <row r="220" customFormat="false" ht="15" hidden="false" customHeight="true" outlineLevel="0" collapsed="false">
      <c r="A220" s="12" t="s">
        <v>616</v>
      </c>
      <c r="B220" s="12" t="n">
        <v>2025</v>
      </c>
      <c r="C220" s="12" t="n">
        <v>589</v>
      </c>
      <c r="D220" s="12" t="n">
        <v>48197.4</v>
      </c>
      <c r="E220" s="12" t="n">
        <f aca="false">IFERROR(INDEX('Catalog'!$A:$A,MATCH($A220,'Catalog'!$B:$B,0)),IFERROR(INDEX('Catalog'!$A:$A,MATCH(TRIM(SUBSTITUTE($A220,CHAR(160)," ")),'Catalog'!$C:$C,0)),""))</f>
        <v>4415002</v>
      </c>
      <c r="F220" s="12" t="str">
        <f aca="false">IF($E220="","Unmatched","Matched")</f>
        <v>Matched</v>
      </c>
    </row>
    <row r="221" customFormat="false" ht="15" hidden="false" customHeight="true" outlineLevel="0" collapsed="false">
      <c r="A221" s="12" t="s">
        <v>617</v>
      </c>
      <c r="B221" s="12" t="n">
        <v>2025</v>
      </c>
      <c r="C221" s="12" t="n">
        <v>514</v>
      </c>
      <c r="D221" s="12" t="n">
        <v>42043.4</v>
      </c>
      <c r="E221" s="12" t="n">
        <f aca="false">IFERROR(INDEX('Catalog'!$A:$A,MATCH($A221,'Catalog'!$B:$B,0)),IFERROR(INDEX('Catalog'!$A:$A,MATCH(TRIM(SUBSTITUTE($A221,CHAR(160)," ")),'Catalog'!$C:$C,0)),""))</f>
        <v>4415003</v>
      </c>
      <c r="F221" s="12" t="str">
        <f aca="false">IF($E221="","Unmatched","Matched")</f>
        <v>Matched</v>
      </c>
    </row>
    <row r="222" customFormat="false" ht="15" hidden="false" customHeight="true" outlineLevel="0" collapsed="false">
      <c r="A222" s="12" t="s">
        <v>619</v>
      </c>
      <c r="B222" s="12" t="n">
        <v>2025</v>
      </c>
      <c r="C222" s="12" t="n">
        <v>2</v>
      </c>
      <c r="D222" s="12" t="n">
        <v>163.8</v>
      </c>
      <c r="E222" s="12" t="n">
        <f aca="false">IFERROR(INDEX('Catalog'!$A:$A,MATCH($A222,'Catalog'!$B:$B,0)),IFERROR(INDEX('Catalog'!$A:$A,MATCH(TRIM(SUBSTITUTE($A222,CHAR(160)," ")),'Catalog'!$C:$C,0)),""))</f>
        <v>4415004</v>
      </c>
      <c r="F222" s="12" t="str">
        <f aca="false">IF($E222="","Unmatched","Matched")</f>
        <v>Matched</v>
      </c>
    </row>
    <row r="223" customFormat="false" ht="15" hidden="false" customHeight="true" outlineLevel="0" collapsed="false">
      <c r="A223" s="12" t="s">
        <v>642</v>
      </c>
      <c r="B223" s="12" t="n">
        <v>2025</v>
      </c>
      <c r="C223" s="12" t="n">
        <v>545</v>
      </c>
      <c r="D223" s="12" t="n">
        <v>44554.5</v>
      </c>
      <c r="E223" s="12" t="n">
        <f aca="false">IFERROR(INDEX('Catalog'!$A:$A,MATCH($A223,'Catalog'!$B:$B,0)),IFERROR(INDEX('Catalog'!$A:$A,MATCH(TRIM(SUBSTITUTE($A223,CHAR(160)," ")),'Catalog'!$C:$C,0)),""))</f>
        <v>4415005</v>
      </c>
      <c r="F223" s="12" t="str">
        <f aca="false">IF($E223="","Unmatched","Matched")</f>
        <v>Matched</v>
      </c>
    </row>
    <row r="224" customFormat="false" ht="15" hidden="false" customHeight="true" outlineLevel="0" collapsed="false">
      <c r="A224" s="12" t="s">
        <v>643</v>
      </c>
      <c r="B224" s="12" t="n">
        <v>2025</v>
      </c>
      <c r="C224" s="12" t="n">
        <v>621</v>
      </c>
      <c r="D224" s="12" t="n">
        <v>50799.4</v>
      </c>
      <c r="E224" s="12" t="n">
        <f aca="false">IFERROR(INDEX('Catalog'!$A:$A,MATCH($A224,'Catalog'!$B:$B,0)),IFERROR(INDEX('Catalog'!$A:$A,MATCH(TRIM(SUBSTITUTE($A224,CHAR(160)," ")),'Catalog'!$C:$C,0)),""))</f>
        <v>4415006</v>
      </c>
      <c r="F224" s="12" t="str">
        <f aca="false">IF($E224="","Unmatched","Matched")</f>
        <v>Matched</v>
      </c>
    </row>
    <row r="225" customFormat="false" ht="15" hidden="false" customHeight="true" outlineLevel="0" collapsed="false">
      <c r="A225" s="12" t="s">
        <v>644</v>
      </c>
      <c r="B225" s="12" t="n">
        <v>2025</v>
      </c>
      <c r="C225" s="12" t="n">
        <v>601</v>
      </c>
      <c r="D225" s="12" t="n">
        <v>49181</v>
      </c>
      <c r="E225" s="12" t="n">
        <f aca="false">IFERROR(INDEX('Catalog'!$A:$A,MATCH($A225,'Catalog'!$B:$B,0)),IFERROR(INDEX('Catalog'!$A:$A,MATCH(TRIM(SUBSTITUTE($A225,CHAR(160)," ")),'Catalog'!$C:$C,0)),""))</f>
        <v>4415007</v>
      </c>
      <c r="F225" s="12" t="str">
        <f aca="false">IF($E225="","Unmatched","Matched")</f>
        <v>Matched</v>
      </c>
    </row>
    <row r="226" customFormat="false" ht="15" hidden="false" customHeight="true" outlineLevel="0" collapsed="false">
      <c r="A226" s="12" t="s">
        <v>645</v>
      </c>
      <c r="B226" s="12" t="n">
        <v>2025</v>
      </c>
      <c r="C226" s="12" t="n">
        <v>224</v>
      </c>
      <c r="D226" s="12" t="n">
        <v>18345.6</v>
      </c>
      <c r="E226" s="12" t="n">
        <f aca="false">IFERROR(INDEX('Catalog'!$A:$A,MATCH($A226,'Catalog'!$B:$B,0)),IFERROR(INDEX('Catalog'!$A:$A,MATCH(TRIM(SUBSTITUTE($A226,CHAR(160)," ")),'Catalog'!$C:$C,0)),""))</f>
        <v>4415008</v>
      </c>
      <c r="F226" s="12" t="str">
        <f aca="false">IF($E226="","Unmatched","Matched")</f>
        <v>Matched</v>
      </c>
    </row>
    <row r="227" customFormat="false" ht="15" hidden="false" customHeight="true" outlineLevel="0" collapsed="false">
      <c r="A227" s="12" t="s">
        <v>730</v>
      </c>
      <c r="B227" s="12" t="n">
        <v>2025</v>
      </c>
      <c r="C227" s="12" t="n">
        <v>1</v>
      </c>
      <c r="D227" s="12" t="n">
        <v>143.4</v>
      </c>
      <c r="E227" s="12" t="n">
        <f aca="false">IFERROR(INDEX('Catalog'!$A:$A,MATCH($A227,'Catalog'!$B:$B,0)),IFERROR(INDEX('Catalog'!$A:$A,MATCH(TRIM(SUBSTITUTE($A227,CHAR(160)," ")),'Catalog'!$C:$C,0)),""))</f>
        <v>4415019</v>
      </c>
      <c r="F227" s="12" t="str">
        <f aca="false">IF($E227="","Unmatched","Matched")</f>
        <v>Matched</v>
      </c>
    </row>
    <row r="228" customFormat="false" ht="15" hidden="false" customHeight="true" outlineLevel="0" collapsed="false">
      <c r="A228" s="12" t="s">
        <v>648</v>
      </c>
      <c r="B228" s="12" t="n">
        <v>2025</v>
      </c>
      <c r="C228" s="12" t="n">
        <v>194</v>
      </c>
      <c r="D228" s="12" t="n">
        <v>4329.5</v>
      </c>
      <c r="E228" s="12" t="n">
        <f aca="false">IFERROR(INDEX('Catalog'!$A:$A,MATCH($A228,'Catalog'!$B:$B,0)),IFERROR(INDEX('Catalog'!$A:$A,MATCH(TRIM(SUBSTITUTE($A228,CHAR(160)," ")),'Catalog'!$C:$C,0)),""))</f>
        <v>4415028</v>
      </c>
      <c r="F228" s="12" t="str">
        <f aca="false">IF($E228="","Unmatched","Matched")</f>
        <v>Matched</v>
      </c>
    </row>
    <row r="229" customFormat="false" ht="15" hidden="false" customHeight="true" outlineLevel="0" collapsed="false">
      <c r="A229" s="12" t="s">
        <v>672</v>
      </c>
      <c r="B229" s="12" t="n">
        <v>2025</v>
      </c>
      <c r="C229" s="12" t="n">
        <v>2</v>
      </c>
      <c r="D229" s="12" t="n">
        <v>122.8</v>
      </c>
      <c r="E229" s="12" t="n">
        <f aca="false">IFERROR(INDEX('Catalog'!$A:$A,MATCH($A229,'Catalog'!$B:$B,0)),IFERROR(INDEX('Catalog'!$A:$A,MATCH(TRIM(SUBSTITUTE($A229,CHAR(160)," ")),'Catalog'!$C:$C,0)),""))</f>
        <v>4415064</v>
      </c>
      <c r="F229" s="12" t="str">
        <f aca="false">IF($E229="","Unmatched","Matched")</f>
        <v>Matched</v>
      </c>
    </row>
    <row r="230" customFormat="false" ht="15" hidden="false" customHeight="true" outlineLevel="0" collapsed="false">
      <c r="A230" s="12" t="s">
        <v>676</v>
      </c>
      <c r="B230" s="12" t="n">
        <v>2025</v>
      </c>
      <c r="C230" s="12" t="n">
        <v>1278</v>
      </c>
      <c r="D230" s="12" t="n">
        <v>74753.7</v>
      </c>
      <c r="E230" s="12" t="n">
        <f aca="false">IFERROR(INDEX('Catalog'!$A:$A,MATCH($A230,'Catalog'!$B:$B,0)),IFERROR(INDEX('Catalog'!$A:$A,MATCH(TRIM(SUBSTITUTE($A230,CHAR(160)," ")),'Catalog'!$C:$C,0)),""))</f>
        <v>4415072</v>
      </c>
      <c r="F230" s="12" t="str">
        <f aca="false">IF($E230="","Unmatched","Matched")</f>
        <v>Matched</v>
      </c>
    </row>
    <row r="231" customFormat="false" ht="15" hidden="false" customHeight="true" outlineLevel="0" collapsed="false">
      <c r="A231" s="12" t="s">
        <v>675</v>
      </c>
      <c r="B231" s="12" t="n">
        <v>2025</v>
      </c>
      <c r="C231" s="12" t="n">
        <v>935</v>
      </c>
      <c r="D231" s="12" t="n">
        <v>54679.2</v>
      </c>
      <c r="E231" s="12" t="n">
        <f aca="false">IFERROR(INDEX('Catalog'!$A:$A,MATCH($A231,'Catalog'!$B:$B,0)),IFERROR(INDEX('Catalog'!$A:$A,MATCH(TRIM(SUBSTITUTE($A231,CHAR(160)," ")),'Catalog'!$C:$C,0)),""))</f>
        <v>4415073</v>
      </c>
      <c r="F231" s="12" t="str">
        <f aca="false">IF($E231="","Unmatched","Matched")</f>
        <v>Matched</v>
      </c>
    </row>
    <row r="232" customFormat="false" ht="15" hidden="false" customHeight="true" outlineLevel="0" collapsed="false">
      <c r="A232" s="12" t="s">
        <v>679</v>
      </c>
      <c r="B232" s="12" t="n">
        <v>2025</v>
      </c>
      <c r="C232" s="12" t="n">
        <v>297</v>
      </c>
      <c r="D232" s="12" t="n">
        <v>17280.9</v>
      </c>
      <c r="E232" s="12" t="n">
        <f aca="false">IFERROR(INDEX('Catalog'!$A:$A,MATCH($A232,'Catalog'!$B:$B,0)),IFERROR(INDEX('Catalog'!$A:$A,MATCH(TRIM(SUBSTITUTE($A232,CHAR(160)," ")),'Catalog'!$C:$C,0)),""))</f>
        <v>4415074</v>
      </c>
      <c r="F232" s="12" t="str">
        <f aca="false">IF($E232="","Unmatched","Matched")</f>
        <v>Matched</v>
      </c>
    </row>
    <row r="233" customFormat="false" ht="15" hidden="false" customHeight="true" outlineLevel="0" collapsed="false">
      <c r="A233" s="12" t="s">
        <v>678</v>
      </c>
      <c r="B233" s="12" t="n">
        <v>2025</v>
      </c>
      <c r="C233" s="12" t="n">
        <v>187</v>
      </c>
      <c r="D233" s="12" t="n">
        <v>10885.6</v>
      </c>
      <c r="E233" s="12" t="n">
        <f aca="false">IFERROR(INDEX('Catalog'!$A:$A,MATCH($A233,'Catalog'!$B:$B,0)),IFERROR(INDEX('Catalog'!$A:$A,MATCH(TRIM(SUBSTITUTE($A233,CHAR(160)," ")),'Catalog'!$C:$C,0)),""))</f>
        <v>4415075</v>
      </c>
      <c r="F233" s="12" t="str">
        <f aca="false">IF($E233="","Unmatched","Matched")</f>
        <v>Matched</v>
      </c>
    </row>
    <row r="234" customFormat="false" ht="15" hidden="false" customHeight="true" outlineLevel="0" collapsed="false">
      <c r="A234" s="12" t="s">
        <v>577</v>
      </c>
      <c r="B234" s="12" t="n">
        <v>2025</v>
      </c>
      <c r="C234" s="12" t="n">
        <v>97</v>
      </c>
      <c r="D234" s="12" t="n">
        <v>791.2</v>
      </c>
      <c r="E234" s="12" t="n">
        <f aca="false">IFERROR(INDEX('Catalog'!$A:$A,MATCH($A234,'Catalog'!$B:$B,0)),IFERROR(INDEX('Catalog'!$A:$A,MATCH(TRIM(SUBSTITUTE($A234,CHAR(160)," ")),'Catalog'!$C:$C,0)),""))</f>
        <v>4415080</v>
      </c>
      <c r="F234" s="12" t="str">
        <f aca="false">IF($E234="","Unmatched","Matched")</f>
        <v>Matched</v>
      </c>
    </row>
    <row r="235" customFormat="false" ht="15" hidden="false" customHeight="true" outlineLevel="0" collapsed="false">
      <c r="A235" s="12" t="s">
        <v>533</v>
      </c>
      <c r="B235" s="12" t="n">
        <v>2025</v>
      </c>
      <c r="C235" s="12" t="n">
        <v>423</v>
      </c>
      <c r="D235" s="12" t="n">
        <v>34315.1</v>
      </c>
      <c r="E235" s="12" t="n">
        <f aca="false">IFERROR(INDEX('Catalog'!$A:$A,MATCH($A235,'Catalog'!$B:$B,0)),IFERROR(INDEX('Catalog'!$A:$A,MATCH(TRIM(SUBSTITUTE($A235,CHAR(160)," ")),'Catalog'!$C:$C,0)),""))</f>
        <v>4416000</v>
      </c>
      <c r="F235" s="12" t="str">
        <f aca="false">IF($E235="","Unmatched","Matched")</f>
        <v>Matched</v>
      </c>
    </row>
    <row r="236" customFormat="false" ht="15" hidden="false" customHeight="true" outlineLevel="0" collapsed="false">
      <c r="A236" s="12" t="s">
        <v>534</v>
      </c>
      <c r="B236" s="12" t="n">
        <v>2025</v>
      </c>
      <c r="C236" s="12" t="n">
        <v>425</v>
      </c>
      <c r="D236" s="12" t="n">
        <v>34410.1</v>
      </c>
      <c r="E236" s="12" t="n">
        <f aca="false">IFERROR(INDEX('Catalog'!$A:$A,MATCH($A236,'Catalog'!$B:$B,0)),IFERROR(INDEX('Catalog'!$A:$A,MATCH(TRIM(SUBSTITUTE($A236,CHAR(160)," ")),'Catalog'!$C:$C,0)),""))</f>
        <v>4416001</v>
      </c>
      <c r="F236" s="12" t="str">
        <f aca="false">IF($E236="","Unmatched","Matched")</f>
        <v>Matched</v>
      </c>
    </row>
    <row r="237" customFormat="false" ht="15" hidden="false" customHeight="true" outlineLevel="0" collapsed="false">
      <c r="A237" s="12" t="s">
        <v>535</v>
      </c>
      <c r="B237" s="12" t="n">
        <v>2025</v>
      </c>
      <c r="C237" s="12" t="n">
        <v>158</v>
      </c>
      <c r="D237" s="12" t="n">
        <v>12815.8</v>
      </c>
      <c r="E237" s="12" t="n">
        <f aca="false">IFERROR(INDEX('Catalog'!$A:$A,MATCH($A237,'Catalog'!$B:$B,0)),IFERROR(INDEX('Catalog'!$A:$A,MATCH(TRIM(SUBSTITUTE($A237,CHAR(160)," ")),'Catalog'!$C:$C,0)),""))</f>
        <v>4416002</v>
      </c>
      <c r="F237" s="12" t="str">
        <f aca="false">IF($E237="","Unmatched","Matched")</f>
        <v>Matched</v>
      </c>
    </row>
    <row r="238" customFormat="false" ht="15" hidden="false" customHeight="true" outlineLevel="0" collapsed="false">
      <c r="A238" s="12" t="s">
        <v>539</v>
      </c>
      <c r="B238" s="12" t="n">
        <v>2025</v>
      </c>
      <c r="C238" s="12" t="n">
        <v>-5</v>
      </c>
      <c r="D238" s="12" t="n">
        <v>-245.6</v>
      </c>
      <c r="E238" s="12" t="n">
        <f aca="false">IFERROR(INDEX('Catalog'!$A:$A,MATCH($A238,'Catalog'!$B:$B,0)),IFERROR(INDEX('Catalog'!$A:$A,MATCH(TRIM(SUBSTITUTE($A238,CHAR(160)," ")),'Catalog'!$C:$C,0)),""))</f>
        <v>4416006</v>
      </c>
      <c r="F238" s="12" t="str">
        <f aca="false">IF($E238="","Unmatched","Matched")</f>
        <v>Matched</v>
      </c>
    </row>
    <row r="239" customFormat="false" ht="15" hidden="false" customHeight="true" outlineLevel="0" collapsed="false">
      <c r="A239" s="12" t="s">
        <v>542</v>
      </c>
      <c r="B239" s="12" t="n">
        <v>2025</v>
      </c>
      <c r="C239" s="12" t="n">
        <v>-3</v>
      </c>
      <c r="D239" s="12" t="n">
        <v>-241.3</v>
      </c>
      <c r="E239" s="12" t="n">
        <f aca="false">IFERROR(INDEX('Catalog'!$A:$A,MATCH($A239,'Catalog'!$B:$B,0)),IFERROR(INDEX('Catalog'!$A:$A,MATCH(TRIM(SUBSTITUTE($A239,CHAR(160)," ")),'Catalog'!$C:$C,0)),""))</f>
        <v>4416009</v>
      </c>
      <c r="F239" s="12" t="str">
        <f aca="false">IF($E239="","Unmatched","Matched")</f>
        <v>Matched</v>
      </c>
    </row>
    <row r="240" customFormat="false" ht="15" hidden="false" customHeight="true" outlineLevel="0" collapsed="false">
      <c r="A240" s="12" t="s">
        <v>686</v>
      </c>
      <c r="B240" s="12" t="n">
        <v>2025</v>
      </c>
      <c r="C240" s="12" t="n">
        <v>596</v>
      </c>
      <c r="D240" s="12" t="n">
        <v>17843.1</v>
      </c>
      <c r="E240" s="12" t="n">
        <f aca="false">IFERROR(INDEX('Catalog'!$A:$A,MATCH($A240,'Catalog'!$B:$B,0)),IFERROR(INDEX('Catalog'!$A:$A,MATCH(TRIM(SUBSTITUTE($A240,CHAR(160)," ")),'Catalog'!$C:$C,0)),""))</f>
        <v>4418000</v>
      </c>
      <c r="F240" s="12" t="str">
        <f aca="false">IF($E240="","Unmatched","Matched")</f>
        <v>Matched</v>
      </c>
    </row>
    <row r="241" customFormat="false" ht="15" hidden="false" customHeight="true" outlineLevel="0" collapsed="false">
      <c r="A241" s="12" t="s">
        <v>687</v>
      </c>
      <c r="B241" s="12" t="n">
        <v>2025</v>
      </c>
      <c r="C241" s="12" t="n">
        <v>635</v>
      </c>
      <c r="D241" s="12" t="n">
        <v>19003.5</v>
      </c>
      <c r="E241" s="12" t="n">
        <f aca="false">IFERROR(INDEX('Catalog'!$A:$A,MATCH($A241,'Catalog'!$B:$B,0)),IFERROR(INDEX('Catalog'!$A:$A,MATCH(TRIM(SUBSTITUTE($A241,CHAR(160)," ")),'Catalog'!$C:$C,0)),""))</f>
        <v>4418001</v>
      </c>
      <c r="F241" s="12" t="str">
        <f aca="false">IF($E241="","Unmatched","Matched")</f>
        <v>Matched</v>
      </c>
    </row>
    <row r="242" customFormat="false" ht="15" hidden="false" customHeight="true" outlineLevel="0" collapsed="false">
      <c r="A242" s="12" t="s">
        <v>688</v>
      </c>
      <c r="B242" s="12" t="n">
        <v>2025</v>
      </c>
      <c r="C242" s="12" t="n">
        <v>371</v>
      </c>
      <c r="D242" s="12" t="n">
        <v>11107.5</v>
      </c>
      <c r="E242" s="12" t="n">
        <f aca="false">IFERROR(INDEX('Catalog'!$A:$A,MATCH($A242,'Catalog'!$B:$B,0)),IFERROR(INDEX('Catalog'!$A:$A,MATCH(TRIM(SUBSTITUTE($A242,CHAR(160)," ")),'Catalog'!$C:$C,0)),""))</f>
        <v>4418002</v>
      </c>
      <c r="F242" s="12" t="str">
        <f aca="false">IF($E242="","Unmatched","Matched")</f>
        <v>Matched</v>
      </c>
    </row>
    <row r="243" customFormat="false" ht="15" hidden="false" customHeight="true" outlineLevel="0" collapsed="false">
      <c r="A243" s="12" t="s">
        <v>689</v>
      </c>
      <c r="B243" s="12" t="n">
        <v>2025</v>
      </c>
      <c r="C243" s="12" t="n">
        <v>503</v>
      </c>
      <c r="D243" s="12" t="n">
        <v>15063</v>
      </c>
      <c r="E243" s="12" t="n">
        <f aca="false">IFERROR(INDEX('Catalog'!$A:$A,MATCH($A243,'Catalog'!$B:$B,0)),IFERROR(INDEX('Catalog'!$A:$A,MATCH(TRIM(SUBSTITUTE($A243,CHAR(160)," ")),'Catalog'!$C:$C,0)),""))</f>
        <v>4418003</v>
      </c>
      <c r="F243" s="12" t="str">
        <f aca="false">IF($E243="","Unmatched","Matched")</f>
        <v>Matched</v>
      </c>
    </row>
    <row r="244" customFormat="false" ht="15" hidden="false" customHeight="true" outlineLevel="0" collapsed="false">
      <c r="A244" s="12" t="s">
        <v>690</v>
      </c>
      <c r="B244" s="12" t="n">
        <v>2025</v>
      </c>
      <c r="C244" s="12" t="n">
        <v>1</v>
      </c>
      <c r="D244" s="12" t="n">
        <v>30</v>
      </c>
      <c r="E244" s="12" t="n">
        <f aca="false">IFERROR(INDEX('Catalog'!$A:$A,MATCH($A244,'Catalog'!$B:$B,0)),IFERROR(INDEX('Catalog'!$A:$A,MATCH(TRIM(SUBSTITUTE($A244,CHAR(160)," ")),'Catalog'!$C:$C,0)),""))</f>
        <v>4418004</v>
      </c>
      <c r="F244" s="12" t="str">
        <f aca="false">IF($E244="","Unmatched","Matched")</f>
        <v>Matched</v>
      </c>
    </row>
    <row r="245" customFormat="false" ht="15" hidden="false" customHeight="true" outlineLevel="0" collapsed="false">
      <c r="A245" s="12" t="s">
        <v>691</v>
      </c>
      <c r="B245" s="12" t="n">
        <v>2025</v>
      </c>
      <c r="C245" s="12" t="n">
        <v>-3</v>
      </c>
      <c r="D245" s="12" t="n">
        <v>-90</v>
      </c>
      <c r="E245" s="12" t="n">
        <f aca="false">IFERROR(INDEX('Catalog'!$A:$A,MATCH($A245,'Catalog'!$B:$B,0)),IFERROR(INDEX('Catalog'!$A:$A,MATCH(TRIM(SUBSTITUTE($A245,CHAR(160)," ")),'Catalog'!$C:$C,0)),""))</f>
        <v>4418016</v>
      </c>
      <c r="F245" s="12" t="str">
        <f aca="false">IF($E245="","Unmatched","Matched")</f>
        <v>Matched</v>
      </c>
    </row>
    <row r="246" customFormat="false" ht="15" hidden="false" customHeight="true" outlineLevel="0" collapsed="false">
      <c r="A246" s="12" t="s">
        <v>776</v>
      </c>
      <c r="B246" s="12" t="n">
        <v>2025</v>
      </c>
      <c r="C246" s="12" t="n">
        <v>34</v>
      </c>
      <c r="D246" s="12" t="n">
        <v>336.9</v>
      </c>
      <c r="E246" s="12" t="n">
        <f aca="false">IFERROR(INDEX('Catalog'!$A:$A,MATCH($A246,'Catalog'!$B:$B,0)),IFERROR(INDEX('Catalog'!$A:$A,MATCH(TRIM(SUBSTITUTE($A246,CHAR(160)," ")),'Catalog'!$C:$C,0)),""))</f>
        <v>4420001</v>
      </c>
      <c r="F246" s="12" t="str">
        <f aca="false">IF($E246="","Unmatched","Matched")</f>
        <v>Matched</v>
      </c>
    </row>
    <row r="247" customFormat="false" ht="15" hidden="false" customHeight="true" outlineLevel="0" collapsed="false">
      <c r="A247" s="12" t="s">
        <v>788</v>
      </c>
      <c r="B247" s="12" t="n">
        <v>2025</v>
      </c>
      <c r="C247" s="12" t="n">
        <v>0</v>
      </c>
      <c r="D247" s="12" t="n">
        <v>7.7</v>
      </c>
      <c r="E247" s="12" t="n">
        <f aca="false">IFERROR(INDEX('Catalog'!$A:$A,MATCH($A247,'Catalog'!$B:$B,0)),IFERROR(INDEX('Catalog'!$A:$A,MATCH(TRIM(SUBSTITUTE($A247,CHAR(160)," ")),'Catalog'!$C:$C,0)),""))</f>
        <v>4420005</v>
      </c>
      <c r="F247" s="12" t="str">
        <f aca="false">IF($E247="","Unmatched","Matched")</f>
        <v>Matched</v>
      </c>
    </row>
    <row r="248" customFormat="false" ht="15" hidden="false" customHeight="true" outlineLevel="0" collapsed="false">
      <c r="A248" s="12" t="s">
        <v>779</v>
      </c>
      <c r="B248" s="12" t="n">
        <v>2025</v>
      </c>
      <c r="C248" s="12" t="n">
        <v>6</v>
      </c>
      <c r="D248" s="12" t="n">
        <v>219.1</v>
      </c>
      <c r="E248" s="12" t="n">
        <f aca="false">IFERROR(INDEX('Catalog'!$A:$A,MATCH($A248,'Catalog'!$B:$B,0)),IFERROR(INDEX('Catalog'!$A:$A,MATCH(TRIM(SUBSTITUTE($A248,CHAR(160)," ")),'Catalog'!$C:$C,0)),""))</f>
        <v>4420007</v>
      </c>
      <c r="F248" s="12" t="str">
        <f aca="false">IF($E248="","Unmatched","Matched")</f>
        <v>Matched</v>
      </c>
    </row>
    <row r="249" customFormat="false" ht="15" hidden="false" customHeight="true" outlineLevel="0" collapsed="false">
      <c r="A249" s="12" t="s">
        <v>783</v>
      </c>
      <c r="B249" s="12" t="n">
        <v>2025</v>
      </c>
      <c r="C249" s="12" t="n">
        <v>3</v>
      </c>
      <c r="D249" s="12" t="n">
        <v>109.6</v>
      </c>
      <c r="E249" s="12" t="n">
        <f aca="false">IFERROR(INDEX('Catalog'!$A:$A,MATCH($A249,'Catalog'!$B:$B,0)),IFERROR(INDEX('Catalog'!$A:$A,MATCH(TRIM(SUBSTITUTE($A249,CHAR(160)," ")),'Catalog'!$C:$C,0)),""))</f>
        <v>4420008</v>
      </c>
      <c r="F249" s="12" t="str">
        <f aca="false">IF($E249="","Unmatched","Matched")</f>
        <v>Matched</v>
      </c>
    </row>
    <row r="250" customFormat="false" ht="15" hidden="false" customHeight="true" outlineLevel="0" collapsed="false">
      <c r="A250" s="12" t="s">
        <v>787</v>
      </c>
      <c r="B250" s="12" t="n">
        <v>2025</v>
      </c>
      <c r="C250" s="12" t="n">
        <v>1</v>
      </c>
      <c r="D250" s="12" t="n">
        <v>36.5</v>
      </c>
      <c r="E250" s="12" t="n">
        <f aca="false">IFERROR(INDEX('Catalog'!$A:$A,MATCH($A250,'Catalog'!$B:$B,0)),IFERROR(INDEX('Catalog'!$A:$A,MATCH(TRIM(SUBSTITUTE($A250,CHAR(160)," ")),'Catalog'!$C:$C,0)),""))</f>
        <v>4420010</v>
      </c>
      <c r="F250" s="12" t="str">
        <f aca="false">IF($E250="","Unmatched","Matched")</f>
        <v>Matched</v>
      </c>
    </row>
    <row r="251" customFormat="false" ht="15" hidden="false" customHeight="true" outlineLevel="0" collapsed="false">
      <c r="A251" s="12" t="s">
        <v>790</v>
      </c>
      <c r="B251" s="12" t="n">
        <v>2025</v>
      </c>
      <c r="C251" s="12" t="n">
        <v>-2</v>
      </c>
      <c r="D251" s="12" t="n">
        <v>-73</v>
      </c>
      <c r="E251" s="12" t="n">
        <f aca="false">IFERROR(INDEX('Catalog'!$A:$A,MATCH($A251,'Catalog'!$B:$B,0)),IFERROR(INDEX('Catalog'!$A:$A,MATCH(TRIM(SUBSTITUTE($A251,CHAR(160)," ")),'Catalog'!$C:$C,0)),""))</f>
        <v>4420011</v>
      </c>
      <c r="F251" s="12" t="str">
        <f aca="false">IF($E251="","Unmatched","Matched")</f>
        <v>Matched</v>
      </c>
    </row>
    <row r="252" customFormat="false" ht="15" hidden="false" customHeight="true" outlineLevel="0" collapsed="false">
      <c r="A252" s="12" t="s">
        <v>780</v>
      </c>
      <c r="B252" s="12" t="n">
        <v>2025</v>
      </c>
      <c r="C252" s="12" t="n">
        <v>3</v>
      </c>
      <c r="D252" s="12" t="n">
        <v>109.6</v>
      </c>
      <c r="E252" s="12" t="n">
        <f aca="false">IFERROR(INDEX('Catalog'!$A:$A,MATCH($A252,'Catalog'!$B:$B,0)),IFERROR(INDEX('Catalog'!$A:$A,MATCH(TRIM(SUBSTITUTE($A252,CHAR(160)," ")),'Catalog'!$C:$C,0)),""))</f>
        <v>4420012</v>
      </c>
      <c r="F252" s="12" t="str">
        <f aca="false">IF($E252="","Unmatched","Matched")</f>
        <v>Matched</v>
      </c>
    </row>
    <row r="253" customFormat="false" ht="15" hidden="false" customHeight="true" outlineLevel="0" collapsed="false">
      <c r="A253" s="12" t="s">
        <v>786</v>
      </c>
      <c r="B253" s="12" t="n">
        <v>2025</v>
      </c>
      <c r="C253" s="12" t="n">
        <v>0</v>
      </c>
      <c r="D253" s="12" t="n">
        <v>3.7</v>
      </c>
      <c r="E253" s="12" t="n">
        <f aca="false">IFERROR(INDEX('Catalog'!$A:$A,MATCH($A253,'Catalog'!$B:$B,0)),IFERROR(INDEX('Catalog'!$A:$A,MATCH(TRIM(SUBSTITUTE($A253,CHAR(160)," ")),'Catalog'!$C:$C,0)),""))</f>
        <v>4420013</v>
      </c>
      <c r="F253" s="12" t="str">
        <f aca="false">IF($E253="","Unmatched","Matched")</f>
        <v>Matched</v>
      </c>
    </row>
    <row r="254" customFormat="false" ht="15" hidden="false" customHeight="true" outlineLevel="0" collapsed="false">
      <c r="A254" s="12" t="s">
        <v>789</v>
      </c>
      <c r="B254" s="12" t="n">
        <v>2025</v>
      </c>
      <c r="C254" s="12" t="n">
        <v>-5</v>
      </c>
      <c r="D254" s="12" t="n">
        <v>-182.6</v>
      </c>
      <c r="E254" s="12" t="n">
        <f aca="false">IFERROR(INDEX('Catalog'!$A:$A,MATCH($A254,'Catalog'!$B:$B,0)),IFERROR(INDEX('Catalog'!$A:$A,MATCH(TRIM(SUBSTITUTE($A254,CHAR(160)," ")),'Catalog'!$C:$C,0)),""))</f>
        <v>4420014</v>
      </c>
      <c r="F254" s="12" t="str">
        <f aca="false">IF($E254="","Unmatched","Matched")</f>
        <v>Matched</v>
      </c>
    </row>
    <row r="255" customFormat="false" ht="15" hidden="false" customHeight="true" outlineLevel="0" collapsed="false">
      <c r="A255" s="12" t="s">
        <v>785</v>
      </c>
      <c r="B255" s="12" t="n">
        <v>2025</v>
      </c>
      <c r="C255" s="12" t="n">
        <v>-3</v>
      </c>
      <c r="D255" s="12" t="n">
        <v>-109.6</v>
      </c>
      <c r="E255" s="12" t="n">
        <f aca="false">IFERROR(INDEX('Catalog'!$A:$A,MATCH($A255,'Catalog'!$B:$B,0)),IFERROR(INDEX('Catalog'!$A:$A,MATCH(TRIM(SUBSTITUTE($A255,CHAR(160)," ")),'Catalog'!$C:$C,0)),""))</f>
        <v>4420015</v>
      </c>
      <c r="F255" s="12" t="str">
        <f aca="false">IF($E255="","Unmatched","Matched")</f>
        <v>Matched</v>
      </c>
    </row>
    <row r="256" customFormat="false" ht="15" hidden="false" customHeight="true" outlineLevel="0" collapsed="false">
      <c r="A256" s="12" t="s">
        <v>84</v>
      </c>
      <c r="B256" s="12" t="n">
        <v>2025</v>
      </c>
      <c r="C256" s="12" t="n">
        <v>965</v>
      </c>
      <c r="D256" s="12" t="n">
        <v>43385.1</v>
      </c>
      <c r="E256" s="12" t="n">
        <f aca="false">IFERROR(INDEX('Catalog'!$A:$A,MATCH($A256,'Catalog'!$B:$B,0)),IFERROR(INDEX('Catalog'!$A:$A,MATCH(TRIM(SUBSTITUTE($A256,CHAR(160)," ")),'Catalog'!$C:$C,0)),""))</f>
        <v>4420016</v>
      </c>
      <c r="F256" s="12" t="str">
        <f aca="false">IF($E256="","Unmatched","Matched")</f>
        <v>Matched</v>
      </c>
    </row>
    <row r="257" customFormat="false" ht="15" hidden="false" customHeight="true" outlineLevel="0" collapsed="false">
      <c r="A257" s="12" t="s">
        <v>85</v>
      </c>
      <c r="B257" s="12" t="n">
        <v>2025</v>
      </c>
      <c r="C257" s="12" t="n">
        <v>40</v>
      </c>
      <c r="D257" s="12" t="n">
        <v>3726.4</v>
      </c>
      <c r="E257" s="12" t="n">
        <f aca="false">IFERROR(INDEX('Catalog'!$A:$A,MATCH($A257,'Catalog'!$B:$B,0)),IFERROR(INDEX('Catalog'!$A:$A,MATCH(TRIM(SUBSTITUTE($A257,CHAR(160)," ")),'Catalog'!$C:$C,0)),""))</f>
        <v>4420017</v>
      </c>
      <c r="F257" s="12" t="str">
        <f aca="false">IF($E257="","Unmatched","Matched")</f>
        <v>Matched</v>
      </c>
    </row>
    <row r="258" customFormat="false" ht="15" hidden="false" customHeight="true" outlineLevel="0" collapsed="false">
      <c r="A258" s="12" t="s">
        <v>506</v>
      </c>
      <c r="B258" s="12" t="n">
        <v>2025</v>
      </c>
      <c r="C258" s="12" t="n">
        <v>2</v>
      </c>
      <c r="D258" s="12" t="n">
        <v>98.2</v>
      </c>
      <c r="E258" s="12" t="n">
        <f aca="false">IFERROR(INDEX('Catalog'!$A:$A,MATCH($A258,'Catalog'!$B:$B,0)),IFERROR(INDEX('Catalog'!$A:$A,MATCH(TRIM(SUBSTITUTE($A258,CHAR(160)," ")),'Catalog'!$C:$C,0)),""))</f>
        <v>4420019</v>
      </c>
      <c r="F258" s="12" t="str">
        <f aca="false">IF($E258="","Unmatched","Matched")</f>
        <v>Matched</v>
      </c>
    </row>
    <row r="259" customFormat="false" ht="15" hidden="false" customHeight="true" outlineLevel="0" collapsed="false">
      <c r="A259" s="12" t="s">
        <v>164</v>
      </c>
      <c r="B259" s="12" t="n">
        <v>2025</v>
      </c>
      <c r="C259" s="12" t="n">
        <v>-1</v>
      </c>
      <c r="D259" s="12" t="n">
        <v>-73.9</v>
      </c>
      <c r="E259" s="12" t="n">
        <f aca="false">IFERROR(INDEX('Catalog'!$A:$A,MATCH($A259,'Catalog'!$B:$B,0)),IFERROR(INDEX('Catalog'!$A:$A,MATCH(TRIM(SUBSTITUTE($A259,CHAR(160)," ")),'Catalog'!$C:$C,0)),""))</f>
        <v>4420021</v>
      </c>
      <c r="F259" s="12" t="str">
        <f aca="false">IF($E259="","Unmatched","Matched")</f>
        <v>Matched</v>
      </c>
    </row>
    <row r="260" customFormat="false" ht="15" hidden="false" customHeight="true" outlineLevel="0" collapsed="false">
      <c r="A260" s="12" t="s">
        <v>405</v>
      </c>
      <c r="B260" s="12" t="n">
        <v>2025</v>
      </c>
      <c r="C260" s="12" t="n">
        <v>-3</v>
      </c>
      <c r="D260" s="12" t="n">
        <v>-85.8</v>
      </c>
      <c r="E260" s="12" t="n">
        <f aca="false">IFERROR(INDEX('Catalog'!$A:$A,MATCH($A260,'Catalog'!$B:$B,0)),IFERROR(INDEX('Catalog'!$A:$A,MATCH(TRIM(SUBSTITUTE($A260,CHAR(160)," ")),'Catalog'!$C:$C,0)),""))</f>
        <v>4420023</v>
      </c>
      <c r="F260" s="12" t="str">
        <f aca="false">IF($E260="","Unmatched","Matched")</f>
        <v>Matched</v>
      </c>
    </row>
    <row r="261" customFormat="false" ht="15" hidden="false" customHeight="true" outlineLevel="0" collapsed="false">
      <c r="A261" s="12" t="s">
        <v>406</v>
      </c>
      <c r="B261" s="12" t="n">
        <v>2025</v>
      </c>
      <c r="C261" s="12" t="n">
        <v>-2</v>
      </c>
      <c r="D261" s="12" t="n">
        <v>-40.5</v>
      </c>
      <c r="E261" s="12" t="n">
        <f aca="false">IFERROR(INDEX('Catalog'!$A:$A,MATCH($A261,'Catalog'!$B:$B,0)),IFERROR(INDEX('Catalog'!$A:$A,MATCH(TRIM(SUBSTITUTE($A261,CHAR(160)," ")),'Catalog'!$C:$C,0)),""))</f>
        <v>4420025</v>
      </c>
      <c r="F261" s="12" t="str">
        <f aca="false">IF($E261="","Unmatched","Matched")</f>
        <v>Matched</v>
      </c>
    </row>
    <row r="262" customFormat="false" ht="15" hidden="false" customHeight="true" outlineLevel="0" collapsed="false">
      <c r="A262" s="12" t="s">
        <v>547</v>
      </c>
      <c r="B262" s="12" t="n">
        <v>2025</v>
      </c>
      <c r="C262" s="12" t="n">
        <v>1179</v>
      </c>
      <c r="D262" s="12" t="n">
        <v>61190.5</v>
      </c>
      <c r="E262" s="12" t="n">
        <f aca="false">IFERROR(INDEX('Catalog'!$A:$A,MATCH($A262,'Catalog'!$B:$B,0)),IFERROR(INDEX('Catalog'!$A:$A,MATCH(TRIM(SUBSTITUTE($A262,CHAR(160)," ")),'Catalog'!$C:$C,0)),""))</f>
        <v>4421001</v>
      </c>
      <c r="F262" s="12" t="str">
        <f aca="false">IF($E262="","Unmatched","Matched")</f>
        <v>Matched</v>
      </c>
    </row>
    <row r="263" customFormat="false" ht="15" hidden="false" customHeight="true" outlineLevel="0" collapsed="false">
      <c r="A263" s="12" t="s">
        <v>838</v>
      </c>
      <c r="B263" s="12" t="n">
        <v>2025</v>
      </c>
      <c r="C263" s="12" t="n">
        <v>283</v>
      </c>
      <c r="D263" s="12" t="n">
        <v>4566.7</v>
      </c>
      <c r="E263" s="12" t="n">
        <f aca="false">IFERROR(INDEX('Catalog'!$A:$A,MATCH($A263,'Catalog'!$B:$B,0)),IFERROR(INDEX('Catalog'!$A:$A,MATCH(TRIM(SUBSTITUTE($A263,CHAR(160)," ")),'Catalog'!$C:$C,0)),""))</f>
        <v>4422000</v>
      </c>
      <c r="F263" s="12" t="str">
        <f aca="false">IF($E263="","Unmatched","Matched")</f>
        <v>Matched</v>
      </c>
    </row>
    <row r="264" customFormat="false" ht="15" hidden="false" customHeight="true" outlineLevel="0" collapsed="false">
      <c r="A264" s="12" t="s">
        <v>706</v>
      </c>
      <c r="B264" s="12" t="n">
        <v>2025</v>
      </c>
      <c r="C264" s="12" t="n">
        <v>-3</v>
      </c>
      <c r="D264" s="12" t="n">
        <v>-70.7</v>
      </c>
      <c r="E264" s="12" t="n">
        <f aca="false">IFERROR(INDEX('Catalog'!$A:$A,MATCH($A264,'Catalog'!$B:$B,0)),IFERROR(INDEX('Catalog'!$A:$A,MATCH(TRIM(SUBSTITUTE($A264,CHAR(160)," ")),'Catalog'!$C:$C,0)),""))</f>
        <v>4422003</v>
      </c>
      <c r="F264" s="12" t="str">
        <f aca="false">IF($E264="","Unmatched","Matched")</f>
        <v>Matched</v>
      </c>
    </row>
    <row r="265" customFormat="false" ht="15" hidden="false" customHeight="true" outlineLevel="0" collapsed="false">
      <c r="A265" s="12" t="s">
        <v>399</v>
      </c>
      <c r="B265" s="12" t="n">
        <v>2025</v>
      </c>
      <c r="C265" s="12" t="n">
        <v>5</v>
      </c>
      <c r="D265" s="12" t="n">
        <v>827.4</v>
      </c>
      <c r="E265" s="12" t="n">
        <f aca="false">IFERROR(INDEX('Catalog'!$A:$A,MATCH($A265,'Catalog'!$B:$B,0)),IFERROR(INDEX('Catalog'!$A:$A,MATCH(TRIM(SUBSTITUTE($A265,CHAR(160)," ")),'Catalog'!$C:$C,0)),""))</f>
        <v>4422005</v>
      </c>
      <c r="F265" s="12" t="str">
        <f aca="false">IF($E265="","Unmatched","Matched")</f>
        <v>Matched</v>
      </c>
    </row>
    <row r="266" customFormat="false" ht="15" hidden="false" customHeight="true" outlineLevel="0" collapsed="false">
      <c r="A266" s="12" t="s">
        <v>398</v>
      </c>
      <c r="B266" s="12" t="n">
        <v>2025</v>
      </c>
      <c r="C266" s="12" t="n">
        <v>4</v>
      </c>
      <c r="D266" s="12" t="n">
        <v>655.4</v>
      </c>
      <c r="E266" s="12" t="n">
        <f aca="false">IFERROR(INDEX('Catalog'!$A:$A,MATCH($A266,'Catalog'!$B:$B,0)),IFERROR(INDEX('Catalog'!$A:$A,MATCH(TRIM(SUBSTITUTE($A266,CHAR(160)," ")),'Catalog'!$C:$C,0)),""))</f>
        <v>4422006</v>
      </c>
      <c r="F266" s="12" t="str">
        <f aca="false">IF($E266="","Unmatched","Matched")</f>
        <v>Matched</v>
      </c>
    </row>
    <row r="267" customFormat="false" ht="15" hidden="false" customHeight="true" outlineLevel="0" collapsed="false">
      <c r="A267" s="12" t="s">
        <v>401</v>
      </c>
      <c r="B267" s="12" t="n">
        <v>2025</v>
      </c>
      <c r="C267" s="12" t="n">
        <v>4</v>
      </c>
      <c r="D267" s="12" t="n">
        <v>655.4</v>
      </c>
      <c r="E267" s="12" t="n">
        <f aca="false">IFERROR(INDEX('Catalog'!$A:$A,MATCH($A267,'Catalog'!$B:$B,0)),IFERROR(INDEX('Catalog'!$A:$A,MATCH(TRIM(SUBSTITUTE($A267,CHAR(160)," ")),'Catalog'!$C:$C,0)),""))</f>
        <v>4422007</v>
      </c>
      <c r="F267" s="12" t="str">
        <f aca="false">IF($E267="","Unmatched","Matched")</f>
        <v>Matched</v>
      </c>
    </row>
    <row r="268" customFormat="false" ht="15" hidden="false" customHeight="true" outlineLevel="0" collapsed="false">
      <c r="A268" s="12" t="s">
        <v>620</v>
      </c>
      <c r="B268" s="12" t="n">
        <v>2025</v>
      </c>
      <c r="C268" s="12" t="n">
        <v>4521</v>
      </c>
      <c r="D268" s="12" t="n">
        <v>304743.2</v>
      </c>
      <c r="E268" s="12" t="n">
        <f aca="false">IFERROR(INDEX('Catalog'!$A:$A,MATCH($A268,'Catalog'!$B:$B,0)),IFERROR(INDEX('Catalog'!$A:$A,MATCH(TRIM(SUBSTITUTE($A268,CHAR(160)," ")),'Catalog'!$C:$C,0)),""))</f>
        <v>4415158</v>
      </c>
      <c r="F268" s="12" t="str">
        <f aca="false">IF($E268="","Unmatched","Matched")</f>
        <v>Matched</v>
      </c>
    </row>
    <row r="269" customFormat="false" ht="15" hidden="false" customHeight="true" outlineLevel="0" collapsed="false">
      <c r="A269" s="12" t="s">
        <v>631</v>
      </c>
      <c r="B269" s="12" t="n">
        <v>2025</v>
      </c>
      <c r="C269" s="12" t="n">
        <v>145</v>
      </c>
      <c r="D269" s="12" t="n">
        <v>14778.5</v>
      </c>
      <c r="E269" s="12" t="n">
        <f aca="false">IFERROR(INDEX('Catalog'!$A:$A,MATCH($A269,'Catalog'!$B:$B,0)),IFERROR(INDEX('Catalog'!$A:$A,MATCH(TRIM(SUBSTITUTE($A269,CHAR(160)," ")),'Catalog'!$C:$C,0)),""))</f>
        <v>4415159</v>
      </c>
      <c r="F269" s="12" t="str">
        <f aca="false">IF($E269="","Unmatched","Matched")</f>
        <v>Matched</v>
      </c>
    </row>
    <row r="270" customFormat="false" ht="15" hidden="false" customHeight="true" outlineLevel="0" collapsed="false">
      <c r="A270" s="12" t="s">
        <v>207</v>
      </c>
      <c r="B270" s="12" t="n">
        <v>2025</v>
      </c>
      <c r="C270" s="12" t="n">
        <v>434</v>
      </c>
      <c r="D270" s="12" t="n">
        <v>22846.7</v>
      </c>
      <c r="E270" s="12" t="n">
        <f aca="false">IFERROR(INDEX('Catalog'!$A:$A,MATCH($A270,'Catalog'!$B:$B,0)),IFERROR(INDEX('Catalog'!$A:$A,MATCH(TRIM(SUBSTITUTE($A270,CHAR(160)," ")),'Catalog'!$C:$C,0)),""))</f>
        <v>4403028</v>
      </c>
      <c r="F270" s="12" t="str">
        <f aca="false">IF($E270="","Unmatched","Matched")</f>
        <v>Matched</v>
      </c>
    </row>
    <row r="271" customFormat="false" ht="15" hidden="false" customHeight="true" outlineLevel="0" collapsed="false">
      <c r="A271" s="12" t="s">
        <v>208</v>
      </c>
      <c r="B271" s="12" t="n">
        <v>2025</v>
      </c>
      <c r="C271" s="12" t="n">
        <v>545</v>
      </c>
      <c r="D271" s="12" t="n">
        <v>28632.9</v>
      </c>
      <c r="E271" s="12" t="n">
        <f aca="false">IFERROR(INDEX('Catalog'!$A:$A,MATCH($A271,'Catalog'!$B:$B,0)),IFERROR(INDEX('Catalog'!$A:$A,MATCH(TRIM(SUBSTITUTE($A271,CHAR(160)," ")),'Catalog'!$C:$C,0)),""))</f>
        <v>4403029</v>
      </c>
      <c r="F271" s="12" t="str">
        <f aca="false">IF($E271="","Unmatched","Matched")</f>
        <v>Matched</v>
      </c>
    </row>
    <row r="272" customFormat="false" ht="15" hidden="false" customHeight="true" outlineLevel="0" collapsed="false">
      <c r="A272" s="12" t="s">
        <v>209</v>
      </c>
      <c r="B272" s="12" t="n">
        <v>2025</v>
      </c>
      <c r="C272" s="12" t="n">
        <v>527</v>
      </c>
      <c r="D272" s="12" t="n">
        <v>27725.3</v>
      </c>
      <c r="E272" s="12" t="n">
        <f aca="false">IFERROR(INDEX('Catalog'!$A:$A,MATCH($A272,'Catalog'!$B:$B,0)),IFERROR(INDEX('Catalog'!$A:$A,MATCH(TRIM(SUBSTITUTE($A272,CHAR(160)," ")),'Catalog'!$C:$C,0)),""))</f>
        <v>4403030</v>
      </c>
      <c r="F272" s="12" t="str">
        <f aca="false">IF($E272="","Unmatched","Matched")</f>
        <v>Matched</v>
      </c>
    </row>
    <row r="273" customFormat="false" ht="15" hidden="false" customHeight="true" outlineLevel="0" collapsed="false">
      <c r="A273" s="12" t="s">
        <v>237</v>
      </c>
      <c r="B273" s="12" t="n">
        <v>2025</v>
      </c>
      <c r="C273" s="12" t="n">
        <v>359</v>
      </c>
      <c r="D273" s="12" t="n">
        <v>33059.8</v>
      </c>
      <c r="E273" s="12" t="n">
        <f aca="false">IFERROR(INDEX('Catalog'!$A:$A,MATCH($A273,'Catalog'!$B:$B,0)),IFERROR(INDEX('Catalog'!$A:$A,MATCH(TRIM(SUBSTITUTE($A273,CHAR(160)," ")),'Catalog'!$C:$C,0)),""))</f>
        <v>4408219</v>
      </c>
      <c r="F273" s="12" t="str">
        <f aca="false">IF($E273="","Unmatched","Matched")</f>
        <v>Matched</v>
      </c>
    </row>
    <row r="274" customFormat="false" ht="15" hidden="false" customHeight="true" outlineLevel="0" collapsed="false">
      <c r="A274" s="12" t="s">
        <v>236</v>
      </c>
      <c r="B274" s="12" t="n">
        <v>2025</v>
      </c>
      <c r="C274" s="12" t="n">
        <v>1204</v>
      </c>
      <c r="D274" s="12" t="n">
        <v>110749.4</v>
      </c>
      <c r="E274" s="12" t="n">
        <f aca="false">IFERROR(INDEX('Catalog'!$A:$A,MATCH($A274,'Catalog'!$B:$B,0)),IFERROR(INDEX('Catalog'!$A:$A,MATCH(TRIM(SUBSTITUTE($A274,CHAR(160)," ")),'Catalog'!$C:$C,0)),""))</f>
        <v>4408220</v>
      </c>
      <c r="F274" s="12" t="str">
        <f aca="false">IF($E274="","Unmatched","Matched")</f>
        <v>Matched</v>
      </c>
    </row>
    <row r="275" customFormat="false" ht="15" hidden="false" customHeight="true" outlineLevel="0" collapsed="false">
      <c r="A275" s="12" t="s">
        <v>235</v>
      </c>
      <c r="B275" s="12" t="n">
        <v>2025</v>
      </c>
      <c r="C275" s="12" t="n">
        <v>1760</v>
      </c>
      <c r="D275" s="12" t="n">
        <v>161994.9</v>
      </c>
      <c r="E275" s="12" t="n">
        <f aca="false">IFERROR(INDEX('Catalog'!$A:$A,MATCH($A275,'Catalog'!$B:$B,0)),IFERROR(INDEX('Catalog'!$A:$A,MATCH(TRIM(SUBSTITUTE($A275,CHAR(160)," ")),'Catalog'!$C:$C,0)),""))</f>
        <v>4408221</v>
      </c>
      <c r="F275" s="12" t="str">
        <f aca="false">IF($E275="","Unmatched","Matched")</f>
        <v>Matched</v>
      </c>
    </row>
    <row r="276" customFormat="false" ht="15" hidden="false" customHeight="true" outlineLevel="0" collapsed="false">
      <c r="A276" s="12" t="s">
        <v>238</v>
      </c>
      <c r="B276" s="12" t="n">
        <v>2025</v>
      </c>
      <c r="C276" s="12" t="n">
        <v>1499</v>
      </c>
      <c r="D276" s="12" t="n">
        <v>137916.9</v>
      </c>
      <c r="E276" s="12" t="n">
        <f aca="false">IFERROR(INDEX('Catalog'!$A:$A,MATCH($A276,'Catalog'!$B:$B,0)),IFERROR(INDEX('Catalog'!$A:$A,MATCH(TRIM(SUBSTITUTE($A276,CHAR(160)," ")),'Catalog'!$C:$C,0)),""))</f>
        <v>4408222</v>
      </c>
      <c r="F276" s="12" t="str">
        <f aca="false">IF($E276="","Unmatched","Matched")</f>
        <v>Matched</v>
      </c>
    </row>
    <row r="277" customFormat="false" ht="15" hidden="false" customHeight="true" outlineLevel="0" collapsed="false">
      <c r="A277" s="12" t="s">
        <v>239</v>
      </c>
      <c r="B277" s="12" t="n">
        <v>2025</v>
      </c>
      <c r="C277" s="12" t="n">
        <v>161</v>
      </c>
      <c r="D277" s="12" t="n">
        <v>14776.5</v>
      </c>
      <c r="E277" s="12" t="n">
        <f aca="false">IFERROR(INDEX('Catalog'!$A:$A,MATCH($A277,'Catalog'!$B:$B,0)),IFERROR(INDEX('Catalog'!$A:$A,MATCH(TRIM(SUBSTITUTE($A277,CHAR(160)," ")),'Catalog'!$C:$C,0)),""))</f>
        <v>4408223</v>
      </c>
      <c r="F277" s="12" t="str">
        <f aca="false">IF($E277="","Unmatched","Matched")</f>
        <v>Matched</v>
      </c>
    </row>
    <row r="278" customFormat="false" ht="15" hidden="false" customHeight="true" outlineLevel="0" collapsed="false">
      <c r="A278" s="12" t="s">
        <v>333</v>
      </c>
      <c r="B278" s="12" t="n">
        <v>2025</v>
      </c>
      <c r="C278" s="12" t="n">
        <v>15</v>
      </c>
      <c r="D278" s="12" t="n">
        <v>1210.5</v>
      </c>
      <c r="E278" s="12" t="n">
        <f aca="false">IFERROR(INDEX('Catalog'!$A:$A,MATCH($A278,'Catalog'!$B:$B,0)),IFERROR(INDEX('Catalog'!$A:$A,MATCH(TRIM(SUBSTITUTE($A278,CHAR(160)," ")),'Catalog'!$C:$C,0)),""))</f>
        <v>4408224</v>
      </c>
      <c r="F278" s="12" t="str">
        <f aca="false">IF($E278="","Unmatched","Matched")</f>
        <v>Matched</v>
      </c>
    </row>
    <row r="279" customFormat="false" ht="15" hidden="false" customHeight="true" outlineLevel="0" collapsed="false">
      <c r="A279" s="12" t="s">
        <v>330</v>
      </c>
      <c r="B279" s="12" t="n">
        <v>2025</v>
      </c>
      <c r="C279" s="12" t="n">
        <v>34</v>
      </c>
      <c r="D279" s="12" t="n">
        <v>2730.6</v>
      </c>
      <c r="E279" s="12" t="n">
        <f aca="false">IFERROR(INDEX('Catalog'!$A:$A,MATCH($A279,'Catalog'!$B:$B,0)),IFERROR(INDEX('Catalog'!$A:$A,MATCH(TRIM(SUBSTITUTE($A279,CHAR(160)," ")),'Catalog'!$C:$C,0)),""))</f>
        <v>4408225</v>
      </c>
      <c r="F279" s="12" t="str">
        <f aca="false">IF($E279="","Unmatched","Matched")</f>
        <v>Matched</v>
      </c>
    </row>
    <row r="280" customFormat="false" ht="15" hidden="false" customHeight="true" outlineLevel="0" collapsed="false">
      <c r="A280" s="12" t="s">
        <v>329</v>
      </c>
      <c r="B280" s="12" t="n">
        <v>2025</v>
      </c>
      <c r="C280" s="12" t="n">
        <v>45</v>
      </c>
      <c r="D280" s="12" t="n">
        <v>3611.3</v>
      </c>
      <c r="E280" s="12" t="n">
        <f aca="false">IFERROR(INDEX('Catalog'!$A:$A,MATCH($A280,'Catalog'!$B:$B,0)),IFERROR(INDEX('Catalog'!$A:$A,MATCH(TRIM(SUBSTITUTE($A280,CHAR(160)," ")),'Catalog'!$C:$C,0)),""))</f>
        <v>4408226</v>
      </c>
      <c r="F280" s="12" t="str">
        <f aca="false">IF($E280="","Unmatched","Matched")</f>
        <v>Matched</v>
      </c>
    </row>
    <row r="281" customFormat="false" ht="15" hidden="false" customHeight="true" outlineLevel="0" collapsed="false">
      <c r="A281" s="12" t="s">
        <v>341</v>
      </c>
      <c r="B281" s="12" t="n">
        <v>2025</v>
      </c>
      <c r="C281" s="12" t="n">
        <v>32</v>
      </c>
      <c r="D281" s="12" t="n">
        <v>2549.6</v>
      </c>
      <c r="E281" s="12" t="n">
        <f aca="false">IFERROR(INDEX('Catalog'!$A:$A,MATCH($A281,'Catalog'!$B:$B,0)),IFERROR(INDEX('Catalog'!$A:$A,MATCH(TRIM(SUBSTITUTE($A281,CHAR(160)," ")),'Catalog'!$C:$C,0)),""))</f>
        <v>4408227</v>
      </c>
      <c r="F281" s="12" t="str">
        <f aca="false">IF($E281="","Unmatched","Matched")</f>
        <v>Matched</v>
      </c>
    </row>
    <row r="282" customFormat="false" ht="15" hidden="false" customHeight="true" outlineLevel="0" collapsed="false">
      <c r="A282" s="12" t="s">
        <v>342</v>
      </c>
      <c r="B282" s="12" t="n">
        <v>2025</v>
      </c>
      <c r="C282" s="12" t="n">
        <v>8</v>
      </c>
      <c r="D282" s="12" t="n">
        <v>635.4</v>
      </c>
      <c r="E282" s="12" t="n">
        <f aca="false">IFERROR(INDEX('Catalog'!$A:$A,MATCH($A282,'Catalog'!$B:$B,0)),IFERROR(INDEX('Catalog'!$A:$A,MATCH(TRIM(SUBSTITUTE($A282,CHAR(160)," ")),'Catalog'!$C:$C,0)),""))</f>
        <v>4408229</v>
      </c>
      <c r="F282" s="12" t="str">
        <f aca="false">IF($E282="","Unmatched","Matched")</f>
        <v>Matched</v>
      </c>
    </row>
    <row r="283" customFormat="false" ht="15" hidden="false" customHeight="true" outlineLevel="0" collapsed="false">
      <c r="A283" s="12" t="s">
        <v>719</v>
      </c>
      <c r="B283" s="12" t="n">
        <v>2025</v>
      </c>
      <c r="C283" s="12" t="n">
        <v>-1</v>
      </c>
      <c r="D283" s="12" t="n">
        <v>-131.1</v>
      </c>
      <c r="E283" s="12" t="n">
        <f aca="false">IFERROR(INDEX('Catalog'!$A:$A,MATCH($A283,'Catalog'!$B:$B,0)),IFERROR(INDEX('Catalog'!$A:$A,MATCH(TRIM(SUBSTITUTE($A283,CHAR(160)," ")),'Catalog'!$C:$C,0)),""))</f>
        <v>4413337</v>
      </c>
      <c r="F283" s="12" t="str">
        <f aca="false">IF($E283="","Unmatched","Matched")</f>
        <v>Matched</v>
      </c>
    </row>
    <row r="284" customFormat="false" ht="15" hidden="false" customHeight="true" outlineLevel="0" collapsed="false">
      <c r="A284" s="12" t="s">
        <v>716</v>
      </c>
      <c r="B284" s="12" t="n">
        <v>2025</v>
      </c>
      <c r="C284" s="12" t="n">
        <v>-1</v>
      </c>
      <c r="D284" s="12" t="n">
        <v>-131.1</v>
      </c>
      <c r="E284" s="12" t="n">
        <f aca="false">IFERROR(INDEX('Catalog'!$A:$A,MATCH($A284,'Catalog'!$B:$B,0)),IFERROR(INDEX('Catalog'!$A:$A,MATCH(TRIM(SUBSTITUTE($A284,CHAR(160)," ")),'Catalog'!$C:$C,0)),""))</f>
        <v>4413347</v>
      </c>
      <c r="F284" s="12" t="str">
        <f aca="false">IF($E284="","Unmatched","Matched")</f>
        <v>Matched</v>
      </c>
    </row>
    <row r="285" customFormat="false" ht="15" hidden="false" customHeight="true" outlineLevel="0" collapsed="false">
      <c r="A285" s="12" t="s">
        <v>307</v>
      </c>
      <c r="B285" s="12" t="n">
        <v>2025</v>
      </c>
      <c r="C285" s="12" t="n">
        <v>44</v>
      </c>
      <c r="D285" s="12" t="n">
        <v>4430.4</v>
      </c>
      <c r="E285" s="12" t="n">
        <f aca="false">IFERROR(INDEX('Catalog'!$A:$A,MATCH($A285,'Catalog'!$B:$B,0)),IFERROR(INDEX('Catalog'!$A:$A,MATCH(TRIM(SUBSTITUTE($A285,CHAR(160)," ")),'Catalog'!$C:$C,0)),""))</f>
        <v>4408230</v>
      </c>
      <c r="F285" s="12" t="str">
        <f aca="false">IF($E285="","Unmatched","Matched")</f>
        <v>Matched</v>
      </c>
    </row>
    <row r="286" customFormat="false" ht="15" hidden="false" customHeight="true" outlineLevel="0" collapsed="false">
      <c r="A286" s="12" t="s">
        <v>308</v>
      </c>
      <c r="B286" s="12" t="n">
        <v>2025</v>
      </c>
      <c r="C286" s="12" t="n">
        <v>19</v>
      </c>
      <c r="D286" s="12" t="n">
        <v>1926.9</v>
      </c>
      <c r="E286" s="12" t="n">
        <f aca="false">IFERROR(INDEX('Catalog'!$A:$A,MATCH($A286,'Catalog'!$B:$B,0)),IFERROR(INDEX('Catalog'!$A:$A,MATCH(TRIM(SUBSTITUTE($A286,CHAR(160)," ")),'Catalog'!$C:$C,0)),""))</f>
        <v>4408231</v>
      </c>
      <c r="F286" s="12" t="str">
        <f aca="false">IF($E286="","Unmatched","Matched")</f>
        <v>Matched</v>
      </c>
    </row>
    <row r="287" customFormat="false" ht="15" hidden="false" customHeight="true" outlineLevel="0" collapsed="false">
      <c r="A287" s="12" t="s">
        <v>309</v>
      </c>
      <c r="B287" s="12" t="n">
        <v>2025</v>
      </c>
      <c r="C287" s="12" t="n">
        <v>-1</v>
      </c>
      <c r="D287" s="12" t="n">
        <v>-101.1</v>
      </c>
      <c r="E287" s="12" t="n">
        <f aca="false">IFERROR(INDEX('Catalog'!$A:$A,MATCH($A287,'Catalog'!$B:$B,0)),IFERROR(INDEX('Catalog'!$A:$A,MATCH(TRIM(SUBSTITUTE($A287,CHAR(160)," ")),'Catalog'!$C:$C,0)),""))</f>
        <v>4408232</v>
      </c>
      <c r="F287" s="12" t="str">
        <f aca="false">IF($E287="","Unmatched","Matched")</f>
        <v>Matched</v>
      </c>
    </row>
    <row r="288" customFormat="false" ht="15" hidden="false" customHeight="true" outlineLevel="0" collapsed="false">
      <c r="A288" s="12" t="s">
        <v>230</v>
      </c>
      <c r="B288" s="12" t="n">
        <v>2025</v>
      </c>
      <c r="C288" s="12" t="n">
        <v>-1</v>
      </c>
      <c r="D288" s="12" t="n">
        <v>-85.7</v>
      </c>
      <c r="E288" s="12" t="n">
        <f aca="false">IFERROR(INDEX('Catalog'!$A:$A,MATCH($A288,'Catalog'!$B:$B,0)),IFERROR(INDEX('Catalog'!$A:$A,MATCH(TRIM(SUBSTITUTE($A288,CHAR(160)," ")),'Catalog'!$C:$C,0)),""))</f>
        <v>4408233</v>
      </c>
      <c r="F288" s="12" t="str">
        <f aca="false">IF($E288="","Unmatched","Matched")</f>
        <v>Matched</v>
      </c>
    </row>
    <row r="289" customFormat="false" ht="15" hidden="false" customHeight="true" outlineLevel="0" collapsed="false">
      <c r="A289" s="12" t="s">
        <v>231</v>
      </c>
      <c r="B289" s="12" t="n">
        <v>2025</v>
      </c>
      <c r="C289" s="12" t="n">
        <v>-1</v>
      </c>
      <c r="D289" s="12" t="n">
        <v>-92.1</v>
      </c>
      <c r="E289" s="12" t="n">
        <f aca="false">IFERROR(INDEX('Catalog'!$A:$A,MATCH($A289,'Catalog'!$B:$B,0)),IFERROR(INDEX('Catalog'!$A:$A,MATCH(TRIM(SUBSTITUTE($A289,CHAR(160)," ")),'Catalog'!$C:$C,0)),""))</f>
        <v>4408234</v>
      </c>
      <c r="F289" s="12" t="str">
        <f aca="false">IF($E289="","Unmatched","Matched")</f>
        <v>Matched</v>
      </c>
    </row>
    <row r="290" customFormat="false" ht="15" hidden="false" customHeight="true" outlineLevel="0" collapsed="false">
      <c r="A290" s="12" t="s">
        <v>232</v>
      </c>
      <c r="B290" s="12" t="n">
        <v>2025</v>
      </c>
      <c r="C290" s="12" t="n">
        <v>-10</v>
      </c>
      <c r="D290" s="12" t="n">
        <v>-921.4</v>
      </c>
      <c r="E290" s="12" t="n">
        <f aca="false">IFERROR(INDEX('Catalog'!$A:$A,MATCH($A290,'Catalog'!$B:$B,0)),IFERROR(INDEX('Catalog'!$A:$A,MATCH(TRIM(SUBSTITUTE($A290,CHAR(160)," ")),'Catalog'!$C:$C,0)),""))</f>
        <v>4408235</v>
      </c>
      <c r="F290" s="12" t="str">
        <f aca="false">IF($E290="","Unmatched","Matched")</f>
        <v>Matched</v>
      </c>
    </row>
    <row r="291" customFormat="false" ht="15" hidden="false" customHeight="true" outlineLevel="0" collapsed="false">
      <c r="A291" s="12" t="s">
        <v>354</v>
      </c>
      <c r="B291" s="12" t="n">
        <v>2025</v>
      </c>
      <c r="C291" s="12" t="n">
        <v>796</v>
      </c>
      <c r="D291" s="12" t="n">
        <v>32148.2</v>
      </c>
      <c r="E291" s="12" t="n">
        <f aca="false">IFERROR(INDEX('Catalog'!$A:$A,MATCH($A291,'Catalog'!$B:$B,0)),IFERROR(INDEX('Catalog'!$A:$A,MATCH(TRIM(SUBSTITUTE($A291,CHAR(160)," ")),'Catalog'!$C:$C,0)),""))</f>
        <v>4409014</v>
      </c>
      <c r="F291" s="12" t="str">
        <f aca="false">IF($E291="","Unmatched","Matched")</f>
        <v>Matched</v>
      </c>
    </row>
    <row r="292" customFormat="false" ht="15" hidden="false" customHeight="true" outlineLevel="0" collapsed="false">
      <c r="A292" s="12" t="s">
        <v>352</v>
      </c>
      <c r="B292" s="12" t="n">
        <v>2025</v>
      </c>
      <c r="C292" s="12" t="n">
        <v>1200</v>
      </c>
      <c r="D292" s="12" t="n">
        <v>48495.6</v>
      </c>
      <c r="E292" s="12" t="n">
        <f aca="false">IFERROR(INDEX('Catalog'!$A:$A,MATCH($A292,'Catalog'!$B:$B,0)),IFERROR(INDEX('Catalog'!$A:$A,MATCH(TRIM(SUBSTITUTE($A292,CHAR(160)," ")),'Catalog'!$C:$C,0)),""))</f>
        <v>4409015</v>
      </c>
      <c r="F292" s="12" t="str">
        <f aca="false">IF($E292="","Unmatched","Matched")</f>
        <v>Matched</v>
      </c>
    </row>
    <row r="293" customFormat="false" ht="15" hidden="false" customHeight="true" outlineLevel="0" collapsed="false">
      <c r="A293" s="12" t="s">
        <v>353</v>
      </c>
      <c r="B293" s="12" t="n">
        <v>2025</v>
      </c>
      <c r="C293" s="12" t="n">
        <v>1251</v>
      </c>
      <c r="D293" s="12" t="n">
        <v>49688.4</v>
      </c>
      <c r="E293" s="12" t="n">
        <f aca="false">IFERROR(INDEX('Catalog'!$A:$A,MATCH($A293,'Catalog'!$B:$B,0)),IFERROR(INDEX('Catalog'!$A:$A,MATCH(TRIM(SUBSTITUTE($A293,CHAR(160)," ")),'Catalog'!$C:$C,0)),""))</f>
        <v>4409016</v>
      </c>
      <c r="F293" s="12" t="str">
        <f aca="false">IF($E293="","Unmatched","Matched")</f>
        <v>Matched</v>
      </c>
    </row>
    <row r="294" customFormat="false" ht="15" hidden="false" customHeight="true" outlineLevel="0" collapsed="false">
      <c r="A294" s="12" t="s">
        <v>351</v>
      </c>
      <c r="B294" s="12" t="n">
        <v>2025</v>
      </c>
      <c r="C294" s="12" t="n">
        <v>1150</v>
      </c>
      <c r="D294" s="12" t="n">
        <v>45598.1</v>
      </c>
      <c r="E294" s="12" t="n">
        <f aca="false">IFERROR(INDEX('Catalog'!$A:$A,MATCH($A294,'Catalog'!$B:$B,0)),IFERROR(INDEX('Catalog'!$A:$A,MATCH(TRIM(SUBSTITUTE($A294,CHAR(160)," ")),'Catalog'!$C:$C,0)),""))</f>
        <v>4409017</v>
      </c>
      <c r="F294" s="12" t="str">
        <f aca="false">IF($E294="","Unmatched","Matched")</f>
        <v>Matched</v>
      </c>
    </row>
    <row r="295" customFormat="false" ht="15" hidden="false" customHeight="true" outlineLevel="0" collapsed="false">
      <c r="A295" s="12" t="s">
        <v>536</v>
      </c>
      <c r="B295" s="12" t="n">
        <v>2025</v>
      </c>
      <c r="C295" s="12" t="n">
        <v>278</v>
      </c>
      <c r="D295" s="12" t="n">
        <v>22578.4</v>
      </c>
      <c r="E295" s="12" t="n">
        <f aca="false">IFERROR(INDEX('Catalog'!$A:$A,MATCH($A295,'Catalog'!$B:$B,0)),IFERROR(INDEX('Catalog'!$A:$A,MATCH(TRIM(SUBSTITUTE($A295,CHAR(160)," ")),'Catalog'!$C:$C,0)),""))</f>
        <v>4411016</v>
      </c>
      <c r="F295" s="12" t="str">
        <f aca="false">IF($E295="","Unmatched","Matched")</f>
        <v>Matched</v>
      </c>
    </row>
    <row r="296" customFormat="false" ht="15" hidden="false" customHeight="true" outlineLevel="0" collapsed="false">
      <c r="A296" s="12" t="s">
        <v>494</v>
      </c>
      <c r="B296" s="12" t="n">
        <v>2025</v>
      </c>
      <c r="C296" s="12" t="n">
        <v>1089</v>
      </c>
      <c r="D296" s="12" t="n">
        <v>28021.7</v>
      </c>
      <c r="E296" s="12" t="n">
        <f aca="false">IFERROR(INDEX('Catalog'!$A:$A,MATCH($A296,'Catalog'!$B:$B,0)),IFERROR(INDEX('Catalog'!$A:$A,MATCH(TRIM(SUBSTITUTE($A296,CHAR(160)," ")),'Catalog'!$C:$C,0)),""))</f>
        <v>4413364</v>
      </c>
      <c r="F296" s="12" t="str">
        <f aca="false">IF($E296="","Unmatched","Matched")</f>
        <v>Matched</v>
      </c>
    </row>
    <row r="297" customFormat="false" ht="15" hidden="false" customHeight="true" outlineLevel="0" collapsed="false">
      <c r="A297" s="12" t="s">
        <v>493</v>
      </c>
      <c r="B297" s="12" t="n">
        <v>2025</v>
      </c>
      <c r="C297" s="12" t="n">
        <v>733</v>
      </c>
      <c r="D297" s="12" t="n">
        <v>18857.2</v>
      </c>
      <c r="E297" s="12" t="n">
        <f aca="false">IFERROR(INDEX('Catalog'!$A:$A,MATCH($A297,'Catalog'!$B:$B,0)),IFERROR(INDEX('Catalog'!$A:$A,MATCH(TRIM(SUBSTITUTE($A297,CHAR(160)," ")),'Catalog'!$C:$C,0)),""))</f>
        <v>4413365</v>
      </c>
      <c r="F297" s="12" t="str">
        <f aca="false">IF($E297="","Unmatched","Matched")</f>
        <v>Matched</v>
      </c>
    </row>
    <row r="298" customFormat="false" ht="15" hidden="false" customHeight="true" outlineLevel="0" collapsed="false">
      <c r="A298" s="12" t="s">
        <v>495</v>
      </c>
      <c r="B298" s="12" t="n">
        <v>2025</v>
      </c>
      <c r="C298" s="12" t="n">
        <v>833</v>
      </c>
      <c r="D298" s="12" t="n">
        <v>21400.4</v>
      </c>
      <c r="E298" s="12" t="n">
        <f aca="false">IFERROR(INDEX('Catalog'!$A:$A,MATCH($A298,'Catalog'!$B:$B,0)),IFERROR(INDEX('Catalog'!$A:$A,MATCH(TRIM(SUBSTITUTE($A298,CHAR(160)," ")),'Catalog'!$C:$C,0)),""))</f>
        <v>4413366</v>
      </c>
      <c r="F298" s="12" t="str">
        <f aca="false">IF($E298="","Unmatched","Matched")</f>
        <v>Matched</v>
      </c>
    </row>
    <row r="299" customFormat="false" ht="15" hidden="false" customHeight="true" outlineLevel="0" collapsed="false">
      <c r="A299" s="12" t="s">
        <v>496</v>
      </c>
      <c r="B299" s="12" t="n">
        <v>2025</v>
      </c>
      <c r="C299" s="12" t="n">
        <v>347</v>
      </c>
      <c r="D299" s="12" t="n">
        <v>8929.8</v>
      </c>
      <c r="E299" s="12" t="n">
        <f aca="false">IFERROR(INDEX('Catalog'!$A:$A,MATCH($A299,'Catalog'!$B:$B,0)),IFERROR(INDEX('Catalog'!$A:$A,MATCH(TRIM(SUBSTITUTE($A299,CHAR(160)," ")),'Catalog'!$C:$C,0)),""))</f>
        <v>4413367</v>
      </c>
      <c r="F299" s="12" t="str">
        <f aca="false">IF($E299="","Unmatched","Matched")</f>
        <v>Matched</v>
      </c>
    </row>
    <row r="300" customFormat="false" ht="15" hidden="false" customHeight="true" outlineLevel="0" collapsed="false">
      <c r="A300" s="12" t="s">
        <v>560</v>
      </c>
      <c r="B300" s="12" t="n">
        <v>2025</v>
      </c>
      <c r="C300" s="12" t="n">
        <v>1818</v>
      </c>
      <c r="D300" s="12" t="n">
        <v>63005.9</v>
      </c>
      <c r="E300" s="12" t="n">
        <f aca="false">IFERROR(INDEX('Catalog'!$A:$A,MATCH($A300,'Catalog'!$B:$B,0)),IFERROR(INDEX('Catalog'!$A:$A,MATCH(TRIM(SUBSTITUTE($A300,CHAR(160)," ")),'Catalog'!$C:$C,0)),""))</f>
        <v>4413370</v>
      </c>
      <c r="F300" s="12" t="str">
        <f aca="false">IF($E300="","Unmatched","Matched")</f>
        <v>Matched</v>
      </c>
    </row>
    <row r="301" customFormat="false" ht="15" hidden="false" customHeight="true" outlineLevel="0" collapsed="false">
      <c r="A301" s="12" t="s">
        <v>561</v>
      </c>
      <c r="B301" s="12" t="n">
        <v>2025</v>
      </c>
      <c r="C301" s="12" t="n">
        <v>84</v>
      </c>
      <c r="D301" s="12" t="n">
        <v>2147.5</v>
      </c>
      <c r="E301" s="12" t="n">
        <f aca="false">IFERROR(INDEX('Catalog'!$A:$A,MATCH($A301,'Catalog'!$B:$B,0)),IFERROR(INDEX('Catalog'!$A:$A,MATCH(TRIM(SUBSTITUTE($A301,CHAR(160)," ")),'Catalog'!$C:$C,0)),""))</f>
        <v>4413371</v>
      </c>
      <c r="F301" s="12" t="str">
        <f aca="false">IF($E301="","Unmatched","Matched")</f>
        <v>Matched</v>
      </c>
    </row>
    <row r="302" customFormat="false" ht="15" hidden="false" customHeight="true" outlineLevel="0" collapsed="false">
      <c r="A302" s="12" t="s">
        <v>140</v>
      </c>
      <c r="B302" s="12" t="n">
        <v>2025</v>
      </c>
      <c r="C302" s="12" t="n">
        <v>1231</v>
      </c>
      <c r="D302" s="12" t="n">
        <v>38220.3</v>
      </c>
      <c r="E302" s="12" t="n">
        <f aca="false">IFERROR(INDEX('Catalog'!$A:$A,MATCH($A302,'Catalog'!$B:$B,0)),IFERROR(INDEX('Catalog'!$A:$A,MATCH(TRIM(SUBSTITUTE($A302,CHAR(160)," ")),'Catalog'!$C:$C,0)),""))</f>
        <v>4413394</v>
      </c>
      <c r="F302" s="12" t="str">
        <f aca="false">IF($E302="","Unmatched","Matched")</f>
        <v>Matched</v>
      </c>
    </row>
    <row r="303" customFormat="false" ht="15" hidden="false" customHeight="true" outlineLevel="0" collapsed="false">
      <c r="A303" s="12" t="s">
        <v>139</v>
      </c>
      <c r="B303" s="12" t="n">
        <v>2025</v>
      </c>
      <c r="C303" s="12" t="n">
        <v>2788</v>
      </c>
      <c r="D303" s="12" t="n">
        <v>86595.2</v>
      </c>
      <c r="E303" s="12" t="n">
        <f aca="false">IFERROR(INDEX('Catalog'!$A:$A,MATCH($A303,'Catalog'!$B:$B,0)),IFERROR(INDEX('Catalog'!$A:$A,MATCH(TRIM(SUBSTITUTE($A303,CHAR(160)," ")),'Catalog'!$C:$C,0)),""))</f>
        <v>4413395</v>
      </c>
      <c r="F303" s="12" t="str">
        <f aca="false">IF($E303="","Unmatched","Matched")</f>
        <v>Matched</v>
      </c>
    </row>
    <row r="304" customFormat="false" ht="15" hidden="false" customHeight="true" outlineLevel="0" collapsed="false">
      <c r="A304" s="12" t="s">
        <v>138</v>
      </c>
      <c r="B304" s="12" t="n">
        <v>2025</v>
      </c>
      <c r="C304" s="12" t="n">
        <v>2670</v>
      </c>
      <c r="D304" s="12" t="n">
        <v>82929.1</v>
      </c>
      <c r="E304" s="12" t="n">
        <f aca="false">IFERROR(INDEX('Catalog'!$A:$A,MATCH($A304,'Catalog'!$B:$B,0)),IFERROR(INDEX('Catalog'!$A:$A,MATCH(TRIM(SUBSTITUTE($A304,CHAR(160)," ")),'Catalog'!$C:$C,0)),""))</f>
        <v>4413396</v>
      </c>
      <c r="F304" s="12" t="str">
        <f aca="false">IF($E304="","Unmatched","Matched")</f>
        <v>Matched</v>
      </c>
    </row>
    <row r="305" customFormat="false" ht="15" hidden="false" customHeight="true" outlineLevel="0" collapsed="false">
      <c r="A305" s="12" t="s">
        <v>141</v>
      </c>
      <c r="B305" s="12" t="n">
        <v>2025</v>
      </c>
      <c r="C305" s="12" t="n">
        <v>2302</v>
      </c>
      <c r="D305" s="12" t="n">
        <v>71479.1</v>
      </c>
      <c r="E305" s="12" t="n">
        <f aca="false">IFERROR(INDEX('Catalog'!$A:$A,MATCH($A305,'Catalog'!$B:$B,0)),IFERROR(INDEX('Catalog'!$A:$A,MATCH(TRIM(SUBSTITUTE($A305,CHAR(160)," ")),'Catalog'!$C:$C,0)),""))</f>
        <v>4413397</v>
      </c>
      <c r="F305" s="12" t="str">
        <f aca="false">IF($E305="","Unmatched","Matched")</f>
        <v>Matched</v>
      </c>
    </row>
    <row r="306" customFormat="false" ht="15" hidden="false" customHeight="true" outlineLevel="0" collapsed="false">
      <c r="A306" s="12" t="s">
        <v>142</v>
      </c>
      <c r="B306" s="12" t="n">
        <v>2025</v>
      </c>
      <c r="C306" s="12" t="n">
        <v>360</v>
      </c>
      <c r="D306" s="12" t="n">
        <v>11165</v>
      </c>
      <c r="E306" s="12" t="n">
        <f aca="false">IFERROR(INDEX('Catalog'!$A:$A,MATCH($A306,'Catalog'!$B:$B,0)),IFERROR(INDEX('Catalog'!$A:$A,MATCH(TRIM(SUBSTITUTE($A306,CHAR(160)," ")),'Catalog'!$C:$C,0)),""))</f>
        <v>4413398</v>
      </c>
      <c r="F306" s="12" t="str">
        <f aca="false">IF($E306="","Unmatched","Matched")</f>
        <v>Matched</v>
      </c>
    </row>
    <row r="307" customFormat="false" ht="15" hidden="false" customHeight="true" outlineLevel="0" collapsed="false">
      <c r="A307" s="12" t="s">
        <v>607</v>
      </c>
      <c r="B307" s="12" t="n">
        <v>2025</v>
      </c>
      <c r="C307" s="12" t="n">
        <v>1303</v>
      </c>
      <c r="D307" s="12" t="n">
        <v>18579.7</v>
      </c>
      <c r="E307" s="12" t="n">
        <f aca="false">IFERROR(INDEX('Catalog'!$A:$A,MATCH($A307,'Catalog'!$B:$B,0)),IFERROR(INDEX('Catalog'!$A:$A,MATCH(TRIM(SUBSTITUTE($A307,CHAR(160)," ")),'Catalog'!$C:$C,0)),""))</f>
        <v>4415160</v>
      </c>
      <c r="F307" s="12" t="str">
        <f aca="false">IF($E307="","Unmatched","Matched")</f>
        <v>Matched</v>
      </c>
    </row>
    <row r="308" customFormat="false" ht="15" hidden="false" customHeight="true" outlineLevel="0" collapsed="false">
      <c r="A308" s="12" t="s">
        <v>606</v>
      </c>
      <c r="B308" s="12" t="n">
        <v>2025</v>
      </c>
      <c r="C308" s="12" t="n">
        <v>2021</v>
      </c>
      <c r="D308" s="12" t="n">
        <v>28832.9</v>
      </c>
      <c r="E308" s="12" t="n">
        <f aca="false">IFERROR(INDEX('Catalog'!$A:$A,MATCH($A308,'Catalog'!$B:$B,0)),IFERROR(INDEX('Catalog'!$A:$A,MATCH(TRIM(SUBSTITUTE($A308,CHAR(160)," ")),'Catalog'!$C:$C,0)),""))</f>
        <v>4415161</v>
      </c>
      <c r="F308" s="12" t="str">
        <f aca="false">IF($E308="","Unmatched","Matched")</f>
        <v>Matched</v>
      </c>
    </row>
    <row r="309" customFormat="false" ht="15" hidden="false" customHeight="true" outlineLevel="0" collapsed="false">
      <c r="A309" s="12" t="s">
        <v>605</v>
      </c>
      <c r="B309" s="12" t="n">
        <v>2025</v>
      </c>
      <c r="C309" s="12" t="n">
        <v>1840</v>
      </c>
      <c r="D309" s="12" t="n">
        <v>26241.7</v>
      </c>
      <c r="E309" s="12" t="n">
        <f aca="false">IFERROR(INDEX('Catalog'!$A:$A,MATCH($A309,'Catalog'!$B:$B,0)),IFERROR(INDEX('Catalog'!$A:$A,MATCH(TRIM(SUBSTITUTE($A309,CHAR(160)," ")),'Catalog'!$C:$C,0)),""))</f>
        <v>4415162</v>
      </c>
      <c r="F309" s="12" t="str">
        <f aca="false">IF($E309="","Unmatched","Matched")</f>
        <v>Matched</v>
      </c>
    </row>
    <row r="310" customFormat="false" ht="15" hidden="false" customHeight="true" outlineLevel="0" collapsed="false">
      <c r="A310" s="12" t="s">
        <v>608</v>
      </c>
      <c r="B310" s="12" t="n">
        <v>2025</v>
      </c>
      <c r="C310" s="12" t="n">
        <v>1128</v>
      </c>
      <c r="D310" s="12" t="n">
        <v>16083.8</v>
      </c>
      <c r="E310" s="12" t="n">
        <f aca="false">IFERROR(INDEX('Catalog'!$A:$A,MATCH($A310,'Catalog'!$B:$B,0)),IFERROR(INDEX('Catalog'!$A:$A,MATCH(TRIM(SUBSTITUTE($A310,CHAR(160)," ")),'Catalog'!$C:$C,0)),""))</f>
        <v>4415163</v>
      </c>
      <c r="F310" s="12" t="str">
        <f aca="false">IF($E310="","Unmatched","Matched")</f>
        <v>Matched</v>
      </c>
    </row>
    <row r="311" customFormat="false" ht="15" hidden="false" customHeight="true" outlineLevel="0" collapsed="false">
      <c r="A311" s="12" t="s">
        <v>775</v>
      </c>
      <c r="B311" s="12" t="n">
        <v>2025</v>
      </c>
      <c r="C311" s="12" t="n">
        <v>140</v>
      </c>
      <c r="D311" s="12" t="n">
        <v>1434.1</v>
      </c>
      <c r="E311" s="12" t="n">
        <f aca="false">IFERROR(INDEX('Catalog'!$A:$A,MATCH($A311,'Catalog'!$B:$B,0)),IFERROR(INDEX('Catalog'!$A:$A,MATCH(TRIM(SUBSTITUTE($A311,CHAR(160)," ")),'Catalog'!$C:$C,0)),""))</f>
        <v>4420027</v>
      </c>
      <c r="F311" s="12" t="str">
        <f aca="false">IF($E311="","Unmatched","Matched")</f>
        <v>Matched</v>
      </c>
    </row>
    <row r="312" customFormat="false" ht="15" hidden="false" customHeight="true" outlineLevel="0" collapsed="false">
      <c r="A312" s="12" t="s">
        <v>559</v>
      </c>
      <c r="B312" s="12" t="n">
        <v>2025</v>
      </c>
      <c r="C312" s="12" t="n">
        <v>968</v>
      </c>
      <c r="D312" s="12" t="n">
        <v>27666.3</v>
      </c>
      <c r="E312" s="12" t="n">
        <f aca="false">IFERROR(INDEX('Catalog'!$A:$A,MATCH($A312,'Catalog'!$B:$B,0)),IFERROR(INDEX('Catalog'!$A:$A,MATCH(TRIM(SUBSTITUTE($A312,CHAR(160)," ")),'Catalog'!$C:$C,0)),""))</f>
        <v>4421003</v>
      </c>
      <c r="F312" s="12" t="str">
        <f aca="false">IF($E312="","Unmatched","Matched")</f>
        <v>Matched</v>
      </c>
    </row>
    <row r="313" customFormat="false" ht="15" hidden="false" customHeight="true" outlineLevel="0" collapsed="false">
      <c r="A313" s="12" t="s">
        <v>839</v>
      </c>
      <c r="B313" s="12" t="n">
        <v>2025</v>
      </c>
      <c r="C313" s="12" t="n">
        <v>3203</v>
      </c>
      <c r="D313" s="12" t="n">
        <v>32526.4</v>
      </c>
      <c r="E313" s="12" t="n">
        <f aca="false">IFERROR(INDEX('Catalog'!$A:$A,MATCH($A313,'Catalog'!$B:$B,0)),IFERROR(INDEX('Catalog'!$A:$A,MATCH(TRIM(SUBSTITUTE($A313,CHAR(160)," ")),'Catalog'!$C:$C,0)),""))</f>
        <v>4422023</v>
      </c>
      <c r="F313" s="12" t="str">
        <f aca="false">IF($E313="","Unmatched","Matched")</f>
        <v>Matched</v>
      </c>
    </row>
    <row r="314" customFormat="false" ht="15" hidden="false" customHeight="true" outlineLevel="0" collapsed="false">
      <c r="A314" s="12" t="s">
        <v>840</v>
      </c>
      <c r="B314" s="12" t="n">
        <v>2025</v>
      </c>
      <c r="C314" s="12" t="n">
        <v>2756</v>
      </c>
      <c r="D314" s="12" t="n">
        <v>28005.4</v>
      </c>
      <c r="E314" s="12" t="n">
        <f aca="false">IFERROR(INDEX('Catalog'!$A:$A,MATCH($A314,'Catalog'!$B:$B,0)),IFERROR(INDEX('Catalog'!$A:$A,MATCH(TRIM(SUBSTITUTE($A314,CHAR(160)," ")),'Catalog'!$C:$C,0)),""))</f>
        <v>4422024</v>
      </c>
      <c r="F314" s="12" t="str">
        <f aca="false">IF($E314="","Unmatched","Matched")</f>
        <v>Matched</v>
      </c>
    </row>
    <row r="315" customFormat="false" ht="15" hidden="false" customHeight="true" outlineLevel="0" collapsed="false">
      <c r="A315" s="12" t="s">
        <v>841</v>
      </c>
      <c r="B315" s="12" t="n">
        <v>2025</v>
      </c>
      <c r="C315" s="12" t="n">
        <v>1749</v>
      </c>
      <c r="D315" s="12" t="n">
        <v>17832.6</v>
      </c>
      <c r="E315" s="12" t="n">
        <f aca="false">IFERROR(INDEX('Catalog'!$A:$A,MATCH($A315,'Catalog'!$B:$B,0)),IFERROR(INDEX('Catalog'!$A:$A,MATCH(TRIM(SUBSTITUTE($A315,CHAR(160)," ")),'Catalog'!$C:$C,0)),""))</f>
        <v>4422025</v>
      </c>
      <c r="F315" s="12" t="str">
        <f aca="false">IF($E315="","Unmatched","Matched")</f>
        <v>Matched</v>
      </c>
    </row>
    <row r="316" customFormat="false" ht="15" hidden="false" customHeight="true" outlineLevel="0" collapsed="false">
      <c r="A316" s="12" t="s">
        <v>842</v>
      </c>
      <c r="B316" s="12" t="n">
        <v>2025</v>
      </c>
      <c r="C316" s="12" t="n">
        <v>980</v>
      </c>
      <c r="D316" s="12" t="n">
        <v>9936.3</v>
      </c>
      <c r="E316" s="12" t="n">
        <f aca="false">IFERROR(INDEX('Catalog'!$A:$A,MATCH($A316,'Catalog'!$B:$B,0)),IFERROR(INDEX('Catalog'!$A:$A,MATCH(TRIM(SUBSTITUTE($A316,CHAR(160)," ")),'Catalog'!$C:$C,0)),""))</f>
        <v>4422026</v>
      </c>
      <c r="F316" s="12" t="str">
        <f aca="false">IF($E316="","Unmatched","Matched")</f>
        <v>Matched</v>
      </c>
    </row>
    <row r="317" customFormat="false" ht="15" hidden="false" customHeight="true" outlineLevel="0" collapsed="false">
      <c r="A317" s="12" t="s">
        <v>812</v>
      </c>
      <c r="B317" s="12" t="n">
        <v>2025</v>
      </c>
      <c r="C317" s="12" t="n">
        <v>13</v>
      </c>
      <c r="D317" s="12" t="n">
        <v>964.7</v>
      </c>
      <c r="E317" s="12" t="n">
        <f aca="false">IFERROR(INDEX('Catalog'!$A:$A,MATCH($A317,'Catalog'!$B:$B,0)),IFERROR(INDEX('Catalog'!$A:$A,MATCH(TRIM(SUBSTITUTE($A317,CHAR(160)," ")),'Catalog'!$C:$C,0)),""))</f>
        <v>4408248</v>
      </c>
      <c r="F317" s="12" t="str">
        <f aca="false">IF($E317="","Unmatched","Matched")</f>
        <v>Matched</v>
      </c>
    </row>
    <row r="318" customFormat="false" ht="15" hidden="false" customHeight="true" outlineLevel="0" collapsed="false">
      <c r="A318" s="12" t="s">
        <v>811</v>
      </c>
      <c r="B318" s="12" t="n">
        <v>2025</v>
      </c>
      <c r="C318" s="12" t="n">
        <v>6</v>
      </c>
      <c r="D318" s="12" t="n">
        <v>452.2</v>
      </c>
      <c r="E318" s="12" t="n">
        <f aca="false">IFERROR(INDEX('Catalog'!$A:$A,MATCH($A318,'Catalog'!$B:$B,0)),IFERROR(INDEX('Catalog'!$A:$A,MATCH(TRIM(SUBSTITUTE($A318,CHAR(160)," ")),'Catalog'!$C:$C,0)),""))</f>
        <v>4408249</v>
      </c>
      <c r="F318" s="12" t="str">
        <f aca="false">IF($E318="","Unmatched","Matched")</f>
        <v>Matched</v>
      </c>
    </row>
    <row r="319" customFormat="false" ht="15" hidden="false" customHeight="true" outlineLevel="0" collapsed="false">
      <c r="A319" s="12" t="s">
        <v>814</v>
      </c>
      <c r="B319" s="12" t="n">
        <v>2025</v>
      </c>
      <c r="C319" s="12" t="n">
        <v>15</v>
      </c>
      <c r="D319" s="12" t="n">
        <v>1117.4</v>
      </c>
      <c r="E319" s="12" t="n">
        <f aca="false">IFERROR(INDEX('Catalog'!$A:$A,MATCH($A319,'Catalog'!$B:$B,0)),IFERROR(INDEX('Catalog'!$A:$A,MATCH(TRIM(SUBSTITUTE($A319,CHAR(160)," ")),'Catalog'!$C:$C,0)),""))</f>
        <v>4408250</v>
      </c>
      <c r="F319" s="12" t="str">
        <f aca="false">IF($E319="","Unmatched","Matched")</f>
        <v>Matched</v>
      </c>
    </row>
    <row r="320" customFormat="false" ht="15" hidden="false" customHeight="true" outlineLevel="0" collapsed="false">
      <c r="A320" s="12" t="s">
        <v>502</v>
      </c>
      <c r="B320" s="12" t="n">
        <v>2025</v>
      </c>
      <c r="C320" s="12" t="n">
        <v>7</v>
      </c>
      <c r="D320" s="12" t="n">
        <v>510.3</v>
      </c>
      <c r="E320" s="12" t="n">
        <f aca="false">IFERROR(INDEX('Catalog'!$A:$A,MATCH($A320,'Catalog'!$B:$B,0)),IFERROR(INDEX('Catalog'!$A:$A,MATCH(TRIM(SUBSTITUTE($A320,CHAR(160)," ")),'Catalog'!$C:$C,0)),""))</f>
        <v>4413405</v>
      </c>
      <c r="F320" s="12" t="str">
        <f aca="false">IF($E320="","Unmatched","Matched")</f>
        <v>Matched</v>
      </c>
    </row>
    <row r="321" customFormat="false" ht="15" hidden="false" customHeight="true" outlineLevel="0" collapsed="false">
      <c r="A321" s="12" t="s">
        <v>832</v>
      </c>
      <c r="B321" s="12" t="n">
        <v>2025</v>
      </c>
      <c r="C321" s="12" t="n">
        <v>8</v>
      </c>
      <c r="D321" s="12" t="n">
        <v>607.1</v>
      </c>
      <c r="E321" s="12" t="n">
        <f aca="false">IFERROR(INDEX('Catalog'!$A:$A,MATCH($A321,'Catalog'!$B:$B,0)),IFERROR(INDEX('Catalog'!$A:$A,MATCH(TRIM(SUBSTITUTE($A321,CHAR(160)," ")),'Catalog'!$C:$C,0)),""))</f>
        <v>4413406</v>
      </c>
      <c r="F321" s="12" t="str">
        <f aca="false">IF($E321="","Unmatched","Matched")</f>
        <v>Matched</v>
      </c>
    </row>
    <row r="322" customFormat="false" ht="15" hidden="false" customHeight="true" outlineLevel="0" collapsed="false">
      <c r="A322" s="12" t="s">
        <v>831</v>
      </c>
      <c r="B322" s="12" t="n">
        <v>2025</v>
      </c>
      <c r="C322" s="12" t="n">
        <v>26</v>
      </c>
      <c r="D322" s="12" t="n">
        <v>1933</v>
      </c>
      <c r="E322" s="12" t="n">
        <f aca="false">IFERROR(INDEX('Catalog'!$A:$A,MATCH($A322,'Catalog'!$B:$B,0)),IFERROR(INDEX('Catalog'!$A:$A,MATCH(TRIM(SUBSTITUTE($A322,CHAR(160)," ")),'Catalog'!$C:$C,0)),""))</f>
        <v>4413407</v>
      </c>
      <c r="F322" s="12" t="str">
        <f aca="false">IF($E322="","Unmatched","Matched")</f>
        <v>Matched</v>
      </c>
    </row>
    <row r="323" customFormat="false" ht="15" hidden="false" customHeight="true" outlineLevel="0" collapsed="false">
      <c r="A323" s="12" t="s">
        <v>833</v>
      </c>
      <c r="B323" s="12" t="n">
        <v>2025</v>
      </c>
      <c r="C323" s="12" t="n">
        <v>13</v>
      </c>
      <c r="D323" s="12" t="n">
        <v>964.7</v>
      </c>
      <c r="E323" s="12" t="n">
        <f aca="false">IFERROR(INDEX('Catalog'!$A:$A,MATCH($A323,'Catalog'!$B:$B,0)),IFERROR(INDEX('Catalog'!$A:$A,MATCH(TRIM(SUBSTITUTE($A323,CHAR(160)," ")),'Catalog'!$C:$C,0)),""))</f>
        <v>4413408</v>
      </c>
      <c r="F323" s="12" t="str">
        <f aca="false">IF($E323="","Unmatched","Matched")</f>
        <v>Matched</v>
      </c>
    </row>
    <row r="324" customFormat="false" ht="15" hidden="false" customHeight="true" outlineLevel="0" collapsed="false">
      <c r="A324" s="12" t="s">
        <v>824</v>
      </c>
      <c r="B324" s="12" t="n">
        <v>2025</v>
      </c>
      <c r="C324" s="12" t="n">
        <v>11</v>
      </c>
      <c r="D324" s="12" t="n">
        <v>1479.8</v>
      </c>
      <c r="E324" s="12" t="n">
        <f aca="false">IFERROR(INDEX('Catalog'!$A:$A,MATCH($A324,'Catalog'!$B:$B,0)),IFERROR(INDEX('Catalog'!$A:$A,MATCH(TRIM(SUBSTITUTE($A324,CHAR(160)," ")),'Catalog'!$C:$C,0)),""))</f>
        <v>4413416</v>
      </c>
      <c r="F324" s="12" t="str">
        <f aca="false">IF($E324="","Unmatched","Matched")</f>
        <v>Matched</v>
      </c>
    </row>
    <row r="325" customFormat="false" ht="15" hidden="false" customHeight="true" outlineLevel="0" collapsed="false">
      <c r="A325" s="12" t="s">
        <v>823</v>
      </c>
      <c r="B325" s="12" t="n">
        <v>2025</v>
      </c>
      <c r="C325" s="12" t="n">
        <v>3</v>
      </c>
      <c r="D325" s="12" t="n">
        <v>407.3</v>
      </c>
      <c r="E325" s="12" t="n">
        <f aca="false">IFERROR(INDEX('Catalog'!$A:$A,MATCH($A325,'Catalog'!$B:$B,0)),IFERROR(INDEX('Catalog'!$A:$A,MATCH(TRIM(SUBSTITUTE($A325,CHAR(160)," ")),'Catalog'!$C:$C,0)),""))</f>
        <v>4413417</v>
      </c>
      <c r="F325" s="12" t="str">
        <f aca="false">IF($E325="","Unmatched","Matched")</f>
        <v>Matched</v>
      </c>
    </row>
    <row r="326" customFormat="false" ht="15" hidden="false" customHeight="true" outlineLevel="0" collapsed="false">
      <c r="A326" s="12" t="s">
        <v>826</v>
      </c>
      <c r="B326" s="12" t="n">
        <v>2025</v>
      </c>
      <c r="C326" s="12" t="n">
        <v>2</v>
      </c>
      <c r="D326" s="12" t="n">
        <v>285.1</v>
      </c>
      <c r="E326" s="12" t="n">
        <f aca="false">IFERROR(INDEX('Catalog'!$A:$A,MATCH($A326,'Catalog'!$B:$B,0)),IFERROR(INDEX('Catalog'!$A:$A,MATCH(TRIM(SUBSTITUTE($A326,CHAR(160)," ")),'Catalog'!$C:$C,0)),""))</f>
        <v>4413418</v>
      </c>
      <c r="F326" s="12" t="str">
        <f aca="false">IF($E326="","Unmatched","Matched")</f>
        <v>Matched</v>
      </c>
    </row>
    <row r="327" customFormat="false" ht="15" hidden="false" customHeight="true" outlineLevel="0" collapsed="false">
      <c r="A327" s="12" t="s">
        <v>816</v>
      </c>
      <c r="B327" s="12" t="n">
        <v>2025</v>
      </c>
      <c r="C327" s="12" t="n">
        <v>26</v>
      </c>
      <c r="D327" s="12" t="n">
        <v>1918.1</v>
      </c>
      <c r="E327" s="12" t="n">
        <f aca="false">IFERROR(INDEX('Catalog'!$A:$A,MATCH($A327,'Catalog'!$B:$B,0)),IFERROR(INDEX('Catalog'!$A:$A,MATCH(TRIM(SUBSTITUTE($A327,CHAR(160)," ")),'Catalog'!$C:$C,0)),""))</f>
        <v>4413421</v>
      </c>
      <c r="F327" s="12" t="str">
        <f aca="false">IF($E327="","Unmatched","Matched")</f>
        <v>Matched</v>
      </c>
    </row>
    <row r="328" customFormat="false" ht="15" hidden="false" customHeight="true" outlineLevel="0" collapsed="false">
      <c r="A328" s="12" t="s">
        <v>815</v>
      </c>
      <c r="B328" s="12" t="n">
        <v>2025</v>
      </c>
      <c r="C328" s="12" t="n">
        <v>22</v>
      </c>
      <c r="D328" s="12" t="n">
        <v>1638.8</v>
      </c>
      <c r="E328" s="12" t="n">
        <f aca="false">IFERROR(INDEX('Catalog'!$A:$A,MATCH($A328,'Catalog'!$B:$B,0)),IFERROR(INDEX('Catalog'!$A:$A,MATCH(TRIM(SUBSTITUTE($A328,CHAR(160)," ")),'Catalog'!$C:$C,0)),""))</f>
        <v>4413422</v>
      </c>
      <c r="F328" s="12" t="str">
        <f aca="false">IF($E328="","Unmatched","Matched")</f>
        <v>Matched</v>
      </c>
    </row>
    <row r="329" customFormat="false" ht="15" hidden="false" customHeight="true" outlineLevel="0" collapsed="false">
      <c r="A329" s="12" t="s">
        <v>820</v>
      </c>
      <c r="B329" s="12" t="n">
        <v>2025</v>
      </c>
      <c r="C329" s="12" t="n">
        <v>24</v>
      </c>
      <c r="D329" s="12" t="n">
        <v>1772.9</v>
      </c>
      <c r="E329" s="12" t="n">
        <f aca="false">IFERROR(INDEX('Catalog'!$A:$A,MATCH($A329,'Catalog'!$B:$B,0)),IFERROR(INDEX('Catalog'!$A:$A,MATCH(TRIM(SUBSTITUTE($A329,CHAR(160)," ")),'Catalog'!$C:$C,0)),""))</f>
        <v>4413425</v>
      </c>
      <c r="F329" s="12" t="str">
        <f aca="false">IF($E329="","Unmatched","Matched")</f>
        <v>Matched</v>
      </c>
    </row>
    <row r="330" customFormat="false" ht="15" hidden="false" customHeight="true" outlineLevel="0" collapsed="false">
      <c r="A330" s="12" t="s">
        <v>819</v>
      </c>
      <c r="B330" s="12" t="n">
        <v>2025</v>
      </c>
      <c r="C330" s="12" t="n">
        <v>21</v>
      </c>
      <c r="D330" s="12" t="n">
        <v>1549.4</v>
      </c>
      <c r="E330" s="12" t="n">
        <f aca="false">IFERROR(INDEX('Catalog'!$A:$A,MATCH($A330,'Catalog'!$B:$B,0)),IFERROR(INDEX('Catalog'!$A:$A,MATCH(TRIM(SUBSTITUTE($A330,CHAR(160)," ")),'Catalog'!$C:$C,0)),""))</f>
        <v>4413426</v>
      </c>
      <c r="F330" s="12" t="str">
        <f aca="false">IF($E330="","Unmatched","Matched")</f>
        <v>Matched</v>
      </c>
    </row>
    <row r="331" customFormat="false" ht="15" hidden="false" customHeight="true" outlineLevel="0" collapsed="false">
      <c r="A331" s="12" t="s">
        <v>822</v>
      </c>
      <c r="B331" s="12" t="n">
        <v>2025</v>
      </c>
      <c r="C331" s="12" t="n">
        <v>11</v>
      </c>
      <c r="D331" s="12" t="n">
        <v>815.7</v>
      </c>
      <c r="E331" s="12" t="n">
        <f aca="false">IFERROR(INDEX('Catalog'!$A:$A,MATCH($A331,'Catalog'!$B:$B,0)),IFERROR(INDEX('Catalog'!$A:$A,MATCH(TRIM(SUBSTITUTE($A331,CHAR(160)," ")),'Catalog'!$C:$C,0)),""))</f>
        <v>4413427</v>
      </c>
      <c r="F331" s="12" t="str">
        <f aca="false">IF($E331="","Unmatched","Matched")</f>
        <v>Matched</v>
      </c>
    </row>
    <row r="332" customFormat="false" ht="15" hidden="false" customHeight="true" outlineLevel="0" collapsed="false">
      <c r="A332" s="12" t="s">
        <v>725</v>
      </c>
      <c r="B332" s="12" t="n">
        <v>2025</v>
      </c>
      <c r="C332" s="12" t="n">
        <v>-2</v>
      </c>
      <c r="D332" s="12" t="n">
        <v>-213</v>
      </c>
      <c r="E332" s="12" t="n">
        <f aca="false">IFERROR(INDEX('Catalog'!$A:$A,MATCH($A332,'Catalog'!$B:$B,0)),IFERROR(INDEX('Catalog'!$A:$A,MATCH(TRIM(SUBSTITUTE($A332,CHAR(160)," ")),'Catalog'!$C:$C,0)),""))</f>
        <v>4413428</v>
      </c>
      <c r="F332" s="12" t="str">
        <f aca="false">IF($E332="","Unmatched","Matched")</f>
        <v>Matched</v>
      </c>
    </row>
    <row r="333" customFormat="false" ht="15" hidden="false" customHeight="true" outlineLevel="0" collapsed="false">
      <c r="A333" s="12" t="s">
        <v>726</v>
      </c>
      <c r="B333" s="12" t="n">
        <v>2025</v>
      </c>
      <c r="C333" s="12" t="n">
        <v>-1</v>
      </c>
      <c r="D333" s="12" t="n">
        <v>-106.5</v>
      </c>
      <c r="E333" s="12" t="n">
        <f aca="false">IFERROR(INDEX('Catalog'!$A:$A,MATCH($A333,'Catalog'!$B:$B,0)),IFERROR(INDEX('Catalog'!$A:$A,MATCH(TRIM(SUBSTITUTE($A333,CHAR(160)," ")),'Catalog'!$C:$C,0)),""))</f>
        <v>4413429</v>
      </c>
      <c r="F333" s="12" t="str">
        <f aca="false">IF($E333="","Unmatched","Matched")</f>
        <v>Matched</v>
      </c>
    </row>
    <row r="334" customFormat="false" ht="15" hidden="false" customHeight="true" outlineLevel="0" collapsed="false">
      <c r="A334" s="12" t="s">
        <v>727</v>
      </c>
      <c r="B334" s="12" t="n">
        <v>2025</v>
      </c>
      <c r="C334" s="12" t="n">
        <v>-1</v>
      </c>
      <c r="D334" s="12" t="n">
        <v>-106.5</v>
      </c>
      <c r="E334" s="12" t="n">
        <f aca="false">IFERROR(INDEX('Catalog'!$A:$A,MATCH($A334,'Catalog'!$B:$B,0)),IFERROR(INDEX('Catalog'!$A:$A,MATCH(TRIM(SUBSTITUTE($A334,CHAR(160)," ")),'Catalog'!$C:$C,0)),""))</f>
        <v>4413430</v>
      </c>
      <c r="F334" s="12" t="str">
        <f aca="false">IF($E334="","Unmatched","Matched")</f>
        <v>Matched</v>
      </c>
    </row>
    <row r="335" customFormat="false" ht="15" hidden="false" customHeight="true" outlineLevel="0" collapsed="false">
      <c r="A335" s="12" t="s">
        <v>728</v>
      </c>
      <c r="B335" s="12" t="n">
        <v>2025</v>
      </c>
      <c r="C335" s="12" t="n">
        <v>-1</v>
      </c>
      <c r="D335" s="12" t="n">
        <v>-106.5</v>
      </c>
      <c r="E335" s="12" t="n">
        <f aca="false">IFERROR(INDEX('Catalog'!$A:$A,MATCH($A335,'Catalog'!$B:$B,0)),IFERROR(INDEX('Catalog'!$A:$A,MATCH(TRIM(SUBSTITUTE($A335,CHAR(160)," ")),'Catalog'!$C:$C,0)),""))</f>
        <v>4413431</v>
      </c>
      <c r="F335" s="12" t="str">
        <f aca="false">IF($E335="","Unmatched","Matched")</f>
        <v>Matched</v>
      </c>
    </row>
    <row r="336" customFormat="false" ht="15" hidden="false" customHeight="true" outlineLevel="0" collapsed="false">
      <c r="A336" s="12" t="s">
        <v>152</v>
      </c>
      <c r="B336" s="12" t="n">
        <v>2025</v>
      </c>
      <c r="C336" s="12" t="n">
        <v>14</v>
      </c>
      <c r="D336" s="12" t="n">
        <v>1880.3</v>
      </c>
      <c r="E336" s="12" t="n">
        <f aca="false">IFERROR(INDEX('Catalog'!$A:$A,MATCH($A336,'Catalog'!$B:$B,0)),IFERROR(INDEX('Catalog'!$A:$A,MATCH(TRIM(SUBSTITUTE($A336,CHAR(160)," ")),'Catalog'!$C:$C,0)),""))</f>
        <v>4413438</v>
      </c>
      <c r="F336" s="12" t="str">
        <f aca="false">IF($E336="","Unmatched","Matched")</f>
        <v>Matched</v>
      </c>
    </row>
    <row r="337" customFormat="false" ht="15" hidden="false" customHeight="true" outlineLevel="0" collapsed="false">
      <c r="A337" s="12" t="s">
        <v>829</v>
      </c>
      <c r="B337" s="12" t="n">
        <v>2025</v>
      </c>
      <c r="C337" s="12" t="n">
        <v>20</v>
      </c>
      <c r="D337" s="12" t="n">
        <v>2674.5</v>
      </c>
      <c r="E337" s="12" t="n">
        <f aca="false">IFERROR(INDEX('Catalog'!$A:$A,MATCH($A337,'Catalog'!$B:$B,0)),IFERROR(INDEX('Catalog'!$A:$A,MATCH(TRIM(SUBSTITUTE($A337,CHAR(160)," ")),'Catalog'!$C:$C,0)),""))</f>
        <v>4413439</v>
      </c>
      <c r="F337" s="12" t="str">
        <f aca="false">IF($E337="","Unmatched","Matched")</f>
        <v>Matched</v>
      </c>
    </row>
    <row r="338" customFormat="false" ht="15" hidden="false" customHeight="true" outlineLevel="0" collapsed="false">
      <c r="A338" s="12" t="s">
        <v>828</v>
      </c>
      <c r="B338" s="12" t="n">
        <v>2025</v>
      </c>
      <c r="C338" s="12" t="n">
        <v>31</v>
      </c>
      <c r="D338" s="12" t="n">
        <v>4167.8</v>
      </c>
      <c r="E338" s="12" t="n">
        <f aca="false">IFERROR(INDEX('Catalog'!$A:$A,MATCH($A338,'Catalog'!$B:$B,0)),IFERROR(INDEX('Catalog'!$A:$A,MATCH(TRIM(SUBSTITUTE($A338,CHAR(160)," ")),'Catalog'!$C:$C,0)),""))</f>
        <v>4413440</v>
      </c>
      <c r="F338" s="12" t="str">
        <f aca="false">IF($E338="","Unmatched","Matched")</f>
        <v>Matched</v>
      </c>
    </row>
    <row r="339" customFormat="false" ht="15" hidden="false" customHeight="true" outlineLevel="0" collapsed="false">
      <c r="A339" s="12" t="s">
        <v>830</v>
      </c>
      <c r="B339" s="12" t="n">
        <v>2025</v>
      </c>
      <c r="C339" s="12" t="n">
        <v>13</v>
      </c>
      <c r="D339" s="12" t="n">
        <v>1751.3</v>
      </c>
      <c r="E339" s="12" t="n">
        <f aca="false">IFERROR(INDEX('Catalog'!$A:$A,MATCH($A339,'Catalog'!$B:$B,0)),IFERROR(INDEX('Catalog'!$A:$A,MATCH(TRIM(SUBSTITUTE($A339,CHAR(160)," ")),'Catalog'!$C:$C,0)),""))</f>
        <v>4413441</v>
      </c>
      <c r="F339" s="12" t="str">
        <f aca="false">IF($E339="","Unmatched","Matched")</f>
        <v>Matched</v>
      </c>
    </row>
    <row r="340" customFormat="false" ht="15" hidden="false" customHeight="true" outlineLevel="0" collapsed="false">
      <c r="A340" s="12" t="s">
        <v>153</v>
      </c>
      <c r="B340" s="12" t="n">
        <v>2025</v>
      </c>
      <c r="C340" s="12" t="n">
        <v>4</v>
      </c>
      <c r="D340" s="12" t="n">
        <v>469.1</v>
      </c>
      <c r="E340" s="12" t="n">
        <f aca="false">IFERROR(INDEX('Catalog'!$A:$A,MATCH($A340,'Catalog'!$B:$B,0)),IFERROR(INDEX('Catalog'!$A:$A,MATCH(TRIM(SUBSTITUTE($A340,CHAR(160)," ")),'Catalog'!$C:$C,0)),""))</f>
        <v>4413442</v>
      </c>
      <c r="F340" s="12" t="str">
        <f aca="false">IF($E340="","Unmatched","Matched")</f>
        <v>Matched</v>
      </c>
    </row>
    <row r="341" customFormat="false" ht="15" hidden="false" customHeight="true" outlineLevel="0" collapsed="false">
      <c r="A341" s="12" t="s">
        <v>390</v>
      </c>
      <c r="B341" s="12" t="n">
        <v>2025</v>
      </c>
      <c r="C341" s="12" t="n">
        <v>-2</v>
      </c>
      <c r="D341" s="12" t="n">
        <v>-570.3</v>
      </c>
      <c r="E341" s="12" t="n">
        <f aca="false">IFERROR(INDEX('Catalog'!$A:$A,MATCH($A341,'Catalog'!$B:$B,0)),IFERROR(INDEX('Catalog'!$A:$A,MATCH(TRIM(SUBSTITUTE($A341,CHAR(160)," ")),'Catalog'!$C:$C,0)),""))</f>
        <v>4413443</v>
      </c>
      <c r="F341" s="12" t="str">
        <f aca="false">IF($E341="","Unmatched","Matched")</f>
        <v>Matched</v>
      </c>
    </row>
    <row r="342" customFormat="false" ht="15" hidden="false" customHeight="true" outlineLevel="0" collapsed="false">
      <c r="A342" s="12" t="s">
        <v>623</v>
      </c>
      <c r="B342" s="12" t="n">
        <v>2025</v>
      </c>
      <c r="C342" s="12" t="n">
        <v>-2</v>
      </c>
      <c r="D342" s="12" t="n">
        <v>-188.4</v>
      </c>
      <c r="E342" s="12" t="n">
        <f aca="false">IFERROR(INDEX('Catalog'!$A:$A,MATCH($A342,'Catalog'!$B:$B,0)),IFERROR(INDEX('Catalog'!$A:$A,MATCH(TRIM(SUBSTITUTE($A342,CHAR(160)," ")),'Catalog'!$C:$C,0)),""))</f>
        <v>4415165</v>
      </c>
      <c r="F342" s="12" t="str">
        <f aca="false">IF($E342="","Unmatched","Matched")</f>
        <v>Matched</v>
      </c>
    </row>
    <row r="343" customFormat="false" ht="15" hidden="false" customHeight="true" outlineLevel="0" collapsed="false">
      <c r="A343" s="12" t="s">
        <v>592</v>
      </c>
      <c r="B343" s="12" t="n">
        <v>2025</v>
      </c>
      <c r="C343" s="12" t="n">
        <v>180</v>
      </c>
      <c r="D343" s="12" t="n">
        <v>5113.7</v>
      </c>
      <c r="E343" s="12" t="n">
        <f aca="false">IFERROR(INDEX('Catalog'!$A:$A,MATCH($A343,'Catalog'!$B:$B,0)),IFERROR(INDEX('Catalog'!$A:$A,MATCH(TRIM(SUBSTITUTE($A343,CHAR(160)," ")),'Catalog'!$C:$C,0)),""))</f>
        <v>4411017</v>
      </c>
      <c r="F343" s="12" t="str">
        <f aca="false">IF($E343="","Unmatched","Matched")</f>
        <v>Matched</v>
      </c>
    </row>
    <row r="344" customFormat="false" ht="15" hidden="false" customHeight="true" outlineLevel="0" collapsed="false">
      <c r="A344" s="12" t="s">
        <v>593</v>
      </c>
      <c r="B344" s="12" t="n">
        <v>2025</v>
      </c>
      <c r="C344" s="12" t="n">
        <v>258</v>
      </c>
      <c r="D344" s="12" t="n">
        <v>7344.8</v>
      </c>
      <c r="E344" s="12" t="n">
        <f aca="false">IFERROR(INDEX('Catalog'!$A:$A,MATCH($A344,'Catalog'!$B:$B,0)),IFERROR(INDEX('Catalog'!$A:$A,MATCH(TRIM(SUBSTITUTE($A344,CHAR(160)," ")),'Catalog'!$C:$C,0)),""))</f>
        <v>4411018</v>
      </c>
      <c r="F344" s="12" t="str">
        <f aca="false">IF($E344="","Unmatched","Matched")</f>
        <v>Matched</v>
      </c>
    </row>
    <row r="345" customFormat="false" ht="15" hidden="false" customHeight="true" outlineLevel="0" collapsed="false">
      <c r="A345" s="12" t="s">
        <v>594</v>
      </c>
      <c r="B345" s="12" t="n">
        <v>2025</v>
      </c>
      <c r="C345" s="12" t="n">
        <v>246</v>
      </c>
      <c r="D345" s="12" t="n">
        <v>6998.3</v>
      </c>
      <c r="E345" s="12" t="n">
        <f aca="false">IFERROR(INDEX('Catalog'!$A:$A,MATCH($A345,'Catalog'!$B:$B,0)),IFERROR(INDEX('Catalog'!$A:$A,MATCH(TRIM(SUBSTITUTE($A345,CHAR(160)," ")),'Catalog'!$C:$C,0)),""))</f>
        <v>4411019</v>
      </c>
      <c r="F345" s="12" t="str">
        <f aca="false">IF($E345="","Unmatched","Matched")</f>
        <v>Matched</v>
      </c>
    </row>
    <row r="346" customFormat="false" ht="15" hidden="false" customHeight="true" outlineLevel="0" collapsed="false">
      <c r="A346" s="12" t="s">
        <v>595</v>
      </c>
      <c r="B346" s="12" t="n">
        <v>2025</v>
      </c>
      <c r="C346" s="12" t="n">
        <v>76</v>
      </c>
      <c r="D346" s="12" t="n">
        <v>2156.6</v>
      </c>
      <c r="E346" s="12" t="n">
        <f aca="false">IFERROR(INDEX('Catalog'!$A:$A,MATCH($A346,'Catalog'!$B:$B,0)),IFERROR(INDEX('Catalog'!$A:$A,MATCH(TRIM(SUBSTITUTE($A346,CHAR(160)," ")),'Catalog'!$C:$C,0)),""))</f>
        <v>4411020</v>
      </c>
      <c r="F346" s="12" t="str">
        <f aca="false">IF($E346="","Unmatched","Matched")</f>
        <v>Matched</v>
      </c>
    </row>
    <row r="347" customFormat="false" ht="15" hidden="false" customHeight="true" outlineLevel="0" collapsed="false">
      <c r="A347" s="12" t="s">
        <v>596</v>
      </c>
      <c r="B347" s="12" t="n">
        <v>2025</v>
      </c>
      <c r="C347" s="12" t="n">
        <v>244</v>
      </c>
      <c r="D347" s="12" t="n">
        <v>6942.4</v>
      </c>
      <c r="E347" s="12" t="n">
        <f aca="false">IFERROR(INDEX('Catalog'!$A:$A,MATCH($A347,'Catalog'!$B:$B,0)),IFERROR(INDEX('Catalog'!$A:$A,MATCH(TRIM(SUBSTITUTE($A347,CHAR(160)," ")),'Catalog'!$C:$C,0)),""))</f>
        <v>4411021</v>
      </c>
      <c r="F347" s="12" t="str">
        <f aca="false">IF($E347="","Unmatched","Matched")</f>
        <v>Matched</v>
      </c>
    </row>
    <row r="348" customFormat="false" ht="15" hidden="false" customHeight="true" outlineLevel="0" collapsed="false">
      <c r="A348" s="12" t="s">
        <v>597</v>
      </c>
      <c r="B348" s="12" t="n">
        <v>2025</v>
      </c>
      <c r="C348" s="12" t="n">
        <v>419</v>
      </c>
      <c r="D348" s="12" t="n">
        <v>11927.2</v>
      </c>
      <c r="E348" s="12" t="n">
        <f aca="false">IFERROR(INDEX('Catalog'!$A:$A,MATCH($A348,'Catalog'!$B:$B,0)),IFERROR(INDEX('Catalog'!$A:$A,MATCH(TRIM(SUBSTITUTE($A348,CHAR(160)," ")),'Catalog'!$C:$C,0)),""))</f>
        <v>4411022</v>
      </c>
      <c r="F348" s="12" t="str">
        <f aca="false">IF($E348="","Unmatched","Matched")</f>
        <v>Matched</v>
      </c>
    </row>
    <row r="349" customFormat="false" ht="15" hidden="false" customHeight="true" outlineLevel="0" collapsed="false">
      <c r="A349" s="12" t="s">
        <v>598</v>
      </c>
      <c r="B349" s="12" t="n">
        <v>2025</v>
      </c>
      <c r="C349" s="12" t="n">
        <v>395</v>
      </c>
      <c r="D349" s="12" t="n">
        <v>11254.2</v>
      </c>
      <c r="E349" s="12" t="n">
        <f aca="false">IFERROR(INDEX('Catalog'!$A:$A,MATCH($A349,'Catalog'!$B:$B,0)),IFERROR(INDEX('Catalog'!$A:$A,MATCH(TRIM(SUBSTITUTE($A349,CHAR(160)," ")),'Catalog'!$C:$C,0)),""))</f>
        <v>4411023</v>
      </c>
      <c r="F349" s="12" t="str">
        <f aca="false">IF($E349="","Unmatched","Matched")</f>
        <v>Matched</v>
      </c>
    </row>
    <row r="350" customFormat="false" ht="15" hidden="false" customHeight="true" outlineLevel="0" collapsed="false">
      <c r="A350" s="12" t="s">
        <v>599</v>
      </c>
      <c r="B350" s="12" t="n">
        <v>2025</v>
      </c>
      <c r="C350" s="12" t="n">
        <v>62</v>
      </c>
      <c r="D350" s="12" t="n">
        <v>1770</v>
      </c>
      <c r="E350" s="12" t="n">
        <f aca="false">IFERROR(INDEX('Catalog'!$A:$A,MATCH($A350,'Catalog'!$B:$B,0)),IFERROR(INDEX('Catalog'!$A:$A,MATCH(TRIM(SUBSTITUTE($A350,CHAR(160)," ")),'Catalog'!$C:$C,0)),""))</f>
        <v>4411024</v>
      </c>
      <c r="F350" s="12" t="str">
        <f aca="false">IF($E350="","Unmatched","Matched")</f>
        <v>Matched</v>
      </c>
    </row>
    <row r="351" customFormat="false" ht="15" hidden="false" customHeight="true" outlineLevel="0" collapsed="false">
      <c r="A351" s="12" t="s">
        <v>566</v>
      </c>
      <c r="B351" s="12" t="n">
        <v>2025</v>
      </c>
      <c r="C351" s="12" t="n">
        <v>830</v>
      </c>
      <c r="D351" s="12" t="n">
        <v>33989.9</v>
      </c>
      <c r="E351" s="12" t="n">
        <f aca="false">IFERROR(INDEX('Catalog'!$A:$A,MATCH($A351,'Catalog'!$B:$B,0)),IFERROR(INDEX('Catalog'!$A:$A,MATCH(TRIM(SUBSTITUTE($A351,CHAR(160)," ")),'Catalog'!$C:$C,0)),""))</f>
        <v>4413452</v>
      </c>
      <c r="F351" s="12" t="str">
        <f aca="false">IF($E351="","Unmatched","Matched")</f>
        <v>Matched</v>
      </c>
    </row>
    <row r="352" customFormat="false" ht="15" hidden="false" customHeight="true" outlineLevel="0" collapsed="false">
      <c r="A352" s="12" t="s">
        <v>397</v>
      </c>
      <c r="B352" s="12" t="n">
        <v>2025</v>
      </c>
      <c r="C352" s="12" t="n">
        <v>561</v>
      </c>
      <c r="D352" s="12" t="n">
        <v>34271.9</v>
      </c>
      <c r="E352" s="12" t="n">
        <f aca="false">IFERROR(INDEX('Catalog'!$A:$A,MATCH($A352,'Catalog'!$B:$B,0)),IFERROR(INDEX('Catalog'!$A:$A,MATCH(TRIM(SUBSTITUTE($A352,CHAR(160)," ")),'Catalog'!$C:$C,0)),""))</f>
        <v>4413453</v>
      </c>
      <c r="F352" s="12" t="str">
        <f aca="false">IF($E352="","Unmatched","Matched")</f>
        <v>Matched</v>
      </c>
    </row>
    <row r="353" customFormat="false" ht="15" hidden="false" customHeight="true" outlineLevel="0" collapsed="false">
      <c r="A353" s="12" t="s">
        <v>531</v>
      </c>
      <c r="B353" s="12" t="n">
        <v>2025</v>
      </c>
      <c r="C353" s="12" t="n">
        <v>299</v>
      </c>
      <c r="D353" s="12" t="n">
        <v>13367.2</v>
      </c>
      <c r="E353" s="12" t="n">
        <f aca="false">IFERROR(INDEX('Catalog'!$A:$A,MATCH($A353,'Catalog'!$B:$B,0)),IFERROR(INDEX('Catalog'!$A:$A,MATCH(TRIM(SUBSTITUTE($A353,CHAR(160)," ")),'Catalog'!$C:$C,0)),""))</f>
        <v>4413455</v>
      </c>
      <c r="F353" s="12" t="str">
        <f aca="false">IF($E353="","Unmatched","Matched")</f>
        <v>Matched</v>
      </c>
    </row>
    <row r="354" customFormat="false" ht="15" hidden="false" customHeight="true" outlineLevel="0" collapsed="false">
      <c r="A354" s="12" t="s">
        <v>396</v>
      </c>
      <c r="B354" s="12" t="n">
        <v>2025</v>
      </c>
      <c r="C354" s="12" t="n">
        <v>98</v>
      </c>
      <c r="D354" s="12" t="n">
        <v>5983.3</v>
      </c>
      <c r="E354" s="12" t="n">
        <f aca="false">IFERROR(INDEX('Catalog'!$A:$A,MATCH($A354,'Catalog'!$B:$B,0)),IFERROR(INDEX('Catalog'!$A:$A,MATCH(TRIM(SUBSTITUTE($A354,CHAR(160)," ")),'Catalog'!$C:$C,0)),""))</f>
        <v>4413456</v>
      </c>
      <c r="F354" s="12" t="str">
        <f aca="false">IF($E354="","Unmatched","Matched")</f>
        <v>Matched</v>
      </c>
    </row>
    <row r="355" customFormat="false" ht="15" hidden="false" customHeight="true" outlineLevel="0" collapsed="false">
      <c r="A355" s="12" t="s">
        <v>684</v>
      </c>
      <c r="B355" s="12" t="n">
        <v>2025</v>
      </c>
      <c r="C355" s="12" t="n">
        <v>217</v>
      </c>
      <c r="D355" s="12" t="n">
        <v>5300.6</v>
      </c>
      <c r="E355" s="12" t="n">
        <f aca="false">IFERROR(INDEX('Catalog'!$A:$A,MATCH($A355,'Catalog'!$B:$B,0)),IFERROR(INDEX('Catalog'!$A:$A,MATCH(TRIM(SUBSTITUTE($A355,CHAR(160)," ")),'Catalog'!$C:$C,0)),""))</f>
        <v>4415029</v>
      </c>
      <c r="F355" s="12" t="str">
        <f aca="false">IF($E355="","Unmatched","Matched")</f>
        <v>Matched</v>
      </c>
    </row>
    <row r="356" customFormat="false" ht="15" hidden="false" customHeight="true" outlineLevel="0" collapsed="false">
      <c r="A356" s="12" t="s">
        <v>370</v>
      </c>
      <c r="B356" s="12" t="n">
        <v>2025</v>
      </c>
      <c r="C356" s="12" t="n">
        <v>382</v>
      </c>
      <c r="D356" s="12" t="n">
        <v>10951.3</v>
      </c>
      <c r="E356" s="12" t="n">
        <f aca="false">IFERROR(INDEX('Catalog'!$A:$A,MATCH($A356,'Catalog'!$B:$B,0)),IFERROR(INDEX('Catalog'!$A:$A,MATCH(TRIM(SUBSTITUTE($A356,CHAR(160)," ")),'Catalog'!$C:$C,0)),""))</f>
        <v>4421005</v>
      </c>
      <c r="F356" s="12" t="str">
        <f aca="false">IF($E356="","Unmatched","Matched")</f>
        <v>Matched</v>
      </c>
    </row>
    <row r="357" customFormat="false" ht="15" hidden="false" customHeight="true" outlineLevel="0" collapsed="false">
      <c r="A357" s="12" t="s">
        <v>369</v>
      </c>
      <c r="B357" s="12" t="n">
        <v>2025</v>
      </c>
      <c r="C357" s="12" t="n">
        <v>532</v>
      </c>
      <c r="D357" s="12" t="n">
        <v>16470.8</v>
      </c>
      <c r="E357" s="12" t="n">
        <f aca="false">IFERROR(INDEX('Catalog'!$A:$A,MATCH($A357,'Catalog'!$B:$B,0)),IFERROR(INDEX('Catalog'!$A:$A,MATCH(TRIM(SUBSTITUTE($A357,CHAR(160)," ")),'Catalog'!$C:$C,0)),""))</f>
        <v>4421006</v>
      </c>
      <c r="F357" s="12" t="str">
        <f aca="false">IF($E357="","Unmatched","Matched")</f>
        <v>Matched</v>
      </c>
    </row>
    <row r="358" customFormat="false" ht="15" hidden="false" customHeight="true" outlineLevel="0" collapsed="false">
      <c r="A358" s="12" t="s">
        <v>364</v>
      </c>
      <c r="B358" s="12" t="n">
        <v>2025</v>
      </c>
      <c r="C358" s="12" t="n">
        <v>262</v>
      </c>
      <c r="D358" s="12" t="n">
        <v>9621.9</v>
      </c>
      <c r="E358" s="12" t="n">
        <f aca="false">IFERROR(INDEX('Catalog'!$A:$A,MATCH($A358,'Catalog'!$B:$B,0)),IFERROR(INDEX('Catalog'!$A:$A,MATCH(TRIM(SUBSTITUTE($A358,CHAR(160)," ")),'Catalog'!$C:$C,0)),""))</f>
        <v>4421007</v>
      </c>
      <c r="F358" s="12" t="str">
        <f aca="false">IF($E358="","Unmatched","Matched")</f>
        <v>Matched</v>
      </c>
    </row>
    <row r="359" customFormat="false" ht="15" hidden="false" customHeight="true" outlineLevel="0" collapsed="false">
      <c r="A359" s="12" t="s">
        <v>363</v>
      </c>
      <c r="B359" s="12" t="n">
        <v>2025</v>
      </c>
      <c r="C359" s="12" t="n">
        <v>350</v>
      </c>
      <c r="D359" s="12" t="n">
        <v>13563.4</v>
      </c>
      <c r="E359" s="12" t="n">
        <f aca="false">IFERROR(INDEX('Catalog'!$A:$A,MATCH($A359,'Catalog'!$B:$B,0)),IFERROR(INDEX('Catalog'!$A:$A,MATCH(TRIM(SUBSTITUTE($A359,CHAR(160)," ")),'Catalog'!$C:$C,0)),""))</f>
        <v>4421008</v>
      </c>
      <c r="F359" s="12" t="str">
        <f aca="false">IF($E359="","Unmatched","Matched")</f>
        <v>Matched</v>
      </c>
    </row>
    <row r="360" customFormat="false" ht="15" hidden="false" customHeight="true" outlineLevel="0" collapsed="false">
      <c r="A360" s="12" t="s">
        <v>845</v>
      </c>
      <c r="B360" s="12" t="n">
        <v>2025</v>
      </c>
      <c r="C360" s="12" t="n">
        <v>1235</v>
      </c>
      <c r="D360" s="12" t="n">
        <v>12532.2</v>
      </c>
      <c r="E360" s="12" t="n">
        <f aca="false">IFERROR(INDEX('Catalog'!$A:$A,MATCH($A360,'Catalog'!$B:$B,0)),IFERROR(INDEX('Catalog'!$A:$A,MATCH(TRIM(SUBSTITUTE($A360,CHAR(160)," ")),'Catalog'!$C:$C,0)),""))</f>
        <v>4422031</v>
      </c>
      <c r="F360" s="12" t="str">
        <f aca="false">IF($E360="","Unmatched","Matched")</f>
        <v>Matched</v>
      </c>
    </row>
    <row r="361" customFormat="false" ht="15" hidden="false" customHeight="true" outlineLevel="0" collapsed="false">
      <c r="A361" s="12" t="s">
        <v>843</v>
      </c>
      <c r="B361" s="12" t="n">
        <v>2025</v>
      </c>
      <c r="C361" s="12" t="n">
        <v>1790</v>
      </c>
      <c r="D361" s="12" t="n">
        <v>18164.7</v>
      </c>
      <c r="E361" s="12" t="n">
        <f aca="false">IFERROR(INDEX('Catalog'!$A:$A,MATCH($A361,'Catalog'!$B:$B,0)),IFERROR(INDEX('Catalog'!$A:$A,MATCH(TRIM(SUBSTITUTE($A361,CHAR(160)," ")),'Catalog'!$C:$C,0)),""))</f>
        <v>4422032</v>
      </c>
      <c r="F361" s="12" t="str">
        <f aca="false">IF($E361="","Unmatched","Matched")</f>
        <v>Matched</v>
      </c>
    </row>
    <row r="362" customFormat="false" ht="15" hidden="false" customHeight="true" outlineLevel="0" collapsed="false">
      <c r="A362" s="12" t="s">
        <v>844</v>
      </c>
      <c r="B362" s="12" t="n">
        <v>2025</v>
      </c>
      <c r="C362" s="12" t="n">
        <v>1556</v>
      </c>
      <c r="D362" s="12" t="n">
        <v>15795.7</v>
      </c>
      <c r="E362" s="12" t="n">
        <f aca="false">IFERROR(INDEX('Catalog'!$A:$A,MATCH($A362,'Catalog'!$B:$B,0)),IFERROR(INDEX('Catalog'!$A:$A,MATCH(TRIM(SUBSTITUTE($A362,CHAR(160)," ")),'Catalog'!$C:$C,0)),""))</f>
        <v>4422033</v>
      </c>
      <c r="F362" s="12" t="str">
        <f aca="false">IF($E362="","Unmatched","Matched")</f>
        <v>Matched</v>
      </c>
    </row>
    <row r="363" customFormat="false" ht="15" hidden="false" customHeight="true" outlineLevel="0" collapsed="false">
      <c r="A363" s="12" t="s">
        <v>846</v>
      </c>
      <c r="B363" s="12" t="n">
        <v>2025</v>
      </c>
      <c r="C363" s="12" t="n">
        <v>1134</v>
      </c>
      <c r="D363" s="12" t="n">
        <v>11512.2</v>
      </c>
      <c r="E363" s="12" t="n">
        <f aca="false">IFERROR(INDEX('Catalog'!$A:$A,MATCH($A363,'Catalog'!$B:$B,0)),IFERROR(INDEX('Catalog'!$A:$A,MATCH(TRIM(SUBSTITUTE($A363,CHAR(160)," ")),'Catalog'!$C:$C,0)),""))</f>
        <v>4422034</v>
      </c>
      <c r="F363" s="12" t="str">
        <f aca="false">IF($E363="","Unmatched","Matched")</f>
        <v>Matched</v>
      </c>
    </row>
    <row r="364" customFormat="false" ht="15" hidden="false" customHeight="true" outlineLevel="0" collapsed="false">
      <c r="A364" s="12" t="s">
        <v>527</v>
      </c>
      <c r="B364" s="12" t="n">
        <v>2025</v>
      </c>
      <c r="C364" s="12" t="n">
        <v>935</v>
      </c>
      <c r="D364" s="12" t="n">
        <v>45804.2</v>
      </c>
      <c r="E364" s="12" t="n">
        <f aca="false">IFERROR(INDEX('Catalog'!$A:$A,MATCH($A364,'Catalog'!$B:$B,0)),IFERROR(INDEX('Catalog'!$A:$A,MATCH(TRIM(SUBSTITUTE($A364,CHAR(160)," ")),'Catalog'!$C:$C,0)),""))</f>
        <v>4413516</v>
      </c>
      <c r="F364" s="12" t="str">
        <f aca="false">IF($E364="","Unmatched","Matched")</f>
        <v>Matched</v>
      </c>
    </row>
    <row r="365" customFormat="false" ht="15" hidden="false" customHeight="true" outlineLevel="0" collapsed="false">
      <c r="A365" s="12" t="s">
        <v>528</v>
      </c>
      <c r="B365" s="12" t="n">
        <v>2025</v>
      </c>
      <c r="C365" s="12" t="n">
        <v>802</v>
      </c>
      <c r="D365" s="12" t="n">
        <v>39247.7</v>
      </c>
      <c r="E365" s="12" t="n">
        <f aca="false">IFERROR(INDEX('Catalog'!$A:$A,MATCH($A365,'Catalog'!$B:$B,0)),IFERROR(INDEX('Catalog'!$A:$A,MATCH(TRIM(SUBSTITUTE($A365,CHAR(160)," ")),'Catalog'!$C:$C,0)),""))</f>
        <v>4413517</v>
      </c>
      <c r="F365" s="12" t="str">
        <f aca="false">IF($E365="","Unmatched","Matched")</f>
        <v>Matched</v>
      </c>
    </row>
    <row r="366" customFormat="false" ht="15" hidden="false" customHeight="true" outlineLevel="0" collapsed="false">
      <c r="A366" s="12" t="s">
        <v>530</v>
      </c>
      <c r="B366" s="12" t="n">
        <v>2025</v>
      </c>
      <c r="C366" s="12" t="n">
        <v>588</v>
      </c>
      <c r="D366" s="12" t="n">
        <v>28808.8</v>
      </c>
      <c r="E366" s="12" t="n">
        <f aca="false">IFERROR(INDEX('Catalog'!$A:$A,MATCH($A366,'Catalog'!$B:$B,0)),IFERROR(INDEX('Catalog'!$A:$A,MATCH(TRIM(SUBSTITUTE($A366,CHAR(160)," ")),'Catalog'!$C:$C,0)),""))</f>
        <v>4413518</v>
      </c>
      <c r="F366" s="12" t="str">
        <f aca="false">IF($E366="","Unmatched","Matched")</f>
        <v>Matched</v>
      </c>
    </row>
    <row r="367" customFormat="false" ht="15" hidden="false" customHeight="true" outlineLevel="0" collapsed="false">
      <c r="A367" s="12" t="s">
        <v>529</v>
      </c>
      <c r="B367" s="12" t="n">
        <v>2025</v>
      </c>
      <c r="C367" s="12" t="n">
        <v>464</v>
      </c>
      <c r="D367" s="12" t="n">
        <v>22776.9</v>
      </c>
      <c r="E367" s="12" t="n">
        <f aca="false">IFERROR(INDEX('Catalog'!$A:$A,MATCH($A367,'Catalog'!$B:$B,0)),IFERROR(INDEX('Catalog'!$A:$A,MATCH(TRIM(SUBSTITUTE($A367,CHAR(160)," ")),'Catalog'!$C:$C,0)),""))</f>
        <v>4413519</v>
      </c>
      <c r="F367" s="12" t="str">
        <f aca="false">IF($E367="","Unmatched","Matched")</f>
        <v>Matched</v>
      </c>
    </row>
    <row r="368" customFormat="false" ht="15" hidden="false" customHeight="true" outlineLevel="0" collapsed="false">
      <c r="A368" s="12" t="s">
        <v>356</v>
      </c>
      <c r="B368" s="12" t="n">
        <v>2025</v>
      </c>
      <c r="C368" s="12" t="n">
        <v>257</v>
      </c>
      <c r="D368" s="12" t="n">
        <v>4298.7</v>
      </c>
      <c r="E368" s="12" t="n">
        <f aca="false">IFERROR(INDEX('Catalog'!$A:$A,MATCH($A368,'Catalog'!$B:$B,0)),IFERROR(INDEX('Catalog'!$A:$A,MATCH(TRIM(SUBSTITUTE($A368,CHAR(160)," ")),'Catalog'!$C:$C,0)),""))</f>
        <v>4419011</v>
      </c>
      <c r="F368" s="12" t="str">
        <f aca="false">IF($E368="","Unmatched","Matched")</f>
        <v>Matched</v>
      </c>
    </row>
    <row r="369" customFormat="false" ht="15" hidden="false" customHeight="true" outlineLevel="0" collapsed="false">
      <c r="A369" s="12" t="s">
        <v>357</v>
      </c>
      <c r="B369" s="12" t="n">
        <v>2025</v>
      </c>
      <c r="C369" s="12" t="n">
        <v>95</v>
      </c>
      <c r="D369" s="12" t="n">
        <v>1673</v>
      </c>
      <c r="E369" s="12" t="n">
        <f aca="false">IFERROR(INDEX('Catalog'!$A:$A,MATCH($A369,'Catalog'!$B:$B,0)),IFERROR(INDEX('Catalog'!$A:$A,MATCH(TRIM(SUBSTITUTE($A369,CHAR(160)," ")),'Catalog'!$C:$C,0)),""))</f>
        <v>4419012</v>
      </c>
      <c r="F369" s="12" t="str">
        <f aca="false">IF($E369="","Unmatched","Matched")</f>
        <v>Matched</v>
      </c>
    </row>
    <row r="370" customFormat="false" ht="15" hidden="false" customHeight="true" outlineLevel="0" collapsed="false">
      <c r="A370" s="12" t="s">
        <v>355</v>
      </c>
      <c r="B370" s="12" t="n">
        <v>2025</v>
      </c>
      <c r="C370" s="12" t="n">
        <v>239</v>
      </c>
      <c r="D370" s="12" t="n">
        <v>3993.5</v>
      </c>
      <c r="E370" s="12" t="n">
        <f aca="false">IFERROR(INDEX('Catalog'!$A:$A,MATCH($A370,'Catalog'!$B:$B,0)),IFERROR(INDEX('Catalog'!$A:$A,MATCH(TRIM(SUBSTITUTE($A370,CHAR(160)," ")),'Catalog'!$C:$C,0)),""))</f>
        <v>4419013</v>
      </c>
      <c r="F370" s="12" t="str">
        <f aca="false">IF($E370="","Unmatched","Matched")</f>
        <v>Matched</v>
      </c>
    </row>
    <row r="371" customFormat="false" ht="15" hidden="false" customHeight="true" outlineLevel="0" collapsed="false">
      <c r="A371" s="12" t="s">
        <v>358</v>
      </c>
      <c r="B371" s="12" t="n">
        <v>2025</v>
      </c>
      <c r="C371" s="12" t="n">
        <v>328</v>
      </c>
      <c r="D371" s="12" t="n">
        <v>5450</v>
      </c>
      <c r="E371" s="12" t="n">
        <f aca="false">IFERROR(INDEX('Catalog'!$A:$A,MATCH($A371,'Catalog'!$B:$B,0)),IFERROR(INDEX('Catalog'!$A:$A,MATCH(TRIM(SUBSTITUTE($A371,CHAR(160)," ")),'Catalog'!$C:$C,0)),""))</f>
        <v>4419014</v>
      </c>
      <c r="F371" s="12" t="str">
        <f aca="false">IF($E371="","Unmatched","Matched")</f>
        <v>Matched</v>
      </c>
    </row>
    <row r="372" customFormat="false" ht="15" hidden="false" customHeight="true" outlineLevel="0" collapsed="false">
      <c r="A372" s="12" t="s">
        <v>368</v>
      </c>
      <c r="B372" s="12" t="n">
        <v>2025</v>
      </c>
      <c r="C372" s="12" t="n">
        <v>1663</v>
      </c>
      <c r="D372" s="12" t="n">
        <v>30574.4</v>
      </c>
      <c r="E372" s="12" t="n">
        <f aca="false">IFERROR(INDEX('Catalog'!$A:$A,MATCH($A372,'Catalog'!$B:$B,0)),IFERROR(INDEX('Catalog'!$A:$A,MATCH(TRIM(SUBSTITUTE($A372,CHAR(160)," ")),'Catalog'!$C:$C,0)),""))</f>
        <v>4422035</v>
      </c>
      <c r="F372" s="12" t="str">
        <f aca="false">IF($E372="","Unmatched","Matched")</f>
        <v>Matched</v>
      </c>
    </row>
    <row r="373" customFormat="false" ht="15" hidden="false" customHeight="true" outlineLevel="0" collapsed="false">
      <c r="A373" s="12" t="s">
        <v>184</v>
      </c>
      <c r="B373" s="12" t="n">
        <v>2025</v>
      </c>
      <c r="C373" s="12" t="n">
        <v>111</v>
      </c>
      <c r="D373" s="12" t="n">
        <v>3384.7</v>
      </c>
      <c r="E373" s="12" t="n">
        <f aca="false">IFERROR(INDEX('Catalog'!$A:$A,MATCH($A373,'Catalog'!$B:$B,0)),IFERROR(INDEX('Catalog'!$A:$A,MATCH(TRIM(SUBSTITUTE($A373,CHAR(160)," ")),'Catalog'!$C:$C,0)),""))</f>
        <v>4403040</v>
      </c>
      <c r="F373" s="12" t="str">
        <f aca="false">IF($E373="","Unmatched","Matched")</f>
        <v>Matched</v>
      </c>
    </row>
    <row r="374" customFormat="false" ht="15" hidden="false" customHeight="true" outlineLevel="0" collapsed="false">
      <c r="A374" s="12" t="s">
        <v>241</v>
      </c>
      <c r="B374" s="12" t="n">
        <v>2025</v>
      </c>
      <c r="C374" s="12" t="n">
        <v>28</v>
      </c>
      <c r="D374" s="12" t="n">
        <v>2640.1</v>
      </c>
      <c r="E374" s="12" t="n">
        <f aca="false">IFERROR(INDEX('Catalog'!$A:$A,MATCH($A374,'Catalog'!$B:$B,0)),IFERROR(INDEX('Catalog'!$A:$A,MATCH(TRIM(SUBSTITUTE($A374,CHAR(160)," ")),'Catalog'!$C:$C,0)),""))</f>
        <v>4408265</v>
      </c>
      <c r="F374" s="12" t="str">
        <f aca="false">IF($E374="","Unmatched","Matched")</f>
        <v>Matched</v>
      </c>
    </row>
    <row r="375" customFormat="false" ht="15" hidden="false" customHeight="true" outlineLevel="0" collapsed="false">
      <c r="A375" s="12" t="s">
        <v>473</v>
      </c>
      <c r="B375" s="12" t="n">
        <v>2025</v>
      </c>
      <c r="C375" s="12" t="n">
        <v>922</v>
      </c>
      <c r="D375" s="12" t="n">
        <v>62831.2</v>
      </c>
      <c r="E375" s="12" t="n">
        <f aca="false">IFERROR(INDEX('Catalog'!$A:$A,MATCH($A375,'Catalog'!$B:$B,0)),IFERROR(INDEX('Catalog'!$A:$A,MATCH(TRIM(SUBSTITUTE($A375,CHAR(160)," ")),'Catalog'!$C:$C,0)),""))</f>
        <v>4408266</v>
      </c>
      <c r="F375" s="12" t="str">
        <f aca="false">IF($E375="","Unmatched","Matched")</f>
        <v>Matched</v>
      </c>
    </row>
    <row r="376" customFormat="false" ht="15" hidden="false" customHeight="true" outlineLevel="0" collapsed="false">
      <c r="A376" s="12" t="s">
        <v>441</v>
      </c>
      <c r="B376" s="12" t="n">
        <v>2025</v>
      </c>
      <c r="C376" s="12" t="n">
        <v>869</v>
      </c>
      <c r="D376" s="12" t="n">
        <v>80570.4</v>
      </c>
      <c r="E376" s="12" t="n">
        <f aca="false">IFERROR(INDEX('Catalog'!$A:$A,MATCH($A376,'Catalog'!$B:$B,0)),IFERROR(INDEX('Catalog'!$A:$A,MATCH(TRIM(SUBSTITUTE($A376,CHAR(160)," ")),'Catalog'!$C:$C,0)),""))</f>
        <v>4413520</v>
      </c>
      <c r="F376" s="12" t="str">
        <f aca="false">IF($E376="","Unmatched","Matched")</f>
        <v>Matched</v>
      </c>
    </row>
    <row r="377" customFormat="false" ht="15" hidden="false" customHeight="true" outlineLevel="0" collapsed="false">
      <c r="A377" s="12" t="s">
        <v>443</v>
      </c>
      <c r="B377" s="12" t="n">
        <v>2025</v>
      </c>
      <c r="C377" s="12" t="n">
        <v>941</v>
      </c>
      <c r="D377" s="12" t="n">
        <v>87621.8</v>
      </c>
      <c r="E377" s="12" t="n">
        <f aca="false">IFERROR(INDEX('Catalog'!$A:$A,MATCH($A377,'Catalog'!$B:$B,0)),IFERROR(INDEX('Catalog'!$A:$A,MATCH(TRIM(SUBSTITUTE($A377,CHAR(160)," ")),'Catalog'!$C:$C,0)),""))</f>
        <v>4413521</v>
      </c>
      <c r="F377" s="12" t="str">
        <f aca="false">IF($E377="","Unmatched","Matched")</f>
        <v>Matched</v>
      </c>
    </row>
    <row r="378" customFormat="false" ht="15" hidden="false" customHeight="true" outlineLevel="0" collapsed="false">
      <c r="A378" s="12" t="s">
        <v>442</v>
      </c>
      <c r="B378" s="12" t="n">
        <v>2025</v>
      </c>
      <c r="C378" s="12" t="n">
        <v>1045</v>
      </c>
      <c r="D378" s="12" t="n">
        <v>97534</v>
      </c>
      <c r="E378" s="12" t="n">
        <f aca="false">IFERROR(INDEX('Catalog'!$A:$A,MATCH($A378,'Catalog'!$B:$B,0)),IFERROR(INDEX('Catalog'!$A:$A,MATCH(TRIM(SUBSTITUTE($A378,CHAR(160)," ")),'Catalog'!$C:$C,0)),""))</f>
        <v>4413522</v>
      </c>
      <c r="F378" s="12" t="str">
        <f aca="false">IF($E378="","Unmatched","Matched")</f>
        <v>Matched</v>
      </c>
    </row>
    <row r="379" customFormat="false" ht="15" hidden="false" customHeight="true" outlineLevel="0" collapsed="false">
      <c r="A379" s="12" t="s">
        <v>433</v>
      </c>
      <c r="B379" s="12" t="n">
        <v>2025</v>
      </c>
      <c r="C379" s="12" t="n">
        <v>890</v>
      </c>
      <c r="D379" s="12" t="n">
        <v>82352.3</v>
      </c>
      <c r="E379" s="12" t="n">
        <f aca="false">IFERROR(INDEX('Catalog'!$A:$A,MATCH($A379,'Catalog'!$B:$B,0)),IFERROR(INDEX('Catalog'!$A:$A,MATCH(TRIM(SUBSTITUTE($A379,CHAR(160)," ")),'Catalog'!$C:$C,0)),""))</f>
        <v>4413523</v>
      </c>
      <c r="F379" s="12" t="str">
        <f aca="false">IF($E379="","Unmatched","Matched")</f>
        <v>Matched</v>
      </c>
    </row>
    <row r="380" customFormat="false" ht="15" hidden="false" customHeight="true" outlineLevel="0" collapsed="false">
      <c r="A380" s="12" t="s">
        <v>435</v>
      </c>
      <c r="B380" s="12" t="n">
        <v>2025</v>
      </c>
      <c r="C380" s="12" t="n">
        <v>969</v>
      </c>
      <c r="D380" s="12" t="n">
        <v>90203.7</v>
      </c>
      <c r="E380" s="12" t="n">
        <f aca="false">IFERROR(INDEX('Catalog'!$A:$A,MATCH($A380,'Catalog'!$B:$B,0)),IFERROR(INDEX('Catalog'!$A:$A,MATCH(TRIM(SUBSTITUTE($A380,CHAR(160)," ")),'Catalog'!$C:$C,0)),""))</f>
        <v>4413524</v>
      </c>
      <c r="F380" s="12" t="str">
        <f aca="false">IF($E380="","Unmatched","Matched")</f>
        <v>Matched</v>
      </c>
    </row>
    <row r="381" customFormat="false" ht="15" hidden="false" customHeight="true" outlineLevel="0" collapsed="false">
      <c r="A381" s="12" t="s">
        <v>437</v>
      </c>
      <c r="B381" s="12" t="n">
        <v>2025</v>
      </c>
      <c r="C381" s="12" t="n">
        <v>990</v>
      </c>
      <c r="D381" s="12" t="n">
        <v>92093.6</v>
      </c>
      <c r="E381" s="12" t="n">
        <f aca="false">IFERROR(INDEX('Catalog'!$A:$A,MATCH($A381,'Catalog'!$B:$B,0)),IFERROR(INDEX('Catalog'!$A:$A,MATCH(TRIM(SUBSTITUTE($A381,CHAR(160)," ")),'Catalog'!$C:$C,0)),""))</f>
        <v>4413525</v>
      </c>
      <c r="F381" s="12" t="str">
        <f aca="false">IF($E381="","Unmatched","Matched")</f>
        <v>Matched</v>
      </c>
    </row>
    <row r="382" customFormat="false" ht="15" hidden="false" customHeight="true" outlineLevel="0" collapsed="false">
      <c r="A382" s="12" t="s">
        <v>434</v>
      </c>
      <c r="B382" s="12" t="n">
        <v>2025</v>
      </c>
      <c r="C382" s="12" t="n">
        <v>886</v>
      </c>
      <c r="D382" s="12" t="n">
        <v>82079.4</v>
      </c>
      <c r="E382" s="12" t="n">
        <f aca="false">IFERROR(INDEX('Catalog'!$A:$A,MATCH($A382,'Catalog'!$B:$B,0)),IFERROR(INDEX('Catalog'!$A:$A,MATCH(TRIM(SUBSTITUTE($A382,CHAR(160)," ")),'Catalog'!$C:$C,0)),""))</f>
        <v>4413527</v>
      </c>
      <c r="F382" s="12" t="str">
        <f aca="false">IF($E382="","Unmatched","Matched")</f>
        <v>Matched</v>
      </c>
    </row>
    <row r="383" customFormat="false" ht="15" hidden="false" customHeight="true" outlineLevel="0" collapsed="false">
      <c r="A383" s="12" t="s">
        <v>436</v>
      </c>
      <c r="B383" s="12" t="n">
        <v>2025</v>
      </c>
      <c r="C383" s="12" t="n">
        <v>1056</v>
      </c>
      <c r="D383" s="12" t="n">
        <v>98563.4</v>
      </c>
      <c r="E383" s="12" t="n">
        <f aca="false">IFERROR(INDEX('Catalog'!$A:$A,MATCH($A383,'Catalog'!$B:$B,0)),IFERROR(INDEX('Catalog'!$A:$A,MATCH(TRIM(SUBSTITUTE($A383,CHAR(160)," ")),'Catalog'!$C:$C,0)),""))</f>
        <v>4413528</v>
      </c>
      <c r="F383" s="12" t="str">
        <f aca="false">IF($E383="","Unmatched","Matched")</f>
        <v>Matched</v>
      </c>
    </row>
    <row r="384" customFormat="false" ht="15" hidden="false" customHeight="true" outlineLevel="0" collapsed="false">
      <c r="A384" s="12" t="s">
        <v>438</v>
      </c>
      <c r="B384" s="12" t="n">
        <v>2025</v>
      </c>
      <c r="C384" s="12" t="n">
        <v>1132</v>
      </c>
      <c r="D384" s="12" t="n">
        <v>105681.3</v>
      </c>
      <c r="E384" s="12" t="n">
        <f aca="false">IFERROR(INDEX('Catalog'!$A:$A,MATCH($A384,'Catalog'!$B:$B,0)),IFERROR(INDEX('Catalog'!$A:$A,MATCH(TRIM(SUBSTITUTE($A384,CHAR(160)," ")),'Catalog'!$C:$C,0)),""))</f>
        <v>4413529</v>
      </c>
      <c r="F384" s="12" t="str">
        <f aca="false">IF($E384="","Unmatched","Matched")</f>
        <v>Matched</v>
      </c>
    </row>
    <row r="385" customFormat="false" ht="15" hidden="false" customHeight="true" outlineLevel="0" collapsed="false">
      <c r="A385" s="12" t="s">
        <v>837</v>
      </c>
      <c r="B385" s="12" t="n">
        <v>2025</v>
      </c>
      <c r="C385" s="12" t="n">
        <v>40</v>
      </c>
      <c r="D385" s="12" t="n">
        <v>2362.3</v>
      </c>
      <c r="E385" s="12" t="n">
        <f aca="false">IFERROR(INDEX('Catalog'!$A:$A,MATCH($A385,'Catalog'!$B:$B,0)),IFERROR(INDEX('Catalog'!$A:$A,MATCH(TRIM(SUBSTITUTE($A385,CHAR(160)," ")),'Catalog'!$C:$C,0)),""))</f>
        <v>4415298</v>
      </c>
      <c r="F385" s="12" t="str">
        <f aca="false">IF($E385="","Unmatched","Matched")</f>
        <v>Matched</v>
      </c>
    </row>
    <row r="386" customFormat="false" ht="15" hidden="false" customHeight="true" outlineLevel="0" collapsed="false">
      <c r="A386" s="12" t="s">
        <v>836</v>
      </c>
      <c r="B386" s="12" t="n">
        <v>2025</v>
      </c>
      <c r="C386" s="12" t="n">
        <v>47</v>
      </c>
      <c r="D386" s="12" t="n">
        <v>2786.5</v>
      </c>
      <c r="E386" s="12" t="n">
        <f aca="false">IFERROR(INDEX('Catalog'!$A:$A,MATCH($A386,'Catalog'!$B:$B,0)),IFERROR(INDEX('Catalog'!$A:$A,MATCH(TRIM(SUBSTITUTE($A386,CHAR(160)," ")),'Catalog'!$C:$C,0)),""))</f>
        <v>4415299</v>
      </c>
      <c r="F386" s="12" t="str">
        <f aca="false">IF($E386="","Unmatched","Matched")</f>
        <v>Matched</v>
      </c>
    </row>
    <row r="387" customFormat="false" ht="15" hidden="false" customHeight="true" outlineLevel="0" collapsed="false">
      <c r="A387" s="12" t="s">
        <v>366</v>
      </c>
      <c r="B387" s="12" t="n">
        <v>2025</v>
      </c>
      <c r="C387" s="12" t="n">
        <v>583</v>
      </c>
      <c r="D387" s="12" t="n">
        <v>12662</v>
      </c>
      <c r="E387" s="12" t="n">
        <f aca="false">IFERROR(INDEX('Catalog'!$A:$A,MATCH($A387,'Catalog'!$B:$B,0)),IFERROR(INDEX('Catalog'!$A:$A,MATCH(TRIM(SUBSTITUTE($A387,CHAR(160)," ")),'Catalog'!$C:$C,0)),""))</f>
        <v>4422036</v>
      </c>
      <c r="F387" s="12" t="str">
        <f aca="false">IF($E387="","Unmatched","Matched")</f>
        <v>Matched</v>
      </c>
    </row>
    <row r="388" customFormat="false" ht="15" hidden="false" customHeight="true" outlineLevel="0" collapsed="false">
      <c r="A388" s="12" t="s">
        <v>476</v>
      </c>
      <c r="B388" s="12" t="n">
        <v>2025</v>
      </c>
      <c r="C388" s="12" t="n">
        <v>-1</v>
      </c>
      <c r="D388" s="12" t="n">
        <v>0</v>
      </c>
      <c r="E388" s="12" t="n">
        <f aca="false">IFERROR(INDEX('Catalog'!$A:$A,MATCH($A388,'Catalog'!$B:$B,0)),IFERROR(INDEX('Catalog'!$A:$A,MATCH(TRIM(SUBSTITUTE($A388,CHAR(160)," ")),'Catalog'!$C:$C,0)),""))</f>
        <v>4408086</v>
      </c>
      <c r="F388" s="12" t="str">
        <f aca="false">IF($E388="","Unmatched","Matched")</f>
        <v>Matched</v>
      </c>
    </row>
    <row r="389" customFormat="false" ht="15" hidden="false" customHeight="true" outlineLevel="0" collapsed="false">
      <c r="A389" s="12" t="s">
        <v>485</v>
      </c>
      <c r="B389" s="12" t="n">
        <v>2025</v>
      </c>
      <c r="C389" s="12" t="n">
        <v>-1</v>
      </c>
      <c r="D389" s="12" t="n">
        <v>0</v>
      </c>
      <c r="E389" s="12" t="n">
        <f aca="false">IFERROR(INDEX('Catalog'!$A:$A,MATCH($A389,'Catalog'!$B:$B,0)),IFERROR(INDEX('Catalog'!$A:$A,MATCH(TRIM(SUBSTITUTE($A389,CHAR(160)," ")),'Catalog'!$C:$C,0)),""))</f>
        <v>4413146</v>
      </c>
      <c r="F389" s="12" t="str">
        <f aca="false">IF($E389="","Unmatched","Matched")</f>
        <v>Matched</v>
      </c>
    </row>
    <row r="390" customFormat="false" ht="15" hidden="false" customHeight="true" outlineLevel="0" collapsed="false">
      <c r="A390" s="12" t="s">
        <v>564</v>
      </c>
      <c r="B390" s="12" t="n">
        <v>2026</v>
      </c>
      <c r="C390" s="12" t="n">
        <v>742</v>
      </c>
      <c r="D390" s="12" t="n">
        <v>16354.5</v>
      </c>
      <c r="E390" s="12" t="n">
        <f aca="false">IFERROR(INDEX('Catalog'!$A:$A,MATCH($A390,'Catalog'!$B:$B,0)),IFERROR(INDEX('Catalog'!$A:$A,MATCH(TRIM(SUBSTITUTE($A390,CHAR(160)," ")),'Catalog'!$C:$C,0)),""))</f>
        <v>4401000</v>
      </c>
      <c r="F390" s="12" t="str">
        <f aca="false">IF($E390="","Unmatched","Matched")</f>
        <v>Matched</v>
      </c>
    </row>
    <row r="391" customFormat="false" ht="15" hidden="false" customHeight="true" outlineLevel="0" collapsed="false">
      <c r="A391" s="12" t="s">
        <v>563</v>
      </c>
      <c r="B391" s="12" t="n">
        <v>2026</v>
      </c>
      <c r="C391" s="12" t="n">
        <v>807</v>
      </c>
      <c r="D391" s="12" t="n">
        <v>18338.8</v>
      </c>
      <c r="E391" s="12" t="n">
        <f aca="false">IFERROR(INDEX('Catalog'!$A:$A,MATCH($A391,'Catalog'!$B:$B,0)),IFERROR(INDEX('Catalog'!$A:$A,MATCH(TRIM(SUBSTITUTE($A391,CHAR(160)," ")),'Catalog'!$C:$C,0)),""))</f>
        <v>4401001</v>
      </c>
      <c r="F391" s="12" t="str">
        <f aca="false">IF($E391="","Unmatched","Matched")</f>
        <v>Matched</v>
      </c>
    </row>
    <row r="392" customFormat="false" ht="15" hidden="false" customHeight="true" outlineLevel="0" collapsed="false">
      <c r="A392" s="12" t="s">
        <v>550</v>
      </c>
      <c r="B392" s="12" t="n">
        <v>2026</v>
      </c>
      <c r="C392" s="12" t="n">
        <v>101</v>
      </c>
      <c r="D392" s="12" t="n">
        <v>2224.3</v>
      </c>
      <c r="E392" s="12" t="n">
        <f aca="false">IFERROR(INDEX('Catalog'!$A:$A,MATCH($A392,'Catalog'!$B:$B,0)),IFERROR(INDEX('Catalog'!$A:$A,MATCH(TRIM(SUBSTITUTE($A392,CHAR(160)," ")),'Catalog'!$C:$C,0)),""))</f>
        <v>4402000</v>
      </c>
      <c r="F392" s="12" t="str">
        <f aca="false">IF($E392="","Unmatched","Matched")</f>
        <v>Matched</v>
      </c>
    </row>
    <row r="393" customFormat="false" ht="15" hidden="false" customHeight="true" outlineLevel="0" collapsed="false">
      <c r="A393" s="12" t="s">
        <v>546</v>
      </c>
      <c r="B393" s="12" t="n">
        <v>2026</v>
      </c>
      <c r="C393" s="12" t="n">
        <v>1332</v>
      </c>
      <c r="D393" s="12" t="n">
        <v>23901.8</v>
      </c>
      <c r="E393" s="12" t="n">
        <f aca="false">IFERROR(INDEX('Catalog'!$A:$A,MATCH($A393,'Catalog'!$B:$B,0)),IFERROR(INDEX('Catalog'!$A:$A,MATCH(TRIM(SUBSTITUTE($A393,CHAR(160)," ")),'Catalog'!$C:$C,0)),""))</f>
        <v>4402007</v>
      </c>
      <c r="F393" s="12" t="str">
        <f aca="false">IF($E393="","Unmatched","Matched")</f>
        <v>Matched</v>
      </c>
    </row>
    <row r="394" customFormat="false" ht="15" hidden="false" customHeight="true" outlineLevel="0" collapsed="false">
      <c r="A394" s="12" t="s">
        <v>188</v>
      </c>
      <c r="B394" s="12" t="n">
        <v>2026</v>
      </c>
      <c r="C394" s="12" t="n">
        <v>7</v>
      </c>
      <c r="D394" s="12" t="n">
        <v>211.3</v>
      </c>
      <c r="E394" s="12" t="n">
        <f aca="false">IFERROR(INDEX('Catalog'!$A:$A,MATCH($A394,'Catalog'!$B:$B,0)),IFERROR(INDEX('Catalog'!$A:$A,MATCH(TRIM(SUBSTITUTE($A394,CHAR(160)," ")),'Catalog'!$C:$C,0)),""))</f>
        <v>4403000</v>
      </c>
      <c r="F394" s="12" t="str">
        <f aca="false">IF($E394="","Unmatched","Matched")</f>
        <v>Matched</v>
      </c>
    </row>
    <row r="395" customFormat="false" ht="15" hidden="false" customHeight="true" outlineLevel="0" collapsed="false">
      <c r="A395" s="12" t="s">
        <v>186</v>
      </c>
      <c r="B395" s="12" t="n">
        <v>2026</v>
      </c>
      <c r="C395" s="12" t="n">
        <v>28</v>
      </c>
      <c r="D395" s="12" t="n">
        <v>828.6</v>
      </c>
      <c r="E395" s="12" t="n">
        <f aca="false">IFERROR(INDEX('Catalog'!$A:$A,MATCH($A395,'Catalog'!$B:$B,0)),IFERROR(INDEX('Catalog'!$A:$A,MATCH(TRIM(SUBSTITUTE($A395,CHAR(160)," ")),'Catalog'!$C:$C,0)),""))</f>
        <v>4403001</v>
      </c>
      <c r="F395" s="12" t="str">
        <f aca="false">IF($E395="","Unmatched","Matched")</f>
        <v>Matched</v>
      </c>
    </row>
    <row r="396" customFormat="false" ht="15" hidden="false" customHeight="true" outlineLevel="0" collapsed="false">
      <c r="A396" s="12" t="s">
        <v>187</v>
      </c>
      <c r="B396" s="12" t="n">
        <v>2026</v>
      </c>
      <c r="C396" s="12" t="n">
        <v>30</v>
      </c>
      <c r="D396" s="12" t="n">
        <v>878.7</v>
      </c>
      <c r="E396" s="12" t="n">
        <f aca="false">IFERROR(INDEX('Catalog'!$A:$A,MATCH($A396,'Catalog'!$B:$B,0)),IFERROR(INDEX('Catalog'!$A:$A,MATCH(TRIM(SUBSTITUTE($A396,CHAR(160)," ")),'Catalog'!$C:$C,0)),""))</f>
        <v>4403002</v>
      </c>
      <c r="F396" s="12" t="str">
        <f aca="false">IF($E396="","Unmatched","Matched")</f>
        <v>Matched</v>
      </c>
    </row>
    <row r="397" customFormat="false" ht="15" hidden="false" customHeight="true" outlineLevel="0" collapsed="false">
      <c r="A397" s="12" t="s">
        <v>190</v>
      </c>
      <c r="B397" s="12" t="n">
        <v>2026</v>
      </c>
      <c r="C397" s="12" t="n">
        <v>8</v>
      </c>
      <c r="D397" s="12" t="n">
        <v>229.3</v>
      </c>
      <c r="E397" s="12" t="n">
        <f aca="false">IFERROR(INDEX('Catalog'!$A:$A,MATCH($A397,'Catalog'!$B:$B,0)),IFERROR(INDEX('Catalog'!$A:$A,MATCH(TRIM(SUBSTITUTE($A397,CHAR(160)," ")),'Catalog'!$C:$C,0)),""))</f>
        <v>4403003</v>
      </c>
      <c r="F397" s="12" t="str">
        <f aca="false">IF($E397="","Unmatched","Matched")</f>
        <v>Matched</v>
      </c>
    </row>
    <row r="398" customFormat="false" ht="15" hidden="false" customHeight="true" outlineLevel="0" collapsed="false">
      <c r="A398" s="12" t="s">
        <v>189</v>
      </c>
      <c r="B398" s="12" t="n">
        <v>2026</v>
      </c>
      <c r="C398" s="12" t="n">
        <v>-7</v>
      </c>
      <c r="D398" s="12" t="n">
        <v>-194.3</v>
      </c>
      <c r="E398" s="12" t="n">
        <f aca="false">IFERROR(INDEX('Catalog'!$A:$A,MATCH($A398,'Catalog'!$B:$B,0)),IFERROR(INDEX('Catalog'!$A:$A,MATCH(TRIM(SUBSTITUTE($A398,CHAR(160)," ")),'Catalog'!$C:$C,0)),""))</f>
        <v>4403004</v>
      </c>
      <c r="F398" s="12" t="str">
        <f aca="false">IF($E398="","Unmatched","Matched")</f>
        <v>Matched</v>
      </c>
    </row>
    <row r="399" customFormat="false" ht="15" hidden="false" customHeight="true" outlineLevel="0" collapsed="false">
      <c r="A399" s="12" t="s">
        <v>213</v>
      </c>
      <c r="B399" s="12" t="n">
        <v>2026</v>
      </c>
      <c r="C399" s="12" t="n">
        <v>18</v>
      </c>
      <c r="D399" s="12" t="n">
        <v>530.1</v>
      </c>
      <c r="E399" s="12" t="n">
        <f aca="false">IFERROR(INDEX('Catalog'!$A:$A,MATCH($A399,'Catalog'!$B:$B,0)),IFERROR(INDEX('Catalog'!$A:$A,MATCH(TRIM(SUBSTITUTE($A399,CHAR(160)," ")),'Catalog'!$C:$C,0)),""))</f>
        <v>4403005</v>
      </c>
      <c r="F399" s="12" t="str">
        <f aca="false">IF($E399="","Unmatched","Matched")</f>
        <v>Matched</v>
      </c>
    </row>
    <row r="400" customFormat="false" ht="15" hidden="false" customHeight="true" outlineLevel="0" collapsed="false">
      <c r="A400" s="12" t="s">
        <v>191</v>
      </c>
      <c r="B400" s="12" t="n">
        <v>2026</v>
      </c>
      <c r="C400" s="12" t="n">
        <v>9</v>
      </c>
      <c r="D400" s="12" t="n">
        <v>262.3</v>
      </c>
      <c r="E400" s="12" t="n">
        <f aca="false">IFERROR(INDEX('Catalog'!$A:$A,MATCH($A400,'Catalog'!$B:$B,0)),IFERROR(INDEX('Catalog'!$A:$A,MATCH(TRIM(SUBSTITUTE($A400,CHAR(160)," ")),'Catalog'!$C:$C,0)),""))</f>
        <v>4403006</v>
      </c>
      <c r="F400" s="12" t="str">
        <f aca="false">IF($E400="","Unmatched","Matched")</f>
        <v>Matched</v>
      </c>
    </row>
    <row r="401" customFormat="false" ht="15" hidden="false" customHeight="true" outlineLevel="0" collapsed="false">
      <c r="A401" s="12" t="s">
        <v>192</v>
      </c>
      <c r="B401" s="12" t="n">
        <v>2026</v>
      </c>
      <c r="C401" s="12" t="n">
        <v>17</v>
      </c>
      <c r="D401" s="12" t="n">
        <v>498.4</v>
      </c>
      <c r="E401" s="12" t="n">
        <f aca="false">IFERROR(INDEX('Catalog'!$A:$A,MATCH($A401,'Catalog'!$B:$B,0)),IFERROR(INDEX('Catalog'!$A:$A,MATCH(TRIM(SUBSTITUTE($A401,CHAR(160)," ")),'Catalog'!$C:$C,0)),""))</f>
        <v>4403007</v>
      </c>
      <c r="F401" s="12" t="str">
        <f aca="false">IF($E401="","Unmatched","Matched")</f>
        <v>Matched</v>
      </c>
    </row>
    <row r="402" customFormat="false" ht="15" hidden="false" customHeight="true" outlineLevel="0" collapsed="false">
      <c r="A402" s="12" t="s">
        <v>193</v>
      </c>
      <c r="B402" s="12" t="n">
        <v>2026</v>
      </c>
      <c r="C402" s="12" t="n">
        <v>28</v>
      </c>
      <c r="D402" s="12" t="n">
        <v>814.5</v>
      </c>
      <c r="E402" s="12" t="n">
        <f aca="false">IFERROR(INDEX('Catalog'!$A:$A,MATCH($A402,'Catalog'!$B:$B,0)),IFERROR(INDEX('Catalog'!$A:$A,MATCH(TRIM(SUBSTITUTE($A402,CHAR(160)," ")),'Catalog'!$C:$C,0)),""))</f>
        <v>4403008</v>
      </c>
      <c r="F402" s="12" t="str">
        <f aca="false">IF($E402="","Unmatched","Matched")</f>
        <v>Matched</v>
      </c>
    </row>
    <row r="403" customFormat="false" ht="15" hidden="false" customHeight="true" outlineLevel="0" collapsed="false">
      <c r="A403" s="12" t="s">
        <v>183</v>
      </c>
      <c r="B403" s="12" t="n">
        <v>2026</v>
      </c>
      <c r="C403" s="12" t="n">
        <v>-1</v>
      </c>
      <c r="D403" s="12" t="n">
        <v>-31.9</v>
      </c>
      <c r="E403" s="12" t="n">
        <f aca="false">IFERROR(INDEX('Catalog'!$A:$A,MATCH($A403,'Catalog'!$B:$B,0)),IFERROR(INDEX('Catalog'!$A:$A,MATCH(TRIM(SUBSTITUTE($A403,CHAR(160)," ")),'Catalog'!$C:$C,0)),""))</f>
        <v>4403011</v>
      </c>
      <c r="F403" s="12" t="str">
        <f aca="false">IF($E403="","Unmatched","Matched")</f>
        <v>Matched</v>
      </c>
    </row>
    <row r="404" customFormat="false" ht="15" hidden="false" customHeight="true" outlineLevel="0" collapsed="false">
      <c r="A404" s="12" t="s">
        <v>194</v>
      </c>
      <c r="B404" s="12" t="n">
        <v>2026</v>
      </c>
      <c r="C404" s="12" t="n">
        <v>37</v>
      </c>
      <c r="D404" s="12" t="n">
        <v>844.6</v>
      </c>
      <c r="E404" s="12" t="n">
        <f aca="false">IFERROR(INDEX('Catalog'!$A:$A,MATCH($A404,'Catalog'!$B:$B,0)),IFERROR(INDEX('Catalog'!$A:$A,MATCH(TRIM(SUBSTITUTE($A404,CHAR(160)," ")),'Catalog'!$C:$C,0)),""))</f>
        <v>4403017</v>
      </c>
      <c r="F404" s="12" t="str">
        <f aca="false">IF($E404="","Unmatched","Matched")</f>
        <v>Matched</v>
      </c>
    </row>
    <row r="405" customFormat="false" ht="15" hidden="false" customHeight="true" outlineLevel="0" collapsed="false">
      <c r="A405" s="12" t="s">
        <v>195</v>
      </c>
      <c r="B405" s="12" t="n">
        <v>2026</v>
      </c>
      <c r="C405" s="12" t="n">
        <v>57</v>
      </c>
      <c r="D405" s="12" t="n">
        <v>1259.8</v>
      </c>
      <c r="E405" s="12" t="n">
        <f aca="false">IFERROR(INDEX('Catalog'!$A:$A,MATCH($A405,'Catalog'!$B:$B,0)),IFERROR(INDEX('Catalog'!$A:$A,MATCH(TRIM(SUBSTITUTE($A405,CHAR(160)," ")),'Catalog'!$C:$C,0)),""))</f>
        <v>4403018</v>
      </c>
      <c r="F405" s="12" t="str">
        <f aca="false">IF($E405="","Unmatched","Matched")</f>
        <v>Matched</v>
      </c>
    </row>
    <row r="406" customFormat="false" ht="15" hidden="false" customHeight="true" outlineLevel="0" collapsed="false">
      <c r="A406" s="12" t="s">
        <v>196</v>
      </c>
      <c r="B406" s="12" t="n">
        <v>2026</v>
      </c>
      <c r="C406" s="12" t="n">
        <v>82</v>
      </c>
      <c r="D406" s="12" t="n">
        <v>1815.3</v>
      </c>
      <c r="E406" s="12" t="n">
        <f aca="false">IFERROR(INDEX('Catalog'!$A:$A,MATCH($A406,'Catalog'!$B:$B,0)),IFERROR(INDEX('Catalog'!$A:$A,MATCH(TRIM(SUBSTITUTE($A406,CHAR(160)," ")),'Catalog'!$C:$C,0)),""))</f>
        <v>4403019</v>
      </c>
      <c r="F406" s="12" t="str">
        <f aca="false">IF($E406="","Unmatched","Matched")</f>
        <v>Matched</v>
      </c>
    </row>
    <row r="407" customFormat="false" ht="15" hidden="false" customHeight="true" outlineLevel="0" collapsed="false">
      <c r="A407" s="12" t="s">
        <v>197</v>
      </c>
      <c r="B407" s="12" t="n">
        <v>2026</v>
      </c>
      <c r="C407" s="12" t="n">
        <v>-5</v>
      </c>
      <c r="D407" s="12" t="n">
        <v>-107.1</v>
      </c>
      <c r="E407" s="12" t="n">
        <f aca="false">IFERROR(INDEX('Catalog'!$A:$A,MATCH($A407,'Catalog'!$B:$B,0)),IFERROR(INDEX('Catalog'!$A:$A,MATCH(TRIM(SUBSTITUTE($A407,CHAR(160)," ")),'Catalog'!$C:$C,0)),""))</f>
        <v>4403020</v>
      </c>
      <c r="F407" s="12" t="str">
        <f aca="false">IF($E407="","Unmatched","Matched")</f>
        <v>Matched</v>
      </c>
    </row>
    <row r="408" customFormat="false" ht="15" hidden="false" customHeight="true" outlineLevel="0" collapsed="false">
      <c r="A408" s="12" t="s">
        <v>198</v>
      </c>
      <c r="B408" s="12" t="n">
        <v>2026</v>
      </c>
      <c r="C408" s="12" t="n">
        <v>-4</v>
      </c>
      <c r="D408" s="12" t="n">
        <v>-84.8</v>
      </c>
      <c r="E408" s="12" t="n">
        <f aca="false">IFERROR(INDEX('Catalog'!$A:$A,MATCH($A408,'Catalog'!$B:$B,0)),IFERROR(INDEX('Catalog'!$A:$A,MATCH(TRIM(SUBSTITUTE($A408,CHAR(160)," ")),'Catalog'!$C:$C,0)),""))</f>
        <v>4403021</v>
      </c>
      <c r="F408" s="12" t="str">
        <f aca="false">IF($E408="","Unmatched","Matched")</f>
        <v>Matched</v>
      </c>
    </row>
    <row r="409" customFormat="false" ht="15" hidden="false" customHeight="true" outlineLevel="0" collapsed="false">
      <c r="A409" s="12" t="s">
        <v>200</v>
      </c>
      <c r="B409" s="12" t="n">
        <v>2026</v>
      </c>
      <c r="C409" s="12" t="n">
        <v>20</v>
      </c>
      <c r="D409" s="12" t="n">
        <v>452.4</v>
      </c>
      <c r="E409" s="12" t="n">
        <f aca="false">IFERROR(INDEX('Catalog'!$A:$A,MATCH($A409,'Catalog'!$B:$B,0)),IFERROR(INDEX('Catalog'!$A:$A,MATCH(TRIM(SUBSTITUTE($A409,CHAR(160)," ")),'Catalog'!$C:$C,0)),""))</f>
        <v>4403023</v>
      </c>
      <c r="F409" s="12" t="str">
        <f aca="false">IF($E409="","Unmatched","Matched")</f>
        <v>Matched</v>
      </c>
    </row>
    <row r="410" customFormat="false" ht="15" hidden="false" customHeight="true" outlineLevel="0" collapsed="false">
      <c r="A410" s="12" t="s">
        <v>201</v>
      </c>
      <c r="B410" s="12" t="n">
        <v>2026</v>
      </c>
      <c r="C410" s="12" t="n">
        <v>64</v>
      </c>
      <c r="D410" s="12" t="n">
        <v>1447.9</v>
      </c>
      <c r="E410" s="12" t="n">
        <f aca="false">IFERROR(INDEX('Catalog'!$A:$A,MATCH($A410,'Catalog'!$B:$B,0)),IFERROR(INDEX('Catalog'!$A:$A,MATCH(TRIM(SUBSTITUTE($A410,CHAR(160)," ")),'Catalog'!$C:$C,0)),""))</f>
        <v>4403024</v>
      </c>
      <c r="F410" s="12" t="str">
        <f aca="false">IF($E410="","Unmatched","Matched")</f>
        <v>Matched</v>
      </c>
    </row>
    <row r="411" customFormat="false" ht="15" hidden="false" customHeight="true" outlineLevel="0" collapsed="false">
      <c r="A411" s="12" t="s">
        <v>202</v>
      </c>
      <c r="B411" s="12" t="n">
        <v>2026</v>
      </c>
      <c r="C411" s="12" t="n">
        <v>68</v>
      </c>
      <c r="D411" s="12" t="n">
        <v>1546.5</v>
      </c>
      <c r="E411" s="12" t="n">
        <f aca="false">IFERROR(INDEX('Catalog'!$A:$A,MATCH($A411,'Catalog'!$B:$B,0)),IFERROR(INDEX('Catalog'!$A:$A,MATCH(TRIM(SUBSTITUTE($A411,CHAR(160)," ")),'Catalog'!$C:$C,0)),""))</f>
        <v>4403025</v>
      </c>
      <c r="F411" s="12" t="str">
        <f aca="false">IF($E411="","Unmatched","Matched")</f>
        <v>Matched</v>
      </c>
    </row>
    <row r="412" customFormat="false" ht="15" hidden="false" customHeight="true" outlineLevel="0" collapsed="false">
      <c r="A412" s="12" t="s">
        <v>244</v>
      </c>
      <c r="B412" s="12" t="n">
        <v>2026</v>
      </c>
      <c r="C412" s="12" t="n">
        <v>-6</v>
      </c>
      <c r="D412" s="12" t="n">
        <v>-539</v>
      </c>
      <c r="E412" s="12" t="n">
        <f aca="false">IFERROR(INDEX('Catalog'!$A:$A,MATCH($A412,'Catalog'!$B:$B,0)),IFERROR(INDEX('Catalog'!$A:$A,MATCH(TRIM(SUBSTITUTE($A412,CHAR(160)," ")),'Catalog'!$C:$C,0)),""))</f>
        <v>4408009</v>
      </c>
      <c r="F412" s="12" t="str">
        <f aca="false">IF($E412="","Unmatched","Matched")</f>
        <v>Matched</v>
      </c>
    </row>
    <row r="413" customFormat="false" ht="15" hidden="false" customHeight="true" outlineLevel="0" collapsed="false">
      <c r="A413" s="12" t="s">
        <v>243</v>
      </c>
      <c r="B413" s="12" t="n">
        <v>2026</v>
      </c>
      <c r="C413" s="12" t="n">
        <v>-3</v>
      </c>
      <c r="D413" s="12" t="n">
        <v>-276.4</v>
      </c>
      <c r="E413" s="12" t="n">
        <f aca="false">IFERROR(INDEX('Catalog'!$A:$A,MATCH($A413,'Catalog'!$B:$B,0)),IFERROR(INDEX('Catalog'!$A:$A,MATCH(TRIM(SUBSTITUTE($A413,CHAR(160)," ")),'Catalog'!$C:$C,0)),""))</f>
        <v>4408010</v>
      </c>
      <c r="F413" s="12" t="str">
        <f aca="false">IF($E413="","Unmatched","Matched")</f>
        <v>Matched</v>
      </c>
    </row>
    <row r="414" customFormat="false" ht="15" hidden="false" customHeight="true" outlineLevel="0" collapsed="false">
      <c r="A414" s="12" t="s">
        <v>242</v>
      </c>
      <c r="B414" s="12" t="n">
        <v>2026</v>
      </c>
      <c r="C414" s="12" t="n">
        <v>-2</v>
      </c>
      <c r="D414" s="12" t="n">
        <v>-173.2</v>
      </c>
      <c r="E414" s="12" t="n">
        <f aca="false">IFERROR(INDEX('Catalog'!$A:$A,MATCH($A414,'Catalog'!$B:$B,0)),IFERROR(INDEX('Catalog'!$A:$A,MATCH(TRIM(SUBSTITUTE($A414,CHAR(160)," ")),'Catalog'!$C:$C,0)),""))</f>
        <v>4408011</v>
      </c>
      <c r="F414" s="12" t="str">
        <f aca="false">IF($E414="","Unmatched","Matched")</f>
        <v>Matched</v>
      </c>
    </row>
    <row r="415" customFormat="false" ht="15" hidden="false" customHeight="true" outlineLevel="0" collapsed="false">
      <c r="A415" s="12" t="s">
        <v>245</v>
      </c>
      <c r="B415" s="12" t="n">
        <v>2026</v>
      </c>
      <c r="C415" s="12" t="n">
        <v>-3</v>
      </c>
      <c r="D415" s="12" t="n">
        <v>-270</v>
      </c>
      <c r="E415" s="12" t="n">
        <f aca="false">IFERROR(INDEX('Catalog'!$A:$A,MATCH($A415,'Catalog'!$B:$B,0)),IFERROR(INDEX('Catalog'!$A:$A,MATCH(TRIM(SUBSTITUTE($A415,CHAR(160)," ")),'Catalog'!$C:$C,0)),""))</f>
        <v>4408012</v>
      </c>
      <c r="F415" s="12" t="str">
        <f aca="false">IF($E415="","Unmatched","Matched")</f>
        <v>Matched</v>
      </c>
    </row>
    <row r="416" customFormat="false" ht="15" hidden="false" customHeight="true" outlineLevel="0" collapsed="false">
      <c r="A416" s="12" t="s">
        <v>250</v>
      </c>
      <c r="B416" s="12" t="n">
        <v>2026</v>
      </c>
      <c r="C416" s="12" t="n">
        <v>-1</v>
      </c>
      <c r="D416" s="12" t="n">
        <v>-215.4</v>
      </c>
      <c r="E416" s="12" t="n">
        <f aca="false">IFERROR(INDEX('Catalog'!$A:$A,MATCH($A416,'Catalog'!$B:$B,0)),IFERROR(INDEX('Catalog'!$A:$A,MATCH(TRIM(SUBSTITUTE($A416,CHAR(160)," ")),'Catalog'!$C:$C,0)),""))</f>
        <v>4408017</v>
      </c>
      <c r="F416" s="12" t="str">
        <f aca="false">IF($E416="","Unmatched","Matched")</f>
        <v>Matched</v>
      </c>
    </row>
    <row r="417" customFormat="false" ht="15" hidden="false" customHeight="true" outlineLevel="0" collapsed="false">
      <c r="A417" s="12" t="s">
        <v>255</v>
      </c>
      <c r="B417" s="12" t="n">
        <v>2026</v>
      </c>
      <c r="C417" s="12" t="n">
        <v>-4</v>
      </c>
      <c r="D417" s="12" t="n">
        <v>-524.2</v>
      </c>
      <c r="E417" s="12" t="n">
        <f aca="false">IFERROR(INDEX('Catalog'!$A:$A,MATCH($A417,'Catalog'!$B:$B,0)),IFERROR(INDEX('Catalog'!$A:$A,MATCH(TRIM(SUBSTITUTE($A417,CHAR(160)," ")),'Catalog'!$C:$C,0)),""))</f>
        <v>4408026</v>
      </c>
      <c r="F417" s="12" t="str">
        <f aca="false">IF($E417="","Unmatched","Matched")</f>
        <v>Matched</v>
      </c>
    </row>
    <row r="418" customFormat="false" ht="15" hidden="false" customHeight="true" outlineLevel="0" collapsed="false">
      <c r="A418" s="12" t="s">
        <v>253</v>
      </c>
      <c r="B418" s="12" t="n">
        <v>2026</v>
      </c>
      <c r="C418" s="12" t="n">
        <v>14</v>
      </c>
      <c r="D418" s="12" t="n">
        <v>1877.2</v>
      </c>
      <c r="E418" s="12" t="n">
        <f aca="false">IFERROR(INDEX('Catalog'!$A:$A,MATCH($A418,'Catalog'!$B:$B,0)),IFERROR(INDEX('Catalog'!$A:$A,MATCH(TRIM(SUBSTITUTE($A418,CHAR(160)," ")),'Catalog'!$C:$C,0)),""))</f>
        <v>4408027</v>
      </c>
      <c r="F418" s="12" t="str">
        <f aca="false">IF($E418="","Unmatched","Matched")</f>
        <v>Matched</v>
      </c>
    </row>
    <row r="419" customFormat="false" ht="15" hidden="false" customHeight="true" outlineLevel="0" collapsed="false">
      <c r="A419" s="12" t="s">
        <v>254</v>
      </c>
      <c r="B419" s="12" t="n">
        <v>2026</v>
      </c>
      <c r="C419" s="12" t="n">
        <v>8</v>
      </c>
      <c r="D419" s="12" t="n">
        <v>1093.8</v>
      </c>
      <c r="E419" s="12" t="n">
        <f aca="false">IFERROR(INDEX('Catalog'!$A:$A,MATCH($A419,'Catalog'!$B:$B,0)),IFERROR(INDEX('Catalog'!$A:$A,MATCH(TRIM(SUBSTITUTE($A419,CHAR(160)," ")),'Catalog'!$C:$C,0)),""))</f>
        <v>4408028</v>
      </c>
      <c r="F419" s="12" t="str">
        <f aca="false">IF($E419="","Unmatched","Matched")</f>
        <v>Matched</v>
      </c>
    </row>
    <row r="420" customFormat="false" ht="15" hidden="false" customHeight="true" outlineLevel="0" collapsed="false">
      <c r="A420" s="12" t="s">
        <v>256</v>
      </c>
      <c r="B420" s="12" t="n">
        <v>2026</v>
      </c>
      <c r="C420" s="12" t="n">
        <v>27</v>
      </c>
      <c r="D420" s="12" t="n">
        <v>3584.9</v>
      </c>
      <c r="E420" s="12" t="n">
        <f aca="false">IFERROR(INDEX('Catalog'!$A:$A,MATCH($A420,'Catalog'!$B:$B,0)),IFERROR(INDEX('Catalog'!$A:$A,MATCH(TRIM(SUBSTITUTE($A420,CHAR(160)," ")),'Catalog'!$C:$C,0)),""))</f>
        <v>4408029</v>
      </c>
      <c r="F420" s="12" t="str">
        <f aca="false">IF($E420="","Unmatched","Matched")</f>
        <v>Matched</v>
      </c>
    </row>
    <row r="421" customFormat="false" ht="15" hidden="false" customHeight="true" outlineLevel="0" collapsed="false">
      <c r="A421" s="12" t="s">
        <v>260</v>
      </c>
      <c r="B421" s="12" t="n">
        <v>2026</v>
      </c>
      <c r="C421" s="12" t="n">
        <v>92</v>
      </c>
      <c r="D421" s="12" t="n">
        <v>8511.5</v>
      </c>
      <c r="E421" s="12" t="n">
        <f aca="false">IFERROR(INDEX('Catalog'!$A:$A,MATCH($A421,'Catalog'!$B:$B,0)),IFERROR(INDEX('Catalog'!$A:$A,MATCH(TRIM(SUBSTITUTE($A421,CHAR(160)," ")),'Catalog'!$C:$C,0)),""))</f>
        <v>4408031</v>
      </c>
      <c r="F421" s="12" t="str">
        <f aca="false">IF($E421="","Unmatched","Matched")</f>
        <v>Matched</v>
      </c>
    </row>
    <row r="422" customFormat="false" ht="15" hidden="false" customHeight="true" outlineLevel="0" collapsed="false">
      <c r="A422" s="12" t="s">
        <v>258</v>
      </c>
      <c r="B422" s="12" t="n">
        <v>2026</v>
      </c>
      <c r="C422" s="12" t="n">
        <v>249</v>
      </c>
      <c r="D422" s="12" t="n">
        <v>22569.3</v>
      </c>
      <c r="E422" s="12" t="n">
        <f aca="false">IFERROR(INDEX('Catalog'!$A:$A,MATCH($A422,'Catalog'!$B:$B,0)),IFERROR(INDEX('Catalog'!$A:$A,MATCH(TRIM(SUBSTITUTE($A422,CHAR(160)," ")),'Catalog'!$C:$C,0)),""))</f>
        <v>4408032</v>
      </c>
      <c r="F422" s="12" t="str">
        <f aca="false">IF($E422="","Unmatched","Matched")</f>
        <v>Matched</v>
      </c>
    </row>
    <row r="423" customFormat="false" ht="15" hidden="false" customHeight="true" outlineLevel="0" collapsed="false">
      <c r="A423" s="12" t="s">
        <v>259</v>
      </c>
      <c r="B423" s="12" t="n">
        <v>2026</v>
      </c>
      <c r="C423" s="12" t="n">
        <v>177</v>
      </c>
      <c r="D423" s="12" t="n">
        <v>16016.5</v>
      </c>
      <c r="E423" s="12" t="n">
        <f aca="false">IFERROR(INDEX('Catalog'!$A:$A,MATCH($A423,'Catalog'!$B:$B,0)),IFERROR(INDEX('Catalog'!$A:$A,MATCH(TRIM(SUBSTITUTE($A423,CHAR(160)," ")),'Catalog'!$C:$C,0)),""))</f>
        <v>4408033</v>
      </c>
      <c r="F423" s="12" t="str">
        <f aca="false">IF($E423="","Unmatched","Matched")</f>
        <v>Matched</v>
      </c>
    </row>
    <row r="424" customFormat="false" ht="15" hidden="false" customHeight="true" outlineLevel="0" collapsed="false">
      <c r="A424" s="12" t="s">
        <v>261</v>
      </c>
      <c r="B424" s="12" t="n">
        <v>2026</v>
      </c>
      <c r="C424" s="12" t="n">
        <v>241</v>
      </c>
      <c r="D424" s="12" t="n">
        <v>21722.1</v>
      </c>
      <c r="E424" s="12" t="n">
        <f aca="false">IFERROR(INDEX('Catalog'!$A:$A,MATCH($A424,'Catalog'!$B:$B,0)),IFERROR(INDEX('Catalog'!$A:$A,MATCH(TRIM(SUBSTITUTE($A424,CHAR(160)," ")),'Catalog'!$C:$C,0)),""))</f>
        <v>4408034</v>
      </c>
      <c r="F424" s="12" t="str">
        <f aca="false">IF($E424="","Unmatched","Matched")</f>
        <v>Matched</v>
      </c>
    </row>
    <row r="425" customFormat="false" ht="15" hidden="false" customHeight="true" outlineLevel="0" collapsed="false">
      <c r="A425" s="12" t="s">
        <v>263</v>
      </c>
      <c r="B425" s="12" t="n">
        <v>2026</v>
      </c>
      <c r="C425" s="12" t="n">
        <v>46</v>
      </c>
      <c r="D425" s="12" t="n">
        <v>4137.7</v>
      </c>
      <c r="E425" s="12" t="n">
        <f aca="false">IFERROR(INDEX('Catalog'!$A:$A,MATCH($A425,'Catalog'!$B:$B,0)),IFERROR(INDEX('Catalog'!$A:$A,MATCH(TRIM(SUBSTITUTE($A425,CHAR(160)," ")),'Catalog'!$C:$C,0)),""))</f>
        <v>4408035</v>
      </c>
      <c r="F425" s="12" t="str">
        <f aca="false">IF($E425="","Unmatched","Matched")</f>
        <v>Matched</v>
      </c>
    </row>
    <row r="426" customFormat="false" ht="15" hidden="false" customHeight="true" outlineLevel="0" collapsed="false">
      <c r="A426" s="12" t="s">
        <v>293</v>
      </c>
      <c r="B426" s="12" t="n">
        <v>2026</v>
      </c>
      <c r="C426" s="12" t="n">
        <v>-1</v>
      </c>
      <c r="D426" s="12" t="n">
        <v>-178.6</v>
      </c>
      <c r="E426" s="12" t="n">
        <f aca="false">IFERROR(INDEX('Catalog'!$A:$A,MATCH($A426,'Catalog'!$B:$B,0)),IFERROR(INDEX('Catalog'!$A:$A,MATCH(TRIM(SUBSTITUTE($A426,CHAR(160)," ")),'Catalog'!$C:$C,0)),""))</f>
        <v>4408039</v>
      </c>
      <c r="F426" s="12" t="str">
        <f aca="false">IF($E426="","Unmatched","Matched")</f>
        <v>Matched</v>
      </c>
    </row>
    <row r="427" customFormat="false" ht="15" hidden="false" customHeight="true" outlineLevel="0" collapsed="false">
      <c r="A427" s="12" t="s">
        <v>311</v>
      </c>
      <c r="B427" s="12" t="n">
        <v>2026</v>
      </c>
      <c r="C427" s="12" t="n">
        <v>-1</v>
      </c>
      <c r="D427" s="12" t="n">
        <v>-266.2</v>
      </c>
      <c r="E427" s="12" t="n">
        <f aca="false">IFERROR(INDEX('Catalog'!$A:$A,MATCH($A427,'Catalog'!$B:$B,0)),IFERROR(INDEX('Catalog'!$A:$A,MATCH(TRIM(SUBSTITUTE($A427,CHAR(160)," ")),'Catalog'!$C:$C,0)),""))</f>
        <v>4408042</v>
      </c>
      <c r="F427" s="12" t="str">
        <f aca="false">IF($E427="","Unmatched","Matched")</f>
        <v>Matched</v>
      </c>
    </row>
    <row r="428" customFormat="false" ht="15" hidden="false" customHeight="true" outlineLevel="0" collapsed="false">
      <c r="A428" s="12" t="s">
        <v>580</v>
      </c>
      <c r="B428" s="12" t="n">
        <v>2026</v>
      </c>
      <c r="C428" s="12" t="n">
        <v>123</v>
      </c>
      <c r="D428" s="12" t="n">
        <v>3204.5</v>
      </c>
      <c r="E428" s="12" t="n">
        <f aca="false">IFERROR(INDEX('Catalog'!$A:$A,MATCH($A428,'Catalog'!$B:$B,0)),IFERROR(INDEX('Catalog'!$A:$A,MATCH(TRIM(SUBSTITUTE($A428,CHAR(160)," ")),'Catalog'!$C:$C,0)),""))</f>
        <v>4408046</v>
      </c>
      <c r="F428" s="12" t="str">
        <f aca="false">IF($E428="","Unmatched","Matched")</f>
        <v>Matched</v>
      </c>
    </row>
    <row r="429" customFormat="false" ht="15" hidden="false" customHeight="true" outlineLevel="0" collapsed="false">
      <c r="A429" s="12" t="s">
        <v>581</v>
      </c>
      <c r="B429" s="12" t="n">
        <v>2026</v>
      </c>
      <c r="C429" s="12" t="n">
        <v>138</v>
      </c>
      <c r="D429" s="12" t="n">
        <v>3527.4</v>
      </c>
      <c r="E429" s="12" t="n">
        <f aca="false">IFERROR(INDEX('Catalog'!$A:$A,MATCH($A429,'Catalog'!$B:$B,0)),IFERROR(INDEX('Catalog'!$A:$A,MATCH(TRIM(SUBSTITUTE($A429,CHAR(160)," ")),'Catalog'!$C:$C,0)),""))</f>
        <v>4408047</v>
      </c>
      <c r="F429" s="12" t="str">
        <f aca="false">IF($E429="","Unmatched","Matched")</f>
        <v>Matched</v>
      </c>
    </row>
    <row r="430" customFormat="false" ht="15" hidden="false" customHeight="true" outlineLevel="0" collapsed="false">
      <c r="A430" s="12" t="s">
        <v>582</v>
      </c>
      <c r="B430" s="12" t="n">
        <v>2026</v>
      </c>
      <c r="C430" s="12" t="n">
        <v>102</v>
      </c>
      <c r="D430" s="12" t="n">
        <v>2639.1</v>
      </c>
      <c r="E430" s="12" t="n">
        <f aca="false">IFERROR(INDEX('Catalog'!$A:$A,MATCH($A430,'Catalog'!$B:$B,0)),IFERROR(INDEX('Catalog'!$A:$A,MATCH(TRIM(SUBSTITUTE($A430,CHAR(160)," ")),'Catalog'!$C:$C,0)),""))</f>
        <v>4408048</v>
      </c>
      <c r="F430" s="12" t="str">
        <f aca="false">IF($E430="","Unmatched","Matched")</f>
        <v>Matched</v>
      </c>
    </row>
    <row r="431" customFormat="false" ht="15" hidden="false" customHeight="true" outlineLevel="0" collapsed="false">
      <c r="A431" s="12" t="s">
        <v>583</v>
      </c>
      <c r="B431" s="12" t="n">
        <v>2026</v>
      </c>
      <c r="C431" s="12" t="n">
        <v>37</v>
      </c>
      <c r="D431" s="12" t="n">
        <v>938.9</v>
      </c>
      <c r="E431" s="12" t="n">
        <f aca="false">IFERROR(INDEX('Catalog'!$A:$A,MATCH($A431,'Catalog'!$B:$B,0)),IFERROR(INDEX('Catalog'!$A:$A,MATCH(TRIM(SUBSTITUTE($A431,CHAR(160)," ")),'Catalog'!$C:$C,0)),""))</f>
        <v>4408049</v>
      </c>
      <c r="F431" s="12" t="str">
        <f aca="false">IF($E431="","Unmatched","Matched")</f>
        <v>Matched</v>
      </c>
    </row>
    <row r="432" customFormat="false" ht="15" hidden="false" customHeight="true" outlineLevel="0" collapsed="false">
      <c r="A432" s="12" t="s">
        <v>584</v>
      </c>
      <c r="B432" s="12" t="n">
        <v>2026</v>
      </c>
      <c r="C432" s="12" t="n">
        <v>-2</v>
      </c>
      <c r="D432" s="12" t="n">
        <v>-47.9</v>
      </c>
      <c r="E432" s="12" t="n">
        <f aca="false">IFERROR(INDEX('Catalog'!$A:$A,MATCH($A432,'Catalog'!$B:$B,0)),IFERROR(INDEX('Catalog'!$A:$A,MATCH(TRIM(SUBSTITUTE($A432,CHAR(160)," ")),'Catalog'!$C:$C,0)),""))</f>
        <v>4408050</v>
      </c>
      <c r="F432" s="12" t="str">
        <f aca="false">IF($E432="","Unmatched","Matched")</f>
        <v>Matched</v>
      </c>
    </row>
    <row r="433" customFormat="false" ht="15" hidden="false" customHeight="true" outlineLevel="0" collapsed="false">
      <c r="A433" s="12" t="s">
        <v>588</v>
      </c>
      <c r="B433" s="12" t="n">
        <v>2026</v>
      </c>
      <c r="C433" s="12" t="n">
        <v>1476</v>
      </c>
      <c r="D433" s="12" t="n">
        <v>48676.6</v>
      </c>
      <c r="E433" s="12" t="n">
        <f aca="false">IFERROR(INDEX('Catalog'!$A:$A,MATCH($A433,'Catalog'!$B:$B,0)),IFERROR(INDEX('Catalog'!$A:$A,MATCH(TRIM(SUBSTITUTE($A433,CHAR(160)," ")),'Catalog'!$C:$C,0)),""))</f>
        <v>4408051</v>
      </c>
      <c r="F433" s="12" t="str">
        <f aca="false">IF($E433="","Unmatched","Matched")</f>
        <v>Matched</v>
      </c>
    </row>
    <row r="434" customFormat="false" ht="15" hidden="false" customHeight="true" outlineLevel="0" collapsed="false">
      <c r="A434" s="12" t="s">
        <v>586</v>
      </c>
      <c r="B434" s="12" t="n">
        <v>2026</v>
      </c>
      <c r="C434" s="12" t="n">
        <v>1439</v>
      </c>
      <c r="D434" s="12" t="n">
        <v>47355.1</v>
      </c>
      <c r="E434" s="12" t="n">
        <f aca="false">IFERROR(INDEX('Catalog'!$A:$A,MATCH($A434,'Catalog'!$B:$B,0)),IFERROR(INDEX('Catalog'!$A:$A,MATCH(TRIM(SUBSTITUTE($A434,CHAR(160)," ")),'Catalog'!$C:$C,0)),""))</f>
        <v>4408052</v>
      </c>
      <c r="F434" s="12" t="str">
        <f aca="false">IF($E434="","Unmatched","Matched")</f>
        <v>Matched</v>
      </c>
    </row>
    <row r="435" customFormat="false" ht="15" hidden="false" customHeight="true" outlineLevel="0" collapsed="false">
      <c r="A435" s="12" t="s">
        <v>587</v>
      </c>
      <c r="B435" s="12" t="n">
        <v>2026</v>
      </c>
      <c r="C435" s="12" t="n">
        <v>1964</v>
      </c>
      <c r="D435" s="12" t="n">
        <v>64731</v>
      </c>
      <c r="E435" s="12" t="n">
        <f aca="false">IFERROR(INDEX('Catalog'!$A:$A,MATCH($A435,'Catalog'!$B:$B,0)),IFERROR(INDEX('Catalog'!$A:$A,MATCH(TRIM(SUBSTITUTE($A435,CHAR(160)," ")),'Catalog'!$C:$C,0)),""))</f>
        <v>4408053</v>
      </c>
      <c r="F435" s="12" t="str">
        <f aca="false">IF($E435="","Unmatched","Matched")</f>
        <v>Matched</v>
      </c>
    </row>
    <row r="436" customFormat="false" ht="15" hidden="false" customHeight="true" outlineLevel="0" collapsed="false">
      <c r="A436" s="12" t="s">
        <v>589</v>
      </c>
      <c r="B436" s="12" t="n">
        <v>2026</v>
      </c>
      <c r="C436" s="12" t="n">
        <v>579</v>
      </c>
      <c r="D436" s="12" t="n">
        <v>19076</v>
      </c>
      <c r="E436" s="12" t="n">
        <f aca="false">IFERROR(INDEX('Catalog'!$A:$A,MATCH($A436,'Catalog'!$B:$B,0)),IFERROR(INDEX('Catalog'!$A:$A,MATCH(TRIM(SUBSTITUTE($A436,CHAR(160)," ")),'Catalog'!$C:$C,0)),""))</f>
        <v>4408054</v>
      </c>
      <c r="F436" s="12" t="str">
        <f aca="false">IF($E436="","Unmatched","Matched")</f>
        <v>Matched</v>
      </c>
    </row>
    <row r="437" customFormat="false" ht="15" hidden="false" customHeight="true" outlineLevel="0" collapsed="false">
      <c r="A437" s="12" t="s">
        <v>611</v>
      </c>
      <c r="B437" s="12" t="n">
        <v>2026</v>
      </c>
      <c r="C437" s="12" t="n">
        <v>-1</v>
      </c>
      <c r="D437" s="12" t="n">
        <v>-63.6</v>
      </c>
      <c r="E437" s="12" t="n">
        <f aca="false">IFERROR(INDEX('Catalog'!$A:$A,MATCH($A437,'Catalog'!$B:$B,0)),IFERROR(INDEX('Catalog'!$A:$A,MATCH(TRIM(SUBSTITUTE($A437,CHAR(160)," ")),'Catalog'!$C:$C,0)),""))</f>
        <v>4408060</v>
      </c>
      <c r="F437" s="12" t="str">
        <f aca="false">IF($E437="","Unmatched","Matched")</f>
        <v>Matched</v>
      </c>
    </row>
    <row r="438" customFormat="false" ht="15" hidden="false" customHeight="true" outlineLevel="0" collapsed="false">
      <c r="A438" s="12" t="s">
        <v>613</v>
      </c>
      <c r="B438" s="12" t="n">
        <v>2026</v>
      </c>
      <c r="C438" s="12" t="n">
        <v>-1</v>
      </c>
      <c r="D438" s="12" t="n">
        <v>-60.4</v>
      </c>
      <c r="E438" s="12" t="n">
        <f aca="false">IFERROR(INDEX('Catalog'!$A:$A,MATCH($A438,'Catalog'!$B:$B,0)),IFERROR(INDEX('Catalog'!$A:$A,MATCH(TRIM(SUBSTITUTE($A438,CHAR(160)," ")),'Catalog'!$C:$C,0)),""))</f>
        <v>4408062</v>
      </c>
      <c r="F438" s="12" t="str">
        <f aca="false">IF($E438="","Unmatched","Matched")</f>
        <v>Matched</v>
      </c>
    </row>
    <row r="439" customFormat="false" ht="15" hidden="false" customHeight="true" outlineLevel="0" collapsed="false">
      <c r="A439" s="12" t="s">
        <v>461</v>
      </c>
      <c r="B439" s="12" t="n">
        <v>2026</v>
      </c>
      <c r="C439" s="12" t="n">
        <v>-1</v>
      </c>
      <c r="D439" s="12" t="n">
        <v>0</v>
      </c>
      <c r="E439" s="12" t="n">
        <f aca="false">IFERROR(INDEX('Catalog'!$A:$A,MATCH($A439,'Catalog'!$B:$B,0)),IFERROR(INDEX('Catalog'!$A:$A,MATCH(TRIM(SUBSTITUTE($A439,CHAR(160)," ")),'Catalog'!$C:$C,0)),""))</f>
        <v>4408075</v>
      </c>
      <c r="F439" s="12" t="str">
        <f aca="false">IF($E439="","Unmatched","Matched")</f>
        <v>Matched</v>
      </c>
    </row>
    <row r="440" customFormat="false" ht="15" hidden="false" customHeight="true" outlineLevel="0" collapsed="false">
      <c r="A440" s="12" t="s">
        <v>459</v>
      </c>
      <c r="B440" s="12" t="n">
        <v>2026</v>
      </c>
      <c r="C440" s="12" t="n">
        <v>1</v>
      </c>
      <c r="D440" s="12" t="n">
        <v>162.5</v>
      </c>
      <c r="E440" s="12" t="n">
        <f aca="false">IFERROR(INDEX('Catalog'!$A:$A,MATCH($A440,'Catalog'!$B:$B,0)),IFERROR(INDEX('Catalog'!$A:$A,MATCH(TRIM(SUBSTITUTE($A440,CHAR(160)," ")),'Catalog'!$C:$C,0)),""))</f>
        <v>4408076</v>
      </c>
      <c r="F440" s="12" t="str">
        <f aca="false">IF($E440="","Unmatched","Matched")</f>
        <v>Matched</v>
      </c>
    </row>
    <row r="441" customFormat="false" ht="15" hidden="false" customHeight="true" outlineLevel="0" collapsed="false">
      <c r="A441" s="12" t="s">
        <v>471</v>
      </c>
      <c r="B441" s="12" t="n">
        <v>2026</v>
      </c>
      <c r="C441" s="12" t="n">
        <v>-25</v>
      </c>
      <c r="D441" s="12" t="n">
        <v>-1715.2</v>
      </c>
      <c r="E441" s="12" t="n">
        <f aca="false">IFERROR(INDEX('Catalog'!$A:$A,MATCH($A441,'Catalog'!$B:$B,0)),IFERROR(INDEX('Catalog'!$A:$A,MATCH(TRIM(SUBSTITUTE($A441,CHAR(160)," ")),'Catalog'!$C:$C,0)),""))</f>
        <v>4408088</v>
      </c>
      <c r="F441" s="12" t="str">
        <f aca="false">IF($E441="","Unmatched","Matched")</f>
        <v>Matched</v>
      </c>
    </row>
    <row r="442" customFormat="false" ht="15" hidden="false" customHeight="true" outlineLevel="0" collapsed="false">
      <c r="A442" s="12" t="s">
        <v>338</v>
      </c>
      <c r="B442" s="12" t="n">
        <v>2026</v>
      </c>
      <c r="C442" s="12" t="n">
        <v>-1</v>
      </c>
      <c r="D442" s="12" t="n">
        <v>-81.9</v>
      </c>
      <c r="E442" s="12" t="n">
        <f aca="false">IFERROR(INDEX('Catalog'!$A:$A,MATCH($A442,'Catalog'!$B:$B,0)),IFERROR(INDEX('Catalog'!$A:$A,MATCH(TRIM(SUBSTITUTE($A442,CHAR(160)," ")),'Catalog'!$C:$C,0)),""))</f>
        <v>4408089</v>
      </c>
      <c r="F442" s="12" t="str">
        <f aca="false">IF($E442="","Unmatched","Matched")</f>
        <v>Matched</v>
      </c>
    </row>
    <row r="443" customFormat="false" ht="15" hidden="false" customHeight="true" outlineLevel="0" collapsed="false">
      <c r="A443" s="12" t="s">
        <v>336</v>
      </c>
      <c r="B443" s="12" t="n">
        <v>2026</v>
      </c>
      <c r="C443" s="12" t="n">
        <v>2</v>
      </c>
      <c r="D443" s="12" t="n">
        <v>159.8</v>
      </c>
      <c r="E443" s="12" t="n">
        <f aca="false">IFERROR(INDEX('Catalog'!$A:$A,MATCH($A443,'Catalog'!$B:$B,0)),IFERROR(INDEX('Catalog'!$A:$A,MATCH(TRIM(SUBSTITUTE($A443,CHAR(160)," ")),'Catalog'!$C:$C,0)),""))</f>
        <v>4408090</v>
      </c>
      <c r="F443" s="12" t="str">
        <f aca="false">IF($E443="","Unmatched","Matched")</f>
        <v>Matched</v>
      </c>
    </row>
    <row r="444" customFormat="false" ht="15" hidden="false" customHeight="true" outlineLevel="0" collapsed="false">
      <c r="A444" s="12" t="s">
        <v>337</v>
      </c>
      <c r="B444" s="12" t="n">
        <v>2026</v>
      </c>
      <c r="C444" s="12" t="n">
        <v>5</v>
      </c>
      <c r="D444" s="12" t="n">
        <v>401.3</v>
      </c>
      <c r="E444" s="12" t="n">
        <f aca="false">IFERROR(INDEX('Catalog'!$A:$A,MATCH($A444,'Catalog'!$B:$B,0)),IFERROR(INDEX('Catalog'!$A:$A,MATCH(TRIM(SUBSTITUTE($A444,CHAR(160)," ")),'Catalog'!$C:$C,0)),""))</f>
        <v>4408091</v>
      </c>
      <c r="F444" s="12" t="str">
        <f aca="false">IF($E444="","Unmatched","Matched")</f>
        <v>Matched</v>
      </c>
    </row>
    <row r="445" customFormat="false" ht="15" hidden="false" customHeight="true" outlineLevel="0" collapsed="false">
      <c r="A445" s="12" t="s">
        <v>339</v>
      </c>
      <c r="B445" s="12" t="n">
        <v>2026</v>
      </c>
      <c r="C445" s="12" t="n">
        <v>3</v>
      </c>
      <c r="D445" s="12" t="n">
        <v>249.8</v>
      </c>
      <c r="E445" s="12" t="n">
        <f aca="false">IFERROR(INDEX('Catalog'!$A:$A,MATCH($A445,'Catalog'!$B:$B,0)),IFERROR(INDEX('Catalog'!$A:$A,MATCH(TRIM(SUBSTITUTE($A445,CHAR(160)," ")),'Catalog'!$C:$C,0)),""))</f>
        <v>4408092</v>
      </c>
      <c r="F445" s="12" t="str">
        <f aca="false">IF($E445="","Unmatched","Matched")</f>
        <v>Matched</v>
      </c>
    </row>
    <row r="446" customFormat="false" ht="15" hidden="false" customHeight="true" outlineLevel="0" collapsed="false">
      <c r="A446" s="12" t="s">
        <v>340</v>
      </c>
      <c r="B446" s="12" t="n">
        <v>2026</v>
      </c>
      <c r="C446" s="12" t="n">
        <v>-1</v>
      </c>
      <c r="D446" s="12" t="n">
        <v>-81.9</v>
      </c>
      <c r="E446" s="12" t="n">
        <f aca="false">IFERROR(INDEX('Catalog'!$A:$A,MATCH($A446,'Catalog'!$B:$B,0)),IFERROR(INDEX('Catalog'!$A:$A,MATCH(TRIM(SUBSTITUTE($A446,CHAR(160)," ")),'Catalog'!$C:$C,0)),""))</f>
        <v>4408093</v>
      </c>
      <c r="F446" s="12" t="str">
        <f aca="false">IF($E446="","Unmatched","Matched")</f>
        <v>Matched</v>
      </c>
    </row>
    <row r="447" customFormat="false" ht="15" hidden="false" customHeight="true" outlineLevel="0" collapsed="false">
      <c r="A447" s="12" t="s">
        <v>653</v>
      </c>
      <c r="B447" s="12" t="n">
        <v>2026</v>
      </c>
      <c r="C447" s="12" t="n">
        <v>108</v>
      </c>
      <c r="D447" s="12" t="n">
        <v>3399.2</v>
      </c>
      <c r="E447" s="12" t="n">
        <f aca="false">IFERROR(INDEX('Catalog'!$A:$A,MATCH($A447,'Catalog'!$B:$B,0)),IFERROR(INDEX('Catalog'!$A:$A,MATCH(TRIM(SUBSTITUTE($A447,CHAR(160)," ")),'Catalog'!$C:$C,0)),""))</f>
        <v>4408094</v>
      </c>
      <c r="F447" s="12" t="str">
        <f aca="false">IF($E447="","Unmatched","Matched")</f>
        <v>Matched</v>
      </c>
    </row>
    <row r="448" customFormat="false" ht="15" hidden="false" customHeight="true" outlineLevel="0" collapsed="false">
      <c r="A448" s="12" t="s">
        <v>652</v>
      </c>
      <c r="B448" s="12" t="n">
        <v>2026</v>
      </c>
      <c r="C448" s="12" t="n">
        <v>77</v>
      </c>
      <c r="D448" s="12" t="n">
        <v>2409.5</v>
      </c>
      <c r="E448" s="12" t="n">
        <f aca="false">IFERROR(INDEX('Catalog'!$A:$A,MATCH($A448,'Catalog'!$B:$B,0)),IFERROR(INDEX('Catalog'!$A:$A,MATCH(TRIM(SUBSTITUTE($A448,CHAR(160)," ")),'Catalog'!$C:$C,0)),""))</f>
        <v>4408095</v>
      </c>
      <c r="F448" s="12" t="str">
        <f aca="false">IF($E448="","Unmatched","Matched")</f>
        <v>Matched</v>
      </c>
    </row>
    <row r="449" customFormat="false" ht="15" hidden="false" customHeight="true" outlineLevel="0" collapsed="false">
      <c r="A449" s="12" t="s">
        <v>655</v>
      </c>
      <c r="B449" s="12" t="n">
        <v>2026</v>
      </c>
      <c r="C449" s="12" t="n">
        <v>58</v>
      </c>
      <c r="D449" s="12" t="n">
        <v>1829.6</v>
      </c>
      <c r="E449" s="12" t="n">
        <f aca="false">IFERROR(INDEX('Catalog'!$A:$A,MATCH($A449,'Catalog'!$B:$B,0)),IFERROR(INDEX('Catalog'!$A:$A,MATCH(TRIM(SUBSTITUTE($A449,CHAR(160)," ")),'Catalog'!$C:$C,0)),""))</f>
        <v>4408096</v>
      </c>
      <c r="F449" s="12" t="str">
        <f aca="false">IF($E449="","Unmatched","Matched")</f>
        <v>Matched</v>
      </c>
    </row>
    <row r="450" customFormat="false" ht="15" hidden="false" customHeight="true" outlineLevel="0" collapsed="false">
      <c r="A450" s="12" t="s">
        <v>654</v>
      </c>
      <c r="B450" s="12" t="n">
        <v>2026</v>
      </c>
      <c r="C450" s="12" t="n">
        <v>60</v>
      </c>
      <c r="D450" s="12" t="n">
        <v>1877.7</v>
      </c>
      <c r="E450" s="12" t="n">
        <f aca="false">IFERROR(INDEX('Catalog'!$A:$A,MATCH($A450,'Catalog'!$B:$B,0)),IFERROR(INDEX('Catalog'!$A:$A,MATCH(TRIM(SUBSTITUTE($A450,CHAR(160)," ")),'Catalog'!$C:$C,0)),""))</f>
        <v>4408097</v>
      </c>
      <c r="F450" s="12" t="str">
        <f aca="false">IF($E450="","Unmatched","Matched")</f>
        <v>Matched</v>
      </c>
    </row>
    <row r="451" customFormat="false" ht="15" hidden="false" customHeight="true" outlineLevel="0" collapsed="false">
      <c r="A451" s="12" t="s">
        <v>656</v>
      </c>
      <c r="B451" s="12" t="n">
        <v>2026</v>
      </c>
      <c r="C451" s="12" t="n">
        <v>3316</v>
      </c>
      <c r="D451" s="12" t="n">
        <v>123767.5</v>
      </c>
      <c r="E451" s="12" t="n">
        <f aca="false">IFERROR(INDEX('Catalog'!$A:$A,MATCH($A451,'Catalog'!$B:$B,0)),IFERROR(INDEX('Catalog'!$A:$A,MATCH(TRIM(SUBSTITUTE($A451,CHAR(160)," ")),'Catalog'!$C:$C,0)),""))</f>
        <v>4408098</v>
      </c>
      <c r="F451" s="12" t="str">
        <f aca="false">IF($E451="","Unmatched","Matched")</f>
        <v>Matched</v>
      </c>
    </row>
    <row r="452" customFormat="false" ht="15" hidden="false" customHeight="true" outlineLevel="0" collapsed="false">
      <c r="A452" s="12" t="s">
        <v>658</v>
      </c>
      <c r="B452" s="12" t="n">
        <v>2026</v>
      </c>
      <c r="C452" s="12" t="n">
        <v>4087</v>
      </c>
      <c r="D452" s="12" t="n">
        <v>152480.8</v>
      </c>
      <c r="E452" s="12" t="n">
        <f aca="false">IFERROR(INDEX('Catalog'!$A:$A,MATCH($A452,'Catalog'!$B:$B,0)),IFERROR(INDEX('Catalog'!$A:$A,MATCH(TRIM(SUBSTITUTE($A452,CHAR(160)," ")),'Catalog'!$C:$C,0)),""))</f>
        <v>4408099</v>
      </c>
      <c r="F452" s="12" t="str">
        <f aca="false">IF($E452="","Unmatched","Matched")</f>
        <v>Matched</v>
      </c>
    </row>
    <row r="453" customFormat="false" ht="15" hidden="false" customHeight="true" outlineLevel="0" collapsed="false">
      <c r="A453" s="12" t="s">
        <v>314</v>
      </c>
      <c r="B453" s="12" t="n">
        <v>2026</v>
      </c>
      <c r="C453" s="12" t="n">
        <v>-1</v>
      </c>
      <c r="D453" s="12" t="n">
        <v>-207.2</v>
      </c>
      <c r="E453" s="12" t="n">
        <f aca="false">IFERROR(INDEX('Catalog'!$A:$A,MATCH($A453,'Catalog'!$B:$B,0)),IFERROR(INDEX('Catalog'!$A:$A,MATCH(TRIM(SUBSTITUTE($A453,CHAR(160)," ")),'Catalog'!$C:$C,0)),""))</f>
        <v>4408104</v>
      </c>
      <c r="F453" s="12" t="str">
        <f aca="false">IF($E453="","Unmatched","Matched")</f>
        <v>Matched</v>
      </c>
    </row>
    <row r="454" customFormat="false" ht="15" hidden="false" customHeight="true" outlineLevel="0" collapsed="false">
      <c r="A454" s="12" t="s">
        <v>265</v>
      </c>
      <c r="B454" s="12" t="n">
        <v>2026</v>
      </c>
      <c r="C454" s="12" t="n">
        <v>14</v>
      </c>
      <c r="D454" s="12" t="n">
        <v>1249.8</v>
      </c>
      <c r="E454" s="12" t="n">
        <f aca="false">IFERROR(INDEX('Catalog'!$A:$A,MATCH($A454,'Catalog'!$B:$B,0)),IFERROR(INDEX('Catalog'!$A:$A,MATCH(TRIM(SUBSTITUTE($A454,CHAR(160)," ")),'Catalog'!$C:$C,0)),""))</f>
        <v>4408114</v>
      </c>
      <c r="F454" s="12" t="str">
        <f aca="false">IF($E454="","Unmatched","Matched")</f>
        <v>Matched</v>
      </c>
    </row>
    <row r="455" customFormat="false" ht="15" hidden="false" customHeight="true" outlineLevel="0" collapsed="false">
      <c r="A455" s="12" t="s">
        <v>271</v>
      </c>
      <c r="B455" s="12" t="n">
        <v>2026</v>
      </c>
      <c r="C455" s="12" t="n">
        <v>1</v>
      </c>
      <c r="D455" s="12" t="n">
        <v>104.7</v>
      </c>
      <c r="E455" s="12" t="n">
        <f aca="false">IFERROR(INDEX('Catalog'!$A:$A,MATCH($A455,'Catalog'!$B:$B,0)),IFERROR(INDEX('Catalog'!$A:$A,MATCH(TRIM(SUBSTITUTE($A455,CHAR(160)," ")),'Catalog'!$C:$C,0)),""))</f>
        <v>4408145</v>
      </c>
      <c r="F455" s="12" t="str">
        <f aca="false">IF($E455="","Unmatched","Matched")</f>
        <v>Matched</v>
      </c>
    </row>
    <row r="456" customFormat="false" ht="15" hidden="false" customHeight="true" outlineLevel="0" collapsed="false">
      <c r="A456" s="12" t="s">
        <v>272</v>
      </c>
      <c r="B456" s="12" t="n">
        <v>2026</v>
      </c>
      <c r="C456" s="12" t="n">
        <v>0</v>
      </c>
      <c r="D456" s="12" t="n">
        <v>-5.5</v>
      </c>
      <c r="E456" s="12" t="n">
        <f aca="false">IFERROR(INDEX('Catalog'!$A:$A,MATCH($A456,'Catalog'!$B:$B,0)),IFERROR(INDEX('Catalog'!$A:$A,MATCH(TRIM(SUBSTITUTE($A456,CHAR(160)," ")),'Catalog'!$C:$C,0)),""))</f>
        <v>4408148</v>
      </c>
      <c r="F456" s="12" t="str">
        <f aca="false">IF($E456="","Unmatched","Matched")</f>
        <v>Matched</v>
      </c>
    </row>
    <row r="457" customFormat="false" ht="15" hidden="false" customHeight="true" outlineLevel="0" collapsed="false">
      <c r="A457" s="12" t="s">
        <v>281</v>
      </c>
      <c r="B457" s="12" t="n">
        <v>2026</v>
      </c>
      <c r="C457" s="12" t="n">
        <v>-1</v>
      </c>
      <c r="D457" s="12" t="n">
        <v>-128.4</v>
      </c>
      <c r="E457" s="12" t="n">
        <f aca="false">IFERROR(INDEX('Catalog'!$A:$A,MATCH($A457,'Catalog'!$B:$B,0)),IFERROR(INDEX('Catalog'!$A:$A,MATCH(TRIM(SUBSTITUTE($A457,CHAR(160)," ")),'Catalog'!$C:$C,0)),""))</f>
        <v>4408150</v>
      </c>
      <c r="F457" s="12" t="str">
        <f aca="false">IF($E457="","Unmatched","Matched")</f>
        <v>Matched</v>
      </c>
    </row>
    <row r="458" customFormat="false" ht="15" hidden="false" customHeight="true" outlineLevel="0" collapsed="false">
      <c r="A458" s="12" t="s">
        <v>280</v>
      </c>
      <c r="B458" s="12" t="n">
        <v>2026</v>
      </c>
      <c r="C458" s="12" t="n">
        <v>9</v>
      </c>
      <c r="D458" s="12" t="n">
        <v>1185.2</v>
      </c>
      <c r="E458" s="12" t="n">
        <f aca="false">IFERROR(INDEX('Catalog'!$A:$A,MATCH($A458,'Catalog'!$B:$B,0)),IFERROR(INDEX('Catalog'!$A:$A,MATCH(TRIM(SUBSTITUTE($A458,CHAR(160)," ")),'Catalog'!$C:$C,0)),""))</f>
        <v>4408151</v>
      </c>
      <c r="F458" s="12" t="str">
        <f aca="false">IF($E458="","Unmatched","Matched")</f>
        <v>Matched</v>
      </c>
    </row>
    <row r="459" customFormat="false" ht="15" hidden="false" customHeight="true" outlineLevel="0" collapsed="false">
      <c r="A459" s="12" t="s">
        <v>279</v>
      </c>
      <c r="B459" s="12" t="n">
        <v>2026</v>
      </c>
      <c r="C459" s="12" t="n">
        <v>23</v>
      </c>
      <c r="D459" s="12" t="n">
        <v>3060.8</v>
      </c>
      <c r="E459" s="12" t="n">
        <f aca="false">IFERROR(INDEX('Catalog'!$A:$A,MATCH($A459,'Catalog'!$B:$B,0)),IFERROR(INDEX('Catalog'!$A:$A,MATCH(TRIM(SUBSTITUTE($A459,CHAR(160)," ")),'Catalog'!$C:$C,0)),""))</f>
        <v>4408152</v>
      </c>
      <c r="F459" s="12" t="str">
        <f aca="false">IF($E459="","Unmatched","Matched")</f>
        <v>Matched</v>
      </c>
    </row>
    <row r="460" customFormat="false" ht="15" hidden="false" customHeight="true" outlineLevel="0" collapsed="false">
      <c r="A460" s="12" t="s">
        <v>282</v>
      </c>
      <c r="B460" s="12" t="n">
        <v>2026</v>
      </c>
      <c r="C460" s="12" t="n">
        <v>22</v>
      </c>
      <c r="D460" s="12" t="n">
        <v>2922</v>
      </c>
      <c r="E460" s="12" t="n">
        <f aca="false">IFERROR(INDEX('Catalog'!$A:$A,MATCH($A460,'Catalog'!$B:$B,0)),IFERROR(INDEX('Catalog'!$A:$A,MATCH(TRIM(SUBSTITUTE($A460,CHAR(160)," ")),'Catalog'!$C:$C,0)),""))</f>
        <v>4408153</v>
      </c>
      <c r="F460" s="12" t="str">
        <f aca="false">IF($E460="","Unmatched","Matched")</f>
        <v>Matched</v>
      </c>
    </row>
    <row r="461" customFormat="false" ht="15" hidden="false" customHeight="true" outlineLevel="0" collapsed="false">
      <c r="A461" s="12" t="s">
        <v>283</v>
      </c>
      <c r="B461" s="12" t="n">
        <v>2026</v>
      </c>
      <c r="C461" s="12" t="n">
        <v>41</v>
      </c>
      <c r="D461" s="12" t="n">
        <v>5469.3</v>
      </c>
      <c r="E461" s="12" t="n">
        <f aca="false">IFERROR(INDEX('Catalog'!$A:$A,MATCH($A461,'Catalog'!$B:$B,0)),IFERROR(INDEX('Catalog'!$A:$A,MATCH(TRIM(SUBSTITUTE($A461,CHAR(160)," ")),'Catalog'!$C:$C,0)),""))</f>
        <v>4408154</v>
      </c>
      <c r="F461" s="12" t="str">
        <f aca="false">IF($E461="","Unmatched","Matched")</f>
        <v>Matched</v>
      </c>
    </row>
    <row r="462" customFormat="false" ht="15" hidden="false" customHeight="true" outlineLevel="0" collapsed="false">
      <c r="A462" s="12" t="s">
        <v>294</v>
      </c>
      <c r="B462" s="12" t="n">
        <v>2026</v>
      </c>
      <c r="C462" s="12" t="n">
        <v>-1</v>
      </c>
      <c r="D462" s="12" t="n">
        <v>-135</v>
      </c>
      <c r="E462" s="12" t="n">
        <f aca="false">IFERROR(INDEX('Catalog'!$A:$A,MATCH($A462,'Catalog'!$B:$B,0)),IFERROR(INDEX('Catalog'!$A:$A,MATCH(TRIM(SUBSTITUTE($A462,CHAR(160)," ")),'Catalog'!$C:$C,0)),""))</f>
        <v>4408178</v>
      </c>
      <c r="F462" s="12" t="str">
        <f aca="false">IF($E462="","Unmatched","Matched")</f>
        <v>Matched</v>
      </c>
    </row>
    <row r="463" customFormat="false" ht="15" hidden="false" customHeight="true" outlineLevel="0" collapsed="false">
      <c r="A463" s="12" t="s">
        <v>331</v>
      </c>
      <c r="B463" s="12" t="n">
        <v>2026</v>
      </c>
      <c r="C463" s="12" t="n">
        <v>36</v>
      </c>
      <c r="D463" s="12" t="n">
        <v>3644.6</v>
      </c>
      <c r="E463" s="12" t="n">
        <f aca="false">IFERROR(INDEX('Catalog'!$A:$A,MATCH($A463,'Catalog'!$B:$B,0)),IFERROR(INDEX('Catalog'!$A:$A,MATCH(TRIM(SUBSTITUTE($A463,CHAR(160)," ")),'Catalog'!$C:$C,0)),""))</f>
        <v>4408190</v>
      </c>
      <c r="F463" s="12" t="str">
        <f aca="false">IF($E463="","Unmatched","Matched")</f>
        <v>Matched</v>
      </c>
    </row>
    <row r="464" customFormat="false" ht="15" hidden="false" customHeight="true" outlineLevel="0" collapsed="false">
      <c r="A464" s="12" t="s">
        <v>229</v>
      </c>
      <c r="B464" s="12" t="n">
        <v>2026</v>
      </c>
      <c r="C464" s="12" t="n">
        <v>82</v>
      </c>
      <c r="D464" s="12" t="n">
        <v>8230.7</v>
      </c>
      <c r="E464" s="12" t="n">
        <f aca="false">IFERROR(INDEX('Catalog'!$A:$A,MATCH($A464,'Catalog'!$B:$B,0)),IFERROR(INDEX('Catalog'!$A:$A,MATCH(TRIM(SUBSTITUTE($A464,CHAR(160)," ")),'Catalog'!$C:$C,0)),""))</f>
        <v>4408192</v>
      </c>
      <c r="F464" s="12" t="str">
        <f aca="false">IF($E464="","Unmatched","Matched")</f>
        <v>Matched</v>
      </c>
    </row>
    <row r="465" customFormat="false" ht="15" hidden="false" customHeight="true" outlineLevel="0" collapsed="false">
      <c r="A465" s="12" t="s">
        <v>299</v>
      </c>
      <c r="B465" s="12" t="n">
        <v>2026</v>
      </c>
      <c r="C465" s="12" t="n">
        <v>11</v>
      </c>
      <c r="D465" s="12" t="n">
        <v>1896.4</v>
      </c>
      <c r="E465" s="12" t="n">
        <f aca="false">IFERROR(INDEX('Catalog'!$A:$A,MATCH($A465,'Catalog'!$B:$B,0)),IFERROR(INDEX('Catalog'!$A:$A,MATCH(TRIM(SUBSTITUTE($A465,CHAR(160)," ")),'Catalog'!$C:$C,0)),""))</f>
        <v>4408203</v>
      </c>
      <c r="F465" s="12" t="str">
        <f aca="false">IF($E465="","Unmatched","Matched")</f>
        <v>Matched</v>
      </c>
    </row>
    <row r="466" customFormat="false" ht="15" hidden="false" customHeight="true" outlineLevel="0" collapsed="false">
      <c r="A466" s="12" t="s">
        <v>500</v>
      </c>
      <c r="B466" s="12" t="n">
        <v>2026</v>
      </c>
      <c r="C466" s="12" t="n">
        <v>571</v>
      </c>
      <c r="D466" s="12" t="n">
        <v>15737.5</v>
      </c>
      <c r="E466" s="12" t="n">
        <f aca="false">IFERROR(INDEX('Catalog'!$A:$A,MATCH($A466,'Catalog'!$B:$B,0)),IFERROR(INDEX('Catalog'!$A:$A,MATCH(TRIM(SUBSTITUTE($A466,CHAR(160)," ")),'Catalog'!$C:$C,0)),""))</f>
        <v>4408208</v>
      </c>
      <c r="F466" s="12" t="str">
        <f aca="false">IF($E466="","Unmatched","Matched")</f>
        <v>Matched</v>
      </c>
    </row>
    <row r="467" customFormat="false" ht="15" hidden="false" customHeight="true" outlineLevel="0" collapsed="false">
      <c r="A467" s="12" t="s">
        <v>334</v>
      </c>
      <c r="B467" s="12" t="n">
        <v>2026</v>
      </c>
      <c r="C467" s="12" t="n">
        <v>3</v>
      </c>
      <c r="D467" s="12" t="n">
        <v>314.7</v>
      </c>
      <c r="E467" s="12" t="n">
        <f aca="false">IFERROR(INDEX('Catalog'!$A:$A,MATCH($A467,'Catalog'!$B:$B,0)),IFERROR(INDEX('Catalog'!$A:$A,MATCH(TRIM(SUBSTITUTE($A467,CHAR(160)," ")),'Catalog'!$C:$C,0)),""))</f>
        <v>4408217</v>
      </c>
      <c r="F467" s="12" t="str">
        <f aca="false">IF($E467="","Unmatched","Matched")</f>
        <v>Matched</v>
      </c>
    </row>
    <row r="468" customFormat="false" ht="15" hidden="false" customHeight="true" outlineLevel="0" collapsed="false">
      <c r="A468" s="12" t="s">
        <v>240</v>
      </c>
      <c r="B468" s="12" t="n">
        <v>2026</v>
      </c>
      <c r="C468" s="12" t="n">
        <v>42</v>
      </c>
      <c r="D468" s="12" t="n">
        <v>4263.8</v>
      </c>
      <c r="E468" s="12" t="n">
        <f aca="false">IFERROR(INDEX('Catalog'!$A:$A,MATCH($A468,'Catalog'!$B:$B,0)),IFERROR(INDEX('Catalog'!$A:$A,MATCH(TRIM(SUBSTITUTE($A468,CHAR(160)," ")),'Catalog'!$C:$C,0)),""))</f>
        <v>4408218</v>
      </c>
      <c r="F468" s="12" t="str">
        <f aca="false">IF($E468="","Unmatched","Matched")</f>
        <v>Matched</v>
      </c>
    </row>
    <row r="469" customFormat="false" ht="15" hidden="false" customHeight="true" outlineLevel="0" collapsed="false">
      <c r="A469" s="12" t="s">
        <v>555</v>
      </c>
      <c r="B469" s="12" t="n">
        <v>2026</v>
      </c>
      <c r="C469" s="12" t="n">
        <v>-2</v>
      </c>
      <c r="D469" s="12" t="n">
        <v>-23.1</v>
      </c>
      <c r="E469" s="12" t="n">
        <f aca="false">IFERROR(INDEX('Catalog'!$A:$A,MATCH($A469,'Catalog'!$B:$B,0)),IFERROR(INDEX('Catalog'!$A:$A,MATCH(TRIM(SUBSTITUTE($A469,CHAR(160)," ")),'Catalog'!$C:$C,0)),""))</f>
        <v>4409000</v>
      </c>
      <c r="F469" s="12" t="str">
        <f aca="false">IF($E469="","Unmatched","Matched")</f>
        <v>Matched</v>
      </c>
    </row>
    <row r="470" customFormat="false" ht="15" hidden="false" customHeight="true" outlineLevel="0" collapsed="false">
      <c r="A470" s="12" t="s">
        <v>554</v>
      </c>
      <c r="B470" s="12" t="n">
        <v>2026</v>
      </c>
      <c r="C470" s="12" t="n">
        <v>133</v>
      </c>
      <c r="D470" s="12" t="n">
        <v>1401.1</v>
      </c>
      <c r="E470" s="12" t="n">
        <f aca="false">IFERROR(INDEX('Catalog'!$A:$A,MATCH($A470,'Catalog'!$B:$B,0)),IFERROR(INDEX('Catalog'!$A:$A,MATCH(TRIM(SUBSTITUTE($A470,CHAR(160)," ")),'Catalog'!$C:$C,0)),""))</f>
        <v>4409001</v>
      </c>
      <c r="F470" s="12" t="str">
        <f aca="false">IF($E470="","Unmatched","Matched")</f>
        <v>Matched</v>
      </c>
    </row>
    <row r="471" customFormat="false" ht="15" hidden="false" customHeight="true" outlineLevel="0" collapsed="false">
      <c r="A471" s="12" t="s">
        <v>707</v>
      </c>
      <c r="B471" s="12" t="n">
        <v>2026</v>
      </c>
      <c r="C471" s="12" t="n">
        <v>-2</v>
      </c>
      <c r="D471" s="12" t="n">
        <v>-57.8</v>
      </c>
      <c r="E471" s="12" t="n">
        <f aca="false">IFERROR(INDEX('Catalog'!$A:$A,MATCH($A471,'Catalog'!$B:$B,0)),IFERROR(INDEX('Catalog'!$A:$A,MATCH(TRIM(SUBSTITUTE($A471,CHAR(160)," ")),'Catalog'!$C:$C,0)),""))</f>
        <v>4409002</v>
      </c>
      <c r="F471" s="12" t="str">
        <f aca="false">IF($E471="","Unmatched","Matched")</f>
        <v>Matched</v>
      </c>
    </row>
    <row r="472" customFormat="false" ht="15" hidden="false" customHeight="true" outlineLevel="0" collapsed="false">
      <c r="A472" s="12" t="s">
        <v>367</v>
      </c>
      <c r="B472" s="12" t="n">
        <v>2026</v>
      </c>
      <c r="C472" s="12" t="n">
        <v>562</v>
      </c>
      <c r="D472" s="12" t="n">
        <v>9322</v>
      </c>
      <c r="E472" s="12" t="n">
        <f aca="false">IFERROR(INDEX('Catalog'!$A:$A,MATCH($A472,'Catalog'!$B:$B,0)),IFERROR(INDEX('Catalog'!$A:$A,MATCH(TRIM(SUBSTITUTE($A472,CHAR(160)," ")),'Catalog'!$C:$C,0)),""))</f>
        <v>4409004</v>
      </c>
      <c r="F472" s="12" t="str">
        <f aca="false">IF($E472="","Unmatched","Matched")</f>
        <v>Matched</v>
      </c>
    </row>
    <row r="473" customFormat="false" ht="15" hidden="false" customHeight="true" outlineLevel="0" collapsed="false">
      <c r="A473" s="12" t="s">
        <v>571</v>
      </c>
      <c r="B473" s="12" t="n">
        <v>2026</v>
      </c>
      <c r="C473" s="12" t="n">
        <v>1727</v>
      </c>
      <c r="D473" s="12" t="n">
        <v>41072.9</v>
      </c>
      <c r="E473" s="12" t="n">
        <f aca="false">IFERROR(INDEX('Catalog'!$A:$A,MATCH($A473,'Catalog'!$B:$B,0)),IFERROR(INDEX('Catalog'!$A:$A,MATCH(TRIM(SUBSTITUTE($A473,CHAR(160)," ")),'Catalog'!$C:$C,0)),""))</f>
        <v>4411000</v>
      </c>
      <c r="F473" s="12" t="str">
        <f aca="false">IF($E473="","Unmatched","Matched")</f>
        <v>Matched</v>
      </c>
    </row>
    <row r="474" customFormat="false" ht="15" hidden="false" customHeight="true" outlineLevel="0" collapsed="false">
      <c r="A474" s="12" t="s">
        <v>549</v>
      </c>
      <c r="B474" s="12" t="n">
        <v>2026</v>
      </c>
      <c r="C474" s="12" t="n">
        <v>177</v>
      </c>
      <c r="D474" s="12" t="n">
        <v>4296.7</v>
      </c>
      <c r="E474" s="12" t="n">
        <f aca="false">IFERROR(INDEX('Catalog'!$A:$A,MATCH($A474,'Catalog'!$B:$B,0)),IFERROR(INDEX('Catalog'!$A:$A,MATCH(TRIM(SUBSTITUTE($A474,CHAR(160)," ")),'Catalog'!$C:$C,0)),""))</f>
        <v>4411001</v>
      </c>
      <c r="F474" s="12" t="str">
        <f aca="false">IF($E474="","Unmatched","Matched")</f>
        <v>Matched</v>
      </c>
    </row>
    <row r="475" customFormat="false" ht="15" hidden="false" customHeight="true" outlineLevel="0" collapsed="false">
      <c r="A475" s="12" t="s">
        <v>569</v>
      </c>
      <c r="B475" s="12" t="n">
        <v>2026</v>
      </c>
      <c r="C475" s="12" t="n">
        <v>67</v>
      </c>
      <c r="D475" s="12" t="n">
        <v>2616.2</v>
      </c>
      <c r="E475" s="12" t="n">
        <f aca="false">IFERROR(INDEX('Catalog'!$A:$A,MATCH($A475,'Catalog'!$B:$B,0)),IFERROR(INDEX('Catalog'!$A:$A,MATCH(TRIM(SUBSTITUTE($A475,CHAR(160)," ")),'Catalog'!$C:$C,0)),""))</f>
        <v>4411015</v>
      </c>
      <c r="F475" s="12" t="str">
        <f aca="false">IF($E475="","Unmatched","Matched")</f>
        <v>Matched</v>
      </c>
    </row>
    <row r="476" customFormat="false" ht="15" hidden="false" customHeight="true" outlineLevel="0" collapsed="false">
      <c r="A476" s="12" t="s">
        <v>710</v>
      </c>
      <c r="B476" s="12" t="n">
        <v>2026</v>
      </c>
      <c r="C476" s="12" t="n">
        <v>-8</v>
      </c>
      <c r="D476" s="12" t="n">
        <v>-435.6</v>
      </c>
      <c r="E476" s="12" t="n">
        <f aca="false">IFERROR(INDEX('Catalog'!$A:$A,MATCH($A476,'Catalog'!$B:$B,0)),IFERROR(INDEX('Catalog'!$A:$A,MATCH(TRIM(SUBSTITUTE($A476,CHAR(160)," ")),'Catalog'!$C:$C,0)),""))</f>
        <v>4413000</v>
      </c>
      <c r="F476" s="12" t="str">
        <f aca="false">IF($E476="","Unmatched","Matched")</f>
        <v>Matched</v>
      </c>
    </row>
    <row r="477" customFormat="false" ht="15" hidden="false" customHeight="true" outlineLevel="0" collapsed="false">
      <c r="A477" s="12" t="s">
        <v>708</v>
      </c>
      <c r="B477" s="12" t="n">
        <v>2026</v>
      </c>
      <c r="C477" s="12" t="n">
        <v>-7</v>
      </c>
      <c r="D477" s="12" t="n">
        <v>-392.6</v>
      </c>
      <c r="E477" s="12" t="n">
        <f aca="false">IFERROR(INDEX('Catalog'!$A:$A,MATCH($A477,'Catalog'!$B:$B,0)),IFERROR(INDEX('Catalog'!$A:$A,MATCH(TRIM(SUBSTITUTE($A477,CHAR(160)," ")),'Catalog'!$C:$C,0)),""))</f>
        <v>4413002</v>
      </c>
      <c r="F477" s="12" t="str">
        <f aca="false">IF($E477="","Unmatched","Matched")</f>
        <v>Matched</v>
      </c>
    </row>
    <row r="478" customFormat="false" ht="15" hidden="false" customHeight="true" outlineLevel="0" collapsed="false">
      <c r="A478" s="12" t="s">
        <v>709</v>
      </c>
      <c r="B478" s="12" t="n">
        <v>2026</v>
      </c>
      <c r="C478" s="12" t="n">
        <v>-9</v>
      </c>
      <c r="D478" s="12" t="n">
        <v>-483.8</v>
      </c>
      <c r="E478" s="12" t="n">
        <f aca="false">IFERROR(INDEX('Catalog'!$A:$A,MATCH($A478,'Catalog'!$B:$B,0)),IFERROR(INDEX('Catalog'!$A:$A,MATCH(TRIM(SUBSTITUTE($A478,CHAR(160)," ")),'Catalog'!$C:$C,0)),""))</f>
        <v>4413003</v>
      </c>
      <c r="F478" s="12" t="str">
        <f aca="false">IF($E478="","Unmatched","Matched")</f>
        <v>Matched</v>
      </c>
    </row>
    <row r="479" customFormat="false" ht="15" hidden="false" customHeight="true" outlineLevel="0" collapsed="false">
      <c r="A479" s="12" t="s">
        <v>711</v>
      </c>
      <c r="B479" s="12" t="n">
        <v>2026</v>
      </c>
      <c r="C479" s="12" t="n">
        <v>-11</v>
      </c>
      <c r="D479" s="12" t="n">
        <v>-616.2</v>
      </c>
      <c r="E479" s="12" t="n">
        <f aca="false">IFERROR(INDEX('Catalog'!$A:$A,MATCH($A479,'Catalog'!$B:$B,0)),IFERROR(INDEX('Catalog'!$A:$A,MATCH(TRIM(SUBSTITUTE($A479,CHAR(160)," ")),'Catalog'!$C:$C,0)),""))</f>
        <v>4413004</v>
      </c>
      <c r="F479" s="12" t="str">
        <f aca="false">IF($E479="","Unmatched","Matched")</f>
        <v>Matched</v>
      </c>
    </row>
    <row r="480" customFormat="false" ht="15" hidden="false" customHeight="true" outlineLevel="0" collapsed="false">
      <c r="A480" s="12" t="s">
        <v>712</v>
      </c>
      <c r="B480" s="12" t="n">
        <v>2026</v>
      </c>
      <c r="C480" s="12" t="n">
        <v>-1</v>
      </c>
      <c r="D480" s="12" t="n">
        <v>-54.5</v>
      </c>
      <c r="E480" s="12" t="n">
        <f aca="false">IFERROR(INDEX('Catalog'!$A:$A,MATCH($A480,'Catalog'!$B:$B,0)),IFERROR(INDEX('Catalog'!$A:$A,MATCH(TRIM(SUBSTITUTE($A480,CHAR(160)," ")),'Catalog'!$C:$C,0)),""))</f>
        <v>4413005</v>
      </c>
      <c r="F480" s="12" t="str">
        <f aca="false">IF($E480="","Unmatched","Matched")</f>
        <v>Matched</v>
      </c>
    </row>
    <row r="481" customFormat="false" ht="15" hidden="false" customHeight="true" outlineLevel="0" collapsed="false">
      <c r="A481" s="12" t="s">
        <v>543</v>
      </c>
      <c r="B481" s="12" t="n">
        <v>2026</v>
      </c>
      <c r="C481" s="12" t="n">
        <v>2898</v>
      </c>
      <c r="D481" s="12" t="n">
        <v>39121.1</v>
      </c>
      <c r="E481" s="12" t="n">
        <f aca="false">IFERROR(INDEX('Catalog'!$A:$A,MATCH($A481,'Catalog'!$B:$B,0)),IFERROR(INDEX('Catalog'!$A:$A,MATCH(TRIM(SUBSTITUTE($A481,CHAR(160)," ")),'Catalog'!$C:$C,0)),""))</f>
        <v>4413033</v>
      </c>
      <c r="F481" s="12" t="str">
        <f aca="false">IF($E481="","Unmatched","Matched")</f>
        <v>Matched</v>
      </c>
    </row>
    <row r="482" customFormat="false" ht="15" hidden="false" customHeight="true" outlineLevel="0" collapsed="false">
      <c r="A482" s="12" t="s">
        <v>544</v>
      </c>
      <c r="B482" s="12" t="n">
        <v>2026</v>
      </c>
      <c r="C482" s="12" t="n">
        <v>102</v>
      </c>
      <c r="D482" s="12" t="n">
        <v>2001.2</v>
      </c>
      <c r="E482" s="12" t="n">
        <f aca="false">IFERROR(INDEX('Catalog'!$A:$A,MATCH($A482,'Catalog'!$B:$B,0)),IFERROR(INDEX('Catalog'!$A:$A,MATCH(TRIM(SUBSTITUTE($A482,CHAR(160)," ")),'Catalog'!$C:$C,0)),""))</f>
        <v>4413034</v>
      </c>
      <c r="F482" s="12" t="str">
        <f aca="false">IF($E482="","Unmatched","Matched")</f>
        <v>Matched</v>
      </c>
    </row>
    <row r="483" customFormat="false" ht="15" hidden="false" customHeight="true" outlineLevel="0" collapsed="false">
      <c r="A483" s="12" t="s">
        <v>732</v>
      </c>
      <c r="B483" s="12" t="n">
        <v>2026</v>
      </c>
      <c r="C483" s="12" t="n">
        <v>1281</v>
      </c>
      <c r="D483" s="12" t="n">
        <v>48785.8</v>
      </c>
      <c r="E483" s="12" t="n">
        <f aca="false">IFERROR(INDEX('Catalog'!$A:$A,MATCH($A483,'Catalog'!$B:$B,0)),IFERROR(INDEX('Catalog'!$A:$A,MATCH(TRIM(SUBSTITUTE($A483,CHAR(160)," ")),'Catalog'!$C:$C,0)),""))</f>
        <v>4413041</v>
      </c>
      <c r="F483" s="12" t="str">
        <f aca="false">IF($E483="","Unmatched","Matched")</f>
        <v>Matched</v>
      </c>
    </row>
    <row r="484" customFormat="false" ht="15" hidden="false" customHeight="true" outlineLevel="0" collapsed="false">
      <c r="A484" s="12" t="s">
        <v>733</v>
      </c>
      <c r="B484" s="12" t="n">
        <v>2026</v>
      </c>
      <c r="C484" s="12" t="n">
        <v>817</v>
      </c>
      <c r="D484" s="12" t="n">
        <v>31014.7</v>
      </c>
      <c r="E484" s="12" t="n">
        <f aca="false">IFERROR(INDEX('Catalog'!$A:$A,MATCH($A484,'Catalog'!$B:$B,0)),IFERROR(INDEX('Catalog'!$A:$A,MATCH(TRIM(SUBSTITUTE($A484,CHAR(160)," ")),'Catalog'!$C:$C,0)),""))</f>
        <v>4413042</v>
      </c>
      <c r="F484" s="12" t="str">
        <f aca="false">IF($E484="","Unmatched","Matched")</f>
        <v>Matched</v>
      </c>
    </row>
    <row r="485" customFormat="false" ht="15" hidden="false" customHeight="true" outlineLevel="0" collapsed="false">
      <c r="A485" s="12" t="s">
        <v>731</v>
      </c>
      <c r="B485" s="12" t="n">
        <v>2026</v>
      </c>
      <c r="C485" s="12" t="n">
        <v>1253</v>
      </c>
      <c r="D485" s="12" t="n">
        <v>47682.1</v>
      </c>
      <c r="E485" s="12" t="n">
        <f aca="false">IFERROR(INDEX('Catalog'!$A:$A,MATCH($A485,'Catalog'!$B:$B,0)),IFERROR(INDEX('Catalog'!$A:$A,MATCH(TRIM(SUBSTITUTE($A485,CHAR(160)," ")),'Catalog'!$C:$C,0)),""))</f>
        <v>4413043</v>
      </c>
      <c r="F485" s="12" t="str">
        <f aca="false">IF($E485="","Unmatched","Matched")</f>
        <v>Matched</v>
      </c>
    </row>
    <row r="486" customFormat="false" ht="15" hidden="false" customHeight="true" outlineLevel="0" collapsed="false">
      <c r="A486" s="12" t="s">
        <v>734</v>
      </c>
      <c r="B486" s="12" t="n">
        <v>2026</v>
      </c>
      <c r="C486" s="12" t="n">
        <v>813</v>
      </c>
      <c r="D486" s="12" t="n">
        <v>30955.6</v>
      </c>
      <c r="E486" s="12" t="n">
        <f aca="false">IFERROR(INDEX('Catalog'!$A:$A,MATCH($A486,'Catalog'!$B:$B,0)),IFERROR(INDEX('Catalog'!$A:$A,MATCH(TRIM(SUBSTITUTE($A486,CHAR(160)," ")),'Catalog'!$C:$C,0)),""))</f>
        <v>4413044</v>
      </c>
      <c r="F486" s="12" t="str">
        <f aca="false">IF($E486="","Unmatched","Matched")</f>
        <v>Matched</v>
      </c>
    </row>
    <row r="487" customFormat="false" ht="15" hidden="false" customHeight="true" outlineLevel="0" collapsed="false">
      <c r="A487" s="12" t="s">
        <v>736</v>
      </c>
      <c r="B487" s="12" t="n">
        <v>2026</v>
      </c>
      <c r="C487" s="12" t="n">
        <v>36</v>
      </c>
      <c r="D487" s="12" t="n">
        <v>1372.6</v>
      </c>
      <c r="E487" s="12" t="n">
        <f aca="false">IFERROR(INDEX('Catalog'!$A:$A,MATCH($A487,'Catalog'!$B:$B,0)),IFERROR(INDEX('Catalog'!$A:$A,MATCH(TRIM(SUBSTITUTE($A487,CHAR(160)," ")),'Catalog'!$C:$C,0)),""))</f>
        <v>4413046</v>
      </c>
      <c r="F487" s="12" t="str">
        <f aca="false">IF($E487="","Unmatched","Matched")</f>
        <v>Matched</v>
      </c>
    </row>
    <row r="488" customFormat="false" ht="15" hidden="false" customHeight="true" outlineLevel="0" collapsed="false">
      <c r="A488" s="12" t="s">
        <v>744</v>
      </c>
      <c r="B488" s="12" t="n">
        <v>2026</v>
      </c>
      <c r="C488" s="12" t="n">
        <v>804</v>
      </c>
      <c r="D488" s="12" t="n">
        <v>20905.3</v>
      </c>
      <c r="E488" s="12" t="n">
        <f aca="false">IFERROR(INDEX('Catalog'!$A:$A,MATCH($A488,'Catalog'!$B:$B,0)),IFERROR(INDEX('Catalog'!$A:$A,MATCH(TRIM(SUBSTITUTE($A488,CHAR(160)," ")),'Catalog'!$C:$C,0)),""))</f>
        <v>4413047</v>
      </c>
      <c r="F488" s="12" t="str">
        <f aca="false">IF($E488="","Unmatched","Matched")</f>
        <v>Matched</v>
      </c>
    </row>
    <row r="489" customFormat="false" ht="15" hidden="false" customHeight="true" outlineLevel="0" collapsed="false">
      <c r="A489" s="12" t="s">
        <v>742</v>
      </c>
      <c r="B489" s="12" t="n">
        <v>2026</v>
      </c>
      <c r="C489" s="12" t="n">
        <v>1121</v>
      </c>
      <c r="D489" s="12" t="n">
        <v>29265.8</v>
      </c>
      <c r="E489" s="12" t="n">
        <f aca="false">IFERROR(INDEX('Catalog'!$A:$A,MATCH($A489,'Catalog'!$B:$B,0)),IFERROR(INDEX('Catalog'!$A:$A,MATCH(TRIM(SUBSTITUTE($A489,CHAR(160)," ")),'Catalog'!$C:$C,0)),""))</f>
        <v>4413048</v>
      </c>
      <c r="F489" s="12" t="str">
        <f aca="false">IF($E489="","Unmatched","Matched")</f>
        <v>Matched</v>
      </c>
    </row>
    <row r="490" customFormat="false" ht="15" hidden="false" customHeight="true" outlineLevel="0" collapsed="false">
      <c r="A490" s="12" t="s">
        <v>743</v>
      </c>
      <c r="B490" s="12" t="n">
        <v>2026</v>
      </c>
      <c r="C490" s="12" t="n">
        <v>1124</v>
      </c>
      <c r="D490" s="12" t="n">
        <v>29255.5</v>
      </c>
      <c r="E490" s="12" t="n">
        <f aca="false">IFERROR(INDEX('Catalog'!$A:$A,MATCH($A490,'Catalog'!$B:$B,0)),IFERROR(INDEX('Catalog'!$A:$A,MATCH(TRIM(SUBSTITUTE($A490,CHAR(160)," ")),'Catalog'!$C:$C,0)),""))</f>
        <v>4413049</v>
      </c>
      <c r="F490" s="12" t="str">
        <f aca="false">IF($E490="","Unmatched","Matched")</f>
        <v>Matched</v>
      </c>
    </row>
    <row r="491" customFormat="false" ht="15" hidden="false" customHeight="true" outlineLevel="0" collapsed="false">
      <c r="A491" s="12" t="s">
        <v>745</v>
      </c>
      <c r="B491" s="12" t="n">
        <v>2026</v>
      </c>
      <c r="C491" s="12" t="n">
        <v>766</v>
      </c>
      <c r="D491" s="12" t="n">
        <v>19980.8</v>
      </c>
      <c r="E491" s="12" t="n">
        <f aca="false">IFERROR(INDEX('Catalog'!$A:$A,MATCH($A491,'Catalog'!$B:$B,0)),IFERROR(INDEX('Catalog'!$A:$A,MATCH(TRIM(SUBSTITUTE($A491,CHAR(160)," ")),'Catalog'!$C:$C,0)),""))</f>
        <v>4413050</v>
      </c>
      <c r="F491" s="12" t="str">
        <f aca="false">IF($E491="","Unmatched","Matched")</f>
        <v>Matched</v>
      </c>
    </row>
    <row r="492" customFormat="false" ht="15" hidden="false" customHeight="true" outlineLevel="0" collapsed="false">
      <c r="A492" s="12" t="s">
        <v>747</v>
      </c>
      <c r="B492" s="12" t="n">
        <v>2026</v>
      </c>
      <c r="C492" s="12" t="n">
        <v>74</v>
      </c>
      <c r="D492" s="12" t="n">
        <v>1929.6</v>
      </c>
      <c r="E492" s="12" t="n">
        <f aca="false">IFERROR(INDEX('Catalog'!$A:$A,MATCH($A492,'Catalog'!$B:$B,0)),IFERROR(INDEX('Catalog'!$A:$A,MATCH(TRIM(SUBSTITUTE($A492,CHAR(160)," ")),'Catalog'!$C:$C,0)),""))</f>
        <v>4413051</v>
      </c>
      <c r="F492" s="12" t="str">
        <f aca="false">IF($E492="","Unmatched","Matched")</f>
        <v>Matched</v>
      </c>
    </row>
    <row r="493" customFormat="false" ht="15" hidden="false" customHeight="true" outlineLevel="0" collapsed="false">
      <c r="A493" s="12" t="s">
        <v>755</v>
      </c>
      <c r="B493" s="12" t="n">
        <v>2026</v>
      </c>
      <c r="C493" s="12" t="n">
        <v>1364</v>
      </c>
      <c r="D493" s="12" t="n">
        <v>35627</v>
      </c>
      <c r="E493" s="12" t="n">
        <f aca="false">IFERROR(INDEX('Catalog'!$A:$A,MATCH($A493,'Catalog'!$B:$B,0)),IFERROR(INDEX('Catalog'!$A:$A,MATCH(TRIM(SUBSTITUTE($A493,CHAR(160)," ")),'Catalog'!$C:$C,0)),""))</f>
        <v>4413052</v>
      </c>
      <c r="F493" s="12" t="str">
        <f aca="false">IF($E493="","Unmatched","Matched")</f>
        <v>Matched</v>
      </c>
    </row>
    <row r="494" customFormat="false" ht="15" hidden="false" customHeight="true" outlineLevel="0" collapsed="false">
      <c r="A494" s="12" t="s">
        <v>753</v>
      </c>
      <c r="B494" s="12" t="n">
        <v>2026</v>
      </c>
      <c r="C494" s="12" t="n">
        <v>1979</v>
      </c>
      <c r="D494" s="12" t="n">
        <v>51924.5</v>
      </c>
      <c r="E494" s="12" t="n">
        <f aca="false">IFERROR(INDEX('Catalog'!$A:$A,MATCH($A494,'Catalog'!$B:$B,0)),IFERROR(INDEX('Catalog'!$A:$A,MATCH(TRIM(SUBSTITUTE($A494,CHAR(160)," ")),'Catalog'!$C:$C,0)),""))</f>
        <v>4413053</v>
      </c>
      <c r="F494" s="12" t="str">
        <f aca="false">IF($E494="","Unmatched","Matched")</f>
        <v>Matched</v>
      </c>
    </row>
    <row r="495" customFormat="false" ht="15" hidden="false" customHeight="true" outlineLevel="0" collapsed="false">
      <c r="A495" s="12" t="s">
        <v>754</v>
      </c>
      <c r="B495" s="12" t="n">
        <v>2026</v>
      </c>
      <c r="C495" s="12" t="n">
        <v>2393</v>
      </c>
      <c r="D495" s="12" t="n">
        <v>62436.3</v>
      </c>
      <c r="E495" s="12" t="n">
        <f aca="false">IFERROR(INDEX('Catalog'!$A:$A,MATCH($A495,'Catalog'!$B:$B,0)),IFERROR(INDEX('Catalog'!$A:$A,MATCH(TRIM(SUBSTITUTE($A495,CHAR(160)," ")),'Catalog'!$C:$C,0)),""))</f>
        <v>4413054</v>
      </c>
      <c r="F495" s="12" t="str">
        <f aca="false">IF($E495="","Unmatched","Matched")</f>
        <v>Matched</v>
      </c>
    </row>
    <row r="496" customFormat="false" ht="15" hidden="false" customHeight="true" outlineLevel="0" collapsed="false">
      <c r="A496" s="12" t="s">
        <v>756</v>
      </c>
      <c r="B496" s="12" t="n">
        <v>2026</v>
      </c>
      <c r="C496" s="12" t="n">
        <v>1271</v>
      </c>
      <c r="D496" s="12" t="n">
        <v>33192.2</v>
      </c>
      <c r="E496" s="12" t="n">
        <f aca="false">IFERROR(INDEX('Catalog'!$A:$A,MATCH($A496,'Catalog'!$B:$B,0)),IFERROR(INDEX('Catalog'!$A:$A,MATCH(TRIM(SUBSTITUTE($A496,CHAR(160)," ")),'Catalog'!$C:$C,0)),""))</f>
        <v>4413055</v>
      </c>
      <c r="F496" s="12" t="str">
        <f aca="false">IF($E496="","Unmatched","Matched")</f>
        <v>Matched</v>
      </c>
    </row>
    <row r="497" customFormat="false" ht="15" hidden="false" customHeight="true" outlineLevel="0" collapsed="false">
      <c r="A497" s="12" t="s">
        <v>403</v>
      </c>
      <c r="B497" s="12" t="n">
        <v>2026</v>
      </c>
      <c r="C497" s="12" t="n">
        <v>13</v>
      </c>
      <c r="D497" s="12" t="n">
        <v>266.4</v>
      </c>
      <c r="E497" s="12" t="n">
        <f aca="false">IFERROR(INDEX('Catalog'!$A:$A,MATCH($A497,'Catalog'!$B:$B,0)),IFERROR(INDEX('Catalog'!$A:$A,MATCH(TRIM(SUBSTITUTE($A497,CHAR(160)," ")),'Catalog'!$C:$C,0)),""))</f>
        <v>4413056</v>
      </c>
      <c r="F497" s="12" t="str">
        <f aca="false">IF($E497="","Unmatched","Matched")</f>
        <v>Matched</v>
      </c>
    </row>
    <row r="498" customFormat="false" ht="15" hidden="false" customHeight="true" outlineLevel="0" collapsed="false">
      <c r="A498" s="12" t="s">
        <v>548</v>
      </c>
      <c r="B498" s="12" t="n">
        <v>2026</v>
      </c>
      <c r="C498" s="12" t="n">
        <v>409</v>
      </c>
      <c r="D498" s="12" t="n">
        <v>11036.9</v>
      </c>
      <c r="E498" s="12" t="n">
        <f aca="false">IFERROR(INDEX('Catalog'!$A:$A,MATCH($A498,'Catalog'!$B:$B,0)),IFERROR(INDEX('Catalog'!$A:$A,MATCH(TRIM(SUBSTITUTE($A498,CHAR(160)," ")),'Catalog'!$C:$C,0)),""))</f>
        <v>4413058</v>
      </c>
      <c r="F498" s="12" t="str">
        <f aca="false">IF($E498="","Unmatched","Matched")</f>
        <v>Matched</v>
      </c>
    </row>
    <row r="499" customFormat="false" ht="15" hidden="false" customHeight="true" outlineLevel="0" collapsed="false">
      <c r="A499" s="12" t="s">
        <v>551</v>
      </c>
      <c r="B499" s="12" t="n">
        <v>2026</v>
      </c>
      <c r="C499" s="12" t="n">
        <v>-2</v>
      </c>
      <c r="D499" s="12" t="n">
        <v>-25.1</v>
      </c>
      <c r="E499" s="12" t="n">
        <f aca="false">IFERROR(INDEX('Catalog'!$A:$A,MATCH($A499,'Catalog'!$B:$B,0)),IFERROR(INDEX('Catalog'!$A:$A,MATCH(TRIM(SUBSTITUTE($A499,CHAR(160)," ")),'Catalog'!$C:$C,0)),""))</f>
        <v>4413060</v>
      </c>
      <c r="F499" s="12" t="str">
        <f aca="false">IF($E499="","Unmatched","Matched")</f>
        <v>Matched</v>
      </c>
    </row>
    <row r="500" customFormat="false" ht="15" hidden="false" customHeight="true" outlineLevel="0" collapsed="false">
      <c r="A500" s="12" t="s">
        <v>567</v>
      </c>
      <c r="B500" s="12" t="n">
        <v>2026</v>
      </c>
      <c r="C500" s="12" t="n">
        <v>-3</v>
      </c>
      <c r="D500" s="12" t="n">
        <v>-192.5</v>
      </c>
      <c r="E500" s="12" t="n">
        <f aca="false">IFERROR(INDEX('Catalog'!$A:$A,MATCH($A500,'Catalog'!$B:$B,0)),IFERROR(INDEX('Catalog'!$A:$A,MATCH(TRIM(SUBSTITUTE($A500,CHAR(160)," ")),'Catalog'!$C:$C,0)),""))</f>
        <v>4413069</v>
      </c>
      <c r="F500" s="12" t="str">
        <f aca="false">IF($E500="","Unmatched","Matched")</f>
        <v>Matched</v>
      </c>
    </row>
    <row r="501" customFormat="false" ht="15" hidden="false" customHeight="true" outlineLevel="0" collapsed="false">
      <c r="A501" s="12" t="s">
        <v>568</v>
      </c>
      <c r="B501" s="12" t="n">
        <v>2026</v>
      </c>
      <c r="C501" s="12" t="n">
        <v>-4</v>
      </c>
      <c r="D501" s="12" t="n">
        <v>-256.6</v>
      </c>
      <c r="E501" s="12" t="n">
        <f aca="false">IFERROR(INDEX('Catalog'!$A:$A,MATCH($A501,'Catalog'!$B:$B,0)),IFERROR(INDEX('Catalog'!$A:$A,MATCH(TRIM(SUBSTITUTE($A501,CHAR(160)," ")),'Catalog'!$C:$C,0)),""))</f>
        <v>4413070</v>
      </c>
      <c r="F501" s="12" t="str">
        <f aca="false">IF($E501="","Unmatched","Matched")</f>
        <v>Matched</v>
      </c>
    </row>
    <row r="502" customFormat="false" ht="15" hidden="false" customHeight="true" outlineLevel="0" collapsed="false">
      <c r="A502" s="12" t="s">
        <v>87</v>
      </c>
      <c r="B502" s="12" t="n">
        <v>2026</v>
      </c>
      <c r="C502" s="12" t="n">
        <v>2</v>
      </c>
      <c r="D502" s="12" t="n">
        <v>216.1</v>
      </c>
      <c r="E502" s="12" t="n">
        <f aca="false">IFERROR(INDEX('Catalog'!$A:$A,MATCH($A502,'Catalog'!$B:$B,0)),IFERROR(INDEX('Catalog'!$A:$A,MATCH(TRIM(SUBSTITUTE($A502,CHAR(160)," ")),'Catalog'!$C:$C,0)),""))</f>
        <v>4413072</v>
      </c>
      <c r="F502" s="12" t="str">
        <f aca="false">IF($E502="","Unmatched","Matched")</f>
        <v>Matched</v>
      </c>
    </row>
    <row r="503" customFormat="false" ht="15" hidden="false" customHeight="true" outlineLevel="0" collapsed="false">
      <c r="A503" s="12" t="s">
        <v>88</v>
      </c>
      <c r="B503" s="12" t="n">
        <v>2026</v>
      </c>
      <c r="C503" s="12" t="n">
        <v>2</v>
      </c>
      <c r="D503" s="12" t="n">
        <v>213</v>
      </c>
      <c r="E503" s="12" t="n">
        <f aca="false">IFERROR(INDEX('Catalog'!$A:$A,MATCH($A503,'Catalog'!$B:$B,0)),IFERROR(INDEX('Catalog'!$A:$A,MATCH(TRIM(SUBSTITUTE($A503,CHAR(160)," ")),'Catalog'!$C:$C,0)),""))</f>
        <v>4413073</v>
      </c>
      <c r="F503" s="12" t="str">
        <f aca="false">IF($E503="","Unmatched","Matched")</f>
        <v>Matched</v>
      </c>
    </row>
    <row r="504" customFormat="false" ht="15" hidden="false" customHeight="true" outlineLevel="0" collapsed="false">
      <c r="A504" s="12" t="s">
        <v>86</v>
      </c>
      <c r="B504" s="12" t="n">
        <v>2026</v>
      </c>
      <c r="C504" s="12" t="n">
        <v>-1</v>
      </c>
      <c r="D504" s="12" t="n">
        <v>-106.5</v>
      </c>
      <c r="E504" s="12" t="n">
        <f aca="false">IFERROR(INDEX('Catalog'!$A:$A,MATCH($A504,'Catalog'!$B:$B,0)),IFERROR(INDEX('Catalog'!$A:$A,MATCH(TRIM(SUBSTITUTE($A504,CHAR(160)," ")),'Catalog'!$C:$C,0)),""))</f>
        <v>4413074</v>
      </c>
      <c r="F504" s="12" t="str">
        <f aca="false">IF($E504="","Unmatched","Matched")</f>
        <v>Matched</v>
      </c>
    </row>
    <row r="505" customFormat="false" ht="15" hidden="false" customHeight="true" outlineLevel="0" collapsed="false">
      <c r="A505" s="12" t="s">
        <v>94</v>
      </c>
      <c r="B505" s="12" t="n">
        <v>2026</v>
      </c>
      <c r="C505" s="12" t="n">
        <v>-1</v>
      </c>
      <c r="D505" s="12" t="n">
        <v>-116.7</v>
      </c>
      <c r="E505" s="12" t="n">
        <f aca="false">IFERROR(INDEX('Catalog'!$A:$A,MATCH($A505,'Catalog'!$B:$B,0)),IFERROR(INDEX('Catalog'!$A:$A,MATCH(TRIM(SUBSTITUTE($A505,CHAR(160)," ")),'Catalog'!$C:$C,0)),""))</f>
        <v>4413078</v>
      </c>
      <c r="F505" s="12" t="str">
        <f aca="false">IF($E505="","Unmatched","Matched")</f>
        <v>Matched</v>
      </c>
    </row>
    <row r="506" customFormat="false" ht="15" hidden="false" customHeight="true" outlineLevel="0" collapsed="false">
      <c r="A506" s="12" t="s">
        <v>95</v>
      </c>
      <c r="B506" s="12" t="n">
        <v>2026</v>
      </c>
      <c r="C506" s="12" t="n">
        <v>-1</v>
      </c>
      <c r="D506" s="12" t="n">
        <v>-116.7</v>
      </c>
      <c r="E506" s="12" t="n">
        <f aca="false">IFERROR(INDEX('Catalog'!$A:$A,MATCH($A506,'Catalog'!$B:$B,0)),IFERROR(INDEX('Catalog'!$A:$A,MATCH(TRIM(SUBSTITUTE($A506,CHAR(160)," ")),'Catalog'!$C:$C,0)),""))</f>
        <v>4413079</v>
      </c>
      <c r="F506" s="12" t="str">
        <f aca="false">IF($E506="","Unmatched","Matched")</f>
        <v>Matched</v>
      </c>
    </row>
    <row r="507" customFormat="false" ht="15" hidden="false" customHeight="true" outlineLevel="0" collapsed="false">
      <c r="A507" s="12" t="s">
        <v>98</v>
      </c>
      <c r="B507" s="12" t="n">
        <v>2026</v>
      </c>
      <c r="C507" s="12" t="n">
        <v>-2</v>
      </c>
      <c r="D507" s="12" t="n">
        <v>-295.5</v>
      </c>
      <c r="E507" s="12" t="n">
        <f aca="false">IFERROR(INDEX('Catalog'!$A:$A,MATCH($A507,'Catalog'!$B:$B,0)),IFERROR(INDEX('Catalog'!$A:$A,MATCH(TRIM(SUBSTITUTE($A507,CHAR(160)," ")),'Catalog'!$C:$C,0)),""))</f>
        <v>4413087</v>
      </c>
      <c r="F507" s="12" t="str">
        <f aca="false">IF($E507="","Unmatched","Matched")</f>
        <v>Matched</v>
      </c>
    </row>
    <row r="508" customFormat="false" ht="15" hidden="false" customHeight="true" outlineLevel="0" collapsed="false">
      <c r="A508" s="12" t="s">
        <v>99</v>
      </c>
      <c r="B508" s="12" t="n">
        <v>2026</v>
      </c>
      <c r="C508" s="12" t="n">
        <v>-3</v>
      </c>
      <c r="D508" s="12" t="n">
        <v>-439.5</v>
      </c>
      <c r="E508" s="12" t="n">
        <f aca="false">IFERROR(INDEX('Catalog'!$A:$A,MATCH($A508,'Catalog'!$B:$B,0)),IFERROR(INDEX('Catalog'!$A:$A,MATCH(TRIM(SUBSTITUTE($A508,CHAR(160)," ")),'Catalog'!$C:$C,0)),""))</f>
        <v>4413088</v>
      </c>
      <c r="F508" s="12" t="str">
        <f aca="false">IF($E508="","Unmatched","Matched")</f>
        <v>Matched</v>
      </c>
    </row>
    <row r="509" customFormat="false" ht="15" hidden="false" customHeight="true" outlineLevel="0" collapsed="false">
      <c r="A509" s="12" t="s">
        <v>100</v>
      </c>
      <c r="B509" s="12" t="n">
        <v>2026</v>
      </c>
      <c r="C509" s="12" t="n">
        <v>-2</v>
      </c>
      <c r="D509" s="12" t="n">
        <v>-177.3</v>
      </c>
      <c r="E509" s="12" t="n">
        <f aca="false">IFERROR(INDEX('Catalog'!$A:$A,MATCH($A509,'Catalog'!$B:$B,0)),IFERROR(INDEX('Catalog'!$A:$A,MATCH(TRIM(SUBSTITUTE($A509,CHAR(160)," ")),'Catalog'!$C:$C,0)),""))</f>
        <v>4413089</v>
      </c>
      <c r="F509" s="12" t="str">
        <f aca="false">IF($E509="","Unmatched","Matched")</f>
        <v>Matched</v>
      </c>
    </row>
    <row r="510" customFormat="false" ht="15" hidden="false" customHeight="true" outlineLevel="0" collapsed="false">
      <c r="A510" s="12" t="s">
        <v>101</v>
      </c>
      <c r="B510" s="12" t="n">
        <v>2026</v>
      </c>
      <c r="C510" s="12" t="n">
        <v>-1</v>
      </c>
      <c r="D510" s="12" t="n">
        <v>-151.6</v>
      </c>
      <c r="E510" s="12" t="n">
        <f aca="false">IFERROR(INDEX('Catalog'!$A:$A,MATCH($A510,'Catalog'!$B:$B,0)),IFERROR(INDEX('Catalog'!$A:$A,MATCH(TRIM(SUBSTITUTE($A510,CHAR(160)," ")),'Catalog'!$C:$C,0)),""))</f>
        <v>4413090</v>
      </c>
      <c r="F510" s="12" t="str">
        <f aca="false">IF($E510="","Unmatched","Matched")</f>
        <v>Matched</v>
      </c>
    </row>
    <row r="511" customFormat="false" ht="15" hidden="false" customHeight="true" outlineLevel="0" collapsed="false">
      <c r="A511" s="12" t="s">
        <v>102</v>
      </c>
      <c r="B511" s="12" t="n">
        <v>2026</v>
      </c>
      <c r="C511" s="12" t="n">
        <v>-1</v>
      </c>
      <c r="D511" s="12" t="n">
        <v>-144</v>
      </c>
      <c r="E511" s="12" t="n">
        <f aca="false">IFERROR(INDEX('Catalog'!$A:$A,MATCH($A511,'Catalog'!$B:$B,0)),IFERROR(INDEX('Catalog'!$A:$A,MATCH(TRIM(SUBSTITUTE($A511,CHAR(160)," ")),'Catalog'!$C:$C,0)),""))</f>
        <v>4413091</v>
      </c>
      <c r="F511" s="12" t="str">
        <f aca="false">IF($E511="","Unmatched","Matched")</f>
        <v>Matched</v>
      </c>
    </row>
    <row r="512" customFormat="false" ht="15" hidden="false" customHeight="true" outlineLevel="0" collapsed="false">
      <c r="A512" s="12" t="s">
        <v>119</v>
      </c>
      <c r="B512" s="12" t="n">
        <v>2026</v>
      </c>
      <c r="C512" s="12" t="n">
        <v>1045</v>
      </c>
      <c r="D512" s="12" t="n">
        <v>27235.5</v>
      </c>
      <c r="E512" s="12" t="n">
        <f aca="false">IFERROR(INDEX('Catalog'!$A:$A,MATCH($A512,'Catalog'!$B:$B,0)),IFERROR(INDEX('Catalog'!$A:$A,MATCH(TRIM(SUBSTITUTE($A512,CHAR(160)," ")),'Catalog'!$C:$C,0)),""))</f>
        <v>4413092</v>
      </c>
      <c r="F512" s="12" t="str">
        <f aca="false">IF($E512="","Unmatched","Matched")</f>
        <v>Matched</v>
      </c>
    </row>
    <row r="513" customFormat="false" ht="15" hidden="false" customHeight="true" outlineLevel="0" collapsed="false">
      <c r="A513" s="12" t="s">
        <v>120</v>
      </c>
      <c r="B513" s="12" t="n">
        <v>2026</v>
      </c>
      <c r="C513" s="12" t="n">
        <v>1027</v>
      </c>
      <c r="D513" s="12" t="n">
        <v>26730.1</v>
      </c>
      <c r="E513" s="12" t="n">
        <f aca="false">IFERROR(INDEX('Catalog'!$A:$A,MATCH($A513,'Catalog'!$B:$B,0)),IFERROR(INDEX('Catalog'!$A:$A,MATCH(TRIM(SUBSTITUTE($A513,CHAR(160)," ")),'Catalog'!$C:$C,0)),""))</f>
        <v>4413093</v>
      </c>
      <c r="F513" s="12" t="str">
        <f aca="false">IF($E513="","Unmatched","Matched")</f>
        <v>Matched</v>
      </c>
    </row>
    <row r="514" customFormat="false" ht="15" hidden="false" customHeight="true" outlineLevel="0" collapsed="false">
      <c r="A514" s="12" t="s">
        <v>121</v>
      </c>
      <c r="B514" s="12" t="n">
        <v>2026</v>
      </c>
      <c r="C514" s="12" t="n">
        <v>589</v>
      </c>
      <c r="D514" s="12" t="n">
        <v>15278.4</v>
      </c>
      <c r="E514" s="12" t="n">
        <f aca="false">IFERROR(INDEX('Catalog'!$A:$A,MATCH($A514,'Catalog'!$B:$B,0)),IFERROR(INDEX('Catalog'!$A:$A,MATCH(TRIM(SUBSTITUTE($A514,CHAR(160)," ")),'Catalog'!$C:$C,0)),""))</f>
        <v>4413094</v>
      </c>
      <c r="F514" s="12" t="str">
        <f aca="false">IF($E514="","Unmatched","Matched")</f>
        <v>Matched</v>
      </c>
    </row>
    <row r="515" customFormat="false" ht="15" hidden="false" customHeight="true" outlineLevel="0" collapsed="false">
      <c r="A515" s="12" t="s">
        <v>122</v>
      </c>
      <c r="B515" s="12" t="n">
        <v>2026</v>
      </c>
      <c r="C515" s="12" t="n">
        <v>638</v>
      </c>
      <c r="D515" s="12" t="n">
        <v>16625.5</v>
      </c>
      <c r="E515" s="12" t="n">
        <f aca="false">IFERROR(INDEX('Catalog'!$A:$A,MATCH($A515,'Catalog'!$B:$B,0)),IFERROR(INDEX('Catalog'!$A:$A,MATCH(TRIM(SUBSTITUTE($A515,CHAR(160)," ")),'Catalog'!$C:$C,0)),""))</f>
        <v>4413095</v>
      </c>
      <c r="F515" s="12" t="str">
        <f aca="false">IF($E515="","Unmatched","Matched")</f>
        <v>Matched</v>
      </c>
    </row>
    <row r="516" customFormat="false" ht="15" hidden="false" customHeight="true" outlineLevel="0" collapsed="false">
      <c r="A516" s="12" t="s">
        <v>123</v>
      </c>
      <c r="B516" s="12" t="n">
        <v>2026</v>
      </c>
      <c r="C516" s="12" t="n">
        <v>176</v>
      </c>
      <c r="D516" s="12" t="n">
        <v>4674.8</v>
      </c>
      <c r="E516" s="12" t="n">
        <f aca="false">IFERROR(INDEX('Catalog'!$A:$A,MATCH($A516,'Catalog'!$B:$B,0)),IFERROR(INDEX('Catalog'!$A:$A,MATCH(TRIM(SUBSTITUTE($A516,CHAR(160)," ")),'Catalog'!$C:$C,0)),""))</f>
        <v>4413096</v>
      </c>
      <c r="F516" s="12" t="str">
        <f aca="false">IF($E516="","Unmatched","Matched")</f>
        <v>Matched</v>
      </c>
    </row>
    <row r="517" customFormat="false" ht="15" hidden="false" customHeight="true" outlineLevel="0" collapsed="false">
      <c r="A517" s="12" t="s">
        <v>131</v>
      </c>
      <c r="B517" s="12" t="n">
        <v>2026</v>
      </c>
      <c r="C517" s="12" t="n">
        <v>1268</v>
      </c>
      <c r="D517" s="12" t="n">
        <v>33027.9</v>
      </c>
      <c r="E517" s="12" t="n">
        <f aca="false">IFERROR(INDEX('Catalog'!$A:$A,MATCH($A517,'Catalog'!$B:$B,0)),IFERROR(INDEX('Catalog'!$A:$A,MATCH(TRIM(SUBSTITUTE($A517,CHAR(160)," ")),'Catalog'!$C:$C,0)),""))</f>
        <v>4413097</v>
      </c>
      <c r="F517" s="12" t="str">
        <f aca="false">IF($E517="","Unmatched","Matched")</f>
        <v>Matched</v>
      </c>
    </row>
    <row r="518" customFormat="false" ht="15" hidden="false" customHeight="true" outlineLevel="0" collapsed="false">
      <c r="A518" s="12" t="s">
        <v>129</v>
      </c>
      <c r="B518" s="12" t="n">
        <v>2026</v>
      </c>
      <c r="C518" s="12" t="n">
        <v>1997</v>
      </c>
      <c r="D518" s="12" t="n">
        <v>51837</v>
      </c>
      <c r="E518" s="12" t="n">
        <f aca="false">IFERROR(INDEX('Catalog'!$A:$A,MATCH($A518,'Catalog'!$B:$B,0)),IFERROR(INDEX('Catalog'!$A:$A,MATCH(TRIM(SUBSTITUTE($A518,CHAR(160)," ")),'Catalog'!$C:$C,0)),""))</f>
        <v>4413098</v>
      </c>
      <c r="F518" s="12" t="str">
        <f aca="false">IF($E518="","Unmatched","Matched")</f>
        <v>Matched</v>
      </c>
    </row>
    <row r="519" customFormat="false" ht="15" hidden="false" customHeight="true" outlineLevel="0" collapsed="false">
      <c r="A519" s="12" t="s">
        <v>130</v>
      </c>
      <c r="B519" s="12" t="n">
        <v>2026</v>
      </c>
      <c r="C519" s="12" t="n">
        <v>2418</v>
      </c>
      <c r="D519" s="12" t="n">
        <v>62928.1</v>
      </c>
      <c r="E519" s="12" t="n">
        <f aca="false">IFERROR(INDEX('Catalog'!$A:$A,MATCH($A519,'Catalog'!$B:$B,0)),IFERROR(INDEX('Catalog'!$A:$A,MATCH(TRIM(SUBSTITUTE($A519,CHAR(160)," ")),'Catalog'!$C:$C,0)),""))</f>
        <v>4413099</v>
      </c>
      <c r="F519" s="12" t="str">
        <f aca="false">IF($E519="","Unmatched","Matched")</f>
        <v>Matched</v>
      </c>
    </row>
    <row r="520" customFormat="false" ht="15" hidden="false" customHeight="true" outlineLevel="0" collapsed="false">
      <c r="A520" s="12" t="s">
        <v>132</v>
      </c>
      <c r="B520" s="12" t="n">
        <v>2026</v>
      </c>
      <c r="C520" s="12" t="n">
        <v>1648</v>
      </c>
      <c r="D520" s="12" t="n">
        <v>42974.7</v>
      </c>
      <c r="E520" s="12" t="n">
        <f aca="false">IFERROR(INDEX('Catalog'!$A:$A,MATCH($A520,'Catalog'!$B:$B,0)),IFERROR(INDEX('Catalog'!$A:$A,MATCH(TRIM(SUBSTITUTE($A520,CHAR(160)," ")),'Catalog'!$C:$C,0)),""))</f>
        <v>4413100</v>
      </c>
      <c r="F520" s="12" t="str">
        <f aca="false">IF($E520="","Unmatched","Matched")</f>
        <v>Matched</v>
      </c>
    </row>
    <row r="521" customFormat="false" ht="15" hidden="false" customHeight="true" outlineLevel="0" collapsed="false">
      <c r="A521" s="12" t="s">
        <v>135</v>
      </c>
      <c r="B521" s="12" t="n">
        <v>2026</v>
      </c>
      <c r="C521" s="12" t="n">
        <v>306</v>
      </c>
      <c r="D521" s="12" t="n">
        <v>9530.7</v>
      </c>
      <c r="E521" s="12" t="n">
        <f aca="false">IFERROR(INDEX('Catalog'!$A:$A,MATCH($A521,'Catalog'!$B:$B,0)),IFERROR(INDEX('Catalog'!$A:$A,MATCH(TRIM(SUBSTITUTE($A521,CHAR(160)," ")),'Catalog'!$C:$C,0)),""))</f>
        <v>4413101</v>
      </c>
      <c r="F521" s="12" t="str">
        <f aca="false">IF($E521="","Unmatched","Matched")</f>
        <v>Matched</v>
      </c>
    </row>
    <row r="522" customFormat="false" ht="15" hidden="false" customHeight="true" outlineLevel="0" collapsed="false">
      <c r="A522" s="12" t="s">
        <v>133</v>
      </c>
      <c r="B522" s="12" t="n">
        <v>2026</v>
      </c>
      <c r="C522" s="12" t="n">
        <v>786</v>
      </c>
      <c r="D522" s="12" t="n">
        <v>24557.9</v>
      </c>
      <c r="E522" s="12" t="n">
        <f aca="false">IFERROR(INDEX('Catalog'!$A:$A,MATCH($A522,'Catalog'!$B:$B,0)),IFERROR(INDEX('Catalog'!$A:$A,MATCH(TRIM(SUBSTITUTE($A522,CHAR(160)," ")),'Catalog'!$C:$C,0)),""))</f>
        <v>4413102</v>
      </c>
      <c r="F522" s="12" t="str">
        <f aca="false">IF($E522="","Unmatched","Matched")</f>
        <v>Matched</v>
      </c>
    </row>
    <row r="523" customFormat="false" ht="15" hidden="false" customHeight="true" outlineLevel="0" collapsed="false">
      <c r="A523" s="12" t="s">
        <v>134</v>
      </c>
      <c r="B523" s="12" t="n">
        <v>2026</v>
      </c>
      <c r="C523" s="12" t="n">
        <v>844</v>
      </c>
      <c r="D523" s="12" t="n">
        <v>26344.9</v>
      </c>
      <c r="E523" s="12" t="n">
        <f aca="false">IFERROR(INDEX('Catalog'!$A:$A,MATCH($A523,'Catalog'!$B:$B,0)),IFERROR(INDEX('Catalog'!$A:$A,MATCH(TRIM(SUBSTITUTE($A523,CHAR(160)," ")),'Catalog'!$C:$C,0)),""))</f>
        <v>4413103</v>
      </c>
      <c r="F523" s="12" t="str">
        <f aca="false">IF($E523="","Unmatched","Matched")</f>
        <v>Matched</v>
      </c>
    </row>
    <row r="524" customFormat="false" ht="15" hidden="false" customHeight="true" outlineLevel="0" collapsed="false">
      <c r="A524" s="12" t="s">
        <v>136</v>
      </c>
      <c r="B524" s="12" t="n">
        <v>2026</v>
      </c>
      <c r="C524" s="12" t="n">
        <v>641</v>
      </c>
      <c r="D524" s="12" t="n">
        <v>19981.4</v>
      </c>
      <c r="E524" s="12" t="n">
        <f aca="false">IFERROR(INDEX('Catalog'!$A:$A,MATCH($A524,'Catalog'!$B:$B,0)),IFERROR(INDEX('Catalog'!$A:$A,MATCH(TRIM(SUBSTITUTE($A524,CHAR(160)," ")),'Catalog'!$C:$C,0)),""))</f>
        <v>4413104</v>
      </c>
      <c r="F524" s="12" t="str">
        <f aca="false">IF($E524="","Unmatched","Matched")</f>
        <v>Matched</v>
      </c>
    </row>
    <row r="525" customFormat="false" ht="15" hidden="false" customHeight="true" outlineLevel="0" collapsed="false">
      <c r="A525" s="12" t="s">
        <v>137</v>
      </c>
      <c r="B525" s="12" t="n">
        <v>2026</v>
      </c>
      <c r="C525" s="12" t="n">
        <v>98</v>
      </c>
      <c r="D525" s="12" t="n">
        <v>3060.3</v>
      </c>
      <c r="E525" s="12" t="n">
        <f aca="false">IFERROR(INDEX('Catalog'!$A:$A,MATCH($A525,'Catalog'!$B:$B,0)),IFERROR(INDEX('Catalog'!$A:$A,MATCH(TRIM(SUBSTITUTE($A525,CHAR(160)," ")),'Catalog'!$C:$C,0)),""))</f>
        <v>4413105</v>
      </c>
      <c r="F525" s="12" t="str">
        <f aca="false">IF($E525="","Unmatched","Matched")</f>
        <v>Matched</v>
      </c>
    </row>
    <row r="526" customFormat="false" ht="15" hidden="false" customHeight="true" outlineLevel="0" collapsed="false">
      <c r="A526" s="12" t="s">
        <v>143</v>
      </c>
      <c r="B526" s="12" t="n">
        <v>2026</v>
      </c>
      <c r="C526" s="12" t="n">
        <v>5</v>
      </c>
      <c r="D526" s="12" t="n">
        <v>243.1</v>
      </c>
      <c r="E526" s="12" t="n">
        <f aca="false">IFERROR(INDEX('Catalog'!$A:$A,MATCH($A526,'Catalog'!$B:$B,0)),IFERROR(INDEX('Catalog'!$A:$A,MATCH(TRIM(SUBSTITUTE($A526,CHAR(160)," ")),'Catalog'!$C:$C,0)),""))</f>
        <v>4413107</v>
      </c>
      <c r="F526" s="12" t="str">
        <f aca="false">IF($E526="","Unmatched","Matched")</f>
        <v>Matched</v>
      </c>
    </row>
    <row r="527" customFormat="false" ht="15" hidden="false" customHeight="true" outlineLevel="0" collapsed="false">
      <c r="A527" s="12" t="s">
        <v>144</v>
      </c>
      <c r="B527" s="12" t="n">
        <v>2026</v>
      </c>
      <c r="C527" s="12" t="n">
        <v>3</v>
      </c>
      <c r="D527" s="12" t="n">
        <v>152.7</v>
      </c>
      <c r="E527" s="12" t="n">
        <f aca="false">IFERROR(INDEX('Catalog'!$A:$A,MATCH($A527,'Catalog'!$B:$B,0)),IFERROR(INDEX('Catalog'!$A:$A,MATCH(TRIM(SUBSTITUTE($A527,CHAR(160)," ")),'Catalog'!$C:$C,0)),""))</f>
        <v>4413108</v>
      </c>
      <c r="F527" s="12" t="str">
        <f aca="false">IF($E527="","Unmatched","Matched")</f>
        <v>Matched</v>
      </c>
    </row>
    <row r="528" customFormat="false" ht="15" hidden="false" customHeight="true" outlineLevel="0" collapsed="false">
      <c r="A528" s="12" t="s">
        <v>798</v>
      </c>
      <c r="B528" s="12" t="n">
        <v>2026</v>
      </c>
      <c r="C528" s="12" t="n">
        <v>12</v>
      </c>
      <c r="D528" s="12" t="n">
        <v>354</v>
      </c>
      <c r="E528" s="12" t="n">
        <f aca="false">IFERROR(INDEX('Catalog'!$A:$A,MATCH($A528,'Catalog'!$B:$B,0)),IFERROR(INDEX('Catalog'!$A:$A,MATCH(TRIM(SUBSTITUTE($A528,CHAR(160)," ")),'Catalog'!$C:$C,0)),""))</f>
        <v>4413111</v>
      </c>
      <c r="F528" s="12" t="str">
        <f aca="false">IF($E528="","Unmatched","Matched")</f>
        <v>Matched</v>
      </c>
    </row>
    <row r="529" customFormat="false" ht="15" hidden="false" customHeight="true" outlineLevel="0" collapsed="false">
      <c r="A529" s="12" t="s">
        <v>796</v>
      </c>
      <c r="B529" s="12" t="n">
        <v>2026</v>
      </c>
      <c r="C529" s="12" t="n">
        <v>29</v>
      </c>
      <c r="D529" s="12" t="n">
        <v>832.4</v>
      </c>
      <c r="E529" s="12" t="n">
        <f aca="false">IFERROR(INDEX('Catalog'!$A:$A,MATCH($A529,'Catalog'!$B:$B,0)),IFERROR(INDEX('Catalog'!$A:$A,MATCH(TRIM(SUBSTITUTE($A529,CHAR(160)," ")),'Catalog'!$C:$C,0)),""))</f>
        <v>4413112</v>
      </c>
      <c r="F529" s="12" t="str">
        <f aca="false">IF($E529="","Unmatched","Matched")</f>
        <v>Matched</v>
      </c>
    </row>
    <row r="530" customFormat="false" ht="15" hidden="false" customHeight="true" outlineLevel="0" collapsed="false">
      <c r="A530" s="12" t="s">
        <v>797</v>
      </c>
      <c r="B530" s="12" t="n">
        <v>2026</v>
      </c>
      <c r="C530" s="12" t="n">
        <v>23</v>
      </c>
      <c r="D530" s="12" t="n">
        <v>671.6</v>
      </c>
      <c r="E530" s="12" t="n">
        <f aca="false">IFERROR(INDEX('Catalog'!$A:$A,MATCH($A530,'Catalog'!$B:$B,0)),IFERROR(INDEX('Catalog'!$A:$A,MATCH(TRIM(SUBSTITUTE($A530,CHAR(160)," ")),'Catalog'!$C:$C,0)),""))</f>
        <v>4413113</v>
      </c>
      <c r="F530" s="12" t="str">
        <f aca="false">IF($E530="","Unmatched","Matched")</f>
        <v>Matched</v>
      </c>
    </row>
    <row r="531" customFormat="false" ht="15" hidden="false" customHeight="true" outlineLevel="0" collapsed="false">
      <c r="A531" s="12" t="s">
        <v>799</v>
      </c>
      <c r="B531" s="12" t="n">
        <v>2026</v>
      </c>
      <c r="C531" s="12" t="n">
        <v>37</v>
      </c>
      <c r="D531" s="12" t="n">
        <v>1072.6</v>
      </c>
      <c r="E531" s="12" t="n">
        <f aca="false">IFERROR(INDEX('Catalog'!$A:$A,MATCH($A531,'Catalog'!$B:$B,0)),IFERROR(INDEX('Catalog'!$A:$A,MATCH(TRIM(SUBSTITUTE($A531,CHAR(160)," ")),'Catalog'!$C:$C,0)),""))</f>
        <v>4413114</v>
      </c>
      <c r="F531" s="12" t="str">
        <f aca="false">IF($E531="","Unmatched","Matched")</f>
        <v>Matched</v>
      </c>
    </row>
    <row r="532" customFormat="false" ht="15" hidden="false" customHeight="true" outlineLevel="0" collapsed="false">
      <c r="A532" s="12" t="s">
        <v>800</v>
      </c>
      <c r="B532" s="12" t="n">
        <v>2026</v>
      </c>
      <c r="C532" s="12" t="n">
        <v>2</v>
      </c>
      <c r="D532" s="12" t="n">
        <v>73.3</v>
      </c>
      <c r="E532" s="12" t="n">
        <f aca="false">IFERROR(INDEX('Catalog'!$A:$A,MATCH($A532,'Catalog'!$B:$B,0)),IFERROR(INDEX('Catalog'!$A:$A,MATCH(TRIM(SUBSTITUTE($A532,CHAR(160)," ")),'Catalog'!$C:$C,0)),""))</f>
        <v>4413115</v>
      </c>
      <c r="F532" s="12" t="str">
        <f aca="false">IF($E532="","Unmatched","Matched")</f>
        <v>Matched</v>
      </c>
    </row>
    <row r="533" customFormat="false" ht="15" hidden="false" customHeight="true" outlineLevel="0" collapsed="false">
      <c r="A533" s="12" t="s">
        <v>444</v>
      </c>
      <c r="B533" s="12" t="n">
        <v>2026</v>
      </c>
      <c r="C533" s="12" t="n">
        <v>-1</v>
      </c>
      <c r="D533" s="12" t="n">
        <v>-96.8</v>
      </c>
      <c r="E533" s="12" t="n">
        <f aca="false">IFERROR(INDEX('Catalog'!$A:$A,MATCH($A533,'Catalog'!$B:$B,0)),IFERROR(INDEX('Catalog'!$A:$A,MATCH(TRIM(SUBSTITUTE($A533,CHAR(160)," ")),'Catalog'!$C:$C,0)),""))</f>
        <v>4413117</v>
      </c>
      <c r="F533" s="12" t="str">
        <f aca="false">IF($E533="","Unmatched","Matched")</f>
        <v>Matched</v>
      </c>
    </row>
    <row r="534" customFormat="false" ht="15" hidden="false" customHeight="true" outlineLevel="0" collapsed="false">
      <c r="A534" s="12" t="s">
        <v>447</v>
      </c>
      <c r="B534" s="12" t="n">
        <v>2026</v>
      </c>
      <c r="C534" s="12" t="n">
        <v>-1</v>
      </c>
      <c r="D534" s="12" t="n">
        <v>-96.8</v>
      </c>
      <c r="E534" s="12" t="n">
        <f aca="false">IFERROR(INDEX('Catalog'!$A:$A,MATCH($A534,'Catalog'!$B:$B,0)),IFERROR(INDEX('Catalog'!$A:$A,MATCH(TRIM(SUBSTITUTE($A534,CHAR(160)," ")),'Catalog'!$C:$C,0)),""))</f>
        <v>4413119</v>
      </c>
      <c r="F534" s="12" t="str">
        <f aca="false">IF($E534="","Unmatched","Matched")</f>
        <v>Matched</v>
      </c>
    </row>
    <row r="535" customFormat="false" ht="15" hidden="false" customHeight="true" outlineLevel="0" collapsed="false">
      <c r="A535" s="12" t="s">
        <v>376</v>
      </c>
      <c r="B535" s="12" t="n">
        <v>2026</v>
      </c>
      <c r="C535" s="12" t="n">
        <v>14</v>
      </c>
      <c r="D535" s="12" t="n">
        <v>2567.5</v>
      </c>
      <c r="E535" s="12" t="n">
        <f aca="false">IFERROR(INDEX('Catalog'!$A:$A,MATCH($A535,'Catalog'!$B:$B,0)),IFERROR(INDEX('Catalog'!$A:$A,MATCH(TRIM(SUBSTITUTE($A535,CHAR(160)," ")),'Catalog'!$C:$C,0)),""))</f>
        <v>4413126</v>
      </c>
      <c r="F535" s="12" t="str">
        <f aca="false">IF($E535="","Unmatched","Matched")</f>
        <v>Matched</v>
      </c>
    </row>
    <row r="536" customFormat="false" ht="15" hidden="false" customHeight="true" outlineLevel="0" collapsed="false">
      <c r="A536" s="12" t="s">
        <v>374</v>
      </c>
      <c r="B536" s="12" t="n">
        <v>2026</v>
      </c>
      <c r="C536" s="12" t="n">
        <v>15</v>
      </c>
      <c r="D536" s="12" t="n">
        <v>2067.3</v>
      </c>
      <c r="E536" s="12" t="n">
        <f aca="false">IFERROR(INDEX('Catalog'!$A:$A,MATCH($A536,'Catalog'!$B:$B,0)),IFERROR(INDEX('Catalog'!$A:$A,MATCH(TRIM(SUBSTITUTE($A536,CHAR(160)," ")),'Catalog'!$C:$C,0)),""))</f>
        <v>4413127</v>
      </c>
      <c r="F536" s="12" t="str">
        <f aca="false">IF($E536="","Unmatched","Matched")</f>
        <v>Matched</v>
      </c>
    </row>
    <row r="537" customFormat="false" ht="15" hidden="false" customHeight="true" outlineLevel="0" collapsed="false">
      <c r="A537" s="12" t="s">
        <v>375</v>
      </c>
      <c r="B537" s="12" t="n">
        <v>2026</v>
      </c>
      <c r="C537" s="12" t="n">
        <v>25</v>
      </c>
      <c r="D537" s="12" t="n">
        <v>3475.1</v>
      </c>
      <c r="E537" s="12" t="n">
        <f aca="false">IFERROR(INDEX('Catalog'!$A:$A,MATCH($A537,'Catalog'!$B:$B,0)),IFERROR(INDEX('Catalog'!$A:$A,MATCH(TRIM(SUBSTITUTE($A537,CHAR(160)," ")),'Catalog'!$C:$C,0)),""))</f>
        <v>4413128</v>
      </c>
      <c r="F537" s="12" t="str">
        <f aca="false">IF($E537="","Unmatched","Matched")</f>
        <v>Matched</v>
      </c>
    </row>
    <row r="538" customFormat="false" ht="15" hidden="false" customHeight="true" outlineLevel="0" collapsed="false">
      <c r="A538" s="12" t="s">
        <v>377</v>
      </c>
      <c r="B538" s="12" t="n">
        <v>2026</v>
      </c>
      <c r="C538" s="12" t="n">
        <v>-1</v>
      </c>
      <c r="D538" s="12" t="n">
        <v>-67.6</v>
      </c>
      <c r="E538" s="12" t="n">
        <f aca="false">IFERROR(INDEX('Catalog'!$A:$A,MATCH($A538,'Catalog'!$B:$B,0)),IFERROR(INDEX('Catalog'!$A:$A,MATCH(TRIM(SUBSTITUTE($A538,CHAR(160)," ")),'Catalog'!$C:$C,0)),""))</f>
        <v>4413129</v>
      </c>
      <c r="F538" s="12" t="str">
        <f aca="false">IF($E538="","Unmatched","Matched")</f>
        <v>Matched</v>
      </c>
    </row>
    <row r="539" customFormat="false" ht="15" hidden="false" customHeight="true" outlineLevel="0" collapsed="false">
      <c r="A539" s="12" t="s">
        <v>373</v>
      </c>
      <c r="B539" s="12" t="n">
        <v>2026</v>
      </c>
      <c r="C539" s="12" t="n">
        <v>-1</v>
      </c>
      <c r="D539" s="12" t="n">
        <v>-131.1</v>
      </c>
      <c r="E539" s="12" t="n">
        <f aca="false">IFERROR(INDEX('Catalog'!$A:$A,MATCH($A539,'Catalog'!$B:$B,0)),IFERROR(INDEX('Catalog'!$A:$A,MATCH(TRIM(SUBSTITUTE($A539,CHAR(160)," ")),'Catalog'!$C:$C,0)),""))</f>
        <v>4413130</v>
      </c>
      <c r="F539" s="12" t="str">
        <f aca="false">IF($E539="","Unmatched","Matched")</f>
        <v>Matched</v>
      </c>
    </row>
    <row r="540" customFormat="false" ht="15" hidden="false" customHeight="true" outlineLevel="0" collapsed="false">
      <c r="A540" s="12" t="s">
        <v>380</v>
      </c>
      <c r="B540" s="12" t="n">
        <v>2026</v>
      </c>
      <c r="C540" s="12" t="n">
        <v>1</v>
      </c>
      <c r="D540" s="12" t="n">
        <v>163.8</v>
      </c>
      <c r="E540" s="12" t="n">
        <f aca="false">IFERROR(INDEX('Catalog'!$A:$A,MATCH($A540,'Catalog'!$B:$B,0)),IFERROR(INDEX('Catalog'!$A:$A,MATCH(TRIM(SUBSTITUTE($A540,CHAR(160)," ")),'Catalog'!$C:$C,0)),""))</f>
        <v>4413131</v>
      </c>
      <c r="F540" s="12" t="str">
        <f aca="false">IF($E540="","Unmatched","Matched")</f>
        <v>Matched</v>
      </c>
    </row>
    <row r="541" customFormat="false" ht="15" hidden="false" customHeight="true" outlineLevel="0" collapsed="false">
      <c r="A541" s="12" t="s">
        <v>378</v>
      </c>
      <c r="B541" s="12" t="n">
        <v>2026</v>
      </c>
      <c r="C541" s="12" t="n">
        <v>5</v>
      </c>
      <c r="D541" s="12" t="n">
        <v>829</v>
      </c>
      <c r="E541" s="12" t="n">
        <f aca="false">IFERROR(INDEX('Catalog'!$A:$A,MATCH($A541,'Catalog'!$B:$B,0)),IFERROR(INDEX('Catalog'!$A:$A,MATCH(TRIM(SUBSTITUTE($A541,CHAR(160)," ")),'Catalog'!$C:$C,0)),""))</f>
        <v>4413132</v>
      </c>
      <c r="F541" s="12" t="str">
        <f aca="false">IF($E541="","Unmatched","Matched")</f>
        <v>Matched</v>
      </c>
    </row>
    <row r="542" customFormat="false" ht="15" hidden="false" customHeight="true" outlineLevel="0" collapsed="false">
      <c r="A542" s="12" t="s">
        <v>379</v>
      </c>
      <c r="B542" s="12" t="n">
        <v>2026</v>
      </c>
      <c r="C542" s="12" t="n">
        <v>12</v>
      </c>
      <c r="D542" s="12" t="n">
        <v>2060.7</v>
      </c>
      <c r="E542" s="12" t="n">
        <f aca="false">IFERROR(INDEX('Catalog'!$A:$A,MATCH($A542,'Catalog'!$B:$B,0)),IFERROR(INDEX('Catalog'!$A:$A,MATCH(TRIM(SUBSTITUTE($A542,CHAR(160)," ")),'Catalog'!$C:$C,0)),""))</f>
        <v>4413133</v>
      </c>
      <c r="F542" s="12" t="str">
        <f aca="false">IF($E542="","Unmatched","Matched")</f>
        <v>Matched</v>
      </c>
    </row>
    <row r="543" customFormat="false" ht="15" hidden="false" customHeight="true" outlineLevel="0" collapsed="false">
      <c r="A543" s="12" t="s">
        <v>381</v>
      </c>
      <c r="B543" s="12" t="n">
        <v>2026</v>
      </c>
      <c r="C543" s="12" t="n">
        <v>9</v>
      </c>
      <c r="D543" s="12" t="n">
        <v>1622.9</v>
      </c>
      <c r="E543" s="12" t="n">
        <f aca="false">IFERROR(INDEX('Catalog'!$A:$A,MATCH($A543,'Catalog'!$B:$B,0)),IFERROR(INDEX('Catalog'!$A:$A,MATCH(TRIM(SUBSTITUTE($A543,CHAR(160)," ")),'Catalog'!$C:$C,0)),""))</f>
        <v>4413134</v>
      </c>
      <c r="F543" s="12" t="str">
        <f aca="false">IF($E543="","Unmatched","Matched")</f>
        <v>Matched</v>
      </c>
    </row>
    <row r="544" customFormat="false" ht="15" hidden="false" customHeight="true" outlineLevel="0" collapsed="false">
      <c r="A544" s="12" t="s">
        <v>519</v>
      </c>
      <c r="B544" s="12" t="n">
        <v>2026</v>
      </c>
      <c r="C544" s="12" t="n">
        <v>465</v>
      </c>
      <c r="D544" s="12" t="n">
        <v>22591.8</v>
      </c>
      <c r="E544" s="12" t="n">
        <f aca="false">IFERROR(INDEX('Catalog'!$A:$A,MATCH($A544,'Catalog'!$B:$B,0)),IFERROR(INDEX('Catalog'!$A:$A,MATCH(TRIM(SUBSTITUTE($A544,CHAR(160)," ")),'Catalog'!$C:$C,0)),""))</f>
        <v>4413135</v>
      </c>
      <c r="F544" s="12" t="str">
        <f aca="false">IF($E544="","Unmatched","Matched")</f>
        <v>Matched</v>
      </c>
    </row>
    <row r="545" customFormat="false" ht="15" hidden="false" customHeight="true" outlineLevel="0" collapsed="false">
      <c r="A545" s="12" t="s">
        <v>520</v>
      </c>
      <c r="B545" s="12" t="n">
        <v>2026</v>
      </c>
      <c r="C545" s="12" t="n">
        <v>446</v>
      </c>
      <c r="D545" s="12" t="n">
        <v>21661.6</v>
      </c>
      <c r="E545" s="12" t="n">
        <f aca="false">IFERROR(INDEX('Catalog'!$A:$A,MATCH($A545,'Catalog'!$B:$B,0)),IFERROR(INDEX('Catalog'!$A:$A,MATCH(TRIM(SUBSTITUTE($A545,CHAR(160)," ")),'Catalog'!$C:$C,0)),""))</f>
        <v>4413136</v>
      </c>
      <c r="F545" s="12" t="str">
        <f aca="false">IF($E545="","Unmatched","Matched")</f>
        <v>Matched</v>
      </c>
    </row>
    <row r="546" customFormat="false" ht="15" hidden="false" customHeight="true" outlineLevel="0" collapsed="false">
      <c r="A546" s="12" t="s">
        <v>521</v>
      </c>
      <c r="B546" s="12" t="n">
        <v>2026</v>
      </c>
      <c r="C546" s="12" t="n">
        <v>207</v>
      </c>
      <c r="D546" s="12" t="n">
        <v>10075.8</v>
      </c>
      <c r="E546" s="12" t="n">
        <f aca="false">IFERROR(INDEX('Catalog'!$A:$A,MATCH($A546,'Catalog'!$B:$B,0)),IFERROR(INDEX('Catalog'!$A:$A,MATCH(TRIM(SUBSTITUTE($A546,CHAR(160)," ")),'Catalog'!$C:$C,0)),""))</f>
        <v>4413137</v>
      </c>
      <c r="F546" s="12" t="str">
        <f aca="false">IF($E546="","Unmatched","Matched")</f>
        <v>Matched</v>
      </c>
    </row>
    <row r="547" customFormat="false" ht="15" hidden="false" customHeight="true" outlineLevel="0" collapsed="false">
      <c r="A547" s="12" t="s">
        <v>522</v>
      </c>
      <c r="B547" s="12" t="n">
        <v>2026</v>
      </c>
      <c r="C547" s="12" t="n">
        <v>263</v>
      </c>
      <c r="D547" s="12" t="n">
        <v>12792.9</v>
      </c>
      <c r="E547" s="12" t="n">
        <f aca="false">IFERROR(INDEX('Catalog'!$A:$A,MATCH($A547,'Catalog'!$B:$B,0)),IFERROR(INDEX('Catalog'!$A:$A,MATCH(TRIM(SUBSTITUTE($A547,CHAR(160)," ")),'Catalog'!$C:$C,0)),""))</f>
        <v>4413138</v>
      </c>
      <c r="F547" s="12" t="str">
        <f aca="false">IF($E547="","Unmatched","Matched")</f>
        <v>Matched</v>
      </c>
    </row>
    <row r="548" customFormat="false" ht="15" hidden="false" customHeight="true" outlineLevel="0" collapsed="false">
      <c r="A548" s="12" t="s">
        <v>479</v>
      </c>
      <c r="B548" s="12" t="n">
        <v>2026</v>
      </c>
      <c r="C548" s="12" t="n">
        <v>214</v>
      </c>
      <c r="D548" s="12" t="n">
        <v>5553.6</v>
      </c>
      <c r="E548" s="12" t="n">
        <f aca="false">IFERROR(INDEX('Catalog'!$A:$A,MATCH($A548,'Catalog'!$B:$B,0)),IFERROR(INDEX('Catalog'!$A:$A,MATCH(TRIM(SUBSTITUTE($A548,CHAR(160)," ")),'Catalog'!$C:$C,0)),""))</f>
        <v>4413139</v>
      </c>
      <c r="F548" s="12" t="str">
        <f aca="false">IF($E548="","Unmatched","Matched")</f>
        <v>Matched</v>
      </c>
    </row>
    <row r="549" customFormat="false" ht="15" hidden="false" customHeight="true" outlineLevel="0" collapsed="false">
      <c r="A549" s="12" t="s">
        <v>480</v>
      </c>
      <c r="B549" s="12" t="n">
        <v>2026</v>
      </c>
      <c r="C549" s="12" t="n">
        <v>332</v>
      </c>
      <c r="D549" s="12" t="n">
        <v>8613.6</v>
      </c>
      <c r="E549" s="12" t="n">
        <f aca="false">IFERROR(INDEX('Catalog'!$A:$A,MATCH($A549,'Catalog'!$B:$B,0)),IFERROR(INDEX('Catalog'!$A:$A,MATCH(TRIM(SUBSTITUTE($A549,CHAR(160)," ")),'Catalog'!$C:$C,0)),""))</f>
        <v>4413140</v>
      </c>
      <c r="F549" s="12" t="str">
        <f aca="false">IF($E549="","Unmatched","Matched")</f>
        <v>Matched</v>
      </c>
    </row>
    <row r="550" customFormat="false" ht="15" hidden="false" customHeight="true" outlineLevel="0" collapsed="false">
      <c r="A550" s="12" t="s">
        <v>481</v>
      </c>
      <c r="B550" s="12" t="n">
        <v>2026</v>
      </c>
      <c r="C550" s="12" t="n">
        <v>229</v>
      </c>
      <c r="D550" s="12" t="n">
        <v>5945</v>
      </c>
      <c r="E550" s="12" t="n">
        <f aca="false">IFERROR(INDEX('Catalog'!$A:$A,MATCH($A550,'Catalog'!$B:$B,0)),IFERROR(INDEX('Catalog'!$A:$A,MATCH(TRIM(SUBSTITUTE($A550,CHAR(160)," ")),'Catalog'!$C:$C,0)),""))</f>
        <v>4413141</v>
      </c>
      <c r="F550" s="12" t="str">
        <f aca="false">IF($E550="","Unmatched","Matched")</f>
        <v>Matched</v>
      </c>
    </row>
    <row r="551" customFormat="false" ht="15" hidden="false" customHeight="true" outlineLevel="0" collapsed="false">
      <c r="A551" s="12" t="s">
        <v>482</v>
      </c>
      <c r="B551" s="12" t="n">
        <v>2026</v>
      </c>
      <c r="C551" s="12" t="n">
        <v>99</v>
      </c>
      <c r="D551" s="12" t="n">
        <v>2595.5</v>
      </c>
      <c r="E551" s="12" t="n">
        <f aca="false">IFERROR(INDEX('Catalog'!$A:$A,MATCH($A551,'Catalog'!$B:$B,0)),IFERROR(INDEX('Catalog'!$A:$A,MATCH(TRIM(SUBSTITUTE($A551,CHAR(160)," ")),'Catalog'!$C:$C,0)),""))</f>
        <v>4413142</v>
      </c>
      <c r="F551" s="12" t="str">
        <f aca="false">IF($E551="","Unmatched","Matched")</f>
        <v>Matched</v>
      </c>
    </row>
    <row r="552" customFormat="false" ht="15" hidden="false" customHeight="true" outlineLevel="0" collapsed="false">
      <c r="A552" s="12" t="s">
        <v>483</v>
      </c>
      <c r="B552" s="12" t="n">
        <v>2026</v>
      </c>
      <c r="C552" s="12" t="n">
        <v>32</v>
      </c>
      <c r="D552" s="12" t="n">
        <v>832.7</v>
      </c>
      <c r="E552" s="12" t="n">
        <f aca="false">IFERROR(INDEX('Catalog'!$A:$A,MATCH($A552,'Catalog'!$B:$B,0)),IFERROR(INDEX('Catalog'!$A:$A,MATCH(TRIM(SUBSTITUTE($A552,CHAR(160)," ")),'Catalog'!$C:$C,0)),""))</f>
        <v>4413143</v>
      </c>
      <c r="F552" s="12" t="str">
        <f aca="false">IF($E552="","Unmatched","Matched")</f>
        <v>Matched</v>
      </c>
    </row>
    <row r="553" customFormat="false" ht="15" hidden="false" customHeight="true" outlineLevel="0" collapsed="false">
      <c r="A553" s="12" t="s">
        <v>484</v>
      </c>
      <c r="B553" s="12" t="n">
        <v>2026</v>
      </c>
      <c r="C553" s="12" t="n">
        <v>5</v>
      </c>
      <c r="D553" s="12" t="n">
        <v>136.7</v>
      </c>
      <c r="E553" s="12" t="n">
        <f aca="false">IFERROR(INDEX('Catalog'!$A:$A,MATCH($A553,'Catalog'!$B:$B,0)),IFERROR(INDEX('Catalog'!$A:$A,MATCH(TRIM(SUBSTITUTE($A553,CHAR(160)," ")),'Catalog'!$C:$C,0)),""))</f>
        <v>4413144</v>
      </c>
      <c r="F553" s="12" t="str">
        <f aca="false">IF($E553="","Unmatched","Matched")</f>
        <v>Matched</v>
      </c>
    </row>
    <row r="554" customFormat="false" ht="15" hidden="false" customHeight="true" outlineLevel="0" collapsed="false">
      <c r="A554" s="12" t="s">
        <v>365</v>
      </c>
      <c r="B554" s="12" t="n">
        <v>2026</v>
      </c>
      <c r="C554" s="12" t="n">
        <v>320</v>
      </c>
      <c r="D554" s="12" t="n">
        <v>3240.5</v>
      </c>
      <c r="E554" s="12" t="n">
        <f aca="false">IFERROR(INDEX('Catalog'!$A:$A,MATCH($A554,'Catalog'!$B:$B,0)),IFERROR(INDEX('Catalog'!$A:$A,MATCH(TRIM(SUBSTITUTE($A554,CHAR(160)," ")),'Catalog'!$C:$C,0)),""))</f>
        <v>4413149</v>
      </c>
      <c r="F554" s="12" t="str">
        <f aca="false">IF($E554="","Unmatched","Matched")</f>
        <v>Matched</v>
      </c>
    </row>
    <row r="555" customFormat="false" ht="15" hidden="false" customHeight="true" outlineLevel="0" collapsed="false">
      <c r="A555" s="12" t="s">
        <v>574</v>
      </c>
      <c r="B555" s="12" t="n">
        <v>2026</v>
      </c>
      <c r="C555" s="12" t="n">
        <v>50</v>
      </c>
      <c r="D555" s="12" t="n">
        <v>1237.6</v>
      </c>
      <c r="E555" s="12" t="n">
        <f aca="false">IFERROR(INDEX('Catalog'!$A:$A,MATCH($A555,'Catalog'!$B:$B,0)),IFERROR(INDEX('Catalog'!$A:$A,MATCH(TRIM(SUBSTITUTE($A555,CHAR(160)," ")),'Catalog'!$C:$C,0)),""))</f>
        <v>4413150</v>
      </c>
      <c r="F555" s="12" t="str">
        <f aca="false">IF($E555="","Unmatched","Matched")</f>
        <v>Matched</v>
      </c>
    </row>
    <row r="556" customFormat="false" ht="15" hidden="false" customHeight="true" outlineLevel="0" collapsed="false">
      <c r="A556" s="12" t="s">
        <v>423</v>
      </c>
      <c r="B556" s="12" t="n">
        <v>2026</v>
      </c>
      <c r="C556" s="12" t="n">
        <v>-13</v>
      </c>
      <c r="D556" s="12" t="n">
        <v>-798.9</v>
      </c>
      <c r="E556" s="12" t="n">
        <f aca="false">IFERROR(INDEX('Catalog'!$A:$A,MATCH($A556,'Catalog'!$B:$B,0)),IFERROR(INDEX('Catalog'!$A:$A,MATCH(TRIM(SUBSTITUTE($A556,CHAR(160)," ")),'Catalog'!$C:$C,0)),""))</f>
        <v>4413153</v>
      </c>
      <c r="F556" s="12" t="str">
        <f aca="false">IF($E556="","Unmatched","Matched")</f>
        <v>Matched</v>
      </c>
    </row>
    <row r="557" customFormat="false" ht="15" hidden="false" customHeight="true" outlineLevel="0" collapsed="false">
      <c r="A557" s="12" t="s">
        <v>424</v>
      </c>
      <c r="B557" s="12" t="n">
        <v>2026</v>
      </c>
      <c r="C557" s="12" t="n">
        <v>15</v>
      </c>
      <c r="D557" s="12" t="n">
        <v>984</v>
      </c>
      <c r="E557" s="12" t="n">
        <f aca="false">IFERROR(INDEX('Catalog'!$A:$A,MATCH($A557,'Catalog'!$B:$B,0)),IFERROR(INDEX('Catalog'!$A:$A,MATCH(TRIM(SUBSTITUTE($A557,CHAR(160)," ")),'Catalog'!$C:$C,0)),""))</f>
        <v>4413154</v>
      </c>
      <c r="F557" s="12" t="str">
        <f aca="false">IF($E557="","Unmatched","Matched")</f>
        <v>Matched</v>
      </c>
    </row>
    <row r="558" customFormat="false" ht="15" hidden="false" customHeight="true" outlineLevel="0" collapsed="false">
      <c r="A558" s="12" t="s">
        <v>425</v>
      </c>
      <c r="B558" s="12" t="n">
        <v>2026</v>
      </c>
      <c r="C558" s="12" t="n">
        <v>19</v>
      </c>
      <c r="D558" s="12" t="n">
        <v>1267.9</v>
      </c>
      <c r="E558" s="12" t="n">
        <f aca="false">IFERROR(INDEX('Catalog'!$A:$A,MATCH($A558,'Catalog'!$B:$B,0)),IFERROR(INDEX('Catalog'!$A:$A,MATCH(TRIM(SUBSTITUTE($A558,CHAR(160)," ")),'Catalog'!$C:$C,0)),""))</f>
        <v>4413155</v>
      </c>
      <c r="F558" s="12" t="str">
        <f aca="false">IF($E558="","Unmatched","Matched")</f>
        <v>Matched</v>
      </c>
    </row>
    <row r="559" customFormat="false" ht="15" hidden="false" customHeight="true" outlineLevel="0" collapsed="false">
      <c r="A559" s="12" t="s">
        <v>426</v>
      </c>
      <c r="B559" s="12" t="n">
        <v>2026</v>
      </c>
      <c r="C559" s="12" t="n">
        <v>97</v>
      </c>
      <c r="D559" s="12" t="n">
        <v>6289.8</v>
      </c>
      <c r="E559" s="12" t="n">
        <f aca="false">IFERROR(INDEX('Catalog'!$A:$A,MATCH($A559,'Catalog'!$B:$B,0)),IFERROR(INDEX('Catalog'!$A:$A,MATCH(TRIM(SUBSTITUTE($A559,CHAR(160)," ")),'Catalog'!$C:$C,0)),""))</f>
        <v>4413156</v>
      </c>
      <c r="F559" s="12" t="str">
        <f aca="false">IF($E559="","Unmatched","Matched")</f>
        <v>Matched</v>
      </c>
    </row>
    <row r="560" customFormat="false" ht="15" hidden="false" customHeight="true" outlineLevel="0" collapsed="false">
      <c r="A560" s="12" t="s">
        <v>427</v>
      </c>
      <c r="B560" s="12" t="n">
        <v>2026</v>
      </c>
      <c r="C560" s="12" t="n">
        <v>105</v>
      </c>
      <c r="D560" s="12" t="n">
        <v>6806.8</v>
      </c>
      <c r="E560" s="12" t="n">
        <f aca="false">IFERROR(INDEX('Catalog'!$A:$A,MATCH($A560,'Catalog'!$B:$B,0)),IFERROR(INDEX('Catalog'!$A:$A,MATCH(TRIM(SUBSTITUTE($A560,CHAR(160)," ")),'Catalog'!$C:$C,0)),""))</f>
        <v>4413157</v>
      </c>
      <c r="F560" s="12" t="str">
        <f aca="false">IF($E560="","Unmatched","Matched")</f>
        <v>Matched</v>
      </c>
    </row>
    <row r="561" customFormat="false" ht="15" hidden="false" customHeight="true" outlineLevel="0" collapsed="false">
      <c r="A561" s="12" t="s">
        <v>428</v>
      </c>
      <c r="B561" s="12" t="n">
        <v>2026</v>
      </c>
      <c r="C561" s="12" t="n">
        <v>124</v>
      </c>
      <c r="D561" s="12" t="n">
        <v>8044.1</v>
      </c>
      <c r="E561" s="12" t="n">
        <f aca="false">IFERROR(INDEX('Catalog'!$A:$A,MATCH($A561,'Catalog'!$B:$B,0)),IFERROR(INDEX('Catalog'!$A:$A,MATCH(TRIM(SUBSTITUTE($A561,CHAR(160)," ")),'Catalog'!$C:$C,0)),""))</f>
        <v>4413158</v>
      </c>
      <c r="F561" s="12" t="str">
        <f aca="false">IF($E561="","Unmatched","Matched")</f>
        <v>Matched</v>
      </c>
    </row>
    <row r="562" customFormat="false" ht="15" hidden="false" customHeight="true" outlineLevel="0" collapsed="false">
      <c r="A562" s="12" t="s">
        <v>739</v>
      </c>
      <c r="B562" s="12" t="n">
        <v>2026</v>
      </c>
      <c r="C562" s="12" t="n">
        <v>38</v>
      </c>
      <c r="D562" s="12" t="n">
        <v>2051.7</v>
      </c>
      <c r="E562" s="12" t="n">
        <f aca="false">IFERROR(INDEX('Catalog'!$A:$A,MATCH($A562,'Catalog'!$B:$B,0)),IFERROR(INDEX('Catalog'!$A:$A,MATCH(TRIM(SUBSTITUTE($A562,CHAR(160)," ")),'Catalog'!$C:$C,0)),""))</f>
        <v>4413159</v>
      </c>
      <c r="F562" s="12" t="str">
        <f aca="false">IF($E562="","Unmatched","Matched")</f>
        <v>Matched</v>
      </c>
    </row>
    <row r="563" customFormat="false" ht="15" hidden="false" customHeight="true" outlineLevel="0" collapsed="false">
      <c r="A563" s="12" t="s">
        <v>738</v>
      </c>
      <c r="B563" s="12" t="n">
        <v>2026</v>
      </c>
      <c r="C563" s="12" t="n">
        <v>83</v>
      </c>
      <c r="D563" s="12" t="n">
        <v>4452.2</v>
      </c>
      <c r="E563" s="12" t="n">
        <f aca="false">IFERROR(INDEX('Catalog'!$A:$A,MATCH($A563,'Catalog'!$B:$B,0)),IFERROR(INDEX('Catalog'!$A:$A,MATCH(TRIM(SUBSTITUTE($A563,CHAR(160)," ")),'Catalog'!$C:$C,0)),""))</f>
        <v>4413160</v>
      </c>
      <c r="F563" s="12" t="str">
        <f aca="false">IF($E563="","Unmatched","Matched")</f>
        <v>Matched</v>
      </c>
    </row>
    <row r="564" customFormat="false" ht="15" hidden="false" customHeight="true" outlineLevel="0" collapsed="false">
      <c r="A564" s="12" t="s">
        <v>737</v>
      </c>
      <c r="B564" s="12" t="n">
        <v>2026</v>
      </c>
      <c r="C564" s="12" t="n">
        <v>70</v>
      </c>
      <c r="D564" s="12" t="n">
        <v>3738.1</v>
      </c>
      <c r="E564" s="12" t="n">
        <f aca="false">IFERROR(INDEX('Catalog'!$A:$A,MATCH($A564,'Catalog'!$B:$B,0)),IFERROR(INDEX('Catalog'!$A:$A,MATCH(TRIM(SUBSTITUTE($A564,CHAR(160)," ")),'Catalog'!$C:$C,0)),""))</f>
        <v>4413161</v>
      </c>
      <c r="F564" s="12" t="str">
        <f aca="false">IF($E564="","Unmatched","Matched")</f>
        <v>Matched</v>
      </c>
    </row>
    <row r="565" customFormat="false" ht="15" hidden="false" customHeight="true" outlineLevel="0" collapsed="false">
      <c r="A565" s="12" t="s">
        <v>740</v>
      </c>
      <c r="B565" s="12" t="n">
        <v>2026</v>
      </c>
      <c r="C565" s="12" t="n">
        <v>59</v>
      </c>
      <c r="D565" s="12" t="n">
        <v>3227.7</v>
      </c>
      <c r="E565" s="12" t="n">
        <f aca="false">IFERROR(INDEX('Catalog'!$A:$A,MATCH($A565,'Catalog'!$B:$B,0)),IFERROR(INDEX('Catalog'!$A:$A,MATCH(TRIM(SUBSTITUTE($A565,CHAR(160)," ")),'Catalog'!$C:$C,0)),""))</f>
        <v>4413162</v>
      </c>
      <c r="F565" s="12" t="str">
        <f aca="false">IF($E565="","Unmatched","Matched")</f>
        <v>Matched</v>
      </c>
    </row>
    <row r="566" customFormat="false" ht="15" hidden="false" customHeight="true" outlineLevel="0" collapsed="false">
      <c r="A566" s="12" t="s">
        <v>165</v>
      </c>
      <c r="B566" s="12" t="n">
        <v>2026</v>
      </c>
      <c r="C566" s="12" t="n">
        <v>-1</v>
      </c>
      <c r="D566" s="12" t="n">
        <v>-81.9</v>
      </c>
      <c r="E566" s="12" t="n">
        <f aca="false">IFERROR(INDEX('Catalog'!$A:$A,MATCH($A566,'Catalog'!$B:$B,0)),IFERROR(INDEX('Catalog'!$A:$A,MATCH(TRIM(SUBSTITUTE($A566,CHAR(160)," ")),'Catalog'!$C:$C,0)),""))</f>
        <v>4413171</v>
      </c>
      <c r="F566" s="12" t="str">
        <f aca="false">IF($E566="","Unmatched","Matched")</f>
        <v>Matched</v>
      </c>
    </row>
    <row r="567" customFormat="false" ht="15" hidden="false" customHeight="true" outlineLevel="0" collapsed="false">
      <c r="A567" s="12" t="s">
        <v>176</v>
      </c>
      <c r="B567" s="12" t="n">
        <v>2026</v>
      </c>
      <c r="C567" s="12" t="n">
        <v>7</v>
      </c>
      <c r="D567" s="12" t="n">
        <v>630.7</v>
      </c>
      <c r="E567" s="12" t="n">
        <f aca="false">IFERROR(INDEX('Catalog'!$A:$A,MATCH($A567,'Catalog'!$B:$B,0)),IFERROR(INDEX('Catalog'!$A:$A,MATCH(TRIM(SUBSTITUTE($A567,CHAR(160)," ")),'Catalog'!$C:$C,0)),""))</f>
        <v>4413182</v>
      </c>
      <c r="F567" s="12" t="str">
        <f aca="false">IF($E567="","Unmatched","Matched")</f>
        <v>Matched</v>
      </c>
    </row>
    <row r="568" customFormat="false" ht="15" hidden="false" customHeight="true" outlineLevel="0" collapsed="false">
      <c r="A568" s="12" t="s">
        <v>162</v>
      </c>
      <c r="B568" s="12" t="n">
        <v>2026</v>
      </c>
      <c r="C568" s="12" t="n">
        <v>33</v>
      </c>
      <c r="D568" s="12" t="n">
        <v>3014.9</v>
      </c>
      <c r="E568" s="12" t="n">
        <f aca="false">IFERROR(INDEX('Catalog'!$A:$A,MATCH($A568,'Catalog'!$B:$B,0)),IFERROR(INDEX('Catalog'!$A:$A,MATCH(TRIM(SUBSTITUTE($A568,CHAR(160)," ")),'Catalog'!$C:$C,0)),""))</f>
        <v>4413183</v>
      </c>
      <c r="F568" s="12" t="str">
        <f aca="false">IF($E568="","Unmatched","Matched")</f>
        <v>Matched</v>
      </c>
    </row>
    <row r="569" customFormat="false" ht="15" hidden="false" customHeight="true" outlineLevel="0" collapsed="false">
      <c r="A569" s="12" t="s">
        <v>161</v>
      </c>
      <c r="B569" s="12" t="n">
        <v>2026</v>
      </c>
      <c r="C569" s="12" t="n">
        <v>29</v>
      </c>
      <c r="D569" s="12" t="n">
        <v>2674.1</v>
      </c>
      <c r="E569" s="12" t="n">
        <f aca="false">IFERROR(INDEX('Catalog'!$A:$A,MATCH($A569,'Catalog'!$B:$B,0)),IFERROR(INDEX('Catalog'!$A:$A,MATCH(TRIM(SUBSTITUTE($A569,CHAR(160)," ")),'Catalog'!$C:$C,0)),""))</f>
        <v>4413184</v>
      </c>
      <c r="F569" s="12" t="str">
        <f aca="false">IF($E569="","Unmatched","Matched")</f>
        <v>Matched</v>
      </c>
    </row>
    <row r="570" customFormat="false" ht="15" hidden="false" customHeight="true" outlineLevel="0" collapsed="false">
      <c r="A570" s="12" t="s">
        <v>163</v>
      </c>
      <c r="B570" s="12" t="n">
        <v>2026</v>
      </c>
      <c r="C570" s="12" t="n">
        <v>40</v>
      </c>
      <c r="D570" s="12" t="n">
        <v>3646.7</v>
      </c>
      <c r="E570" s="12" t="n">
        <f aca="false">IFERROR(INDEX('Catalog'!$A:$A,MATCH($A570,'Catalog'!$B:$B,0)),IFERROR(INDEX('Catalog'!$A:$A,MATCH(TRIM(SUBSTITUTE($A570,CHAR(160)," ")),'Catalog'!$C:$C,0)),""))</f>
        <v>4413185</v>
      </c>
      <c r="F570" s="12" t="str">
        <f aca="false">IF($E570="","Unmatched","Matched")</f>
        <v>Matched</v>
      </c>
    </row>
    <row r="571" customFormat="false" ht="15" hidden="false" customHeight="true" outlineLevel="0" collapsed="false">
      <c r="A571" s="12" t="s">
        <v>173</v>
      </c>
      <c r="B571" s="12" t="n">
        <v>2026</v>
      </c>
      <c r="C571" s="12" t="n">
        <v>-1</v>
      </c>
      <c r="D571" s="12" t="n">
        <v>-204.8</v>
      </c>
      <c r="E571" s="12" t="n">
        <f aca="false">IFERROR(INDEX('Catalog'!$A:$A,MATCH($A571,'Catalog'!$B:$B,0)),IFERROR(INDEX('Catalog'!$A:$A,MATCH(TRIM(SUBSTITUTE($A571,CHAR(160)," ")),'Catalog'!$C:$C,0)),""))</f>
        <v>4413188</v>
      </c>
      <c r="F571" s="12" t="str">
        <f aca="false">IF($E571="","Unmatched","Matched")</f>
        <v>Matched</v>
      </c>
    </row>
    <row r="572" customFormat="false" ht="15" hidden="false" customHeight="true" outlineLevel="0" collapsed="false">
      <c r="A572" s="12" t="s">
        <v>393</v>
      </c>
      <c r="B572" s="12" t="n">
        <v>2026</v>
      </c>
      <c r="C572" s="12" t="n">
        <v>17</v>
      </c>
      <c r="D572" s="12" t="n">
        <v>2774.1</v>
      </c>
      <c r="E572" s="12" t="n">
        <f aca="false">IFERROR(INDEX('Catalog'!$A:$A,MATCH($A572,'Catalog'!$B:$B,0)),IFERROR(INDEX('Catalog'!$A:$A,MATCH(TRIM(SUBSTITUTE($A572,CHAR(160)," ")),'Catalog'!$C:$C,0)),""))</f>
        <v>4413195</v>
      </c>
      <c r="F572" s="12" t="str">
        <f aca="false">IF($E572="","Unmatched","Matched")</f>
        <v>Matched</v>
      </c>
    </row>
    <row r="573" customFormat="false" ht="15" hidden="false" customHeight="true" outlineLevel="0" collapsed="false">
      <c r="A573" s="12" t="s">
        <v>392</v>
      </c>
      <c r="B573" s="12" t="n">
        <v>2026</v>
      </c>
      <c r="C573" s="12" t="n">
        <v>105</v>
      </c>
      <c r="D573" s="12" t="n">
        <v>16961.5</v>
      </c>
      <c r="E573" s="12" t="n">
        <f aca="false">IFERROR(INDEX('Catalog'!$A:$A,MATCH($A573,'Catalog'!$B:$B,0)),IFERROR(INDEX('Catalog'!$A:$A,MATCH(TRIM(SUBSTITUTE($A573,CHAR(160)," ")),'Catalog'!$C:$C,0)),""))</f>
        <v>4413196</v>
      </c>
      <c r="F573" s="12" t="str">
        <f aca="false">IF($E573="","Unmatched","Matched")</f>
        <v>Matched</v>
      </c>
    </row>
    <row r="574" customFormat="false" ht="15" hidden="false" customHeight="true" outlineLevel="0" collapsed="false">
      <c r="A574" s="12" t="s">
        <v>391</v>
      </c>
      <c r="B574" s="12" t="n">
        <v>2026</v>
      </c>
      <c r="C574" s="12" t="n">
        <v>128</v>
      </c>
      <c r="D574" s="12" t="n">
        <v>20666.2</v>
      </c>
      <c r="E574" s="12" t="n">
        <f aca="false">IFERROR(INDEX('Catalog'!$A:$A,MATCH($A574,'Catalog'!$B:$B,0)),IFERROR(INDEX('Catalog'!$A:$A,MATCH(TRIM(SUBSTITUTE($A574,CHAR(160)," ")),'Catalog'!$C:$C,0)),""))</f>
        <v>4413197</v>
      </c>
      <c r="F574" s="12" t="str">
        <f aca="false">IF($E574="","Unmatched","Matched")</f>
        <v>Matched</v>
      </c>
    </row>
    <row r="575" customFormat="false" ht="15" hidden="false" customHeight="true" outlineLevel="0" collapsed="false">
      <c r="A575" s="12" t="s">
        <v>394</v>
      </c>
      <c r="B575" s="12" t="n">
        <v>2026</v>
      </c>
      <c r="C575" s="12" t="n">
        <v>134</v>
      </c>
      <c r="D575" s="12" t="n">
        <v>21496.9</v>
      </c>
      <c r="E575" s="12" t="n">
        <f aca="false">IFERROR(INDEX('Catalog'!$A:$A,MATCH($A575,'Catalog'!$B:$B,0)),IFERROR(INDEX('Catalog'!$A:$A,MATCH(TRIM(SUBSTITUTE($A575,CHAR(160)," ")),'Catalog'!$C:$C,0)),""))</f>
        <v>4413198</v>
      </c>
      <c r="F575" s="12" t="str">
        <f aca="false">IF($E575="","Unmatched","Matched")</f>
        <v>Matched</v>
      </c>
    </row>
    <row r="576" customFormat="false" ht="15" hidden="false" customHeight="true" outlineLevel="0" collapsed="false">
      <c r="A576" s="12" t="s">
        <v>395</v>
      </c>
      <c r="B576" s="12" t="n">
        <v>2026</v>
      </c>
      <c r="C576" s="12" t="n">
        <v>50</v>
      </c>
      <c r="D576" s="12" t="n">
        <v>8076.4</v>
      </c>
      <c r="E576" s="12" t="n">
        <f aca="false">IFERROR(INDEX('Catalog'!$A:$A,MATCH($A576,'Catalog'!$B:$B,0)),IFERROR(INDEX('Catalog'!$A:$A,MATCH(TRIM(SUBSTITUTE($A576,CHAR(160)," ")),'Catalog'!$C:$C,0)),""))</f>
        <v>4413204</v>
      </c>
      <c r="F576" s="12" t="str">
        <f aca="false">IF($E576="","Unmatched","Matched")</f>
        <v>Matched</v>
      </c>
    </row>
    <row r="577" customFormat="false" ht="15" hidden="false" customHeight="true" outlineLevel="0" collapsed="false">
      <c r="A577" s="12" t="s">
        <v>407</v>
      </c>
      <c r="B577" s="12" t="n">
        <v>2026</v>
      </c>
      <c r="C577" s="12" t="n">
        <v>3</v>
      </c>
      <c r="D577" s="12" t="n">
        <v>114</v>
      </c>
      <c r="E577" s="12" t="n">
        <f aca="false">IFERROR(INDEX('Catalog'!$A:$A,MATCH($A577,'Catalog'!$B:$B,0)),IFERROR(INDEX('Catalog'!$A:$A,MATCH(TRIM(SUBSTITUTE($A577,CHAR(160)," ")),'Catalog'!$C:$C,0)),""))</f>
        <v>4413276</v>
      </c>
      <c r="F577" s="12" t="str">
        <f aca="false">IF($E577="","Unmatched","Matched")</f>
        <v>Matched</v>
      </c>
    </row>
    <row r="578" customFormat="false" ht="15" hidden="false" customHeight="true" outlineLevel="0" collapsed="false">
      <c r="A578" s="12" t="s">
        <v>408</v>
      </c>
      <c r="B578" s="12" t="n">
        <v>2026</v>
      </c>
      <c r="C578" s="12" t="n">
        <v>-3</v>
      </c>
      <c r="D578" s="12" t="n">
        <v>-121.7</v>
      </c>
      <c r="E578" s="12" t="n">
        <f aca="false">IFERROR(INDEX('Catalog'!$A:$A,MATCH($A578,'Catalog'!$B:$B,0)),IFERROR(INDEX('Catalog'!$A:$A,MATCH(TRIM(SUBSTITUTE($A578,CHAR(160)," ")),'Catalog'!$C:$C,0)),""))</f>
        <v>4413277</v>
      </c>
      <c r="F578" s="12" t="str">
        <f aca="false">IF($E578="","Unmatched","Matched")</f>
        <v>Matched</v>
      </c>
    </row>
    <row r="579" customFormat="false" ht="15" hidden="false" customHeight="true" outlineLevel="0" collapsed="false">
      <c r="A579" s="12" t="s">
        <v>409</v>
      </c>
      <c r="B579" s="12" t="n">
        <v>2026</v>
      </c>
      <c r="C579" s="12" t="n">
        <v>3</v>
      </c>
      <c r="D579" s="12" t="n">
        <v>122.2</v>
      </c>
      <c r="E579" s="12" t="n">
        <f aca="false">IFERROR(INDEX('Catalog'!$A:$A,MATCH($A579,'Catalog'!$B:$B,0)),IFERROR(INDEX('Catalog'!$A:$A,MATCH(TRIM(SUBSTITUTE($A579,CHAR(160)," ")),'Catalog'!$C:$C,0)),""))</f>
        <v>4413278</v>
      </c>
      <c r="F579" s="12" t="str">
        <f aca="false">IF($E579="","Unmatched","Matched")</f>
        <v>Matched</v>
      </c>
    </row>
    <row r="580" customFormat="false" ht="15" hidden="false" customHeight="true" outlineLevel="0" collapsed="false">
      <c r="A580" s="12" t="s">
        <v>177</v>
      </c>
      <c r="B580" s="12" t="n">
        <v>2026</v>
      </c>
      <c r="C580" s="12" t="n">
        <v>17</v>
      </c>
      <c r="D580" s="12" t="n">
        <v>1528.5</v>
      </c>
      <c r="E580" s="12" t="n">
        <f aca="false">IFERROR(INDEX('Catalog'!$A:$A,MATCH($A580,'Catalog'!$B:$B,0)),IFERROR(INDEX('Catalog'!$A:$A,MATCH(TRIM(SUBSTITUTE($A580,CHAR(160)," ")),'Catalog'!$C:$C,0)),""))</f>
        <v>4413286</v>
      </c>
      <c r="F580" s="12" t="str">
        <f aca="false">IF($E580="","Unmatched","Matched")</f>
        <v>Matched</v>
      </c>
    </row>
    <row r="581" customFormat="false" ht="15" hidden="false" customHeight="true" outlineLevel="0" collapsed="false">
      <c r="A581" s="12" t="s">
        <v>570</v>
      </c>
      <c r="B581" s="12" t="n">
        <v>2026</v>
      </c>
      <c r="C581" s="12" t="n">
        <v>673</v>
      </c>
      <c r="D581" s="12" t="n">
        <v>18182.5</v>
      </c>
      <c r="E581" s="12" t="n">
        <f aca="false">IFERROR(INDEX('Catalog'!$A:$A,MATCH($A581,'Catalog'!$B:$B,0)),IFERROR(INDEX('Catalog'!$A:$A,MATCH(TRIM(SUBSTITUTE($A581,CHAR(160)," ")),'Catalog'!$C:$C,0)),""))</f>
        <v>4413307</v>
      </c>
      <c r="F581" s="12" t="str">
        <f aca="false">IF($E581="","Unmatched","Matched")</f>
        <v>Matched</v>
      </c>
    </row>
    <row r="582" customFormat="false" ht="15" hidden="false" customHeight="true" outlineLevel="0" collapsed="false">
      <c r="A582" s="12" t="s">
        <v>150</v>
      </c>
      <c r="B582" s="12" t="n">
        <v>2026</v>
      </c>
      <c r="C582" s="12" t="n">
        <v>480</v>
      </c>
      <c r="D582" s="12" t="n">
        <v>30593.7</v>
      </c>
      <c r="E582" s="12" t="n">
        <f aca="false">IFERROR(INDEX('Catalog'!$A:$A,MATCH($A582,'Catalog'!$B:$B,0)),IFERROR(INDEX('Catalog'!$A:$A,MATCH(TRIM(SUBSTITUTE($A582,CHAR(160)," ")),'Catalog'!$C:$C,0)),""))</f>
        <v>4413329</v>
      </c>
      <c r="F582" s="12" t="str">
        <f aca="false">IF($E582="","Unmatched","Matched")</f>
        <v>Matched</v>
      </c>
    </row>
    <row r="583" customFormat="false" ht="15" hidden="false" customHeight="true" outlineLevel="0" collapsed="false">
      <c r="A583" s="12" t="s">
        <v>557</v>
      </c>
      <c r="B583" s="12" t="n">
        <v>2026</v>
      </c>
      <c r="C583" s="12" t="n">
        <v>57</v>
      </c>
      <c r="D583" s="12" t="n">
        <v>2453.1</v>
      </c>
      <c r="E583" s="12" t="n">
        <f aca="false">IFERROR(INDEX('Catalog'!$A:$A,MATCH($A583,'Catalog'!$B:$B,0)),IFERROR(INDEX('Catalog'!$A:$A,MATCH(TRIM(SUBSTITUTE($A583,CHAR(160)," ")),'Catalog'!$C:$C,0)),""))</f>
        <v>4413340</v>
      </c>
      <c r="F583" s="12" t="str">
        <f aca="false">IF($E583="","Unmatched","Matched")</f>
        <v>Matched</v>
      </c>
    </row>
    <row r="584" customFormat="false" ht="15" hidden="false" customHeight="true" outlineLevel="0" collapsed="false">
      <c r="A584" s="12" t="s">
        <v>360</v>
      </c>
      <c r="B584" s="12" t="n">
        <v>2026</v>
      </c>
      <c r="C584" s="12" t="n">
        <v>1430</v>
      </c>
      <c r="D584" s="12" t="n">
        <v>44688.8</v>
      </c>
      <c r="E584" s="12" t="n">
        <f aca="false">IFERROR(INDEX('Catalog'!$A:$A,MATCH($A584,'Catalog'!$B:$B,0)),IFERROR(INDEX('Catalog'!$A:$A,MATCH(TRIM(SUBSTITUTE($A584,CHAR(160)," ")),'Catalog'!$C:$C,0)),""))</f>
        <v>4414000</v>
      </c>
      <c r="F584" s="12" t="str">
        <f aca="false">IF($E584="","Unmatched","Matched")</f>
        <v>Matched</v>
      </c>
    </row>
    <row r="585" customFormat="false" ht="15" hidden="false" customHeight="true" outlineLevel="0" collapsed="false">
      <c r="A585" s="12" t="s">
        <v>614</v>
      </c>
      <c r="B585" s="12" t="n">
        <v>2026</v>
      </c>
      <c r="C585" s="12" t="n">
        <v>312</v>
      </c>
      <c r="D585" s="12" t="n">
        <v>25746.7</v>
      </c>
      <c r="E585" s="12" t="n">
        <f aca="false">IFERROR(INDEX('Catalog'!$A:$A,MATCH($A585,'Catalog'!$B:$B,0)),IFERROR(INDEX('Catalog'!$A:$A,MATCH(TRIM(SUBSTITUTE($A585,CHAR(160)," ")),'Catalog'!$C:$C,0)),""))</f>
        <v>4415000</v>
      </c>
      <c r="F585" s="12" t="str">
        <f aca="false">IF($E585="","Unmatched","Matched")</f>
        <v>Matched</v>
      </c>
    </row>
    <row r="586" customFormat="false" ht="15" hidden="false" customHeight="true" outlineLevel="0" collapsed="false">
      <c r="A586" s="12" t="s">
        <v>615</v>
      </c>
      <c r="B586" s="12" t="n">
        <v>2026</v>
      </c>
      <c r="C586" s="12" t="n">
        <v>385</v>
      </c>
      <c r="D586" s="12" t="n">
        <v>32031.2</v>
      </c>
      <c r="E586" s="12" t="n">
        <f aca="false">IFERROR(INDEX('Catalog'!$A:$A,MATCH($A586,'Catalog'!$B:$B,0)),IFERROR(INDEX('Catalog'!$A:$A,MATCH(TRIM(SUBSTITUTE($A586,CHAR(160)," ")),'Catalog'!$C:$C,0)),""))</f>
        <v>4415001</v>
      </c>
      <c r="F586" s="12" t="str">
        <f aca="false">IF($E586="","Unmatched","Matched")</f>
        <v>Matched</v>
      </c>
    </row>
    <row r="587" customFormat="false" ht="15" hidden="false" customHeight="true" outlineLevel="0" collapsed="false">
      <c r="A587" s="12" t="s">
        <v>616</v>
      </c>
      <c r="B587" s="12" t="n">
        <v>2026</v>
      </c>
      <c r="C587" s="12" t="n">
        <v>278</v>
      </c>
      <c r="D587" s="12" t="n">
        <v>22928.6</v>
      </c>
      <c r="E587" s="12" t="n">
        <f aca="false">IFERROR(INDEX('Catalog'!$A:$A,MATCH($A587,'Catalog'!$B:$B,0)),IFERROR(INDEX('Catalog'!$A:$A,MATCH(TRIM(SUBSTITUTE($A587,CHAR(160)," ")),'Catalog'!$C:$C,0)),""))</f>
        <v>4415002</v>
      </c>
      <c r="F587" s="12" t="str">
        <f aca="false">IF($E587="","Unmatched","Matched")</f>
        <v>Matched</v>
      </c>
    </row>
    <row r="588" customFormat="false" ht="15" hidden="false" customHeight="true" outlineLevel="0" collapsed="false">
      <c r="A588" s="12" t="s">
        <v>617</v>
      </c>
      <c r="B588" s="12" t="n">
        <v>2026</v>
      </c>
      <c r="C588" s="12" t="n">
        <v>197</v>
      </c>
      <c r="D588" s="12" t="n">
        <v>16329.4</v>
      </c>
      <c r="E588" s="12" t="n">
        <f aca="false">IFERROR(INDEX('Catalog'!$A:$A,MATCH($A588,'Catalog'!$B:$B,0)),IFERROR(INDEX('Catalog'!$A:$A,MATCH(TRIM(SUBSTITUTE($A588,CHAR(160)," ")),'Catalog'!$C:$C,0)),""))</f>
        <v>4415003</v>
      </c>
      <c r="F588" s="12" t="str">
        <f aca="false">IF($E588="","Unmatched","Matched")</f>
        <v>Matched</v>
      </c>
    </row>
    <row r="589" customFormat="false" ht="15" hidden="false" customHeight="true" outlineLevel="0" collapsed="false">
      <c r="A589" s="12" t="s">
        <v>642</v>
      </c>
      <c r="B589" s="12" t="n">
        <v>2026</v>
      </c>
      <c r="C589" s="12" t="n">
        <v>301</v>
      </c>
      <c r="D589" s="12" t="n">
        <v>24780</v>
      </c>
      <c r="E589" s="12" t="n">
        <f aca="false">IFERROR(INDEX('Catalog'!$A:$A,MATCH($A589,'Catalog'!$B:$B,0)),IFERROR(INDEX('Catalog'!$A:$A,MATCH(TRIM(SUBSTITUTE($A589,CHAR(160)," ")),'Catalog'!$C:$C,0)),""))</f>
        <v>4415005</v>
      </c>
      <c r="F589" s="12" t="str">
        <f aca="false">IF($E589="","Unmatched","Matched")</f>
        <v>Matched</v>
      </c>
    </row>
    <row r="590" customFormat="false" ht="15" hidden="false" customHeight="true" outlineLevel="0" collapsed="false">
      <c r="A590" s="12" t="s">
        <v>643</v>
      </c>
      <c r="B590" s="12" t="n">
        <v>2026</v>
      </c>
      <c r="C590" s="12" t="n">
        <v>471</v>
      </c>
      <c r="D590" s="12" t="n">
        <v>38572.1</v>
      </c>
      <c r="E590" s="12" t="n">
        <f aca="false">IFERROR(INDEX('Catalog'!$A:$A,MATCH($A590,'Catalog'!$B:$B,0)),IFERROR(INDEX('Catalog'!$A:$A,MATCH(TRIM(SUBSTITUTE($A590,CHAR(160)," ")),'Catalog'!$C:$C,0)),""))</f>
        <v>4415006</v>
      </c>
      <c r="F590" s="12" t="str">
        <f aca="false">IF($E590="","Unmatched","Matched")</f>
        <v>Matched</v>
      </c>
    </row>
    <row r="591" customFormat="false" ht="15" hidden="false" customHeight="true" outlineLevel="0" collapsed="false">
      <c r="A591" s="12" t="s">
        <v>644</v>
      </c>
      <c r="B591" s="12" t="n">
        <v>2026</v>
      </c>
      <c r="C591" s="12" t="n">
        <v>441</v>
      </c>
      <c r="D591" s="12" t="n">
        <v>36046.1</v>
      </c>
      <c r="E591" s="12" t="n">
        <f aca="false">IFERROR(INDEX('Catalog'!$A:$A,MATCH($A591,'Catalog'!$B:$B,0)),IFERROR(INDEX('Catalog'!$A:$A,MATCH(TRIM(SUBSTITUTE($A591,CHAR(160)," ")),'Catalog'!$C:$C,0)),""))</f>
        <v>4415007</v>
      </c>
      <c r="F591" s="12" t="str">
        <f aca="false">IF($E591="","Unmatched","Matched")</f>
        <v>Matched</v>
      </c>
    </row>
    <row r="592" customFormat="false" ht="15" hidden="false" customHeight="true" outlineLevel="0" collapsed="false">
      <c r="A592" s="12" t="s">
        <v>645</v>
      </c>
      <c r="B592" s="12" t="n">
        <v>2026</v>
      </c>
      <c r="C592" s="12" t="n">
        <v>27</v>
      </c>
      <c r="D592" s="12" t="n">
        <v>2479.1</v>
      </c>
      <c r="E592" s="12" t="n">
        <f aca="false">IFERROR(INDEX('Catalog'!$A:$A,MATCH($A592,'Catalog'!$B:$B,0)),IFERROR(INDEX('Catalog'!$A:$A,MATCH(TRIM(SUBSTITUTE($A592,CHAR(160)," ")),'Catalog'!$C:$C,0)),""))</f>
        <v>4415008</v>
      </c>
      <c r="F592" s="12" t="str">
        <f aca="false">IF($E592="","Unmatched","Matched")</f>
        <v>Matched</v>
      </c>
    </row>
    <row r="593" customFormat="false" ht="15" hidden="false" customHeight="true" outlineLevel="0" collapsed="false">
      <c r="A593" s="12" t="s">
        <v>730</v>
      </c>
      <c r="B593" s="12" t="n">
        <v>2026</v>
      </c>
      <c r="C593" s="12" t="n">
        <v>4</v>
      </c>
      <c r="D593" s="12" t="n">
        <v>257.2</v>
      </c>
      <c r="E593" s="12" t="n">
        <f aca="false">IFERROR(INDEX('Catalog'!$A:$A,MATCH($A593,'Catalog'!$B:$B,0)),IFERROR(INDEX('Catalog'!$A:$A,MATCH(TRIM(SUBSTITUTE($A593,CHAR(160)," ")),'Catalog'!$C:$C,0)),""))</f>
        <v>4415019</v>
      </c>
      <c r="F593" s="12" t="str">
        <f aca="false">IF($E593="","Unmatched","Matched")</f>
        <v>Matched</v>
      </c>
    </row>
    <row r="594" customFormat="false" ht="15" hidden="false" customHeight="true" outlineLevel="0" collapsed="false">
      <c r="A594" s="12" t="s">
        <v>648</v>
      </c>
      <c r="B594" s="12" t="n">
        <v>2026</v>
      </c>
      <c r="C594" s="12" t="n">
        <v>141</v>
      </c>
      <c r="D594" s="12" t="n">
        <v>3548.1</v>
      </c>
      <c r="E594" s="12" t="n">
        <f aca="false">IFERROR(INDEX('Catalog'!$A:$A,MATCH($A594,'Catalog'!$B:$B,0)),IFERROR(INDEX('Catalog'!$A:$A,MATCH(TRIM(SUBSTITUTE($A594,CHAR(160)," ")),'Catalog'!$C:$C,0)),""))</f>
        <v>4415028</v>
      </c>
      <c r="F594" s="12" t="str">
        <f aca="false">IF($E594="","Unmatched","Matched")</f>
        <v>Matched</v>
      </c>
    </row>
    <row r="595" customFormat="false" ht="15" hidden="false" customHeight="true" outlineLevel="0" collapsed="false">
      <c r="A595" s="12" t="s">
        <v>682</v>
      </c>
      <c r="B595" s="12" t="n">
        <v>2026</v>
      </c>
      <c r="C595" s="12" t="n">
        <v>-1</v>
      </c>
      <c r="D595" s="12" t="n">
        <v>-58.3</v>
      </c>
      <c r="E595" s="12" t="n">
        <f aca="false">IFERROR(INDEX('Catalog'!$A:$A,MATCH($A595,'Catalog'!$B:$B,0)),IFERROR(INDEX('Catalog'!$A:$A,MATCH(TRIM(SUBSTITUTE($A595,CHAR(160)," ")),'Catalog'!$C:$C,0)),""))</f>
        <v>4415070</v>
      </c>
      <c r="F595" s="12" t="str">
        <f aca="false">IF($E595="","Unmatched","Matched")</f>
        <v>Matched</v>
      </c>
    </row>
    <row r="596" customFormat="false" ht="15" hidden="false" customHeight="true" outlineLevel="0" collapsed="false">
      <c r="A596" s="12" t="s">
        <v>676</v>
      </c>
      <c r="B596" s="12" t="n">
        <v>2026</v>
      </c>
      <c r="C596" s="12" t="n">
        <v>1351</v>
      </c>
      <c r="D596" s="12" t="n">
        <v>79514</v>
      </c>
      <c r="E596" s="12" t="n">
        <f aca="false">IFERROR(INDEX('Catalog'!$A:$A,MATCH($A596,'Catalog'!$B:$B,0)),IFERROR(INDEX('Catalog'!$A:$A,MATCH(TRIM(SUBSTITUTE($A596,CHAR(160)," ")),'Catalog'!$C:$C,0)),""))</f>
        <v>4415072</v>
      </c>
      <c r="F596" s="12" t="str">
        <f aca="false">IF($E596="","Unmatched","Matched")</f>
        <v>Matched</v>
      </c>
    </row>
    <row r="597" customFormat="false" ht="15" hidden="false" customHeight="true" outlineLevel="0" collapsed="false">
      <c r="A597" s="12" t="s">
        <v>675</v>
      </c>
      <c r="B597" s="12" t="n">
        <v>2026</v>
      </c>
      <c r="C597" s="12" t="n">
        <v>819</v>
      </c>
      <c r="D597" s="12" t="n">
        <v>48296.9</v>
      </c>
      <c r="E597" s="12" t="n">
        <f aca="false">IFERROR(INDEX('Catalog'!$A:$A,MATCH($A597,'Catalog'!$B:$B,0)),IFERROR(INDEX('Catalog'!$A:$A,MATCH(TRIM(SUBSTITUTE($A597,CHAR(160)," ")),'Catalog'!$C:$C,0)),""))</f>
        <v>4415073</v>
      </c>
      <c r="F597" s="12" t="str">
        <f aca="false">IF($E597="","Unmatched","Matched")</f>
        <v>Matched</v>
      </c>
    </row>
    <row r="598" customFormat="false" ht="15" hidden="false" customHeight="true" outlineLevel="0" collapsed="false">
      <c r="A598" s="12" t="s">
        <v>679</v>
      </c>
      <c r="B598" s="12" t="n">
        <v>2026</v>
      </c>
      <c r="C598" s="12" t="n">
        <v>215</v>
      </c>
      <c r="D598" s="12" t="n">
        <v>12620.7</v>
      </c>
      <c r="E598" s="12" t="n">
        <f aca="false">IFERROR(INDEX('Catalog'!$A:$A,MATCH($A598,'Catalog'!$B:$B,0)),IFERROR(INDEX('Catalog'!$A:$A,MATCH(TRIM(SUBSTITUTE($A598,CHAR(160)," ")),'Catalog'!$C:$C,0)),""))</f>
        <v>4415074</v>
      </c>
      <c r="F598" s="12" t="str">
        <f aca="false">IF($E598="","Unmatched","Matched")</f>
        <v>Matched</v>
      </c>
    </row>
    <row r="599" customFormat="false" ht="15" hidden="false" customHeight="true" outlineLevel="0" collapsed="false">
      <c r="A599" s="12" t="s">
        <v>678</v>
      </c>
      <c r="B599" s="12" t="n">
        <v>2026</v>
      </c>
      <c r="C599" s="12" t="n">
        <v>145</v>
      </c>
      <c r="D599" s="12" t="n">
        <v>8507</v>
      </c>
      <c r="E599" s="12" t="n">
        <f aca="false">IFERROR(INDEX('Catalog'!$A:$A,MATCH($A599,'Catalog'!$B:$B,0)),IFERROR(INDEX('Catalog'!$A:$A,MATCH(TRIM(SUBSTITUTE($A599,CHAR(160)," ")),'Catalog'!$C:$C,0)),""))</f>
        <v>4415075</v>
      </c>
      <c r="F599" s="12" t="str">
        <f aca="false">IF($E599="","Unmatched","Matched")</f>
        <v>Matched</v>
      </c>
    </row>
    <row r="600" customFormat="false" ht="15" hidden="false" customHeight="true" outlineLevel="0" collapsed="false">
      <c r="A600" s="12" t="s">
        <v>577</v>
      </c>
      <c r="B600" s="12" t="n">
        <v>2026</v>
      </c>
      <c r="C600" s="12" t="n">
        <v>50</v>
      </c>
      <c r="D600" s="12" t="n">
        <v>387.7</v>
      </c>
      <c r="E600" s="12" t="n">
        <f aca="false">IFERROR(INDEX('Catalog'!$A:$A,MATCH($A600,'Catalog'!$B:$B,0)),IFERROR(INDEX('Catalog'!$A:$A,MATCH(TRIM(SUBSTITUTE($A600,CHAR(160)," ")),'Catalog'!$C:$C,0)),""))</f>
        <v>4415080</v>
      </c>
      <c r="F600" s="12" t="str">
        <f aca="false">IF($E600="","Unmatched","Matched")</f>
        <v>Matched</v>
      </c>
    </row>
    <row r="601" customFormat="false" ht="15" hidden="false" customHeight="true" outlineLevel="0" collapsed="false">
      <c r="A601" s="12" t="s">
        <v>632</v>
      </c>
      <c r="B601" s="12" t="n">
        <v>2026</v>
      </c>
      <c r="C601" s="12" t="n">
        <v>-1</v>
      </c>
      <c r="D601" s="12" t="n">
        <v>-90.1</v>
      </c>
      <c r="E601" s="12" t="n">
        <f aca="false">IFERROR(INDEX('Catalog'!$A:$A,MATCH($A601,'Catalog'!$B:$B,0)),IFERROR(INDEX('Catalog'!$A:$A,MATCH(TRIM(SUBSTITUTE($A601,CHAR(160)," ")),'Catalog'!$C:$C,0)),""))</f>
        <v>4415093</v>
      </c>
      <c r="F601" s="12" t="str">
        <f aca="false">IF($E601="","Unmatched","Matched")</f>
        <v>Matched</v>
      </c>
    </row>
    <row r="602" customFormat="false" ht="15" hidden="false" customHeight="true" outlineLevel="0" collapsed="false">
      <c r="A602" s="12" t="s">
        <v>533</v>
      </c>
      <c r="B602" s="12" t="n">
        <v>2026</v>
      </c>
      <c r="C602" s="12" t="n">
        <v>301</v>
      </c>
      <c r="D602" s="12" t="n">
        <v>24292.6</v>
      </c>
      <c r="E602" s="12" t="n">
        <f aca="false">IFERROR(INDEX('Catalog'!$A:$A,MATCH($A602,'Catalog'!$B:$B,0)),IFERROR(INDEX('Catalog'!$A:$A,MATCH(TRIM(SUBSTITUTE($A602,CHAR(160)," ")),'Catalog'!$C:$C,0)),""))</f>
        <v>4416000</v>
      </c>
      <c r="F602" s="12" t="str">
        <f aca="false">IF($E602="","Unmatched","Matched")</f>
        <v>Matched</v>
      </c>
    </row>
    <row r="603" customFormat="false" ht="15" hidden="false" customHeight="true" outlineLevel="0" collapsed="false">
      <c r="A603" s="12" t="s">
        <v>534</v>
      </c>
      <c r="B603" s="12" t="n">
        <v>2026</v>
      </c>
      <c r="C603" s="12" t="n">
        <v>305</v>
      </c>
      <c r="D603" s="12" t="n">
        <v>24529.5</v>
      </c>
      <c r="E603" s="12" t="n">
        <f aca="false">IFERROR(INDEX('Catalog'!$A:$A,MATCH($A603,'Catalog'!$B:$B,0)),IFERROR(INDEX('Catalog'!$A:$A,MATCH(TRIM(SUBSTITUTE($A603,CHAR(160)," ")),'Catalog'!$C:$C,0)),""))</f>
        <v>4416001</v>
      </c>
      <c r="F603" s="12" t="str">
        <f aca="false">IF($E603="","Unmatched","Matched")</f>
        <v>Matched</v>
      </c>
    </row>
    <row r="604" customFormat="false" ht="15" hidden="false" customHeight="true" outlineLevel="0" collapsed="false">
      <c r="A604" s="12" t="s">
        <v>535</v>
      </c>
      <c r="B604" s="12" t="n">
        <v>2026</v>
      </c>
      <c r="C604" s="12" t="n">
        <v>102</v>
      </c>
      <c r="D604" s="12" t="n">
        <v>8198.4</v>
      </c>
      <c r="E604" s="12" t="n">
        <f aca="false">IFERROR(INDEX('Catalog'!$A:$A,MATCH($A604,'Catalog'!$B:$B,0)),IFERROR(INDEX('Catalog'!$A:$A,MATCH(TRIM(SUBSTITUTE($A604,CHAR(160)," ")),'Catalog'!$C:$C,0)),""))</f>
        <v>4416002</v>
      </c>
      <c r="F604" s="12" t="str">
        <f aca="false">IF($E604="","Unmatched","Matched")</f>
        <v>Matched</v>
      </c>
    </row>
    <row r="605" customFormat="false" ht="15" hidden="false" customHeight="true" outlineLevel="0" collapsed="false">
      <c r="A605" s="12" t="s">
        <v>537</v>
      </c>
      <c r="B605" s="12" t="n">
        <v>2026</v>
      </c>
      <c r="C605" s="12" t="n">
        <v>-2</v>
      </c>
      <c r="D605" s="12" t="n">
        <v>-101.3</v>
      </c>
      <c r="E605" s="12" t="n">
        <f aca="false">IFERROR(INDEX('Catalog'!$A:$A,MATCH($A605,'Catalog'!$B:$B,0)),IFERROR(INDEX('Catalog'!$A:$A,MATCH(TRIM(SUBSTITUTE($A605,CHAR(160)," ")),'Catalog'!$C:$C,0)),""))</f>
        <v>4416003</v>
      </c>
      <c r="F605" s="12" t="str">
        <f aca="false">IF($E605="","Unmatched","Matched")</f>
        <v>Matched</v>
      </c>
    </row>
    <row r="606" customFormat="false" ht="15" hidden="false" customHeight="true" outlineLevel="0" collapsed="false">
      <c r="A606" s="12" t="s">
        <v>539</v>
      </c>
      <c r="B606" s="12" t="n">
        <v>2026</v>
      </c>
      <c r="C606" s="12" t="n">
        <v>-1</v>
      </c>
      <c r="D606" s="12" t="n">
        <v>-48.1</v>
      </c>
      <c r="E606" s="12" t="n">
        <f aca="false">IFERROR(INDEX('Catalog'!$A:$A,MATCH($A606,'Catalog'!$B:$B,0)),IFERROR(INDEX('Catalog'!$A:$A,MATCH(TRIM(SUBSTITUTE($A606,CHAR(160)," ")),'Catalog'!$C:$C,0)),""))</f>
        <v>4416006</v>
      </c>
      <c r="F606" s="12" t="str">
        <f aca="false">IF($E606="","Unmatched","Matched")</f>
        <v>Matched</v>
      </c>
    </row>
    <row r="607" customFormat="false" ht="15" hidden="false" customHeight="true" outlineLevel="0" collapsed="false">
      <c r="A607" s="12" t="s">
        <v>575</v>
      </c>
      <c r="B607" s="12" t="n">
        <v>2026</v>
      </c>
      <c r="C607" s="12" t="n">
        <v>-4</v>
      </c>
      <c r="D607" s="12" t="n">
        <v>-81.2</v>
      </c>
      <c r="E607" s="12" t="n">
        <f aca="false">IFERROR(INDEX('Catalog'!$A:$A,MATCH($A607,'Catalog'!$B:$B,0)),IFERROR(INDEX('Catalog'!$A:$A,MATCH(TRIM(SUBSTITUTE($A607,CHAR(160)," ")),'Catalog'!$C:$C,0)),""))</f>
        <v>4417000</v>
      </c>
      <c r="F607" s="12" t="str">
        <f aca="false">IF($E607="","Unmatched","Matched")</f>
        <v>Matched</v>
      </c>
    </row>
    <row r="608" customFormat="false" ht="15" hidden="false" customHeight="true" outlineLevel="0" collapsed="false">
      <c r="A608" s="12" t="s">
        <v>686</v>
      </c>
      <c r="B608" s="12" t="n">
        <v>2026</v>
      </c>
      <c r="C608" s="12" t="n">
        <v>431</v>
      </c>
      <c r="D608" s="12" t="n">
        <v>13864.9</v>
      </c>
      <c r="E608" s="12" t="n">
        <f aca="false">IFERROR(INDEX('Catalog'!$A:$A,MATCH($A608,'Catalog'!$B:$B,0)),IFERROR(INDEX('Catalog'!$A:$A,MATCH(TRIM(SUBSTITUTE($A608,CHAR(160)," ")),'Catalog'!$C:$C,0)),""))</f>
        <v>4418000</v>
      </c>
      <c r="F608" s="12" t="str">
        <f aca="false">IF($E608="","Unmatched","Matched")</f>
        <v>Matched</v>
      </c>
    </row>
    <row r="609" customFormat="false" ht="15" hidden="false" customHeight="true" outlineLevel="0" collapsed="false">
      <c r="A609" s="12" t="s">
        <v>687</v>
      </c>
      <c r="B609" s="12" t="n">
        <v>2026</v>
      </c>
      <c r="C609" s="12" t="n">
        <v>408</v>
      </c>
      <c r="D609" s="12" t="n">
        <v>12526</v>
      </c>
      <c r="E609" s="12" t="n">
        <f aca="false">IFERROR(INDEX('Catalog'!$A:$A,MATCH($A609,'Catalog'!$B:$B,0)),IFERROR(INDEX('Catalog'!$A:$A,MATCH(TRIM(SUBSTITUTE($A609,CHAR(160)," ")),'Catalog'!$C:$C,0)),""))</f>
        <v>4418001</v>
      </c>
      <c r="F609" s="12" t="str">
        <f aca="false">IF($E609="","Unmatched","Matched")</f>
        <v>Matched</v>
      </c>
    </row>
    <row r="610" customFormat="false" ht="15" hidden="false" customHeight="true" outlineLevel="0" collapsed="false">
      <c r="A610" s="12" t="s">
        <v>688</v>
      </c>
      <c r="B610" s="12" t="n">
        <v>2026</v>
      </c>
      <c r="C610" s="12" t="n">
        <v>268</v>
      </c>
      <c r="D610" s="12" t="n">
        <v>8507.3</v>
      </c>
      <c r="E610" s="12" t="n">
        <f aca="false">IFERROR(INDEX('Catalog'!$A:$A,MATCH($A610,'Catalog'!$B:$B,0)),IFERROR(INDEX('Catalog'!$A:$A,MATCH(TRIM(SUBSTITUTE($A610,CHAR(160)," ")),'Catalog'!$C:$C,0)),""))</f>
        <v>4418002</v>
      </c>
      <c r="F610" s="12" t="str">
        <f aca="false">IF($E610="","Unmatched","Matched")</f>
        <v>Matched</v>
      </c>
    </row>
    <row r="611" customFormat="false" ht="15" hidden="false" customHeight="true" outlineLevel="0" collapsed="false">
      <c r="A611" s="12" t="s">
        <v>689</v>
      </c>
      <c r="B611" s="12" t="n">
        <v>2026</v>
      </c>
      <c r="C611" s="12" t="n">
        <v>305</v>
      </c>
      <c r="D611" s="12" t="n">
        <v>9655.5</v>
      </c>
      <c r="E611" s="12" t="n">
        <f aca="false">IFERROR(INDEX('Catalog'!$A:$A,MATCH($A611,'Catalog'!$B:$B,0)),IFERROR(INDEX('Catalog'!$A:$A,MATCH(TRIM(SUBSTITUTE($A611,CHAR(160)," ")),'Catalog'!$C:$C,0)),""))</f>
        <v>4418003</v>
      </c>
      <c r="F611" s="12" t="str">
        <f aca="false">IF($E611="","Unmatched","Matched")</f>
        <v>Matched</v>
      </c>
    </row>
    <row r="612" customFormat="false" ht="15" hidden="false" customHeight="true" outlineLevel="0" collapsed="false">
      <c r="A612" s="12" t="s">
        <v>573</v>
      </c>
      <c r="B612" s="12" t="n">
        <v>2026</v>
      </c>
      <c r="C612" s="12" t="n">
        <v>-2</v>
      </c>
      <c r="D612" s="12" t="n">
        <v>-24.4</v>
      </c>
      <c r="E612" s="12" t="n">
        <f aca="false">IFERROR(INDEX('Catalog'!$A:$A,MATCH($A612,'Catalog'!$B:$B,0)),IFERROR(INDEX('Catalog'!$A:$A,MATCH(TRIM(SUBSTITUTE($A612,CHAR(160)," ")),'Catalog'!$C:$C,0)),""))</f>
        <v>4419006</v>
      </c>
      <c r="F612" s="12" t="str">
        <f aca="false">IF($E612="","Unmatched","Matched")</f>
        <v>Matched</v>
      </c>
    </row>
    <row r="613" customFormat="false" ht="15" hidden="false" customHeight="true" outlineLevel="0" collapsed="false">
      <c r="A613" s="12" t="s">
        <v>776</v>
      </c>
      <c r="B613" s="12" t="n">
        <v>2026</v>
      </c>
      <c r="C613" s="12" t="n">
        <v>28</v>
      </c>
      <c r="D613" s="12" t="n">
        <v>279.9</v>
      </c>
      <c r="E613" s="12" t="n">
        <f aca="false">IFERROR(INDEX('Catalog'!$A:$A,MATCH($A613,'Catalog'!$B:$B,0)),IFERROR(INDEX('Catalog'!$A:$A,MATCH(TRIM(SUBSTITUTE($A613,CHAR(160)," ")),'Catalog'!$C:$C,0)),""))</f>
        <v>4420001</v>
      </c>
      <c r="F613" s="12" t="str">
        <f aca="false">IF($E613="","Unmatched","Matched")</f>
        <v>Matched</v>
      </c>
    </row>
    <row r="614" customFormat="false" ht="15" hidden="false" customHeight="true" outlineLevel="0" collapsed="false">
      <c r="A614" s="12" t="s">
        <v>788</v>
      </c>
      <c r="B614" s="12" t="n">
        <v>2026</v>
      </c>
      <c r="C614" s="12" t="n">
        <v>-2</v>
      </c>
      <c r="D614" s="12" t="n">
        <v>-73</v>
      </c>
      <c r="E614" s="12" t="n">
        <f aca="false">IFERROR(INDEX('Catalog'!$A:$A,MATCH($A614,'Catalog'!$B:$B,0)),IFERROR(INDEX('Catalog'!$A:$A,MATCH(TRIM(SUBSTITUTE($A614,CHAR(160)," ")),'Catalog'!$C:$C,0)),""))</f>
        <v>4420005</v>
      </c>
      <c r="F614" s="12" t="str">
        <f aca="false">IF($E614="","Unmatched","Matched")</f>
        <v>Matched</v>
      </c>
    </row>
    <row r="615" customFormat="false" ht="15" hidden="false" customHeight="true" outlineLevel="0" collapsed="false">
      <c r="A615" s="12" t="s">
        <v>782</v>
      </c>
      <c r="B615" s="12" t="n">
        <v>2026</v>
      </c>
      <c r="C615" s="12" t="n">
        <v>-1</v>
      </c>
      <c r="D615" s="12" t="n">
        <v>-36.5</v>
      </c>
      <c r="E615" s="12" t="n">
        <f aca="false">IFERROR(INDEX('Catalog'!$A:$A,MATCH($A615,'Catalog'!$B:$B,0)),IFERROR(INDEX('Catalog'!$A:$A,MATCH(TRIM(SUBSTITUTE($A615,CHAR(160)," ")),'Catalog'!$C:$C,0)),""))</f>
        <v>4420006</v>
      </c>
      <c r="F615" s="12" t="str">
        <f aca="false">IF($E615="","Unmatched","Matched")</f>
        <v>Matched</v>
      </c>
    </row>
    <row r="616" customFormat="false" ht="15" hidden="false" customHeight="true" outlineLevel="0" collapsed="false">
      <c r="A616" s="12" t="s">
        <v>787</v>
      </c>
      <c r="B616" s="12" t="n">
        <v>2026</v>
      </c>
      <c r="C616" s="12" t="n">
        <v>-1</v>
      </c>
      <c r="D616" s="12" t="n">
        <v>-32.7</v>
      </c>
      <c r="E616" s="12" t="n">
        <f aca="false">IFERROR(INDEX('Catalog'!$A:$A,MATCH($A616,'Catalog'!$B:$B,0)),IFERROR(INDEX('Catalog'!$A:$A,MATCH(TRIM(SUBSTITUTE($A616,CHAR(160)," ")),'Catalog'!$C:$C,0)),""))</f>
        <v>4420010</v>
      </c>
      <c r="F616" s="12" t="str">
        <f aca="false">IF($E616="","Unmatched","Matched")</f>
        <v>Matched</v>
      </c>
    </row>
    <row r="617" customFormat="false" ht="15" hidden="false" customHeight="true" outlineLevel="0" collapsed="false">
      <c r="A617" s="12" t="s">
        <v>780</v>
      </c>
      <c r="B617" s="12" t="n">
        <v>2026</v>
      </c>
      <c r="C617" s="12" t="n">
        <v>-1</v>
      </c>
      <c r="D617" s="12" t="n">
        <v>-36.5</v>
      </c>
      <c r="E617" s="12" t="n">
        <f aca="false">IFERROR(INDEX('Catalog'!$A:$A,MATCH($A617,'Catalog'!$B:$B,0)),IFERROR(INDEX('Catalog'!$A:$A,MATCH(TRIM(SUBSTITUTE($A617,CHAR(160)," ")),'Catalog'!$C:$C,0)),""))</f>
        <v>4420012</v>
      </c>
      <c r="F617" s="12" t="str">
        <f aca="false">IF($E617="","Unmatched","Matched")</f>
        <v>Matched</v>
      </c>
    </row>
    <row r="618" customFormat="false" ht="15" hidden="false" customHeight="true" outlineLevel="0" collapsed="false">
      <c r="A618" s="12" t="s">
        <v>785</v>
      </c>
      <c r="B618" s="12" t="n">
        <v>2026</v>
      </c>
      <c r="C618" s="12" t="n">
        <v>-1</v>
      </c>
      <c r="D618" s="12" t="n">
        <v>-36.5</v>
      </c>
      <c r="E618" s="12" t="n">
        <f aca="false">IFERROR(INDEX('Catalog'!$A:$A,MATCH($A618,'Catalog'!$B:$B,0)),IFERROR(INDEX('Catalog'!$A:$A,MATCH(TRIM(SUBSTITUTE($A618,CHAR(160)," ")),'Catalog'!$C:$C,0)),""))</f>
        <v>4420015</v>
      </c>
      <c r="F618" s="12" t="str">
        <f aca="false">IF($E618="","Unmatched","Matched")</f>
        <v>Matched</v>
      </c>
    </row>
    <row r="619" customFormat="false" ht="15" hidden="false" customHeight="true" outlineLevel="0" collapsed="false">
      <c r="A619" s="12" t="s">
        <v>84</v>
      </c>
      <c r="B619" s="12" t="n">
        <v>2026</v>
      </c>
      <c r="C619" s="12" t="n">
        <v>461</v>
      </c>
      <c r="D619" s="12" t="n">
        <v>20707.1</v>
      </c>
      <c r="E619" s="12" t="n">
        <f aca="false">IFERROR(INDEX('Catalog'!$A:$A,MATCH($A619,'Catalog'!$B:$B,0)),IFERROR(INDEX('Catalog'!$A:$A,MATCH(TRIM(SUBSTITUTE($A619,CHAR(160)," ")),'Catalog'!$C:$C,0)),""))</f>
        <v>4420016</v>
      </c>
      <c r="F619" s="12" t="str">
        <f aca="false">IF($E619="","Unmatched","Matched")</f>
        <v>Matched</v>
      </c>
    </row>
    <row r="620" customFormat="false" ht="15" hidden="false" customHeight="true" outlineLevel="0" collapsed="false">
      <c r="A620" s="12" t="s">
        <v>85</v>
      </c>
      <c r="B620" s="12" t="n">
        <v>2026</v>
      </c>
      <c r="C620" s="12" t="n">
        <v>12</v>
      </c>
      <c r="D620" s="12" t="n">
        <v>1185.3</v>
      </c>
      <c r="E620" s="12" t="n">
        <f aca="false">IFERROR(INDEX('Catalog'!$A:$A,MATCH($A620,'Catalog'!$B:$B,0)),IFERROR(INDEX('Catalog'!$A:$A,MATCH(TRIM(SUBSTITUTE($A620,CHAR(160)," ")),'Catalog'!$C:$C,0)),""))</f>
        <v>4420017</v>
      </c>
      <c r="F620" s="12" t="str">
        <f aca="false">IF($E620="","Unmatched","Matched")</f>
        <v>Matched</v>
      </c>
    </row>
    <row r="621" customFormat="false" ht="15" hidden="false" customHeight="true" outlineLevel="0" collapsed="false">
      <c r="A621" s="12" t="s">
        <v>506</v>
      </c>
      <c r="B621" s="12" t="n">
        <v>2026</v>
      </c>
      <c r="C621" s="12" t="n">
        <v>-1</v>
      </c>
      <c r="D621" s="12" t="n">
        <v>-49.1</v>
      </c>
      <c r="E621" s="12" t="n">
        <f aca="false">IFERROR(INDEX('Catalog'!$A:$A,MATCH($A621,'Catalog'!$B:$B,0)),IFERROR(INDEX('Catalog'!$A:$A,MATCH(TRIM(SUBSTITUTE($A621,CHAR(160)," ")),'Catalog'!$C:$C,0)),""))</f>
        <v>4420019</v>
      </c>
      <c r="F621" s="12" t="str">
        <f aca="false">IF($E621="","Unmatched","Matched")</f>
        <v>Matched</v>
      </c>
    </row>
    <row r="622" customFormat="false" ht="15" hidden="false" customHeight="true" outlineLevel="0" collapsed="false">
      <c r="A622" s="12" t="s">
        <v>164</v>
      </c>
      <c r="B622" s="12" t="n">
        <v>2026</v>
      </c>
      <c r="C622" s="12" t="n">
        <v>-2</v>
      </c>
      <c r="D622" s="12" t="n">
        <v>-147.8</v>
      </c>
      <c r="E622" s="12" t="n">
        <f aca="false">IFERROR(INDEX('Catalog'!$A:$A,MATCH($A622,'Catalog'!$B:$B,0)),IFERROR(INDEX('Catalog'!$A:$A,MATCH(TRIM(SUBSTITUTE($A622,CHAR(160)," ")),'Catalog'!$C:$C,0)),""))</f>
        <v>4420021</v>
      </c>
      <c r="F622" s="12" t="str">
        <f aca="false">IF($E622="","Unmatched","Matched")</f>
        <v>Matched</v>
      </c>
    </row>
    <row r="623" customFormat="false" ht="15" hidden="false" customHeight="true" outlineLevel="0" collapsed="false">
      <c r="A623" s="12" t="s">
        <v>405</v>
      </c>
      <c r="B623" s="12" t="n">
        <v>2026</v>
      </c>
      <c r="C623" s="12" t="n">
        <v>1</v>
      </c>
      <c r="D623" s="12" t="n">
        <v>24.3</v>
      </c>
      <c r="E623" s="12" t="n">
        <f aca="false">IFERROR(INDEX('Catalog'!$A:$A,MATCH($A623,'Catalog'!$B:$B,0)),IFERROR(INDEX('Catalog'!$A:$A,MATCH(TRIM(SUBSTITUTE($A623,CHAR(160)," ")),'Catalog'!$C:$C,0)),""))</f>
        <v>4420023</v>
      </c>
      <c r="F623" s="12" t="str">
        <f aca="false">IF($E623="","Unmatched","Matched")</f>
        <v>Matched</v>
      </c>
    </row>
    <row r="624" customFormat="false" ht="15" hidden="false" customHeight="true" outlineLevel="0" collapsed="false">
      <c r="A624" s="12" t="s">
        <v>406</v>
      </c>
      <c r="B624" s="12" t="n">
        <v>2026</v>
      </c>
      <c r="C624" s="12" t="n">
        <v>-3</v>
      </c>
      <c r="D624" s="12" t="n">
        <v>-60.8</v>
      </c>
      <c r="E624" s="12" t="n">
        <f aca="false">IFERROR(INDEX('Catalog'!$A:$A,MATCH($A624,'Catalog'!$B:$B,0)),IFERROR(INDEX('Catalog'!$A:$A,MATCH(TRIM(SUBSTITUTE($A624,CHAR(160)," ")),'Catalog'!$C:$C,0)),""))</f>
        <v>4420025</v>
      </c>
      <c r="F624" s="12" t="str">
        <f aca="false">IF($E624="","Unmatched","Matched")</f>
        <v>Matched</v>
      </c>
    </row>
    <row r="625" customFormat="false" ht="15" hidden="false" customHeight="true" outlineLevel="0" collapsed="false">
      <c r="A625" s="12" t="s">
        <v>547</v>
      </c>
      <c r="B625" s="12" t="n">
        <v>2026</v>
      </c>
      <c r="C625" s="12" t="n">
        <v>724</v>
      </c>
      <c r="D625" s="12" t="n">
        <v>37711.2</v>
      </c>
      <c r="E625" s="12" t="n">
        <f aca="false">IFERROR(INDEX('Catalog'!$A:$A,MATCH($A625,'Catalog'!$B:$B,0)),IFERROR(INDEX('Catalog'!$A:$A,MATCH(TRIM(SUBSTITUTE($A625,CHAR(160)," ")),'Catalog'!$C:$C,0)),""))</f>
        <v>4421001</v>
      </c>
      <c r="F625" s="12" t="str">
        <f aca="false">IF($E625="","Unmatched","Matched")</f>
        <v>Matched</v>
      </c>
    </row>
    <row r="626" customFormat="false" ht="15" hidden="false" customHeight="true" outlineLevel="0" collapsed="false">
      <c r="A626" s="12" t="s">
        <v>838</v>
      </c>
      <c r="B626" s="12" t="n">
        <v>2026</v>
      </c>
      <c r="C626" s="12" t="n">
        <v>428</v>
      </c>
      <c r="D626" s="12" t="n">
        <v>7064.7</v>
      </c>
      <c r="E626" s="12" t="n">
        <f aca="false">IFERROR(INDEX('Catalog'!$A:$A,MATCH($A626,'Catalog'!$B:$B,0)),IFERROR(INDEX('Catalog'!$A:$A,MATCH(TRIM(SUBSTITUTE($A626,CHAR(160)," ")),'Catalog'!$C:$C,0)),""))</f>
        <v>4422000</v>
      </c>
      <c r="F626" s="12" t="str">
        <f aca="false">IF($E626="","Unmatched","Matched")</f>
        <v>Matched</v>
      </c>
    </row>
    <row r="627" customFormat="false" ht="15" hidden="false" customHeight="true" outlineLevel="0" collapsed="false">
      <c r="A627" s="12" t="s">
        <v>399</v>
      </c>
      <c r="B627" s="12" t="n">
        <v>2026</v>
      </c>
      <c r="C627" s="12" t="n">
        <v>6</v>
      </c>
      <c r="D627" s="12" t="n">
        <v>790.4</v>
      </c>
      <c r="E627" s="12" t="n">
        <f aca="false">IFERROR(INDEX('Catalog'!$A:$A,MATCH($A627,'Catalog'!$B:$B,0)),IFERROR(INDEX('Catalog'!$A:$A,MATCH(TRIM(SUBSTITUTE($A627,CHAR(160)," ")),'Catalog'!$C:$C,0)),""))</f>
        <v>4422005</v>
      </c>
      <c r="F627" s="12" t="str">
        <f aca="false">IF($E627="","Unmatched","Matched")</f>
        <v>Matched</v>
      </c>
    </row>
    <row r="628" customFormat="false" ht="15" hidden="false" customHeight="true" outlineLevel="0" collapsed="false">
      <c r="A628" s="12" t="s">
        <v>398</v>
      </c>
      <c r="B628" s="12" t="n">
        <v>2026</v>
      </c>
      <c r="C628" s="12" t="n">
        <v>6</v>
      </c>
      <c r="D628" s="12" t="n">
        <v>975.3</v>
      </c>
      <c r="E628" s="12" t="n">
        <f aca="false">IFERROR(INDEX('Catalog'!$A:$A,MATCH($A628,'Catalog'!$B:$B,0)),IFERROR(INDEX('Catalog'!$A:$A,MATCH(TRIM(SUBSTITUTE($A628,CHAR(160)," ")),'Catalog'!$C:$C,0)),""))</f>
        <v>4422006</v>
      </c>
      <c r="F628" s="12" t="str">
        <f aca="false">IF($E628="","Unmatched","Matched")</f>
        <v>Matched</v>
      </c>
    </row>
    <row r="629" customFormat="false" ht="15" hidden="false" customHeight="true" outlineLevel="0" collapsed="false">
      <c r="A629" s="12" t="s">
        <v>401</v>
      </c>
      <c r="B629" s="12" t="n">
        <v>2026</v>
      </c>
      <c r="C629" s="12" t="n">
        <v>6</v>
      </c>
      <c r="D629" s="12" t="n">
        <v>975.3</v>
      </c>
      <c r="E629" s="12" t="n">
        <f aca="false">IFERROR(INDEX('Catalog'!$A:$A,MATCH($A629,'Catalog'!$B:$B,0)),IFERROR(INDEX('Catalog'!$A:$A,MATCH(TRIM(SUBSTITUTE($A629,CHAR(160)," ")),'Catalog'!$C:$C,0)),""))</f>
        <v>4422007</v>
      </c>
      <c r="F629" s="12" t="str">
        <f aca="false">IF($E629="","Unmatched","Matched")</f>
        <v>Matched</v>
      </c>
    </row>
    <row r="630" customFormat="false" ht="15" hidden="false" customHeight="true" outlineLevel="0" collapsed="false">
      <c r="A630" s="12" t="s">
        <v>620</v>
      </c>
      <c r="B630" s="12" t="n">
        <v>2026</v>
      </c>
      <c r="C630" s="12" t="n">
        <v>3632</v>
      </c>
      <c r="D630" s="12" t="n">
        <v>245794.8</v>
      </c>
      <c r="E630" s="12" t="n">
        <f aca="false">IFERROR(INDEX('Catalog'!$A:$A,MATCH($A630,'Catalog'!$B:$B,0)),IFERROR(INDEX('Catalog'!$A:$A,MATCH(TRIM(SUBSTITUTE($A630,CHAR(160)," ")),'Catalog'!$C:$C,0)),""))</f>
        <v>4415158</v>
      </c>
      <c r="F630" s="12" t="str">
        <f aca="false">IF($E630="","Unmatched","Matched")</f>
        <v>Matched</v>
      </c>
    </row>
    <row r="631" customFormat="false" ht="15" hidden="false" customHeight="true" outlineLevel="0" collapsed="false">
      <c r="A631" s="12" t="s">
        <v>631</v>
      </c>
      <c r="B631" s="12" t="n">
        <v>2026</v>
      </c>
      <c r="C631" s="12" t="n">
        <v>128</v>
      </c>
      <c r="D631" s="12" t="n">
        <v>13023.1</v>
      </c>
      <c r="E631" s="12" t="n">
        <f aca="false">IFERROR(INDEX('Catalog'!$A:$A,MATCH($A631,'Catalog'!$B:$B,0)),IFERROR(INDEX('Catalog'!$A:$A,MATCH(TRIM(SUBSTITUTE($A631,CHAR(160)," ")),'Catalog'!$C:$C,0)),""))</f>
        <v>4415159</v>
      </c>
      <c r="F631" s="12" t="str">
        <f aca="false">IF($E631="","Unmatched","Matched")</f>
        <v>Matched</v>
      </c>
    </row>
    <row r="632" customFormat="false" ht="15" hidden="false" customHeight="true" outlineLevel="0" collapsed="false">
      <c r="A632" s="12" t="s">
        <v>207</v>
      </c>
      <c r="B632" s="12" t="n">
        <v>2026</v>
      </c>
      <c r="C632" s="12" t="n">
        <v>-5</v>
      </c>
      <c r="D632" s="12" t="n">
        <v>-258.6</v>
      </c>
      <c r="E632" s="12" t="n">
        <f aca="false">IFERROR(INDEX('Catalog'!$A:$A,MATCH($A632,'Catalog'!$B:$B,0)),IFERROR(INDEX('Catalog'!$A:$A,MATCH(TRIM(SUBSTITUTE($A632,CHAR(160)," ")),'Catalog'!$C:$C,0)),""))</f>
        <v>4403028</v>
      </c>
      <c r="F632" s="12" t="str">
        <f aca="false">IF($E632="","Unmatched","Matched")</f>
        <v>Matched</v>
      </c>
    </row>
    <row r="633" customFormat="false" ht="15" hidden="false" customHeight="true" outlineLevel="0" collapsed="false">
      <c r="A633" s="12" t="s">
        <v>208</v>
      </c>
      <c r="B633" s="12" t="n">
        <v>2026</v>
      </c>
      <c r="C633" s="12" t="n">
        <v>-3</v>
      </c>
      <c r="D633" s="12" t="n">
        <v>-153</v>
      </c>
      <c r="E633" s="12" t="n">
        <f aca="false">IFERROR(INDEX('Catalog'!$A:$A,MATCH($A633,'Catalog'!$B:$B,0)),IFERROR(INDEX('Catalog'!$A:$A,MATCH(TRIM(SUBSTITUTE($A633,CHAR(160)," ")),'Catalog'!$C:$C,0)),""))</f>
        <v>4403029</v>
      </c>
      <c r="F633" s="12" t="str">
        <f aca="false">IF($E633="","Unmatched","Matched")</f>
        <v>Matched</v>
      </c>
    </row>
    <row r="634" customFormat="false" ht="15" hidden="false" customHeight="true" outlineLevel="0" collapsed="false">
      <c r="A634" s="12" t="s">
        <v>209</v>
      </c>
      <c r="B634" s="12" t="n">
        <v>2026</v>
      </c>
      <c r="C634" s="12" t="n">
        <v>-2</v>
      </c>
      <c r="D634" s="12" t="n">
        <v>-102.9</v>
      </c>
      <c r="E634" s="12" t="n">
        <f aca="false">IFERROR(INDEX('Catalog'!$A:$A,MATCH($A634,'Catalog'!$B:$B,0)),IFERROR(INDEX('Catalog'!$A:$A,MATCH(TRIM(SUBSTITUTE($A634,CHAR(160)," ")),'Catalog'!$C:$C,0)),""))</f>
        <v>4403030</v>
      </c>
      <c r="F634" s="12" t="str">
        <f aca="false">IF($E634="","Unmatched","Matched")</f>
        <v>Matched</v>
      </c>
    </row>
    <row r="635" customFormat="false" ht="15" hidden="false" customHeight="true" outlineLevel="0" collapsed="false">
      <c r="A635" s="12" t="s">
        <v>237</v>
      </c>
      <c r="B635" s="12" t="n">
        <v>2026</v>
      </c>
      <c r="C635" s="12" t="n">
        <v>263</v>
      </c>
      <c r="D635" s="12" t="n">
        <v>24607.7</v>
      </c>
      <c r="E635" s="12" t="n">
        <f aca="false">IFERROR(INDEX('Catalog'!$A:$A,MATCH($A635,'Catalog'!$B:$B,0)),IFERROR(INDEX('Catalog'!$A:$A,MATCH(TRIM(SUBSTITUTE($A635,CHAR(160)," ")),'Catalog'!$C:$C,0)),""))</f>
        <v>4408219</v>
      </c>
      <c r="F635" s="12" t="str">
        <f aca="false">IF($E635="","Unmatched","Matched")</f>
        <v>Matched</v>
      </c>
    </row>
    <row r="636" customFormat="false" ht="15" hidden="false" customHeight="true" outlineLevel="0" collapsed="false">
      <c r="A636" s="12" t="s">
        <v>236</v>
      </c>
      <c r="B636" s="12" t="n">
        <v>2026</v>
      </c>
      <c r="C636" s="12" t="n">
        <v>807</v>
      </c>
      <c r="D636" s="12" t="n">
        <v>75572.3</v>
      </c>
      <c r="E636" s="12" t="n">
        <f aca="false">IFERROR(INDEX('Catalog'!$A:$A,MATCH($A636,'Catalog'!$B:$B,0)),IFERROR(INDEX('Catalog'!$A:$A,MATCH(TRIM(SUBSTITUTE($A636,CHAR(160)," ")),'Catalog'!$C:$C,0)),""))</f>
        <v>4408220</v>
      </c>
      <c r="F636" s="12" t="str">
        <f aca="false">IF($E636="","Unmatched","Matched")</f>
        <v>Matched</v>
      </c>
    </row>
    <row r="637" customFormat="false" ht="15" hidden="false" customHeight="true" outlineLevel="0" collapsed="false">
      <c r="A637" s="12" t="s">
        <v>235</v>
      </c>
      <c r="B637" s="12" t="n">
        <v>2026</v>
      </c>
      <c r="C637" s="12" t="n">
        <v>1180</v>
      </c>
      <c r="D637" s="12" t="n">
        <v>110437.7</v>
      </c>
      <c r="E637" s="12" t="n">
        <f aca="false">IFERROR(INDEX('Catalog'!$A:$A,MATCH($A637,'Catalog'!$B:$B,0)),IFERROR(INDEX('Catalog'!$A:$A,MATCH(TRIM(SUBSTITUTE($A637,CHAR(160)," ")),'Catalog'!$C:$C,0)),""))</f>
        <v>4408221</v>
      </c>
      <c r="F637" s="12" t="str">
        <f aca="false">IF($E637="","Unmatched","Matched")</f>
        <v>Matched</v>
      </c>
    </row>
    <row r="638" customFormat="false" ht="15" hidden="false" customHeight="true" outlineLevel="0" collapsed="false">
      <c r="A638" s="12" t="s">
        <v>238</v>
      </c>
      <c r="B638" s="12" t="n">
        <v>2026</v>
      </c>
      <c r="C638" s="12" t="n">
        <v>892</v>
      </c>
      <c r="D638" s="12" t="n">
        <v>83552.7</v>
      </c>
      <c r="E638" s="12" t="n">
        <f aca="false">IFERROR(INDEX('Catalog'!$A:$A,MATCH($A638,'Catalog'!$B:$B,0)),IFERROR(INDEX('Catalog'!$A:$A,MATCH(TRIM(SUBSTITUTE($A638,CHAR(160)," ")),'Catalog'!$C:$C,0)),""))</f>
        <v>4408222</v>
      </c>
      <c r="F638" s="12" t="str">
        <f aca="false">IF($E638="","Unmatched","Matched")</f>
        <v>Matched</v>
      </c>
    </row>
    <row r="639" customFormat="false" ht="15" hidden="false" customHeight="true" outlineLevel="0" collapsed="false">
      <c r="A639" s="12" t="s">
        <v>239</v>
      </c>
      <c r="B639" s="12" t="n">
        <v>2026</v>
      </c>
      <c r="C639" s="12" t="n">
        <v>95</v>
      </c>
      <c r="D639" s="12" t="n">
        <v>8894.8</v>
      </c>
      <c r="E639" s="12" t="n">
        <f aca="false">IFERROR(INDEX('Catalog'!$A:$A,MATCH($A639,'Catalog'!$B:$B,0)),IFERROR(INDEX('Catalog'!$A:$A,MATCH(TRIM(SUBSTITUTE($A639,CHAR(160)," ")),'Catalog'!$C:$C,0)),""))</f>
        <v>4408223</v>
      </c>
      <c r="F639" s="12" t="str">
        <f aca="false">IF($E639="","Unmatched","Matched")</f>
        <v>Matched</v>
      </c>
    </row>
    <row r="640" customFormat="false" ht="15" hidden="false" customHeight="true" outlineLevel="0" collapsed="false">
      <c r="A640" s="12" t="s">
        <v>333</v>
      </c>
      <c r="B640" s="12" t="n">
        <v>2026</v>
      </c>
      <c r="C640" s="12" t="n">
        <v>0</v>
      </c>
      <c r="D640" s="12" t="n">
        <v>25.9</v>
      </c>
      <c r="E640" s="12" t="n">
        <f aca="false">IFERROR(INDEX('Catalog'!$A:$A,MATCH($A640,'Catalog'!$B:$B,0)),IFERROR(INDEX('Catalog'!$A:$A,MATCH(TRIM(SUBSTITUTE($A640,CHAR(160)," ")),'Catalog'!$C:$C,0)),""))</f>
        <v>4408224</v>
      </c>
      <c r="F640" s="12" t="str">
        <f aca="false">IF($E640="","Unmatched","Matched")</f>
        <v>Matched</v>
      </c>
    </row>
    <row r="641" customFormat="false" ht="15" hidden="false" customHeight="true" outlineLevel="0" collapsed="false">
      <c r="A641" s="12" t="s">
        <v>330</v>
      </c>
      <c r="B641" s="12" t="n">
        <v>2026</v>
      </c>
      <c r="C641" s="12" t="n">
        <v>0</v>
      </c>
      <c r="D641" s="12" t="n">
        <v>68.2</v>
      </c>
      <c r="E641" s="12" t="n">
        <f aca="false">IFERROR(INDEX('Catalog'!$A:$A,MATCH($A641,'Catalog'!$B:$B,0)),IFERROR(INDEX('Catalog'!$A:$A,MATCH(TRIM(SUBSTITUTE($A641,CHAR(160)," ")),'Catalog'!$C:$C,0)),""))</f>
        <v>4408225</v>
      </c>
      <c r="F641" s="12" t="str">
        <f aca="false">IF($E641="","Unmatched","Matched")</f>
        <v>Matched</v>
      </c>
    </row>
    <row r="642" customFormat="false" ht="15" hidden="false" customHeight="true" outlineLevel="0" collapsed="false">
      <c r="A642" s="12" t="s">
        <v>329</v>
      </c>
      <c r="B642" s="12" t="n">
        <v>2026</v>
      </c>
      <c r="C642" s="12" t="n">
        <v>2</v>
      </c>
      <c r="D642" s="12" t="n">
        <v>203.1</v>
      </c>
      <c r="E642" s="12" t="n">
        <f aca="false">IFERROR(INDEX('Catalog'!$A:$A,MATCH($A642,'Catalog'!$B:$B,0)),IFERROR(INDEX('Catalog'!$A:$A,MATCH(TRIM(SUBSTITUTE($A642,CHAR(160)," ")),'Catalog'!$C:$C,0)),""))</f>
        <v>4408226</v>
      </c>
      <c r="F642" s="12" t="str">
        <f aca="false">IF($E642="","Unmatched","Matched")</f>
        <v>Matched</v>
      </c>
    </row>
    <row r="643" customFormat="false" ht="15" hidden="false" customHeight="true" outlineLevel="0" collapsed="false">
      <c r="A643" s="12" t="s">
        <v>341</v>
      </c>
      <c r="B643" s="12" t="n">
        <v>2026</v>
      </c>
      <c r="C643" s="12" t="n">
        <v>1</v>
      </c>
      <c r="D643" s="12" t="n">
        <v>132.3</v>
      </c>
      <c r="E643" s="12" t="n">
        <f aca="false">IFERROR(INDEX('Catalog'!$A:$A,MATCH($A643,'Catalog'!$B:$B,0)),IFERROR(INDEX('Catalog'!$A:$A,MATCH(TRIM(SUBSTITUTE($A643,CHAR(160)," ")),'Catalog'!$C:$C,0)),""))</f>
        <v>4408227</v>
      </c>
      <c r="F643" s="12" t="str">
        <f aca="false">IF($E643="","Unmatched","Matched")</f>
        <v>Matched</v>
      </c>
    </row>
    <row r="644" customFormat="false" ht="15" hidden="false" customHeight="true" outlineLevel="0" collapsed="false">
      <c r="A644" s="12" t="s">
        <v>342</v>
      </c>
      <c r="B644" s="12" t="n">
        <v>2026</v>
      </c>
      <c r="C644" s="12" t="n">
        <v>0</v>
      </c>
      <c r="D644" s="12" t="n">
        <v>17</v>
      </c>
      <c r="E644" s="12" t="n">
        <f aca="false">IFERROR(INDEX('Catalog'!$A:$A,MATCH($A644,'Catalog'!$B:$B,0)),IFERROR(INDEX('Catalog'!$A:$A,MATCH(TRIM(SUBSTITUTE($A644,CHAR(160)," ")),'Catalog'!$C:$C,0)),""))</f>
        <v>4408229</v>
      </c>
      <c r="F644" s="12" t="str">
        <f aca="false">IF($E644="","Unmatched","Matched")</f>
        <v>Matched</v>
      </c>
    </row>
    <row r="645" customFormat="false" ht="15" hidden="false" customHeight="true" outlineLevel="0" collapsed="false">
      <c r="A645" s="12" t="s">
        <v>720</v>
      </c>
      <c r="B645" s="12" t="n">
        <v>2026</v>
      </c>
      <c r="C645" s="12" t="n">
        <v>-1</v>
      </c>
      <c r="D645" s="12" t="n">
        <v>-131.1</v>
      </c>
      <c r="E645" s="12" t="n">
        <f aca="false">IFERROR(INDEX('Catalog'!$A:$A,MATCH($A645,'Catalog'!$B:$B,0)),IFERROR(INDEX('Catalog'!$A:$A,MATCH(TRIM(SUBSTITUTE($A645,CHAR(160)," ")),'Catalog'!$C:$C,0)),""))</f>
        <v>4413338</v>
      </c>
      <c r="F645" s="12" t="str">
        <f aca="false">IF($E645="","Unmatched","Matched")</f>
        <v>Matched</v>
      </c>
    </row>
    <row r="646" customFormat="false" ht="15" hidden="false" customHeight="true" outlineLevel="0" collapsed="false">
      <c r="A646" s="12" t="s">
        <v>307</v>
      </c>
      <c r="B646" s="12" t="n">
        <v>2026</v>
      </c>
      <c r="C646" s="12" t="n">
        <v>30</v>
      </c>
      <c r="D646" s="12" t="n">
        <v>3110.5</v>
      </c>
      <c r="E646" s="12" t="n">
        <f aca="false">IFERROR(INDEX('Catalog'!$A:$A,MATCH($A646,'Catalog'!$B:$B,0)),IFERROR(INDEX('Catalog'!$A:$A,MATCH(TRIM(SUBSTITUTE($A646,CHAR(160)," ")),'Catalog'!$C:$C,0)),""))</f>
        <v>4408230</v>
      </c>
      <c r="F646" s="12" t="str">
        <f aca="false">IF($E646="","Unmatched","Matched")</f>
        <v>Matched</v>
      </c>
    </row>
    <row r="647" customFormat="false" ht="15" hidden="false" customHeight="true" outlineLevel="0" collapsed="false">
      <c r="A647" s="12" t="s">
        <v>308</v>
      </c>
      <c r="B647" s="12" t="n">
        <v>2026</v>
      </c>
      <c r="C647" s="12" t="n">
        <v>14</v>
      </c>
      <c r="D647" s="12" t="n">
        <v>1394.5</v>
      </c>
      <c r="E647" s="12" t="n">
        <f aca="false">IFERROR(INDEX('Catalog'!$A:$A,MATCH($A647,'Catalog'!$B:$B,0)),IFERROR(INDEX('Catalog'!$A:$A,MATCH(TRIM(SUBSTITUTE($A647,CHAR(160)," ")),'Catalog'!$C:$C,0)),""))</f>
        <v>4408231</v>
      </c>
      <c r="F647" s="12" t="str">
        <f aca="false">IF($E647="","Unmatched","Matched")</f>
        <v>Matched</v>
      </c>
    </row>
    <row r="648" customFormat="false" ht="15" hidden="false" customHeight="true" outlineLevel="0" collapsed="false">
      <c r="A648" s="12" t="s">
        <v>231</v>
      </c>
      <c r="B648" s="12" t="n">
        <v>2026</v>
      </c>
      <c r="C648" s="12" t="n">
        <v>-2</v>
      </c>
      <c r="D648" s="12" t="n">
        <v>-179.7</v>
      </c>
      <c r="E648" s="12" t="n">
        <f aca="false">IFERROR(INDEX('Catalog'!$A:$A,MATCH($A648,'Catalog'!$B:$B,0)),IFERROR(INDEX('Catalog'!$A:$A,MATCH(TRIM(SUBSTITUTE($A648,CHAR(160)," ")),'Catalog'!$C:$C,0)),""))</f>
        <v>4408234</v>
      </c>
      <c r="F648" s="12" t="str">
        <f aca="false">IF($E648="","Unmatched","Matched")</f>
        <v>Matched</v>
      </c>
    </row>
    <row r="649" customFormat="false" ht="15" hidden="false" customHeight="true" outlineLevel="0" collapsed="false">
      <c r="A649" s="12" t="s">
        <v>232</v>
      </c>
      <c r="B649" s="12" t="n">
        <v>2026</v>
      </c>
      <c r="C649" s="12" t="n">
        <v>-14</v>
      </c>
      <c r="D649" s="12" t="n">
        <v>-1290</v>
      </c>
      <c r="E649" s="12" t="n">
        <f aca="false">IFERROR(INDEX('Catalog'!$A:$A,MATCH($A649,'Catalog'!$B:$B,0)),IFERROR(INDEX('Catalog'!$A:$A,MATCH(TRIM(SUBSTITUTE($A649,CHAR(160)," ")),'Catalog'!$C:$C,0)),""))</f>
        <v>4408235</v>
      </c>
      <c r="F649" s="12" t="str">
        <f aca="false">IF($E649="","Unmatched","Matched")</f>
        <v>Matched</v>
      </c>
    </row>
    <row r="650" customFormat="false" ht="15" hidden="false" customHeight="true" outlineLevel="0" collapsed="false">
      <c r="A650" s="12" t="s">
        <v>233</v>
      </c>
      <c r="B650" s="12" t="n">
        <v>2026</v>
      </c>
      <c r="C650" s="12" t="n">
        <v>-1</v>
      </c>
      <c r="D650" s="12" t="n">
        <v>-92.1</v>
      </c>
      <c r="E650" s="12" t="n">
        <f aca="false">IFERROR(INDEX('Catalog'!$A:$A,MATCH($A650,'Catalog'!$B:$B,0)),IFERROR(INDEX('Catalog'!$A:$A,MATCH(TRIM(SUBSTITUTE($A650,CHAR(160)," ")),'Catalog'!$C:$C,0)),""))</f>
        <v>4408236</v>
      </c>
      <c r="F650" s="12" t="str">
        <f aca="false">IF($E650="","Unmatched","Matched")</f>
        <v>Matched</v>
      </c>
    </row>
    <row r="651" customFormat="false" ht="15" hidden="false" customHeight="true" outlineLevel="0" collapsed="false">
      <c r="A651" s="12" t="s">
        <v>288</v>
      </c>
      <c r="B651" s="12" t="n">
        <v>2026</v>
      </c>
      <c r="C651" s="12" t="n">
        <v>-1</v>
      </c>
      <c r="D651" s="12" t="n">
        <v>-77.8</v>
      </c>
      <c r="E651" s="12" t="n">
        <f aca="false">IFERROR(INDEX('Catalog'!$A:$A,MATCH($A651,'Catalog'!$B:$B,0)),IFERROR(INDEX('Catalog'!$A:$A,MATCH(TRIM(SUBSTITUTE($A651,CHAR(160)," ")),'Catalog'!$C:$C,0)),""))</f>
        <v>4408240</v>
      </c>
      <c r="F651" s="12" t="str">
        <f aca="false">IF($E651="","Unmatched","Matched")</f>
        <v>Matched</v>
      </c>
    </row>
    <row r="652" customFormat="false" ht="15" hidden="false" customHeight="true" outlineLevel="0" collapsed="false">
      <c r="A652" s="12" t="s">
        <v>354</v>
      </c>
      <c r="B652" s="12" t="n">
        <v>2026</v>
      </c>
      <c r="C652" s="12" t="n">
        <v>387</v>
      </c>
      <c r="D652" s="12" t="n">
        <v>15624.9</v>
      </c>
      <c r="E652" s="12" t="n">
        <f aca="false">IFERROR(INDEX('Catalog'!$A:$A,MATCH($A652,'Catalog'!$B:$B,0)),IFERROR(INDEX('Catalog'!$A:$A,MATCH(TRIM(SUBSTITUTE($A652,CHAR(160)," ")),'Catalog'!$C:$C,0)),""))</f>
        <v>4409014</v>
      </c>
      <c r="F652" s="12" t="str">
        <f aca="false">IF($E652="","Unmatched","Matched")</f>
        <v>Matched</v>
      </c>
    </row>
    <row r="653" customFormat="false" ht="15" hidden="false" customHeight="true" outlineLevel="0" collapsed="false">
      <c r="A653" s="12" t="s">
        <v>352</v>
      </c>
      <c r="B653" s="12" t="n">
        <v>2026</v>
      </c>
      <c r="C653" s="12" t="n">
        <v>711</v>
      </c>
      <c r="D653" s="12" t="n">
        <v>28682.6</v>
      </c>
      <c r="E653" s="12" t="n">
        <f aca="false">IFERROR(INDEX('Catalog'!$A:$A,MATCH($A653,'Catalog'!$B:$B,0)),IFERROR(INDEX('Catalog'!$A:$A,MATCH(TRIM(SUBSTITUTE($A653,CHAR(160)," ")),'Catalog'!$C:$C,0)),""))</f>
        <v>4409015</v>
      </c>
      <c r="F653" s="12" t="str">
        <f aca="false">IF($E653="","Unmatched","Matched")</f>
        <v>Matched</v>
      </c>
    </row>
    <row r="654" customFormat="false" ht="15" hidden="false" customHeight="true" outlineLevel="0" collapsed="false">
      <c r="A654" s="12" t="s">
        <v>353</v>
      </c>
      <c r="B654" s="12" t="n">
        <v>2026</v>
      </c>
      <c r="C654" s="12" t="n">
        <v>779</v>
      </c>
      <c r="D654" s="12" t="n">
        <v>31161.7</v>
      </c>
      <c r="E654" s="12" t="n">
        <f aca="false">IFERROR(INDEX('Catalog'!$A:$A,MATCH($A654,'Catalog'!$B:$B,0)),IFERROR(INDEX('Catalog'!$A:$A,MATCH(TRIM(SUBSTITUTE($A654,CHAR(160)," ")),'Catalog'!$C:$C,0)),""))</f>
        <v>4409016</v>
      </c>
      <c r="F654" s="12" t="str">
        <f aca="false">IF($E654="","Unmatched","Matched")</f>
        <v>Matched</v>
      </c>
    </row>
    <row r="655" customFormat="false" ht="15" hidden="false" customHeight="true" outlineLevel="0" collapsed="false">
      <c r="A655" s="12" t="s">
        <v>351</v>
      </c>
      <c r="B655" s="12" t="n">
        <v>2026</v>
      </c>
      <c r="C655" s="12" t="n">
        <v>705</v>
      </c>
      <c r="D655" s="12" t="n">
        <v>28253.3</v>
      </c>
      <c r="E655" s="12" t="n">
        <f aca="false">IFERROR(INDEX('Catalog'!$A:$A,MATCH($A655,'Catalog'!$B:$B,0)),IFERROR(INDEX('Catalog'!$A:$A,MATCH(TRIM(SUBSTITUTE($A655,CHAR(160)," ")),'Catalog'!$C:$C,0)),""))</f>
        <v>4409017</v>
      </c>
      <c r="F655" s="12" t="str">
        <f aca="false">IF($E655="","Unmatched","Matched")</f>
        <v>Matched</v>
      </c>
    </row>
    <row r="656" customFormat="false" ht="15" hidden="false" customHeight="true" outlineLevel="0" collapsed="false">
      <c r="A656" s="12" t="s">
        <v>536</v>
      </c>
      <c r="B656" s="12" t="n">
        <v>2026</v>
      </c>
      <c r="C656" s="12" t="n">
        <v>216</v>
      </c>
      <c r="D656" s="12" t="n">
        <v>17427.9</v>
      </c>
      <c r="E656" s="12" t="n">
        <f aca="false">IFERROR(INDEX('Catalog'!$A:$A,MATCH($A656,'Catalog'!$B:$B,0)),IFERROR(INDEX('Catalog'!$A:$A,MATCH(TRIM(SUBSTITUTE($A656,CHAR(160)," ")),'Catalog'!$C:$C,0)),""))</f>
        <v>4411016</v>
      </c>
      <c r="F656" s="12" t="str">
        <f aca="false">IF($E656="","Unmatched","Matched")</f>
        <v>Matched</v>
      </c>
    </row>
    <row r="657" customFormat="false" ht="15" hidden="false" customHeight="true" outlineLevel="0" collapsed="false">
      <c r="A657" s="12" t="s">
        <v>494</v>
      </c>
      <c r="B657" s="12" t="n">
        <v>2026</v>
      </c>
      <c r="C657" s="12" t="n">
        <v>687</v>
      </c>
      <c r="D657" s="12" t="n">
        <v>17905.6</v>
      </c>
      <c r="E657" s="12" t="n">
        <f aca="false">IFERROR(INDEX('Catalog'!$A:$A,MATCH($A657,'Catalog'!$B:$B,0)),IFERROR(INDEX('Catalog'!$A:$A,MATCH(TRIM(SUBSTITUTE($A657,CHAR(160)," ")),'Catalog'!$C:$C,0)),""))</f>
        <v>4413364</v>
      </c>
      <c r="F657" s="12" t="str">
        <f aca="false">IF($E657="","Unmatched","Matched")</f>
        <v>Matched</v>
      </c>
    </row>
    <row r="658" customFormat="false" ht="15" hidden="false" customHeight="true" outlineLevel="0" collapsed="false">
      <c r="A658" s="12" t="s">
        <v>493</v>
      </c>
      <c r="B658" s="12" t="n">
        <v>2026</v>
      </c>
      <c r="C658" s="12" t="n">
        <v>450</v>
      </c>
      <c r="D658" s="12" t="n">
        <v>11781.5</v>
      </c>
      <c r="E658" s="12" t="n">
        <f aca="false">IFERROR(INDEX('Catalog'!$A:$A,MATCH($A658,'Catalog'!$B:$B,0)),IFERROR(INDEX('Catalog'!$A:$A,MATCH(TRIM(SUBSTITUTE($A658,CHAR(160)," ")),'Catalog'!$C:$C,0)),""))</f>
        <v>4413365</v>
      </c>
      <c r="F658" s="12" t="str">
        <f aca="false">IF($E658="","Unmatched","Matched")</f>
        <v>Matched</v>
      </c>
    </row>
    <row r="659" customFormat="false" ht="15" hidden="false" customHeight="true" outlineLevel="0" collapsed="false">
      <c r="A659" s="12" t="s">
        <v>495</v>
      </c>
      <c r="B659" s="12" t="n">
        <v>2026</v>
      </c>
      <c r="C659" s="12" t="n">
        <v>579</v>
      </c>
      <c r="D659" s="12" t="n">
        <v>15088</v>
      </c>
      <c r="E659" s="12" t="n">
        <f aca="false">IFERROR(INDEX('Catalog'!$A:$A,MATCH($A659,'Catalog'!$B:$B,0)),IFERROR(INDEX('Catalog'!$A:$A,MATCH(TRIM(SUBSTITUTE($A659,CHAR(160)," ")),'Catalog'!$C:$C,0)),""))</f>
        <v>4413366</v>
      </c>
      <c r="F659" s="12" t="str">
        <f aca="false">IF($E659="","Unmatched","Matched")</f>
        <v>Matched</v>
      </c>
    </row>
    <row r="660" customFormat="false" ht="15" hidden="false" customHeight="true" outlineLevel="0" collapsed="false">
      <c r="A660" s="12" t="s">
        <v>496</v>
      </c>
      <c r="B660" s="12" t="n">
        <v>2026</v>
      </c>
      <c r="C660" s="12" t="n">
        <v>227</v>
      </c>
      <c r="D660" s="12" t="n">
        <v>5925.1</v>
      </c>
      <c r="E660" s="12" t="n">
        <f aca="false">IFERROR(INDEX('Catalog'!$A:$A,MATCH($A660,'Catalog'!$B:$B,0)),IFERROR(INDEX('Catalog'!$A:$A,MATCH(TRIM(SUBSTITUTE($A660,CHAR(160)," ")),'Catalog'!$C:$C,0)),""))</f>
        <v>4413367</v>
      </c>
      <c r="F660" s="12" t="str">
        <f aca="false">IF($E660="","Unmatched","Matched")</f>
        <v>Matched</v>
      </c>
    </row>
    <row r="661" customFormat="false" ht="15" hidden="false" customHeight="true" outlineLevel="0" collapsed="false">
      <c r="A661" s="12" t="s">
        <v>560</v>
      </c>
      <c r="B661" s="12" t="n">
        <v>2026</v>
      </c>
      <c r="C661" s="12" t="n">
        <v>1418</v>
      </c>
      <c r="D661" s="12" t="n">
        <v>49012.5</v>
      </c>
      <c r="E661" s="12" t="n">
        <f aca="false">IFERROR(INDEX('Catalog'!$A:$A,MATCH($A661,'Catalog'!$B:$B,0)),IFERROR(INDEX('Catalog'!$A:$A,MATCH(TRIM(SUBSTITUTE($A661,CHAR(160)," ")),'Catalog'!$C:$C,0)),""))</f>
        <v>4413370</v>
      </c>
      <c r="F661" s="12" t="str">
        <f aca="false">IF($E661="","Unmatched","Matched")</f>
        <v>Matched</v>
      </c>
    </row>
    <row r="662" customFormat="false" ht="15" hidden="false" customHeight="true" outlineLevel="0" collapsed="false">
      <c r="A662" s="12" t="s">
        <v>561</v>
      </c>
      <c r="B662" s="12" t="n">
        <v>2026</v>
      </c>
      <c r="C662" s="12" t="n">
        <v>69</v>
      </c>
      <c r="D662" s="12" t="n">
        <v>1774.1</v>
      </c>
      <c r="E662" s="12" t="n">
        <f aca="false">IFERROR(INDEX('Catalog'!$A:$A,MATCH($A662,'Catalog'!$B:$B,0)),IFERROR(INDEX('Catalog'!$A:$A,MATCH(TRIM(SUBSTITUTE($A662,CHAR(160)," ")),'Catalog'!$C:$C,0)),""))</f>
        <v>4413371</v>
      </c>
      <c r="F662" s="12" t="str">
        <f aca="false">IF($E662="","Unmatched","Matched")</f>
        <v>Matched</v>
      </c>
    </row>
    <row r="663" customFormat="false" ht="15" hidden="false" customHeight="true" outlineLevel="0" collapsed="false">
      <c r="A663" s="12" t="s">
        <v>140</v>
      </c>
      <c r="B663" s="12" t="n">
        <v>2026</v>
      </c>
      <c r="C663" s="12" t="n">
        <v>827</v>
      </c>
      <c r="D663" s="12" t="n">
        <v>25822.3</v>
      </c>
      <c r="E663" s="12" t="n">
        <f aca="false">IFERROR(INDEX('Catalog'!$A:$A,MATCH($A663,'Catalog'!$B:$B,0)),IFERROR(INDEX('Catalog'!$A:$A,MATCH(TRIM(SUBSTITUTE($A663,CHAR(160)," ")),'Catalog'!$C:$C,0)),""))</f>
        <v>4413394</v>
      </c>
      <c r="F663" s="12" t="str">
        <f aca="false">IF($E663="","Unmatched","Matched")</f>
        <v>Matched</v>
      </c>
    </row>
    <row r="664" customFormat="false" ht="15" hidden="false" customHeight="true" outlineLevel="0" collapsed="false">
      <c r="A664" s="12" t="s">
        <v>139</v>
      </c>
      <c r="B664" s="12" t="n">
        <v>2026</v>
      </c>
      <c r="C664" s="12" t="n">
        <v>2153</v>
      </c>
      <c r="D664" s="12" t="n">
        <v>67409.5</v>
      </c>
      <c r="E664" s="12" t="n">
        <f aca="false">IFERROR(INDEX('Catalog'!$A:$A,MATCH($A664,'Catalog'!$B:$B,0)),IFERROR(INDEX('Catalog'!$A:$A,MATCH(TRIM(SUBSTITUTE($A664,CHAR(160)," ")),'Catalog'!$C:$C,0)),""))</f>
        <v>4413395</v>
      </c>
      <c r="F664" s="12" t="str">
        <f aca="false">IF($E664="","Unmatched","Matched")</f>
        <v>Matched</v>
      </c>
    </row>
    <row r="665" customFormat="false" ht="15" hidden="false" customHeight="true" outlineLevel="0" collapsed="false">
      <c r="A665" s="12" t="s">
        <v>138</v>
      </c>
      <c r="B665" s="12" t="n">
        <v>2026</v>
      </c>
      <c r="C665" s="12" t="n">
        <v>2295</v>
      </c>
      <c r="D665" s="12" t="n">
        <v>71655.7</v>
      </c>
      <c r="E665" s="12" t="n">
        <f aca="false">IFERROR(INDEX('Catalog'!$A:$A,MATCH($A665,'Catalog'!$B:$B,0)),IFERROR(INDEX('Catalog'!$A:$A,MATCH(TRIM(SUBSTITUTE($A665,CHAR(160)," ")),'Catalog'!$C:$C,0)),""))</f>
        <v>4413396</v>
      </c>
      <c r="F665" s="12" t="str">
        <f aca="false">IF($E665="","Unmatched","Matched")</f>
        <v>Matched</v>
      </c>
    </row>
    <row r="666" customFormat="false" ht="15" hidden="false" customHeight="true" outlineLevel="0" collapsed="false">
      <c r="A666" s="12" t="s">
        <v>141</v>
      </c>
      <c r="B666" s="12" t="n">
        <v>2026</v>
      </c>
      <c r="C666" s="12" t="n">
        <v>1686</v>
      </c>
      <c r="D666" s="12" t="n">
        <v>52766.9</v>
      </c>
      <c r="E666" s="12" t="n">
        <f aca="false">IFERROR(INDEX('Catalog'!$A:$A,MATCH($A666,'Catalog'!$B:$B,0)),IFERROR(INDEX('Catalog'!$A:$A,MATCH(TRIM(SUBSTITUTE($A666,CHAR(160)," ")),'Catalog'!$C:$C,0)),""))</f>
        <v>4413397</v>
      </c>
      <c r="F666" s="12" t="str">
        <f aca="false">IF($E666="","Unmatched","Matched")</f>
        <v>Matched</v>
      </c>
    </row>
    <row r="667" customFormat="false" ht="15" hidden="false" customHeight="true" outlineLevel="0" collapsed="false">
      <c r="A667" s="12" t="s">
        <v>142</v>
      </c>
      <c r="B667" s="12" t="n">
        <v>2026</v>
      </c>
      <c r="C667" s="12" t="n">
        <v>169</v>
      </c>
      <c r="D667" s="12" t="n">
        <v>5272.3</v>
      </c>
      <c r="E667" s="12" t="n">
        <f aca="false">IFERROR(INDEX('Catalog'!$A:$A,MATCH($A667,'Catalog'!$B:$B,0)),IFERROR(INDEX('Catalog'!$A:$A,MATCH(TRIM(SUBSTITUTE($A667,CHAR(160)," ")),'Catalog'!$C:$C,0)),""))</f>
        <v>4413398</v>
      </c>
      <c r="F667" s="12" t="str">
        <f aca="false">IF($E667="","Unmatched","Matched")</f>
        <v>Matched</v>
      </c>
    </row>
    <row r="668" customFormat="false" ht="15" hidden="false" customHeight="true" outlineLevel="0" collapsed="false">
      <c r="A668" s="12" t="s">
        <v>387</v>
      </c>
      <c r="B668" s="12" t="n">
        <v>2026</v>
      </c>
      <c r="C668" s="12" t="n">
        <v>-1</v>
      </c>
      <c r="D668" s="12" t="n">
        <v>-208.4</v>
      </c>
      <c r="E668" s="12" t="n">
        <f aca="false">IFERROR(INDEX('Catalog'!$A:$A,MATCH($A668,'Catalog'!$B:$B,0)),IFERROR(INDEX('Catalog'!$A:$A,MATCH(TRIM(SUBSTITUTE($A668,CHAR(160)," ")),'Catalog'!$C:$C,0)),""))</f>
        <v>4413403</v>
      </c>
      <c r="F668" s="12" t="str">
        <f aca="false">IF($E668="","Unmatched","Matched")</f>
        <v>Matched</v>
      </c>
    </row>
    <row r="669" customFormat="false" ht="15" hidden="false" customHeight="true" outlineLevel="0" collapsed="false">
      <c r="A669" s="12" t="s">
        <v>607</v>
      </c>
      <c r="B669" s="12" t="n">
        <v>2026</v>
      </c>
      <c r="C669" s="12" t="n">
        <v>1525</v>
      </c>
      <c r="D669" s="12" t="n">
        <v>22856</v>
      </c>
      <c r="E669" s="12" t="n">
        <f aca="false">IFERROR(INDEX('Catalog'!$A:$A,MATCH($A669,'Catalog'!$B:$B,0)),IFERROR(INDEX('Catalog'!$A:$A,MATCH(TRIM(SUBSTITUTE($A669,CHAR(160)," ")),'Catalog'!$C:$C,0)),""))</f>
        <v>4415160</v>
      </c>
      <c r="F669" s="12" t="str">
        <f aca="false">IF($E669="","Unmatched","Matched")</f>
        <v>Matched</v>
      </c>
    </row>
    <row r="670" customFormat="false" ht="15" hidden="false" customHeight="true" outlineLevel="0" collapsed="false">
      <c r="A670" s="12" t="s">
        <v>606</v>
      </c>
      <c r="B670" s="12" t="n">
        <v>2026</v>
      </c>
      <c r="C670" s="12" t="n">
        <v>1845</v>
      </c>
      <c r="D670" s="12" t="n">
        <v>27547.4</v>
      </c>
      <c r="E670" s="12" t="n">
        <f aca="false">IFERROR(INDEX('Catalog'!$A:$A,MATCH($A670,'Catalog'!$B:$B,0)),IFERROR(INDEX('Catalog'!$A:$A,MATCH(TRIM(SUBSTITUTE($A670,CHAR(160)," ")),'Catalog'!$C:$C,0)),""))</f>
        <v>4415161</v>
      </c>
      <c r="F670" s="12" t="str">
        <f aca="false">IF($E670="","Unmatched","Matched")</f>
        <v>Matched</v>
      </c>
    </row>
    <row r="671" customFormat="false" ht="15" hidden="false" customHeight="true" outlineLevel="0" collapsed="false">
      <c r="A671" s="12" t="s">
        <v>605</v>
      </c>
      <c r="B671" s="12" t="n">
        <v>2026</v>
      </c>
      <c r="C671" s="12" t="n">
        <v>1704</v>
      </c>
      <c r="D671" s="12" t="n">
        <v>25451.8</v>
      </c>
      <c r="E671" s="12" t="n">
        <f aca="false">IFERROR(INDEX('Catalog'!$A:$A,MATCH($A671,'Catalog'!$B:$B,0)),IFERROR(INDEX('Catalog'!$A:$A,MATCH(TRIM(SUBSTITUTE($A671,CHAR(160)," ")),'Catalog'!$C:$C,0)),""))</f>
        <v>4415162</v>
      </c>
      <c r="F671" s="12" t="str">
        <f aca="false">IF($E671="","Unmatched","Matched")</f>
        <v>Matched</v>
      </c>
    </row>
    <row r="672" customFormat="false" ht="15" hidden="false" customHeight="true" outlineLevel="0" collapsed="false">
      <c r="A672" s="12" t="s">
        <v>608</v>
      </c>
      <c r="B672" s="12" t="n">
        <v>2026</v>
      </c>
      <c r="C672" s="12" t="n">
        <v>1023</v>
      </c>
      <c r="D672" s="12" t="n">
        <v>15302.1</v>
      </c>
      <c r="E672" s="12" t="n">
        <f aca="false">IFERROR(INDEX('Catalog'!$A:$A,MATCH($A672,'Catalog'!$B:$B,0)),IFERROR(INDEX('Catalog'!$A:$A,MATCH(TRIM(SUBSTITUTE($A672,CHAR(160)," ")),'Catalog'!$C:$C,0)),""))</f>
        <v>4415163</v>
      </c>
      <c r="F672" s="12" t="str">
        <f aca="false">IF($E672="","Unmatched","Matched")</f>
        <v>Matched</v>
      </c>
    </row>
    <row r="673" customFormat="false" ht="15" hidden="false" customHeight="true" outlineLevel="0" collapsed="false">
      <c r="A673" s="12" t="s">
        <v>545</v>
      </c>
      <c r="B673" s="12" t="n">
        <v>2026</v>
      </c>
      <c r="C673" s="12" t="n">
        <v>-3</v>
      </c>
      <c r="D673" s="12" t="n">
        <v>-58.3</v>
      </c>
      <c r="E673" s="12" t="n">
        <f aca="false">IFERROR(INDEX('Catalog'!$A:$A,MATCH($A673,'Catalog'!$B:$B,0)),IFERROR(INDEX('Catalog'!$A:$A,MATCH(TRIM(SUBSTITUTE($A673,CHAR(160)," ")),'Catalog'!$C:$C,0)),""))</f>
        <v>4415297</v>
      </c>
      <c r="F673" s="12" t="str">
        <f aca="false">IF($E673="","Unmatched","Matched")</f>
        <v>Matched</v>
      </c>
    </row>
    <row r="674" customFormat="false" ht="15" hidden="false" customHeight="true" outlineLevel="0" collapsed="false">
      <c r="A674" s="12" t="s">
        <v>775</v>
      </c>
      <c r="B674" s="12" t="n">
        <v>2026</v>
      </c>
      <c r="C674" s="12" t="n">
        <v>56</v>
      </c>
      <c r="D674" s="12" t="n">
        <v>574.5</v>
      </c>
      <c r="E674" s="12" t="n">
        <f aca="false">IFERROR(INDEX('Catalog'!$A:$A,MATCH($A674,'Catalog'!$B:$B,0)),IFERROR(INDEX('Catalog'!$A:$A,MATCH(TRIM(SUBSTITUTE($A674,CHAR(160)," ")),'Catalog'!$C:$C,0)),""))</f>
        <v>4420027</v>
      </c>
      <c r="F674" s="12" t="str">
        <f aca="false">IF($E674="","Unmatched","Matched")</f>
        <v>Matched</v>
      </c>
    </row>
    <row r="675" customFormat="false" ht="15" hidden="false" customHeight="true" outlineLevel="0" collapsed="false">
      <c r="A675" s="12" t="s">
        <v>559</v>
      </c>
      <c r="B675" s="12" t="n">
        <v>2026</v>
      </c>
      <c r="C675" s="12" t="n">
        <v>650</v>
      </c>
      <c r="D675" s="12" t="n">
        <v>19108.9</v>
      </c>
      <c r="E675" s="12" t="n">
        <f aca="false">IFERROR(INDEX('Catalog'!$A:$A,MATCH($A675,'Catalog'!$B:$B,0)),IFERROR(INDEX('Catalog'!$A:$A,MATCH(TRIM(SUBSTITUTE($A675,CHAR(160)," ")),'Catalog'!$C:$C,0)),""))</f>
        <v>4421003</v>
      </c>
      <c r="F675" s="12" t="str">
        <f aca="false">IF($E675="","Unmatched","Matched")</f>
        <v>Matched</v>
      </c>
    </row>
    <row r="676" customFormat="false" ht="15" hidden="false" customHeight="true" outlineLevel="0" collapsed="false">
      <c r="A676" s="12" t="s">
        <v>839</v>
      </c>
      <c r="B676" s="12" t="n">
        <v>2026</v>
      </c>
      <c r="C676" s="12" t="n">
        <v>1177</v>
      </c>
      <c r="D676" s="12" t="n">
        <v>12016.1</v>
      </c>
      <c r="E676" s="12" t="n">
        <f aca="false">IFERROR(INDEX('Catalog'!$A:$A,MATCH($A676,'Catalog'!$B:$B,0)),IFERROR(INDEX('Catalog'!$A:$A,MATCH(TRIM(SUBSTITUTE($A676,CHAR(160)," ")),'Catalog'!$C:$C,0)),""))</f>
        <v>4422023</v>
      </c>
      <c r="F676" s="12" t="str">
        <f aca="false">IF($E676="","Unmatched","Matched")</f>
        <v>Matched</v>
      </c>
    </row>
    <row r="677" customFormat="false" ht="15" hidden="false" customHeight="true" outlineLevel="0" collapsed="false">
      <c r="A677" s="12" t="s">
        <v>840</v>
      </c>
      <c r="B677" s="12" t="n">
        <v>2026</v>
      </c>
      <c r="C677" s="12" t="n">
        <v>1822</v>
      </c>
      <c r="D677" s="12" t="n">
        <v>18650.2</v>
      </c>
      <c r="E677" s="12" t="n">
        <f aca="false">IFERROR(INDEX('Catalog'!$A:$A,MATCH($A677,'Catalog'!$B:$B,0)),IFERROR(INDEX('Catalog'!$A:$A,MATCH(TRIM(SUBSTITUTE($A677,CHAR(160)," ")),'Catalog'!$C:$C,0)),""))</f>
        <v>4422024</v>
      </c>
      <c r="F677" s="12" t="str">
        <f aca="false">IF($E677="","Unmatched","Matched")</f>
        <v>Matched</v>
      </c>
    </row>
    <row r="678" customFormat="false" ht="15" hidden="false" customHeight="true" outlineLevel="0" collapsed="false">
      <c r="A678" s="12" t="s">
        <v>841</v>
      </c>
      <c r="B678" s="12" t="n">
        <v>2026</v>
      </c>
      <c r="C678" s="12" t="n">
        <v>820</v>
      </c>
      <c r="D678" s="12" t="n">
        <v>8468.2</v>
      </c>
      <c r="E678" s="12" t="n">
        <f aca="false">IFERROR(INDEX('Catalog'!$A:$A,MATCH($A678,'Catalog'!$B:$B,0)),IFERROR(INDEX('Catalog'!$A:$A,MATCH(TRIM(SUBSTITUTE($A678,CHAR(160)," ")),'Catalog'!$C:$C,0)),""))</f>
        <v>4422025</v>
      </c>
      <c r="F678" s="12" t="str">
        <f aca="false">IF($E678="","Unmatched","Matched")</f>
        <v>Matched</v>
      </c>
    </row>
    <row r="679" customFormat="false" ht="15" hidden="false" customHeight="true" outlineLevel="0" collapsed="false">
      <c r="A679" s="12" t="s">
        <v>842</v>
      </c>
      <c r="B679" s="12" t="n">
        <v>2026</v>
      </c>
      <c r="C679" s="12" t="n">
        <v>697</v>
      </c>
      <c r="D679" s="12" t="n">
        <v>7156.9</v>
      </c>
      <c r="E679" s="12" t="n">
        <f aca="false">IFERROR(INDEX('Catalog'!$A:$A,MATCH($A679,'Catalog'!$B:$B,0)),IFERROR(INDEX('Catalog'!$A:$A,MATCH(TRIM(SUBSTITUTE($A679,CHAR(160)," ")),'Catalog'!$C:$C,0)),""))</f>
        <v>4422026</v>
      </c>
      <c r="F679" s="12" t="str">
        <f aca="false">IF($E679="","Unmatched","Matched")</f>
        <v>Matched</v>
      </c>
    </row>
    <row r="680" customFormat="false" ht="15" hidden="false" customHeight="true" outlineLevel="0" collapsed="false">
      <c r="A680" s="12" t="s">
        <v>812</v>
      </c>
      <c r="B680" s="12" t="n">
        <v>2026</v>
      </c>
      <c r="C680" s="12" t="n">
        <v>8</v>
      </c>
      <c r="D680" s="12" t="n">
        <v>598.2</v>
      </c>
      <c r="E680" s="12" t="n">
        <f aca="false">IFERROR(INDEX('Catalog'!$A:$A,MATCH($A680,'Catalog'!$B:$B,0)),IFERROR(INDEX('Catalog'!$A:$A,MATCH(TRIM(SUBSTITUTE($A680,CHAR(160)," ")),'Catalog'!$C:$C,0)),""))</f>
        <v>4408248</v>
      </c>
      <c r="F680" s="12" t="str">
        <f aca="false">IF($E680="","Unmatched","Matched")</f>
        <v>Matched</v>
      </c>
    </row>
    <row r="681" customFormat="false" ht="15" hidden="false" customHeight="true" outlineLevel="0" collapsed="false">
      <c r="A681" s="12" t="s">
        <v>811</v>
      </c>
      <c r="B681" s="12" t="n">
        <v>2026</v>
      </c>
      <c r="C681" s="12" t="n">
        <v>11</v>
      </c>
      <c r="D681" s="12" t="n">
        <v>821.7</v>
      </c>
      <c r="E681" s="12" t="n">
        <f aca="false">IFERROR(INDEX('Catalog'!$A:$A,MATCH($A681,'Catalog'!$B:$B,0)),IFERROR(INDEX('Catalog'!$A:$A,MATCH(TRIM(SUBSTITUTE($A681,CHAR(160)," ")),'Catalog'!$C:$C,0)),""))</f>
        <v>4408249</v>
      </c>
      <c r="F681" s="12" t="str">
        <f aca="false">IF($E681="","Unmatched","Matched")</f>
        <v>Matched</v>
      </c>
    </row>
    <row r="682" customFormat="false" ht="15" hidden="false" customHeight="true" outlineLevel="0" collapsed="false">
      <c r="A682" s="12" t="s">
        <v>814</v>
      </c>
      <c r="B682" s="12" t="n">
        <v>2026</v>
      </c>
      <c r="C682" s="12" t="n">
        <v>7</v>
      </c>
      <c r="D682" s="12" t="n">
        <v>524.4</v>
      </c>
      <c r="E682" s="12" t="n">
        <f aca="false">IFERROR(INDEX('Catalog'!$A:$A,MATCH($A682,'Catalog'!$B:$B,0)),IFERROR(INDEX('Catalog'!$A:$A,MATCH(TRIM(SUBSTITUTE($A682,CHAR(160)," ")),'Catalog'!$C:$C,0)),""))</f>
        <v>4408250</v>
      </c>
      <c r="F682" s="12" t="str">
        <f aca="false">IF($E682="","Unmatched","Matched")</f>
        <v>Matched</v>
      </c>
    </row>
    <row r="683" customFormat="false" ht="15" hidden="false" customHeight="true" outlineLevel="0" collapsed="false">
      <c r="A683" s="12" t="s">
        <v>502</v>
      </c>
      <c r="B683" s="12" t="n">
        <v>2026</v>
      </c>
      <c r="C683" s="12" t="n">
        <v>3</v>
      </c>
      <c r="D683" s="12" t="n">
        <v>239.2</v>
      </c>
      <c r="E683" s="12" t="n">
        <f aca="false">IFERROR(INDEX('Catalog'!$A:$A,MATCH($A683,'Catalog'!$B:$B,0)),IFERROR(INDEX('Catalog'!$A:$A,MATCH(TRIM(SUBSTITUTE($A683,CHAR(160)," ")),'Catalog'!$C:$C,0)),""))</f>
        <v>4413405</v>
      </c>
      <c r="F683" s="12" t="str">
        <f aca="false">IF($E683="","Unmatched","Matched")</f>
        <v>Matched</v>
      </c>
    </row>
    <row r="684" customFormat="false" ht="15" hidden="false" customHeight="true" outlineLevel="0" collapsed="false">
      <c r="A684" s="12" t="s">
        <v>832</v>
      </c>
      <c r="B684" s="12" t="n">
        <v>2026</v>
      </c>
      <c r="C684" s="12" t="n">
        <v>9</v>
      </c>
      <c r="D684" s="12" t="n">
        <v>679.4</v>
      </c>
      <c r="E684" s="12" t="n">
        <f aca="false">IFERROR(INDEX('Catalog'!$A:$A,MATCH($A684,'Catalog'!$B:$B,0)),IFERROR(INDEX('Catalog'!$A:$A,MATCH(TRIM(SUBSTITUTE($A684,CHAR(160)," ")),'Catalog'!$C:$C,0)),""))</f>
        <v>4413406</v>
      </c>
      <c r="F684" s="12" t="str">
        <f aca="false">IF($E684="","Unmatched","Matched")</f>
        <v>Matched</v>
      </c>
    </row>
    <row r="685" customFormat="false" ht="15" hidden="false" customHeight="true" outlineLevel="0" collapsed="false">
      <c r="A685" s="12" t="s">
        <v>831</v>
      </c>
      <c r="B685" s="12" t="n">
        <v>2026</v>
      </c>
      <c r="C685" s="12" t="n">
        <v>11</v>
      </c>
      <c r="D685" s="12" t="n">
        <v>832.1</v>
      </c>
      <c r="E685" s="12" t="n">
        <f aca="false">IFERROR(INDEX('Catalog'!$A:$A,MATCH($A685,'Catalog'!$B:$B,0)),IFERROR(INDEX('Catalog'!$A:$A,MATCH(TRIM(SUBSTITUTE($A685,CHAR(160)," ")),'Catalog'!$C:$C,0)),""))</f>
        <v>4413407</v>
      </c>
      <c r="F685" s="12" t="str">
        <f aca="false">IF($E685="","Unmatched","Matched")</f>
        <v>Matched</v>
      </c>
    </row>
    <row r="686" customFormat="false" ht="15" hidden="false" customHeight="true" outlineLevel="0" collapsed="false">
      <c r="A686" s="12" t="s">
        <v>833</v>
      </c>
      <c r="B686" s="12" t="n">
        <v>2026</v>
      </c>
      <c r="C686" s="12" t="n">
        <v>16</v>
      </c>
      <c r="D686" s="12" t="n">
        <v>1200.5</v>
      </c>
      <c r="E686" s="12" t="n">
        <f aca="false">IFERROR(INDEX('Catalog'!$A:$A,MATCH($A686,'Catalog'!$B:$B,0)),IFERROR(INDEX('Catalog'!$A:$A,MATCH(TRIM(SUBSTITUTE($A686,CHAR(160)," ")),'Catalog'!$C:$C,0)),""))</f>
        <v>4413408</v>
      </c>
      <c r="F686" s="12" t="str">
        <f aca="false">IF($E686="","Unmatched","Matched")</f>
        <v>Matched</v>
      </c>
    </row>
    <row r="687" customFormat="false" ht="15" hidden="false" customHeight="true" outlineLevel="0" collapsed="false">
      <c r="A687" s="12" t="s">
        <v>824</v>
      </c>
      <c r="B687" s="12" t="n">
        <v>2026</v>
      </c>
      <c r="C687" s="12" t="n">
        <v>12</v>
      </c>
      <c r="D687" s="12" t="n">
        <v>1593.7</v>
      </c>
      <c r="E687" s="12" t="n">
        <f aca="false">IFERROR(INDEX('Catalog'!$A:$A,MATCH($A687,'Catalog'!$B:$B,0)),IFERROR(INDEX('Catalog'!$A:$A,MATCH(TRIM(SUBSTITUTE($A687,CHAR(160)," ")),'Catalog'!$C:$C,0)),""))</f>
        <v>4413416</v>
      </c>
      <c r="F687" s="12" t="str">
        <f aca="false">IF($E687="","Unmatched","Matched")</f>
        <v>Matched</v>
      </c>
    </row>
    <row r="688" customFormat="false" ht="15" hidden="false" customHeight="true" outlineLevel="0" collapsed="false">
      <c r="A688" s="12" t="s">
        <v>823</v>
      </c>
      <c r="B688" s="12" t="n">
        <v>2026</v>
      </c>
      <c r="C688" s="12" t="n">
        <v>8</v>
      </c>
      <c r="D688" s="12" t="n">
        <v>1077</v>
      </c>
      <c r="E688" s="12" t="n">
        <f aca="false">IFERROR(INDEX('Catalog'!$A:$A,MATCH($A688,'Catalog'!$B:$B,0)),IFERROR(INDEX('Catalog'!$A:$A,MATCH(TRIM(SUBSTITUTE($A688,CHAR(160)," ")),'Catalog'!$C:$C,0)),""))</f>
        <v>4413417</v>
      </c>
      <c r="F688" s="12" t="str">
        <f aca="false">IF($E688="","Unmatched","Matched")</f>
        <v>Matched</v>
      </c>
    </row>
    <row r="689" customFormat="false" ht="15" hidden="false" customHeight="true" outlineLevel="0" collapsed="false">
      <c r="A689" s="12" t="s">
        <v>826</v>
      </c>
      <c r="B689" s="12" t="n">
        <v>2026</v>
      </c>
      <c r="C689" s="12" t="n">
        <v>6</v>
      </c>
      <c r="D689" s="12" t="n">
        <v>819.1</v>
      </c>
      <c r="E689" s="12" t="n">
        <f aca="false">IFERROR(INDEX('Catalog'!$A:$A,MATCH($A689,'Catalog'!$B:$B,0)),IFERROR(INDEX('Catalog'!$A:$A,MATCH(TRIM(SUBSTITUTE($A689,CHAR(160)," ")),'Catalog'!$C:$C,0)),""))</f>
        <v>4413418</v>
      </c>
      <c r="F689" s="12" t="str">
        <f aca="false">IF($E689="","Unmatched","Matched")</f>
        <v>Matched</v>
      </c>
    </row>
    <row r="690" customFormat="false" ht="15" hidden="false" customHeight="true" outlineLevel="0" collapsed="false">
      <c r="A690" s="12" t="s">
        <v>816</v>
      </c>
      <c r="B690" s="12" t="n">
        <v>2026</v>
      </c>
      <c r="C690" s="12" t="n">
        <v>6</v>
      </c>
      <c r="D690" s="12" t="n">
        <v>446.9</v>
      </c>
      <c r="E690" s="12" t="n">
        <f aca="false">IFERROR(INDEX('Catalog'!$A:$A,MATCH($A690,'Catalog'!$B:$B,0)),IFERROR(INDEX('Catalog'!$A:$A,MATCH(TRIM(SUBSTITUTE($A690,CHAR(160)," ")),'Catalog'!$C:$C,0)),""))</f>
        <v>4413421</v>
      </c>
      <c r="F690" s="12" t="str">
        <f aca="false">IF($E690="","Unmatched","Matched")</f>
        <v>Matched</v>
      </c>
    </row>
    <row r="691" customFormat="false" ht="15" hidden="false" customHeight="true" outlineLevel="0" collapsed="false">
      <c r="A691" s="12" t="s">
        <v>815</v>
      </c>
      <c r="B691" s="12" t="n">
        <v>2026</v>
      </c>
      <c r="C691" s="12" t="n">
        <v>18</v>
      </c>
      <c r="D691" s="12" t="n">
        <v>1356.3</v>
      </c>
      <c r="E691" s="12" t="n">
        <f aca="false">IFERROR(INDEX('Catalog'!$A:$A,MATCH($A691,'Catalog'!$B:$B,0)),IFERROR(INDEX('Catalog'!$A:$A,MATCH(TRIM(SUBSTITUTE($A691,CHAR(160)," ")),'Catalog'!$C:$C,0)),""))</f>
        <v>4413422</v>
      </c>
      <c r="F691" s="12" t="str">
        <f aca="false">IF($E691="","Unmatched","Matched")</f>
        <v>Matched</v>
      </c>
    </row>
    <row r="692" customFormat="false" ht="15" hidden="false" customHeight="true" outlineLevel="0" collapsed="false">
      <c r="A692" s="12" t="s">
        <v>820</v>
      </c>
      <c r="B692" s="12" t="n">
        <v>2026</v>
      </c>
      <c r="C692" s="12" t="n">
        <v>19</v>
      </c>
      <c r="D692" s="12" t="n">
        <v>1427.4</v>
      </c>
      <c r="E692" s="12" t="n">
        <f aca="false">IFERROR(INDEX('Catalog'!$A:$A,MATCH($A692,'Catalog'!$B:$B,0)),IFERROR(INDEX('Catalog'!$A:$A,MATCH(TRIM(SUBSTITUTE($A692,CHAR(160)," ")),'Catalog'!$C:$C,0)),""))</f>
        <v>4413425</v>
      </c>
      <c r="F692" s="12" t="str">
        <f aca="false">IF($E692="","Unmatched","Matched")</f>
        <v>Matched</v>
      </c>
    </row>
    <row r="693" customFormat="false" ht="15" hidden="false" customHeight="true" outlineLevel="0" collapsed="false">
      <c r="A693" s="12" t="s">
        <v>819</v>
      </c>
      <c r="B693" s="12" t="n">
        <v>2026</v>
      </c>
      <c r="C693" s="12" t="n">
        <v>11</v>
      </c>
      <c r="D693" s="12" t="n">
        <v>820.2</v>
      </c>
      <c r="E693" s="12" t="n">
        <f aca="false">IFERROR(INDEX('Catalog'!$A:$A,MATCH($A693,'Catalog'!$B:$B,0)),IFERROR(INDEX('Catalog'!$A:$A,MATCH(TRIM(SUBSTITUTE($A693,CHAR(160)," ")),'Catalog'!$C:$C,0)),""))</f>
        <v>4413426</v>
      </c>
      <c r="F693" s="12" t="str">
        <f aca="false">IF($E693="","Unmatched","Matched")</f>
        <v>Matched</v>
      </c>
    </row>
    <row r="694" customFormat="false" ht="15" hidden="false" customHeight="true" outlineLevel="0" collapsed="false">
      <c r="A694" s="12" t="s">
        <v>822</v>
      </c>
      <c r="B694" s="12" t="n">
        <v>2026</v>
      </c>
      <c r="C694" s="12" t="n">
        <v>11</v>
      </c>
      <c r="D694" s="12" t="n">
        <v>823.6</v>
      </c>
      <c r="E694" s="12" t="n">
        <f aca="false">IFERROR(INDEX('Catalog'!$A:$A,MATCH($A694,'Catalog'!$B:$B,0)),IFERROR(INDEX('Catalog'!$A:$A,MATCH(TRIM(SUBSTITUTE($A694,CHAR(160)," ")),'Catalog'!$C:$C,0)),""))</f>
        <v>4413427</v>
      </c>
      <c r="F694" s="12" t="str">
        <f aca="false">IF($E694="","Unmatched","Matched")</f>
        <v>Matched</v>
      </c>
    </row>
    <row r="695" customFormat="false" ht="15" hidden="false" customHeight="true" outlineLevel="0" collapsed="false">
      <c r="A695" s="12" t="s">
        <v>152</v>
      </c>
      <c r="B695" s="12" t="n">
        <v>2026</v>
      </c>
      <c r="C695" s="12" t="n">
        <v>11</v>
      </c>
      <c r="D695" s="12" t="n">
        <v>1473.5</v>
      </c>
      <c r="E695" s="12" t="n">
        <f aca="false">IFERROR(INDEX('Catalog'!$A:$A,MATCH($A695,'Catalog'!$B:$B,0)),IFERROR(INDEX('Catalog'!$A:$A,MATCH(TRIM(SUBSTITUTE($A695,CHAR(160)," ")),'Catalog'!$C:$C,0)),""))</f>
        <v>4413438</v>
      </c>
      <c r="F695" s="12" t="str">
        <f aca="false">IF($E695="","Unmatched","Matched")</f>
        <v>Matched</v>
      </c>
    </row>
    <row r="696" customFormat="false" ht="15" hidden="false" customHeight="true" outlineLevel="0" collapsed="false">
      <c r="A696" s="12" t="s">
        <v>829</v>
      </c>
      <c r="B696" s="12" t="n">
        <v>2026</v>
      </c>
      <c r="C696" s="12" t="n">
        <v>20</v>
      </c>
      <c r="D696" s="12" t="n">
        <v>2675</v>
      </c>
      <c r="E696" s="12" t="n">
        <f aca="false">IFERROR(INDEX('Catalog'!$A:$A,MATCH($A696,'Catalog'!$B:$B,0)),IFERROR(INDEX('Catalog'!$A:$A,MATCH(TRIM(SUBSTITUTE($A696,CHAR(160)," ")),'Catalog'!$C:$C,0)),""))</f>
        <v>4413439</v>
      </c>
      <c r="F696" s="12" t="str">
        <f aca="false">IF($E696="","Unmatched","Matched")</f>
        <v>Matched</v>
      </c>
    </row>
    <row r="697" customFormat="false" ht="15" hidden="false" customHeight="true" outlineLevel="0" collapsed="false">
      <c r="A697" s="12" t="s">
        <v>828</v>
      </c>
      <c r="B697" s="12" t="n">
        <v>2026</v>
      </c>
      <c r="C697" s="12" t="n">
        <v>22</v>
      </c>
      <c r="D697" s="12" t="n">
        <v>2962.7</v>
      </c>
      <c r="E697" s="12" t="n">
        <f aca="false">IFERROR(INDEX('Catalog'!$A:$A,MATCH($A697,'Catalog'!$B:$B,0)),IFERROR(INDEX('Catalog'!$A:$A,MATCH(TRIM(SUBSTITUTE($A697,CHAR(160)," ")),'Catalog'!$C:$C,0)),""))</f>
        <v>4413440</v>
      </c>
      <c r="F697" s="12" t="str">
        <f aca="false">IF($E697="","Unmatched","Matched")</f>
        <v>Matched</v>
      </c>
    </row>
    <row r="698" customFormat="false" ht="15" hidden="false" customHeight="true" outlineLevel="0" collapsed="false">
      <c r="A698" s="12" t="s">
        <v>830</v>
      </c>
      <c r="B698" s="12" t="n">
        <v>2026</v>
      </c>
      <c r="C698" s="12" t="n">
        <v>13</v>
      </c>
      <c r="D698" s="12" t="n">
        <v>1735.5</v>
      </c>
      <c r="E698" s="12" t="n">
        <f aca="false">IFERROR(INDEX('Catalog'!$A:$A,MATCH($A698,'Catalog'!$B:$B,0)),IFERROR(INDEX('Catalog'!$A:$A,MATCH(TRIM(SUBSTITUTE($A698,CHAR(160)," ")),'Catalog'!$C:$C,0)),""))</f>
        <v>4413441</v>
      </c>
      <c r="F698" s="12" t="str">
        <f aca="false">IF($E698="","Unmatched","Matched")</f>
        <v>Matched</v>
      </c>
    </row>
    <row r="699" customFormat="false" ht="15" hidden="false" customHeight="true" outlineLevel="0" collapsed="false">
      <c r="A699" s="12" t="s">
        <v>153</v>
      </c>
      <c r="B699" s="12" t="n">
        <v>2026</v>
      </c>
      <c r="C699" s="12" t="n">
        <v>12</v>
      </c>
      <c r="D699" s="12" t="n">
        <v>1451</v>
      </c>
      <c r="E699" s="12" t="n">
        <f aca="false">IFERROR(INDEX('Catalog'!$A:$A,MATCH($A699,'Catalog'!$B:$B,0)),IFERROR(INDEX('Catalog'!$A:$A,MATCH(TRIM(SUBSTITUTE($A699,CHAR(160)," ")),'Catalog'!$C:$C,0)),""))</f>
        <v>4413442</v>
      </c>
      <c r="F699" s="12" t="str">
        <f aca="false">IF($E699="","Unmatched","Matched")</f>
        <v>Matched</v>
      </c>
    </row>
    <row r="700" customFormat="false" ht="15" hidden="false" customHeight="true" outlineLevel="0" collapsed="false">
      <c r="A700" s="12" t="s">
        <v>624</v>
      </c>
      <c r="B700" s="12" t="n">
        <v>2026</v>
      </c>
      <c r="C700" s="12" t="n">
        <v>-1</v>
      </c>
      <c r="D700" s="12" t="n">
        <v>-94.2</v>
      </c>
      <c r="E700" s="12" t="n">
        <f aca="false">IFERROR(INDEX('Catalog'!$A:$A,MATCH($A700,'Catalog'!$B:$B,0)),IFERROR(INDEX('Catalog'!$A:$A,MATCH(TRIM(SUBSTITUTE($A700,CHAR(160)," ")),'Catalog'!$C:$C,0)),""))</f>
        <v>4415164</v>
      </c>
      <c r="F700" s="12" t="str">
        <f aca="false">IF($E700="","Unmatched","Matched")</f>
        <v>Matched</v>
      </c>
    </row>
    <row r="701" customFormat="false" ht="15" hidden="false" customHeight="true" outlineLevel="0" collapsed="false">
      <c r="A701" s="12" t="s">
        <v>332</v>
      </c>
      <c r="B701" s="12" t="n">
        <v>2026</v>
      </c>
      <c r="C701" s="12" t="n">
        <v>-1</v>
      </c>
      <c r="D701" s="12" t="n">
        <v>-118.8</v>
      </c>
      <c r="E701" s="12" t="n">
        <f aca="false">IFERROR(INDEX('Catalog'!$A:$A,MATCH($A701,'Catalog'!$B:$B,0)),IFERROR(INDEX('Catalog'!$A:$A,MATCH(TRIM(SUBSTITUTE($A701,CHAR(160)," ")),'Catalog'!$C:$C,0)),""))</f>
        <v>4408251</v>
      </c>
      <c r="F701" s="12" t="str">
        <f aca="false">IF($E701="","Unmatched","Matched")</f>
        <v>Matched</v>
      </c>
    </row>
    <row r="702" customFormat="false" ht="15" hidden="false" customHeight="true" outlineLevel="0" collapsed="false">
      <c r="A702" s="12" t="s">
        <v>328</v>
      </c>
      <c r="B702" s="12" t="n">
        <v>2026</v>
      </c>
      <c r="C702" s="12" t="n">
        <v>-1</v>
      </c>
      <c r="D702" s="12" t="n">
        <v>-118.8</v>
      </c>
      <c r="E702" s="12" t="n">
        <f aca="false">IFERROR(INDEX('Catalog'!$A:$A,MATCH($A702,'Catalog'!$B:$B,0)),IFERROR(INDEX('Catalog'!$A:$A,MATCH(TRIM(SUBSTITUTE($A702,CHAR(160)," ")),'Catalog'!$C:$C,0)),""))</f>
        <v>4408252</v>
      </c>
      <c r="F702" s="12" t="str">
        <f aca="false">IF($E702="","Unmatched","Matched")</f>
        <v>Matched</v>
      </c>
    </row>
    <row r="703" customFormat="false" ht="15" hidden="false" customHeight="true" outlineLevel="0" collapsed="false">
      <c r="A703" s="12" t="s">
        <v>592</v>
      </c>
      <c r="B703" s="12" t="n">
        <v>2026</v>
      </c>
      <c r="C703" s="12" t="n">
        <v>113</v>
      </c>
      <c r="D703" s="12" t="n">
        <v>3300.4</v>
      </c>
      <c r="E703" s="12" t="n">
        <f aca="false">IFERROR(INDEX('Catalog'!$A:$A,MATCH($A703,'Catalog'!$B:$B,0)),IFERROR(INDEX('Catalog'!$A:$A,MATCH(TRIM(SUBSTITUTE($A703,CHAR(160)," ")),'Catalog'!$C:$C,0)),""))</f>
        <v>4411017</v>
      </c>
      <c r="F703" s="12" t="str">
        <f aca="false">IF($E703="","Unmatched","Matched")</f>
        <v>Matched</v>
      </c>
    </row>
    <row r="704" customFormat="false" ht="15" hidden="false" customHeight="true" outlineLevel="0" collapsed="false">
      <c r="A704" s="12" t="s">
        <v>593</v>
      </c>
      <c r="B704" s="12" t="n">
        <v>2026</v>
      </c>
      <c r="C704" s="12" t="n">
        <v>162</v>
      </c>
      <c r="D704" s="12" t="n">
        <v>4690.8</v>
      </c>
      <c r="E704" s="12" t="n">
        <f aca="false">IFERROR(INDEX('Catalog'!$A:$A,MATCH($A704,'Catalog'!$B:$B,0)),IFERROR(INDEX('Catalog'!$A:$A,MATCH(TRIM(SUBSTITUTE($A704,CHAR(160)," ")),'Catalog'!$C:$C,0)),""))</f>
        <v>4411018</v>
      </c>
      <c r="F704" s="12" t="str">
        <f aca="false">IF($E704="","Unmatched","Matched")</f>
        <v>Matched</v>
      </c>
    </row>
    <row r="705" customFormat="false" ht="15" hidden="false" customHeight="true" outlineLevel="0" collapsed="false">
      <c r="A705" s="12" t="s">
        <v>594</v>
      </c>
      <c r="B705" s="12" t="n">
        <v>2026</v>
      </c>
      <c r="C705" s="12" t="n">
        <v>155</v>
      </c>
      <c r="D705" s="12" t="n">
        <v>4476.9</v>
      </c>
      <c r="E705" s="12" t="n">
        <f aca="false">IFERROR(INDEX('Catalog'!$A:$A,MATCH($A705,'Catalog'!$B:$B,0)),IFERROR(INDEX('Catalog'!$A:$A,MATCH(TRIM(SUBSTITUTE($A705,CHAR(160)," ")),'Catalog'!$C:$C,0)),""))</f>
        <v>4411019</v>
      </c>
      <c r="F705" s="12" t="str">
        <f aca="false">IF($E705="","Unmatched","Matched")</f>
        <v>Matched</v>
      </c>
    </row>
    <row r="706" customFormat="false" ht="15" hidden="false" customHeight="true" outlineLevel="0" collapsed="false">
      <c r="A706" s="12" t="s">
        <v>595</v>
      </c>
      <c r="B706" s="12" t="n">
        <v>2026</v>
      </c>
      <c r="C706" s="12" t="n">
        <v>34</v>
      </c>
      <c r="D706" s="12" t="n">
        <v>993.8</v>
      </c>
      <c r="E706" s="12" t="n">
        <f aca="false">IFERROR(INDEX('Catalog'!$A:$A,MATCH($A706,'Catalog'!$B:$B,0)),IFERROR(INDEX('Catalog'!$A:$A,MATCH(TRIM(SUBSTITUTE($A706,CHAR(160)," ")),'Catalog'!$C:$C,0)),""))</f>
        <v>4411020</v>
      </c>
      <c r="F706" s="12" t="str">
        <f aca="false">IF($E706="","Unmatched","Matched")</f>
        <v>Matched</v>
      </c>
    </row>
    <row r="707" customFormat="false" ht="15" hidden="false" customHeight="true" outlineLevel="0" collapsed="false">
      <c r="A707" s="12" t="s">
        <v>596</v>
      </c>
      <c r="B707" s="12" t="n">
        <v>2026</v>
      </c>
      <c r="C707" s="12" t="n">
        <v>183</v>
      </c>
      <c r="D707" s="12" t="n">
        <v>5400.6</v>
      </c>
      <c r="E707" s="12" t="n">
        <f aca="false">IFERROR(INDEX('Catalog'!$A:$A,MATCH($A707,'Catalog'!$B:$B,0)),IFERROR(INDEX('Catalog'!$A:$A,MATCH(TRIM(SUBSTITUTE($A707,CHAR(160)," ")),'Catalog'!$C:$C,0)),""))</f>
        <v>4411021</v>
      </c>
      <c r="F707" s="12" t="str">
        <f aca="false">IF($E707="","Unmatched","Matched")</f>
        <v>Matched</v>
      </c>
    </row>
    <row r="708" customFormat="false" ht="15" hidden="false" customHeight="true" outlineLevel="0" collapsed="false">
      <c r="A708" s="12" t="s">
        <v>597</v>
      </c>
      <c r="B708" s="12" t="n">
        <v>2026</v>
      </c>
      <c r="C708" s="12" t="n">
        <v>324</v>
      </c>
      <c r="D708" s="12" t="n">
        <v>9579</v>
      </c>
      <c r="E708" s="12" t="n">
        <f aca="false">IFERROR(INDEX('Catalog'!$A:$A,MATCH($A708,'Catalog'!$B:$B,0)),IFERROR(INDEX('Catalog'!$A:$A,MATCH(TRIM(SUBSTITUTE($A708,CHAR(160)," ")),'Catalog'!$C:$C,0)),""))</f>
        <v>4411022</v>
      </c>
      <c r="F708" s="12" t="str">
        <f aca="false">IF($E708="","Unmatched","Matched")</f>
        <v>Matched</v>
      </c>
    </row>
    <row r="709" customFormat="false" ht="15" hidden="false" customHeight="true" outlineLevel="0" collapsed="false">
      <c r="A709" s="12" t="s">
        <v>598</v>
      </c>
      <c r="B709" s="12" t="n">
        <v>2026</v>
      </c>
      <c r="C709" s="12" t="n">
        <v>247</v>
      </c>
      <c r="D709" s="12" t="n">
        <v>7189.1</v>
      </c>
      <c r="E709" s="12" t="n">
        <f aca="false">IFERROR(INDEX('Catalog'!$A:$A,MATCH($A709,'Catalog'!$B:$B,0)),IFERROR(INDEX('Catalog'!$A:$A,MATCH(TRIM(SUBSTITUTE($A709,CHAR(160)," ")),'Catalog'!$C:$C,0)),""))</f>
        <v>4411023</v>
      </c>
      <c r="F709" s="12" t="str">
        <f aca="false">IF($E709="","Unmatched","Matched")</f>
        <v>Matched</v>
      </c>
    </row>
    <row r="710" customFormat="false" ht="15" hidden="false" customHeight="true" outlineLevel="0" collapsed="false">
      <c r="A710" s="12" t="s">
        <v>599</v>
      </c>
      <c r="B710" s="12" t="n">
        <v>2026</v>
      </c>
      <c r="C710" s="12" t="n">
        <v>54</v>
      </c>
      <c r="D710" s="12" t="n">
        <v>1600</v>
      </c>
      <c r="E710" s="12" t="n">
        <f aca="false">IFERROR(INDEX('Catalog'!$A:$A,MATCH($A710,'Catalog'!$B:$B,0)),IFERROR(INDEX('Catalog'!$A:$A,MATCH(TRIM(SUBSTITUTE($A710,CHAR(160)," ")),'Catalog'!$C:$C,0)),""))</f>
        <v>4411024</v>
      </c>
      <c r="F710" s="12" t="str">
        <f aca="false">IF($E710="","Unmatched","Matched")</f>
        <v>Matched</v>
      </c>
    </row>
    <row r="711" customFormat="false" ht="15" hidden="false" customHeight="true" outlineLevel="0" collapsed="false">
      <c r="A711" s="12" t="s">
        <v>566</v>
      </c>
      <c r="B711" s="12" t="n">
        <v>2026</v>
      </c>
      <c r="C711" s="12" t="n">
        <v>654</v>
      </c>
      <c r="D711" s="12" t="n">
        <v>26677.6</v>
      </c>
      <c r="E711" s="12" t="n">
        <f aca="false">IFERROR(INDEX('Catalog'!$A:$A,MATCH($A711,'Catalog'!$B:$B,0)),IFERROR(INDEX('Catalog'!$A:$A,MATCH(TRIM(SUBSTITUTE($A711,CHAR(160)," ")),'Catalog'!$C:$C,0)),""))</f>
        <v>4413452</v>
      </c>
      <c r="F711" s="12" t="str">
        <f aca="false">IF($E711="","Unmatched","Matched")</f>
        <v>Matched</v>
      </c>
    </row>
    <row r="712" customFormat="false" ht="15" hidden="false" customHeight="true" outlineLevel="0" collapsed="false">
      <c r="A712" s="12" t="s">
        <v>397</v>
      </c>
      <c r="B712" s="12" t="n">
        <v>2026</v>
      </c>
      <c r="C712" s="12" t="n">
        <v>1283</v>
      </c>
      <c r="D712" s="12" t="n">
        <v>82238.6</v>
      </c>
      <c r="E712" s="12" t="n">
        <f aca="false">IFERROR(INDEX('Catalog'!$A:$A,MATCH($A712,'Catalog'!$B:$B,0)),IFERROR(INDEX('Catalog'!$A:$A,MATCH(TRIM(SUBSTITUTE($A712,CHAR(160)," ")),'Catalog'!$C:$C,0)),""))</f>
        <v>4413453</v>
      </c>
      <c r="F712" s="12" t="str">
        <f aca="false">IF($E712="","Unmatched","Matched")</f>
        <v>Matched</v>
      </c>
    </row>
    <row r="713" customFormat="false" ht="15" hidden="false" customHeight="true" outlineLevel="0" collapsed="false">
      <c r="A713" s="12" t="s">
        <v>531</v>
      </c>
      <c r="B713" s="12" t="n">
        <v>2026</v>
      </c>
      <c r="C713" s="12" t="n">
        <v>236</v>
      </c>
      <c r="D713" s="12" t="n">
        <v>10544.6</v>
      </c>
      <c r="E713" s="12" t="n">
        <f aca="false">IFERROR(INDEX('Catalog'!$A:$A,MATCH($A713,'Catalog'!$B:$B,0)),IFERROR(INDEX('Catalog'!$A:$A,MATCH(TRIM(SUBSTITUTE($A713,CHAR(160)," ")),'Catalog'!$C:$C,0)),""))</f>
        <v>4413455</v>
      </c>
      <c r="F713" s="12" t="str">
        <f aca="false">IF($E713="","Unmatched","Matched")</f>
        <v>Matched</v>
      </c>
    </row>
    <row r="714" customFormat="false" ht="15" hidden="false" customHeight="true" outlineLevel="0" collapsed="false">
      <c r="A714" s="12" t="s">
        <v>396</v>
      </c>
      <c r="B714" s="12" t="n">
        <v>2026</v>
      </c>
      <c r="C714" s="12" t="n">
        <v>424</v>
      </c>
      <c r="D714" s="12" t="n">
        <v>27476.6</v>
      </c>
      <c r="E714" s="12" t="n">
        <f aca="false">IFERROR(INDEX('Catalog'!$A:$A,MATCH($A714,'Catalog'!$B:$B,0)),IFERROR(INDEX('Catalog'!$A:$A,MATCH(TRIM(SUBSTITUTE($A714,CHAR(160)," ")),'Catalog'!$C:$C,0)),""))</f>
        <v>4413456</v>
      </c>
      <c r="F714" s="12" t="str">
        <f aca="false">IF($E714="","Unmatched","Matched")</f>
        <v>Matched</v>
      </c>
    </row>
    <row r="715" customFormat="false" ht="15" hidden="false" customHeight="true" outlineLevel="0" collapsed="false">
      <c r="A715" s="12" t="s">
        <v>684</v>
      </c>
      <c r="B715" s="12" t="n">
        <v>2026</v>
      </c>
      <c r="C715" s="12" t="n">
        <v>158</v>
      </c>
      <c r="D715" s="12" t="n">
        <v>3912.8</v>
      </c>
      <c r="E715" s="12" t="n">
        <f aca="false">IFERROR(INDEX('Catalog'!$A:$A,MATCH($A715,'Catalog'!$B:$B,0)),IFERROR(INDEX('Catalog'!$A:$A,MATCH(TRIM(SUBSTITUTE($A715,CHAR(160)," ")),'Catalog'!$C:$C,0)),""))</f>
        <v>4415029</v>
      </c>
      <c r="F715" s="12" t="str">
        <f aca="false">IF($E715="","Unmatched","Matched")</f>
        <v>Matched</v>
      </c>
    </row>
    <row r="716" customFormat="false" ht="15" hidden="false" customHeight="true" outlineLevel="0" collapsed="false">
      <c r="A716" s="12" t="s">
        <v>370</v>
      </c>
      <c r="B716" s="12" t="n">
        <v>2026</v>
      </c>
      <c r="C716" s="12" t="n">
        <v>396</v>
      </c>
      <c r="D716" s="12" t="n">
        <v>11294.3</v>
      </c>
      <c r="E716" s="12" t="n">
        <f aca="false">IFERROR(INDEX('Catalog'!$A:$A,MATCH($A716,'Catalog'!$B:$B,0)),IFERROR(INDEX('Catalog'!$A:$A,MATCH(TRIM(SUBSTITUTE($A716,CHAR(160)," ")),'Catalog'!$C:$C,0)),""))</f>
        <v>4421005</v>
      </c>
      <c r="F716" s="12" t="str">
        <f aca="false">IF($E716="","Unmatched","Matched")</f>
        <v>Matched</v>
      </c>
    </row>
    <row r="717" customFormat="false" ht="15" hidden="false" customHeight="true" outlineLevel="0" collapsed="false">
      <c r="A717" s="12" t="s">
        <v>369</v>
      </c>
      <c r="B717" s="12" t="n">
        <v>2026</v>
      </c>
      <c r="C717" s="12" t="n">
        <v>585</v>
      </c>
      <c r="D717" s="12" t="n">
        <v>18111.4</v>
      </c>
      <c r="E717" s="12" t="n">
        <f aca="false">IFERROR(INDEX('Catalog'!$A:$A,MATCH($A717,'Catalog'!$B:$B,0)),IFERROR(INDEX('Catalog'!$A:$A,MATCH(TRIM(SUBSTITUTE($A717,CHAR(160)," ")),'Catalog'!$C:$C,0)),""))</f>
        <v>4421006</v>
      </c>
      <c r="F717" s="12" t="str">
        <f aca="false">IF($E717="","Unmatched","Matched")</f>
        <v>Matched</v>
      </c>
    </row>
    <row r="718" customFormat="false" ht="15" hidden="false" customHeight="true" outlineLevel="0" collapsed="false">
      <c r="A718" s="12" t="s">
        <v>364</v>
      </c>
      <c r="B718" s="12" t="n">
        <v>2026</v>
      </c>
      <c r="C718" s="12" t="n">
        <v>315</v>
      </c>
      <c r="D718" s="12" t="n">
        <v>11553.6</v>
      </c>
      <c r="E718" s="12" t="n">
        <f aca="false">IFERROR(INDEX('Catalog'!$A:$A,MATCH($A718,'Catalog'!$B:$B,0)),IFERROR(INDEX('Catalog'!$A:$A,MATCH(TRIM(SUBSTITUTE($A718,CHAR(160)," ")),'Catalog'!$C:$C,0)),""))</f>
        <v>4421007</v>
      </c>
      <c r="F718" s="12" t="str">
        <f aca="false">IF($E718="","Unmatched","Matched")</f>
        <v>Matched</v>
      </c>
    </row>
    <row r="719" customFormat="false" ht="15" hidden="false" customHeight="true" outlineLevel="0" collapsed="false">
      <c r="A719" s="12" t="s">
        <v>363</v>
      </c>
      <c r="B719" s="12" t="n">
        <v>2026</v>
      </c>
      <c r="C719" s="12" t="n">
        <v>299</v>
      </c>
      <c r="D719" s="12" t="n">
        <v>11543.6</v>
      </c>
      <c r="E719" s="12" t="n">
        <f aca="false">IFERROR(INDEX('Catalog'!$A:$A,MATCH($A719,'Catalog'!$B:$B,0)),IFERROR(INDEX('Catalog'!$A:$A,MATCH(TRIM(SUBSTITUTE($A719,CHAR(160)," ")),'Catalog'!$C:$C,0)),""))</f>
        <v>4421008</v>
      </c>
      <c r="F719" s="12" t="str">
        <f aca="false">IF($E719="","Unmatched","Matched")</f>
        <v>Matched</v>
      </c>
    </row>
    <row r="720" customFormat="false" ht="15" hidden="false" customHeight="true" outlineLevel="0" collapsed="false">
      <c r="A720" s="12" t="s">
        <v>845</v>
      </c>
      <c r="B720" s="12" t="n">
        <v>2026</v>
      </c>
      <c r="C720" s="12" t="n">
        <v>988</v>
      </c>
      <c r="D720" s="12" t="n">
        <v>10070.6</v>
      </c>
      <c r="E720" s="12" t="n">
        <f aca="false">IFERROR(INDEX('Catalog'!$A:$A,MATCH($A720,'Catalog'!$B:$B,0)),IFERROR(INDEX('Catalog'!$A:$A,MATCH(TRIM(SUBSTITUTE($A720,CHAR(160)," ")),'Catalog'!$C:$C,0)),""))</f>
        <v>4422031</v>
      </c>
      <c r="F720" s="12" t="str">
        <f aca="false">IF($E720="","Unmatched","Matched")</f>
        <v>Matched</v>
      </c>
    </row>
    <row r="721" customFormat="false" ht="15" hidden="false" customHeight="true" outlineLevel="0" collapsed="false">
      <c r="A721" s="12" t="s">
        <v>843</v>
      </c>
      <c r="B721" s="12" t="n">
        <v>2026</v>
      </c>
      <c r="C721" s="12" t="n">
        <v>580</v>
      </c>
      <c r="D721" s="12" t="n">
        <v>5942.1</v>
      </c>
      <c r="E721" s="12" t="n">
        <f aca="false">IFERROR(INDEX('Catalog'!$A:$A,MATCH($A721,'Catalog'!$B:$B,0)),IFERROR(INDEX('Catalog'!$A:$A,MATCH(TRIM(SUBSTITUTE($A721,CHAR(160)," ")),'Catalog'!$C:$C,0)),""))</f>
        <v>4422032</v>
      </c>
      <c r="F721" s="12" t="str">
        <f aca="false">IF($E721="","Unmatched","Matched")</f>
        <v>Matched</v>
      </c>
    </row>
    <row r="722" customFormat="false" ht="15" hidden="false" customHeight="true" outlineLevel="0" collapsed="false">
      <c r="A722" s="12" t="s">
        <v>844</v>
      </c>
      <c r="B722" s="12" t="n">
        <v>2026</v>
      </c>
      <c r="C722" s="12" t="n">
        <v>358</v>
      </c>
      <c r="D722" s="12" t="n">
        <v>3674.8</v>
      </c>
      <c r="E722" s="12" t="n">
        <f aca="false">IFERROR(INDEX('Catalog'!$A:$A,MATCH($A722,'Catalog'!$B:$B,0)),IFERROR(INDEX('Catalog'!$A:$A,MATCH(TRIM(SUBSTITUTE($A722,CHAR(160)," ")),'Catalog'!$C:$C,0)),""))</f>
        <v>4422033</v>
      </c>
      <c r="F722" s="12" t="str">
        <f aca="false">IF($E722="","Unmatched","Matched")</f>
        <v>Matched</v>
      </c>
    </row>
    <row r="723" customFormat="false" ht="15" hidden="false" customHeight="true" outlineLevel="0" collapsed="false">
      <c r="A723" s="12" t="s">
        <v>846</v>
      </c>
      <c r="B723" s="12" t="n">
        <v>2026</v>
      </c>
      <c r="C723" s="12" t="n">
        <v>283</v>
      </c>
      <c r="D723" s="12" t="n">
        <v>2916</v>
      </c>
      <c r="E723" s="12" t="n">
        <f aca="false">IFERROR(INDEX('Catalog'!$A:$A,MATCH($A723,'Catalog'!$B:$B,0)),IFERROR(INDEX('Catalog'!$A:$A,MATCH(TRIM(SUBSTITUTE($A723,CHAR(160)," ")),'Catalog'!$C:$C,0)),""))</f>
        <v>4422034</v>
      </c>
      <c r="F723" s="12" t="str">
        <f aca="false">IF($E723="","Unmatched","Matched")</f>
        <v>Matched</v>
      </c>
    </row>
    <row r="724" customFormat="false" ht="15" hidden="false" customHeight="true" outlineLevel="0" collapsed="false">
      <c r="A724" s="12" t="s">
        <v>527</v>
      </c>
      <c r="B724" s="12" t="n">
        <v>2026</v>
      </c>
      <c r="C724" s="12" t="n">
        <v>926</v>
      </c>
      <c r="D724" s="12" t="n">
        <v>45344.4</v>
      </c>
      <c r="E724" s="12" t="n">
        <f aca="false">IFERROR(INDEX('Catalog'!$A:$A,MATCH($A724,'Catalog'!$B:$B,0)),IFERROR(INDEX('Catalog'!$A:$A,MATCH(TRIM(SUBSTITUTE($A724,CHAR(160)," ")),'Catalog'!$C:$C,0)),""))</f>
        <v>4413516</v>
      </c>
      <c r="F724" s="12" t="str">
        <f aca="false">IF($E724="","Unmatched","Matched")</f>
        <v>Matched</v>
      </c>
    </row>
    <row r="725" customFormat="false" ht="15" hidden="false" customHeight="true" outlineLevel="0" collapsed="false">
      <c r="A725" s="12" t="s">
        <v>528</v>
      </c>
      <c r="B725" s="12" t="n">
        <v>2026</v>
      </c>
      <c r="C725" s="12" t="n">
        <v>795</v>
      </c>
      <c r="D725" s="12" t="n">
        <v>38940.6</v>
      </c>
      <c r="E725" s="12" t="n">
        <f aca="false">IFERROR(INDEX('Catalog'!$A:$A,MATCH($A725,'Catalog'!$B:$B,0)),IFERROR(INDEX('Catalog'!$A:$A,MATCH(TRIM(SUBSTITUTE($A725,CHAR(160)," ")),'Catalog'!$C:$C,0)),""))</f>
        <v>4413517</v>
      </c>
      <c r="F725" s="12" t="str">
        <f aca="false">IF($E725="","Unmatched","Matched")</f>
        <v>Matched</v>
      </c>
    </row>
    <row r="726" customFormat="false" ht="15" hidden="false" customHeight="true" outlineLevel="0" collapsed="false">
      <c r="A726" s="12" t="s">
        <v>530</v>
      </c>
      <c r="B726" s="12" t="n">
        <v>2026</v>
      </c>
      <c r="C726" s="12" t="n">
        <v>622</v>
      </c>
      <c r="D726" s="12" t="n">
        <v>30467.8</v>
      </c>
      <c r="E726" s="12" t="n">
        <f aca="false">IFERROR(INDEX('Catalog'!$A:$A,MATCH($A726,'Catalog'!$B:$B,0)),IFERROR(INDEX('Catalog'!$A:$A,MATCH(TRIM(SUBSTITUTE($A726,CHAR(160)," ")),'Catalog'!$C:$C,0)),""))</f>
        <v>4413518</v>
      </c>
      <c r="F726" s="12" t="str">
        <f aca="false">IF($E726="","Unmatched","Matched")</f>
        <v>Matched</v>
      </c>
    </row>
    <row r="727" customFormat="false" ht="15" hidden="false" customHeight="true" outlineLevel="0" collapsed="false">
      <c r="A727" s="12" t="s">
        <v>529</v>
      </c>
      <c r="B727" s="12" t="n">
        <v>2026</v>
      </c>
      <c r="C727" s="12" t="n">
        <v>504</v>
      </c>
      <c r="D727" s="12" t="n">
        <v>24681.3</v>
      </c>
      <c r="E727" s="12" t="n">
        <f aca="false">IFERROR(INDEX('Catalog'!$A:$A,MATCH($A727,'Catalog'!$B:$B,0)),IFERROR(INDEX('Catalog'!$A:$A,MATCH(TRIM(SUBSTITUTE($A727,CHAR(160)," ")),'Catalog'!$C:$C,0)),""))</f>
        <v>4413519</v>
      </c>
      <c r="F727" s="12" t="str">
        <f aca="false">IF($E727="","Unmatched","Matched")</f>
        <v>Matched</v>
      </c>
    </row>
    <row r="728" customFormat="false" ht="15" hidden="false" customHeight="true" outlineLevel="0" collapsed="false">
      <c r="A728" s="12" t="s">
        <v>356</v>
      </c>
      <c r="B728" s="12" t="n">
        <v>2026</v>
      </c>
      <c r="C728" s="12" t="n">
        <v>41</v>
      </c>
      <c r="D728" s="12" t="n">
        <v>737.4</v>
      </c>
      <c r="E728" s="12" t="n">
        <f aca="false">IFERROR(INDEX('Catalog'!$A:$A,MATCH($A728,'Catalog'!$B:$B,0)),IFERROR(INDEX('Catalog'!$A:$A,MATCH(TRIM(SUBSTITUTE($A728,CHAR(160)," ")),'Catalog'!$C:$C,0)),""))</f>
        <v>4419011</v>
      </c>
      <c r="F728" s="12" t="str">
        <f aca="false">IF($E728="","Unmatched","Matched")</f>
        <v>Matched</v>
      </c>
    </row>
    <row r="729" customFormat="false" ht="15" hidden="false" customHeight="true" outlineLevel="0" collapsed="false">
      <c r="A729" s="12" t="s">
        <v>357</v>
      </c>
      <c r="B729" s="12" t="n">
        <v>2026</v>
      </c>
      <c r="C729" s="12" t="n">
        <v>-57</v>
      </c>
      <c r="D729" s="12" t="n">
        <v>-564.6</v>
      </c>
      <c r="E729" s="12" t="n">
        <f aca="false">IFERROR(INDEX('Catalog'!$A:$A,MATCH($A729,'Catalog'!$B:$B,0)),IFERROR(INDEX('Catalog'!$A:$A,MATCH(TRIM(SUBSTITUTE($A729,CHAR(160)," ")),'Catalog'!$C:$C,0)),""))</f>
        <v>4419012</v>
      </c>
      <c r="F729" s="12" t="str">
        <f aca="false">IF($E729="","Unmatched","Matched")</f>
        <v>Matched</v>
      </c>
    </row>
    <row r="730" customFormat="false" ht="15" hidden="false" customHeight="true" outlineLevel="0" collapsed="false">
      <c r="A730" s="12" t="s">
        <v>355</v>
      </c>
      <c r="B730" s="12" t="n">
        <v>2026</v>
      </c>
      <c r="C730" s="12" t="n">
        <v>48</v>
      </c>
      <c r="D730" s="12" t="n">
        <v>874.8</v>
      </c>
      <c r="E730" s="12" t="n">
        <f aca="false">IFERROR(INDEX('Catalog'!$A:$A,MATCH($A730,'Catalog'!$B:$B,0)),IFERROR(INDEX('Catalog'!$A:$A,MATCH(TRIM(SUBSTITUTE($A730,CHAR(160)," ")),'Catalog'!$C:$C,0)),""))</f>
        <v>4419013</v>
      </c>
      <c r="F730" s="12" t="str">
        <f aca="false">IF($E730="","Unmatched","Matched")</f>
        <v>Matched</v>
      </c>
    </row>
    <row r="731" customFormat="false" ht="15" hidden="false" customHeight="true" outlineLevel="0" collapsed="false">
      <c r="A731" s="12" t="s">
        <v>358</v>
      </c>
      <c r="B731" s="12" t="n">
        <v>2026</v>
      </c>
      <c r="C731" s="12" t="n">
        <v>118</v>
      </c>
      <c r="D731" s="12" t="n">
        <v>1978.2</v>
      </c>
      <c r="E731" s="12" t="n">
        <f aca="false">IFERROR(INDEX('Catalog'!$A:$A,MATCH($A731,'Catalog'!$B:$B,0)),IFERROR(INDEX('Catalog'!$A:$A,MATCH(TRIM(SUBSTITUTE($A731,CHAR(160)," ")),'Catalog'!$C:$C,0)),""))</f>
        <v>4419014</v>
      </c>
      <c r="F731" s="12" t="str">
        <f aca="false">IF($E731="","Unmatched","Matched")</f>
        <v>Matched</v>
      </c>
    </row>
    <row r="732" customFormat="false" ht="15" hidden="false" customHeight="true" outlineLevel="0" collapsed="false">
      <c r="A732" s="12" t="s">
        <v>368</v>
      </c>
      <c r="B732" s="12" t="n">
        <v>2026</v>
      </c>
      <c r="C732" s="12" t="n">
        <v>1283</v>
      </c>
      <c r="D732" s="12" t="n">
        <v>22225.7</v>
      </c>
      <c r="E732" s="12" t="n">
        <f aca="false">IFERROR(INDEX('Catalog'!$A:$A,MATCH($A732,'Catalog'!$B:$B,0)),IFERROR(INDEX('Catalog'!$A:$A,MATCH(TRIM(SUBSTITUTE($A732,CHAR(160)," ")),'Catalog'!$C:$C,0)),""))</f>
        <v>4422035</v>
      </c>
      <c r="F732" s="12" t="str">
        <f aca="false">IF($E732="","Unmatched","Matched")</f>
        <v>Matched</v>
      </c>
    </row>
    <row r="733" customFormat="false" ht="15" hidden="false" customHeight="true" outlineLevel="0" collapsed="false">
      <c r="A733" s="12" t="s">
        <v>184</v>
      </c>
      <c r="B733" s="12" t="n">
        <v>2026</v>
      </c>
      <c r="C733" s="12" t="n">
        <v>62</v>
      </c>
      <c r="D733" s="12" t="n">
        <v>1987</v>
      </c>
      <c r="E733" s="12" t="n">
        <f aca="false">IFERROR(INDEX('Catalog'!$A:$A,MATCH($A733,'Catalog'!$B:$B,0)),IFERROR(INDEX('Catalog'!$A:$A,MATCH(TRIM(SUBSTITUTE($A733,CHAR(160)," ")),'Catalog'!$C:$C,0)),""))</f>
        <v>4403040</v>
      </c>
      <c r="F733" s="12" t="str">
        <f aca="false">IF($E733="","Unmatched","Matched")</f>
        <v>Matched</v>
      </c>
    </row>
    <row r="734" customFormat="false" ht="15" hidden="false" customHeight="true" outlineLevel="0" collapsed="false">
      <c r="A734" s="12" t="s">
        <v>210</v>
      </c>
      <c r="B734" s="12" t="n">
        <v>2026</v>
      </c>
      <c r="C734" s="12" t="n">
        <v>427</v>
      </c>
      <c r="D734" s="12" t="n">
        <v>23331.1</v>
      </c>
      <c r="E734" s="12" t="n">
        <f aca="false">IFERROR(INDEX('Catalog'!$A:$A,MATCH($A734,'Catalog'!$B:$B,0)),IFERROR(INDEX('Catalog'!$A:$A,MATCH(TRIM(SUBSTITUTE($A734,CHAR(160)," ")),'Catalog'!$C:$C,0)),""))</f>
        <v>4403041</v>
      </c>
      <c r="F734" s="12" t="str">
        <f aca="false">IF($E734="","Unmatched","Matched")</f>
        <v>Matched</v>
      </c>
    </row>
    <row r="735" customFormat="false" ht="15" hidden="false" customHeight="true" outlineLevel="0" collapsed="false">
      <c r="A735" s="12" t="s">
        <v>211</v>
      </c>
      <c r="B735" s="12" t="n">
        <v>2026</v>
      </c>
      <c r="C735" s="12" t="n">
        <v>647</v>
      </c>
      <c r="D735" s="12" t="n">
        <v>35342.4</v>
      </c>
      <c r="E735" s="12" t="n">
        <f aca="false">IFERROR(INDEX('Catalog'!$A:$A,MATCH($A735,'Catalog'!$B:$B,0)),IFERROR(INDEX('Catalog'!$A:$A,MATCH(TRIM(SUBSTITUTE($A735,CHAR(160)," ")),'Catalog'!$C:$C,0)),""))</f>
        <v>4403042</v>
      </c>
      <c r="F735" s="12" t="str">
        <f aca="false">IF($E735="","Unmatched","Matched")</f>
        <v>Matched</v>
      </c>
    </row>
    <row r="736" customFormat="false" ht="15" hidden="false" customHeight="true" outlineLevel="0" collapsed="false">
      <c r="A736" s="12" t="s">
        <v>212</v>
      </c>
      <c r="B736" s="12" t="n">
        <v>2026</v>
      </c>
      <c r="C736" s="12" t="n">
        <v>478</v>
      </c>
      <c r="D736" s="12" t="n">
        <v>26087.5</v>
      </c>
      <c r="E736" s="12" t="n">
        <f aca="false">IFERROR(INDEX('Catalog'!$A:$A,MATCH($A736,'Catalog'!$B:$B,0)),IFERROR(INDEX('Catalog'!$A:$A,MATCH(TRIM(SUBSTITUTE($A736,CHAR(160)," ")),'Catalog'!$C:$C,0)),""))</f>
        <v>4403043</v>
      </c>
      <c r="F736" s="12" t="str">
        <f aca="false">IF($E736="","Unmatched","Matched")</f>
        <v>Matched</v>
      </c>
    </row>
    <row r="737" customFormat="false" ht="15" hidden="false" customHeight="true" outlineLevel="0" collapsed="false">
      <c r="A737" s="12" t="s">
        <v>241</v>
      </c>
      <c r="B737" s="12" t="n">
        <v>2026</v>
      </c>
      <c r="C737" s="12" t="n">
        <v>26</v>
      </c>
      <c r="D737" s="12" t="n">
        <v>2509.6</v>
      </c>
      <c r="E737" s="12" t="n">
        <f aca="false">IFERROR(INDEX('Catalog'!$A:$A,MATCH($A737,'Catalog'!$B:$B,0)),IFERROR(INDEX('Catalog'!$A:$A,MATCH(TRIM(SUBSTITUTE($A737,CHAR(160)," ")),'Catalog'!$C:$C,0)),""))</f>
        <v>4408265</v>
      </c>
      <c r="F737" s="12" t="str">
        <f aca="false">IF($E737="","Unmatched","Matched")</f>
        <v>Matched</v>
      </c>
    </row>
    <row r="738" customFormat="false" ht="15" hidden="false" customHeight="true" outlineLevel="0" collapsed="false">
      <c r="A738" s="12" t="s">
        <v>473</v>
      </c>
      <c r="B738" s="12" t="n">
        <v>2026</v>
      </c>
      <c r="C738" s="12" t="n">
        <v>909</v>
      </c>
      <c r="D738" s="12" t="n">
        <v>66257.5</v>
      </c>
      <c r="E738" s="12" t="n">
        <f aca="false">IFERROR(INDEX('Catalog'!$A:$A,MATCH($A738,'Catalog'!$B:$B,0)),IFERROR(INDEX('Catalog'!$A:$A,MATCH(TRIM(SUBSTITUTE($A738,CHAR(160)," ")),'Catalog'!$C:$C,0)),""))</f>
        <v>4408266</v>
      </c>
      <c r="F738" s="12" t="str">
        <f aca="false">IF($E738="","Unmatched","Matched")</f>
        <v>Matched</v>
      </c>
    </row>
    <row r="739" customFormat="false" ht="15" hidden="false" customHeight="true" outlineLevel="0" collapsed="false">
      <c r="A739" s="12" t="s">
        <v>322</v>
      </c>
      <c r="B739" s="12" t="n">
        <v>2026</v>
      </c>
      <c r="C739" s="12" t="n">
        <v>11</v>
      </c>
      <c r="D739" s="12" t="n">
        <v>3068.9</v>
      </c>
      <c r="E739" s="12" t="n">
        <f aca="false">IFERROR(INDEX('Catalog'!$A:$A,MATCH($A739,'Catalog'!$B:$B,0)),IFERROR(INDEX('Catalog'!$A:$A,MATCH(TRIM(SUBSTITUTE($A739,CHAR(160)," ")),'Catalog'!$C:$C,0)),""))</f>
        <v>4408271</v>
      </c>
      <c r="F739" s="12" t="str">
        <f aca="false">IF($E739="","Unmatched","Matched")</f>
        <v>Matched</v>
      </c>
    </row>
    <row r="740" customFormat="false" ht="15" hidden="false" customHeight="true" outlineLevel="0" collapsed="false">
      <c r="A740" s="12" t="s">
        <v>321</v>
      </c>
      <c r="B740" s="12" t="n">
        <v>2026</v>
      </c>
      <c r="C740" s="12" t="n">
        <v>11</v>
      </c>
      <c r="D740" s="12" t="n">
        <v>3082.9</v>
      </c>
      <c r="E740" s="12" t="n">
        <f aca="false">IFERROR(INDEX('Catalog'!$A:$A,MATCH($A740,'Catalog'!$B:$B,0)),IFERROR(INDEX('Catalog'!$A:$A,MATCH(TRIM(SUBSTITUTE($A740,CHAR(160)," ")),'Catalog'!$C:$C,0)),""))</f>
        <v>4408272</v>
      </c>
      <c r="F740" s="12" t="str">
        <f aca="false">IF($E740="","Unmatched","Matched")</f>
        <v>Matched</v>
      </c>
    </row>
    <row r="741" customFormat="false" ht="15" hidden="false" customHeight="true" outlineLevel="0" collapsed="false">
      <c r="A741" s="12" t="s">
        <v>320</v>
      </c>
      <c r="B741" s="12" t="n">
        <v>2026</v>
      </c>
      <c r="C741" s="12" t="n">
        <v>13</v>
      </c>
      <c r="D741" s="12" t="n">
        <v>3629.4</v>
      </c>
      <c r="E741" s="12" t="n">
        <f aca="false">IFERROR(INDEX('Catalog'!$A:$A,MATCH($A741,'Catalog'!$B:$B,0)),IFERROR(INDEX('Catalog'!$A:$A,MATCH(TRIM(SUBSTITUTE($A741,CHAR(160)," ")),'Catalog'!$C:$C,0)),""))</f>
        <v>4408273</v>
      </c>
      <c r="F741" s="12" t="str">
        <f aca="false">IF($E741="","Unmatched","Matched")</f>
        <v>Matched</v>
      </c>
    </row>
    <row r="742" customFormat="false" ht="15" hidden="false" customHeight="true" outlineLevel="0" collapsed="false">
      <c r="A742" s="12" t="s">
        <v>319</v>
      </c>
      <c r="B742" s="12" t="n">
        <v>2026</v>
      </c>
      <c r="C742" s="12" t="n">
        <v>12</v>
      </c>
      <c r="D742" s="12" t="n">
        <v>3349.1</v>
      </c>
      <c r="E742" s="12" t="n">
        <f aca="false">IFERROR(INDEX('Catalog'!$A:$A,MATCH($A742,'Catalog'!$B:$B,0)),IFERROR(INDEX('Catalog'!$A:$A,MATCH(TRIM(SUBSTITUTE($A742,CHAR(160)," ")),'Catalog'!$C:$C,0)),""))</f>
        <v>4408274</v>
      </c>
      <c r="F742" s="12" t="str">
        <f aca="false">IF($E742="","Unmatched","Matched")</f>
        <v>Matched</v>
      </c>
    </row>
    <row r="743" customFormat="false" ht="15" hidden="false" customHeight="true" outlineLevel="0" collapsed="false">
      <c r="A743" s="12" t="s">
        <v>601</v>
      </c>
      <c r="B743" s="12" t="n">
        <v>2026</v>
      </c>
      <c r="C743" s="12" t="n">
        <v>22</v>
      </c>
      <c r="D743" s="12" t="n">
        <v>2203</v>
      </c>
      <c r="E743" s="12" t="n">
        <f aca="false">IFERROR(INDEX('Catalog'!$A:$A,MATCH($A743,'Catalog'!$B:$B,0)),IFERROR(INDEX('Catalog'!$A:$A,MATCH(TRIM(SUBSTITUTE($A743,CHAR(160)," ")),'Catalog'!$C:$C,0)),""))</f>
        <v>4411026</v>
      </c>
      <c r="F743" s="12" t="str">
        <f aca="false">IF($E743="","Unmatched","Matched")</f>
        <v>Matched</v>
      </c>
    </row>
    <row r="744" customFormat="false" ht="15" hidden="false" customHeight="true" outlineLevel="0" collapsed="false">
      <c r="A744" s="12" t="s">
        <v>602</v>
      </c>
      <c r="B744" s="12" t="n">
        <v>2026</v>
      </c>
      <c r="C744" s="12" t="n">
        <v>42</v>
      </c>
      <c r="D744" s="12" t="n">
        <v>4233.4</v>
      </c>
      <c r="E744" s="12" t="n">
        <f aca="false">IFERROR(INDEX('Catalog'!$A:$A,MATCH($A744,'Catalog'!$B:$B,0)),IFERROR(INDEX('Catalog'!$A:$A,MATCH(TRIM(SUBSTITUTE($A744,CHAR(160)," ")),'Catalog'!$C:$C,0)),""))</f>
        <v>4411027</v>
      </c>
      <c r="F744" s="12" t="str">
        <f aca="false">IF($E744="","Unmatched","Matched")</f>
        <v>Matched</v>
      </c>
    </row>
    <row r="745" customFormat="false" ht="15" hidden="false" customHeight="true" outlineLevel="0" collapsed="false">
      <c r="A745" s="12" t="s">
        <v>603</v>
      </c>
      <c r="B745" s="12" t="n">
        <v>2026</v>
      </c>
      <c r="C745" s="12" t="n">
        <v>29</v>
      </c>
      <c r="D745" s="12" t="n">
        <v>2908.5</v>
      </c>
      <c r="E745" s="12" t="n">
        <f aca="false">IFERROR(INDEX('Catalog'!$A:$A,MATCH($A745,'Catalog'!$B:$B,0)),IFERROR(INDEX('Catalog'!$A:$A,MATCH(TRIM(SUBSTITUTE($A745,CHAR(160)," ")),'Catalog'!$C:$C,0)),""))</f>
        <v>4411028</v>
      </c>
      <c r="F745" s="12" t="str">
        <f aca="false">IF($E745="","Unmatched","Matched")</f>
        <v>Matched</v>
      </c>
    </row>
    <row r="746" customFormat="false" ht="15" hidden="false" customHeight="true" outlineLevel="0" collapsed="false">
      <c r="A746" s="12" t="s">
        <v>579</v>
      </c>
      <c r="B746" s="12" t="n">
        <v>2026</v>
      </c>
      <c r="C746" s="12" t="n">
        <v>23</v>
      </c>
      <c r="D746" s="12" t="n">
        <v>2299.4</v>
      </c>
      <c r="E746" s="12" t="n">
        <f aca="false">IFERROR(INDEX('Catalog'!$A:$A,MATCH($A746,'Catalog'!$B:$B,0)),IFERROR(INDEX('Catalog'!$A:$A,MATCH(TRIM(SUBSTITUTE($A746,CHAR(160)," ")),'Catalog'!$C:$C,0)),""))</f>
        <v>4411029</v>
      </c>
      <c r="F746" s="12" t="str">
        <f aca="false">IF($E746="","Unmatched","Matched")</f>
        <v>Matched</v>
      </c>
    </row>
    <row r="747" customFormat="false" ht="15" hidden="false" customHeight="true" outlineLevel="0" collapsed="false">
      <c r="A747" s="12" t="s">
        <v>604</v>
      </c>
      <c r="B747" s="12" t="n">
        <v>2026</v>
      </c>
      <c r="C747" s="12" t="n">
        <v>41</v>
      </c>
      <c r="D747" s="12" t="n">
        <v>4131.8</v>
      </c>
      <c r="E747" s="12" t="n">
        <f aca="false">IFERROR(INDEX('Catalog'!$A:$A,MATCH($A747,'Catalog'!$B:$B,0)),IFERROR(INDEX('Catalog'!$A:$A,MATCH(TRIM(SUBSTITUTE($A747,CHAR(160)," ")),'Catalog'!$C:$C,0)),""))</f>
        <v>4411030</v>
      </c>
      <c r="F747" s="12" t="str">
        <f aca="false">IF($E747="","Unmatched","Matched")</f>
        <v>Matched</v>
      </c>
    </row>
    <row r="748" customFormat="false" ht="15" hidden="false" customHeight="true" outlineLevel="0" collapsed="false">
      <c r="A748" s="12" t="s">
        <v>600</v>
      </c>
      <c r="B748" s="12" t="n">
        <v>2026</v>
      </c>
      <c r="C748" s="12" t="n">
        <v>31</v>
      </c>
      <c r="D748" s="12" t="n">
        <v>3111.6</v>
      </c>
      <c r="E748" s="12" t="n">
        <f aca="false">IFERROR(INDEX('Catalog'!$A:$A,MATCH($A748,'Catalog'!$B:$B,0)),IFERROR(INDEX('Catalog'!$A:$A,MATCH(TRIM(SUBSTITUTE($A748,CHAR(160)," ")),'Catalog'!$C:$C,0)),""))</f>
        <v>4411031</v>
      </c>
      <c r="F748" s="12" t="str">
        <f aca="false">IF($E748="","Unmatched","Matched")</f>
        <v>Matched</v>
      </c>
    </row>
    <row r="749" customFormat="false" ht="15" hidden="false" customHeight="true" outlineLevel="0" collapsed="false">
      <c r="A749" s="12" t="s">
        <v>441</v>
      </c>
      <c r="B749" s="12" t="n">
        <v>2026</v>
      </c>
      <c r="C749" s="12" t="n">
        <v>37</v>
      </c>
      <c r="D749" s="12" t="n">
        <v>3938.8</v>
      </c>
      <c r="E749" s="12" t="n">
        <f aca="false">IFERROR(INDEX('Catalog'!$A:$A,MATCH($A749,'Catalog'!$B:$B,0)),IFERROR(INDEX('Catalog'!$A:$A,MATCH(TRIM(SUBSTITUTE($A749,CHAR(160)," ")),'Catalog'!$C:$C,0)),""))</f>
        <v>4413520</v>
      </c>
      <c r="F749" s="12" t="str">
        <f aca="false">IF($E749="","Unmatched","Matched")</f>
        <v>Matched</v>
      </c>
    </row>
    <row r="750" customFormat="false" ht="15" hidden="false" customHeight="true" outlineLevel="0" collapsed="false">
      <c r="A750" s="12" t="s">
        <v>443</v>
      </c>
      <c r="B750" s="12" t="n">
        <v>2026</v>
      </c>
      <c r="C750" s="12" t="n">
        <v>128</v>
      </c>
      <c r="D750" s="12" t="n">
        <v>12597.5</v>
      </c>
      <c r="E750" s="12" t="n">
        <f aca="false">IFERROR(INDEX('Catalog'!$A:$A,MATCH($A750,'Catalog'!$B:$B,0)),IFERROR(INDEX('Catalog'!$A:$A,MATCH(TRIM(SUBSTITUTE($A750,CHAR(160)," ")),'Catalog'!$C:$C,0)),""))</f>
        <v>4413521</v>
      </c>
      <c r="F750" s="12" t="str">
        <f aca="false">IF($E750="","Unmatched","Matched")</f>
        <v>Matched</v>
      </c>
    </row>
    <row r="751" customFormat="false" ht="15" hidden="false" customHeight="true" outlineLevel="0" collapsed="false">
      <c r="A751" s="12" t="s">
        <v>442</v>
      </c>
      <c r="B751" s="12" t="n">
        <v>2026</v>
      </c>
      <c r="C751" s="12" t="n">
        <v>316</v>
      </c>
      <c r="D751" s="12" t="n">
        <v>31090.3</v>
      </c>
      <c r="E751" s="12" t="n">
        <f aca="false">IFERROR(INDEX('Catalog'!$A:$A,MATCH($A751,'Catalog'!$B:$B,0)),IFERROR(INDEX('Catalog'!$A:$A,MATCH(TRIM(SUBSTITUTE($A751,CHAR(160)," ")),'Catalog'!$C:$C,0)),""))</f>
        <v>4413522</v>
      </c>
      <c r="F751" s="12" t="str">
        <f aca="false">IF($E751="","Unmatched","Matched")</f>
        <v>Matched</v>
      </c>
    </row>
    <row r="752" customFormat="false" ht="15" hidden="false" customHeight="true" outlineLevel="0" collapsed="false">
      <c r="A752" s="12" t="s">
        <v>433</v>
      </c>
      <c r="B752" s="12" t="n">
        <v>2026</v>
      </c>
      <c r="C752" s="12" t="n">
        <v>38</v>
      </c>
      <c r="D752" s="12" t="n">
        <v>3972.8</v>
      </c>
      <c r="E752" s="12" t="n">
        <f aca="false">IFERROR(INDEX('Catalog'!$A:$A,MATCH($A752,'Catalog'!$B:$B,0)),IFERROR(INDEX('Catalog'!$A:$A,MATCH(TRIM(SUBSTITUTE($A752,CHAR(160)," ")),'Catalog'!$C:$C,0)),""))</f>
        <v>4413523</v>
      </c>
      <c r="F752" s="12" t="str">
        <f aca="false">IF($E752="","Unmatched","Matched")</f>
        <v>Matched</v>
      </c>
    </row>
    <row r="753" customFormat="false" ht="15" hidden="false" customHeight="true" outlineLevel="0" collapsed="false">
      <c r="A753" s="12" t="s">
        <v>435</v>
      </c>
      <c r="B753" s="12" t="n">
        <v>2026</v>
      </c>
      <c r="C753" s="12" t="n">
        <v>144</v>
      </c>
      <c r="D753" s="12" t="n">
        <v>14442.3</v>
      </c>
      <c r="E753" s="12" t="n">
        <f aca="false">IFERROR(INDEX('Catalog'!$A:$A,MATCH($A753,'Catalog'!$B:$B,0)),IFERROR(INDEX('Catalog'!$A:$A,MATCH(TRIM(SUBSTITUTE($A753,CHAR(160)," ")),'Catalog'!$C:$C,0)),""))</f>
        <v>4413524</v>
      </c>
      <c r="F753" s="12" t="str">
        <f aca="false">IF($E753="","Unmatched","Matched")</f>
        <v>Matched</v>
      </c>
    </row>
    <row r="754" customFormat="false" ht="15" hidden="false" customHeight="true" outlineLevel="0" collapsed="false">
      <c r="A754" s="12" t="s">
        <v>437</v>
      </c>
      <c r="B754" s="12" t="n">
        <v>2026</v>
      </c>
      <c r="C754" s="12" t="n">
        <v>236</v>
      </c>
      <c r="D754" s="12" t="n">
        <v>23568.3</v>
      </c>
      <c r="E754" s="12" t="n">
        <f aca="false">IFERROR(INDEX('Catalog'!$A:$A,MATCH($A754,'Catalog'!$B:$B,0)),IFERROR(INDEX('Catalog'!$A:$A,MATCH(TRIM(SUBSTITUTE($A754,CHAR(160)," ")),'Catalog'!$C:$C,0)),""))</f>
        <v>4413525</v>
      </c>
      <c r="F754" s="12" t="str">
        <f aca="false">IF($E754="","Unmatched","Matched")</f>
        <v>Matched</v>
      </c>
    </row>
    <row r="755" customFormat="false" ht="15" hidden="false" customHeight="true" outlineLevel="0" collapsed="false">
      <c r="A755" s="12" t="s">
        <v>434</v>
      </c>
      <c r="B755" s="12" t="n">
        <v>2026</v>
      </c>
      <c r="C755" s="12" t="n">
        <v>74</v>
      </c>
      <c r="D755" s="12" t="n">
        <v>7547.1</v>
      </c>
      <c r="E755" s="12" t="n">
        <f aca="false">IFERROR(INDEX('Catalog'!$A:$A,MATCH($A755,'Catalog'!$B:$B,0)),IFERROR(INDEX('Catalog'!$A:$A,MATCH(TRIM(SUBSTITUTE($A755,CHAR(160)," ")),'Catalog'!$C:$C,0)),""))</f>
        <v>4413527</v>
      </c>
      <c r="F755" s="12" t="str">
        <f aca="false">IF($E755="","Unmatched","Matched")</f>
        <v>Matched</v>
      </c>
    </row>
    <row r="756" customFormat="false" ht="15" hidden="false" customHeight="true" outlineLevel="0" collapsed="false">
      <c r="A756" s="12" t="s">
        <v>436</v>
      </c>
      <c r="B756" s="12" t="n">
        <v>2026</v>
      </c>
      <c r="C756" s="12" t="n">
        <v>378</v>
      </c>
      <c r="D756" s="12" t="n">
        <v>37871.7</v>
      </c>
      <c r="E756" s="12" t="n">
        <f aca="false">IFERROR(INDEX('Catalog'!$A:$A,MATCH($A756,'Catalog'!$B:$B,0)),IFERROR(INDEX('Catalog'!$A:$A,MATCH(TRIM(SUBSTITUTE($A756,CHAR(160)," ")),'Catalog'!$C:$C,0)),""))</f>
        <v>4413528</v>
      </c>
      <c r="F756" s="12" t="str">
        <f aca="false">IF($E756="","Unmatched","Matched")</f>
        <v>Matched</v>
      </c>
    </row>
    <row r="757" customFormat="false" ht="15" hidden="false" customHeight="true" outlineLevel="0" collapsed="false">
      <c r="A757" s="12" t="s">
        <v>438</v>
      </c>
      <c r="B757" s="12" t="n">
        <v>2026</v>
      </c>
      <c r="C757" s="12" t="n">
        <v>553</v>
      </c>
      <c r="D757" s="12" t="n">
        <v>55166.1</v>
      </c>
      <c r="E757" s="12" t="n">
        <f aca="false">IFERROR(INDEX('Catalog'!$A:$A,MATCH($A757,'Catalog'!$B:$B,0)),IFERROR(INDEX('Catalog'!$A:$A,MATCH(TRIM(SUBSTITUTE($A757,CHAR(160)," ")),'Catalog'!$C:$C,0)),""))</f>
        <v>4413529</v>
      </c>
      <c r="F757" s="12" t="str">
        <f aca="false">IF($E757="","Unmatched","Matched")</f>
        <v>Matched</v>
      </c>
    </row>
    <row r="758" customFormat="false" ht="15" hidden="false" customHeight="true" outlineLevel="0" collapsed="false">
      <c r="A758" s="12" t="s">
        <v>759</v>
      </c>
      <c r="B758" s="12" t="n">
        <v>2026</v>
      </c>
      <c r="C758" s="12" t="n">
        <v>40</v>
      </c>
      <c r="D758" s="12" t="n">
        <v>5635.8</v>
      </c>
      <c r="E758" s="12" t="n">
        <f aca="false">IFERROR(INDEX('Catalog'!$A:$A,MATCH($A758,'Catalog'!$B:$B,0)),IFERROR(INDEX('Catalog'!$A:$A,MATCH(TRIM(SUBSTITUTE($A758,CHAR(160)," ")),'Catalog'!$C:$C,0)),""))</f>
        <v>4413534</v>
      </c>
      <c r="F758" s="12" t="str">
        <f aca="false">IF($E758="","Unmatched","Matched")</f>
        <v>Matched</v>
      </c>
    </row>
    <row r="759" customFormat="false" ht="15" hidden="false" customHeight="true" outlineLevel="0" collapsed="false">
      <c r="A759" s="12" t="s">
        <v>837</v>
      </c>
      <c r="B759" s="12" t="n">
        <v>2026</v>
      </c>
      <c r="C759" s="12" t="n">
        <v>20</v>
      </c>
      <c r="D759" s="12" t="n">
        <v>1293.3</v>
      </c>
      <c r="E759" s="12" t="n">
        <f aca="false">IFERROR(INDEX('Catalog'!$A:$A,MATCH($A759,'Catalog'!$B:$B,0)),IFERROR(INDEX('Catalog'!$A:$A,MATCH(TRIM(SUBSTITUTE($A759,CHAR(160)," ")),'Catalog'!$C:$C,0)),""))</f>
        <v>4415298</v>
      </c>
      <c r="F759" s="12" t="str">
        <f aca="false">IF($E759="","Unmatched","Matched")</f>
        <v>Matched</v>
      </c>
    </row>
    <row r="760" customFormat="false" ht="15" hidden="false" customHeight="true" outlineLevel="0" collapsed="false">
      <c r="A760" s="12" t="s">
        <v>836</v>
      </c>
      <c r="B760" s="12" t="n">
        <v>2026</v>
      </c>
      <c r="C760" s="12" t="n">
        <v>20</v>
      </c>
      <c r="D760" s="12" t="n">
        <v>1278</v>
      </c>
      <c r="E760" s="12" t="n">
        <f aca="false">IFERROR(INDEX('Catalog'!$A:$A,MATCH($A760,'Catalog'!$B:$B,0)),IFERROR(INDEX('Catalog'!$A:$A,MATCH(TRIM(SUBSTITUTE($A760,CHAR(160)," ")),'Catalog'!$C:$C,0)),""))</f>
        <v>4415299</v>
      </c>
      <c r="F760" s="12" t="str">
        <f aca="false">IF($E760="","Unmatched","Matched")</f>
        <v>Matched</v>
      </c>
    </row>
    <row r="761" customFormat="false" ht="15" hidden="false" customHeight="true" outlineLevel="0" collapsed="false">
      <c r="A761" s="12" t="s">
        <v>366</v>
      </c>
      <c r="B761" s="12" t="n">
        <v>2026</v>
      </c>
      <c r="C761" s="12" t="n">
        <v>536</v>
      </c>
      <c r="D761" s="12" t="n">
        <v>10680.7</v>
      </c>
      <c r="E761" s="12" t="n">
        <f aca="false">IFERROR(INDEX('Catalog'!$A:$A,MATCH($A761,'Catalog'!$B:$B,0)),IFERROR(INDEX('Catalog'!$A:$A,MATCH(TRIM(SUBSTITUTE($A761,CHAR(160)," ")),'Catalog'!$C:$C,0)),""))</f>
        <v>4422036</v>
      </c>
      <c r="F761" s="12" t="str">
        <f aca="false">IF($E761="","Unmatched","Matched")</f>
        <v>Matched</v>
      </c>
    </row>
    <row r="762" customFormat="false" ht="15" hidden="false" customHeight="true" outlineLevel="0" collapsed="false">
      <c r="A762" s="12" t="s">
        <v>154</v>
      </c>
      <c r="B762" s="12" t="n">
        <v>2026</v>
      </c>
      <c r="C762" s="12" t="n">
        <v>17</v>
      </c>
      <c r="D762" s="12" t="n">
        <v>3043</v>
      </c>
      <c r="E762" s="12" t="n">
        <f aca="false">IFERROR(INDEX('Catalog'!$A:$A,MATCH($A762,'Catalog'!$B:$B,0)),IFERROR(INDEX('Catalog'!$A:$A,MATCH(TRIM(SUBSTITUTE($A762,CHAR(160)," ")),'Catalog'!$C:$C,0)),""))</f>
        <v>4422037</v>
      </c>
      <c r="F762" s="12" t="str">
        <f aca="false">IF($E762="","Unmatched","Matched")</f>
        <v>Matched</v>
      </c>
    </row>
    <row r="763" customFormat="false" ht="15" hidden="false" customHeight="true" outlineLevel="0" collapsed="false">
      <c r="A763" s="12" t="s">
        <v>155</v>
      </c>
      <c r="B763" s="12" t="n">
        <v>2026</v>
      </c>
      <c r="C763" s="12" t="n">
        <v>20</v>
      </c>
      <c r="D763" s="12" t="n">
        <v>3627.8</v>
      </c>
      <c r="E763" s="12" t="n">
        <f aca="false">IFERROR(INDEX('Catalog'!$A:$A,MATCH($A763,'Catalog'!$B:$B,0)),IFERROR(INDEX('Catalog'!$A:$A,MATCH(TRIM(SUBSTITUTE($A763,CHAR(160)," ")),'Catalog'!$C:$C,0)),""))</f>
        <v>4422038</v>
      </c>
      <c r="F763" s="12" t="str">
        <f aca="false">IF($E763="","Unmatched","Matched")</f>
        <v>Matched</v>
      </c>
    </row>
    <row r="764" customFormat="false" ht="15" hidden="false" customHeight="true" outlineLevel="0" collapsed="false">
      <c r="A764" s="12" t="s">
        <v>156</v>
      </c>
      <c r="B764" s="12" t="n">
        <v>2026</v>
      </c>
      <c r="C764" s="12" t="n">
        <v>26</v>
      </c>
      <c r="D764" s="12" t="n">
        <v>4687.8</v>
      </c>
      <c r="E764" s="12" t="n">
        <f aca="false">IFERROR(INDEX('Catalog'!$A:$A,MATCH($A764,'Catalog'!$B:$B,0)),IFERROR(INDEX('Catalog'!$A:$A,MATCH(TRIM(SUBSTITUTE($A764,CHAR(160)," ")),'Catalog'!$C:$C,0)),""))</f>
        <v>4422039</v>
      </c>
      <c r="F764" s="12" t="str">
        <f aca="false">IF($E764="","Unmatched","Matched")</f>
        <v>Matched</v>
      </c>
    </row>
    <row r="765" customFormat="false" ht="15" hidden="false" customHeight="true" outlineLevel="0" collapsed="false">
      <c r="A765" s="12" t="s">
        <v>157</v>
      </c>
      <c r="B765" s="12" t="n">
        <v>2026</v>
      </c>
      <c r="C765" s="12" t="n">
        <v>42</v>
      </c>
      <c r="D765" s="12" t="n">
        <v>7611.9</v>
      </c>
      <c r="E765" s="12" t="n">
        <f aca="false">IFERROR(INDEX('Catalog'!$A:$A,MATCH($A765,'Catalog'!$B:$B,0)),IFERROR(INDEX('Catalog'!$A:$A,MATCH(TRIM(SUBSTITUTE($A765,CHAR(160)," ")),'Catalog'!$C:$C,0)),""))</f>
        <v>4422040</v>
      </c>
      <c r="F765" s="12" t="str">
        <f aca="false">IF($E765="","Unmatched","Matched")</f>
        <v>Matched</v>
      </c>
    </row>
    <row r="766" customFormat="false" ht="15" hidden="false" customHeight="true" outlineLevel="0" collapsed="false">
      <c r="A766" s="12" t="s">
        <v>158</v>
      </c>
      <c r="B766" s="12" t="n">
        <v>2026</v>
      </c>
      <c r="C766" s="12" t="n">
        <v>30</v>
      </c>
      <c r="D766" s="12" t="n">
        <v>5400.5</v>
      </c>
      <c r="E766" s="12" t="n">
        <f aca="false">IFERROR(INDEX('Catalog'!$A:$A,MATCH($A766,'Catalog'!$B:$B,0)),IFERROR(INDEX('Catalog'!$A:$A,MATCH(TRIM(SUBSTITUTE($A766,CHAR(160)," ")),'Catalog'!$C:$C,0)),""))</f>
        <v>4422041</v>
      </c>
      <c r="F766" s="12" t="str">
        <f aca="false">IF($E766="","Unmatched","Matched")</f>
        <v>Matched</v>
      </c>
    </row>
    <row r="767" customFormat="false" ht="15" hidden="false" customHeight="true" outlineLevel="0" collapsed="false">
      <c r="A767" s="12" t="s">
        <v>159</v>
      </c>
      <c r="B767" s="12" t="n">
        <v>2026</v>
      </c>
      <c r="C767" s="12" t="n">
        <v>14</v>
      </c>
      <c r="D767" s="12" t="n">
        <v>2522.1</v>
      </c>
      <c r="E767" s="12" t="n">
        <f aca="false">IFERROR(INDEX('Catalog'!$A:$A,MATCH($A767,'Catalog'!$B:$B,0)),IFERROR(INDEX('Catalog'!$A:$A,MATCH(TRIM(SUBSTITUTE($A767,CHAR(160)," ")),'Catalog'!$C:$C,0)),""))</f>
        <v>4422042</v>
      </c>
      <c r="F767" s="12" t="str">
        <f aca="false">IF($E767="","Unmatched","Matched")</f>
        <v>Matched</v>
      </c>
    </row>
    <row r="768" customFormat="false" ht="15" hidden="false" customHeight="true" outlineLevel="0" collapsed="false">
      <c r="A768" s="12" t="s">
        <v>476</v>
      </c>
      <c r="B768" s="12" t="n">
        <v>2026</v>
      </c>
      <c r="C768" s="12" t="n">
        <v>-1</v>
      </c>
      <c r="D768" s="12" t="n">
        <v>0</v>
      </c>
      <c r="E768" s="12" t="n">
        <f aca="false">IFERROR(INDEX('Catalog'!$A:$A,MATCH($A768,'Catalog'!$B:$B,0)),IFERROR(INDEX('Catalog'!$A:$A,MATCH(TRIM(SUBSTITUTE($A768,CHAR(160)," ")),'Catalog'!$C:$C,0)),""))</f>
        <v>4408086</v>
      </c>
      <c r="F768" s="12" t="str">
        <f aca="false">IF($E768="","Unmatched","Matched")</f>
        <v>Matched</v>
      </c>
    </row>
    <row r="769" customFormat="false" ht="15" hidden="false" customHeight="true" outlineLevel="0" collapsed="false">
      <c r="A769" s="12" t="s">
        <v>486</v>
      </c>
      <c r="B769" s="12" t="n">
        <v>2026</v>
      </c>
      <c r="C769" s="12" t="n">
        <v>-1</v>
      </c>
      <c r="D769" s="12" t="n">
        <v>0</v>
      </c>
      <c r="E769" s="12" t="n">
        <f aca="false">IFERROR(INDEX('Catalog'!$A:$A,MATCH($A769,'Catalog'!$B:$B,0)),IFERROR(INDEX('Catalog'!$A:$A,MATCH(TRIM(SUBSTITUTE($A769,CHAR(160)," ")),'Catalog'!$C:$C,0)),""))</f>
        <v>4413147</v>
      </c>
      <c r="F769" s="12" t="str">
        <f aca="false">IF($E769="","Unmatched","Matched")</f>
        <v>Matched</v>
      </c>
    </row>
    <row r="770" customFormat="false" ht="15" hidden="false" customHeight="true" outlineLevel="0" collapsed="false">
      <c r="A770" s="12" t="s">
        <v>636</v>
      </c>
      <c r="B770" s="12" t="n">
        <v>2026</v>
      </c>
      <c r="C770" s="12" t="n">
        <v>-1</v>
      </c>
      <c r="D770" s="12" t="n">
        <v>0</v>
      </c>
      <c r="E770" s="12" t="n">
        <f aca="false">IFERROR(INDEX('Catalog'!$A:$A,MATCH($A770,'Catalog'!$B:$B,0)),IFERROR(INDEX('Catalog'!$A:$A,MATCH(TRIM(SUBSTITUTE($A770,CHAR(160)," ")),'Catalog'!$C:$C,0)),""))</f>
        <v>4415089</v>
      </c>
      <c r="F770" s="12" t="str">
        <f aca="false">IF($E770="","Unmatched","Matched")</f>
        <v>Matched</v>
      </c>
    </row>
    <row r="771" customFormat="false" ht="15" hidden="false" customHeight="true" outlineLevel="0" collapsed="false">
      <c r="A771" s="12" t="s">
        <v>640</v>
      </c>
      <c r="B771" s="12" t="n">
        <v>2026</v>
      </c>
      <c r="C771" s="12" t="n">
        <v>-1</v>
      </c>
      <c r="D771" s="12" t="n">
        <v>0</v>
      </c>
      <c r="E771" s="12" t="n">
        <f aca="false">IFERROR(INDEX('Catalog'!$A:$A,MATCH($A771,'Catalog'!$B:$B,0)),IFERROR(INDEX('Catalog'!$A:$A,MATCH(TRIM(SUBSTITUTE($A771,CHAR(160)," ")),'Catalog'!$C:$C,0)),""))</f>
        <v>4415095</v>
      </c>
      <c r="F771" s="12" t="str">
        <f aca="false">IF($E771="","Unmatched","Matched")</f>
        <v>Matched</v>
      </c>
    </row>
  </sheetData>
  <mergeCells count="1">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3"/>
    <col collapsed="false" customWidth="true" hidden="false" outlineLevel="0" max="4" min="4" style="1" width="15"/>
    <col collapsed="false" customWidth="true" hidden="false" outlineLevel="0" max="7" min="7" style="1" width="16"/>
    <col collapsed="false" customWidth="true" hidden="false" outlineLevel="0" max="8" min="8" style="1" width="15"/>
    <col collapsed="false" customWidth="true" hidden="false" outlineLevel="0" max="9" min="9" style="1" width="17"/>
    <col collapsed="false" customWidth="true" hidden="false" outlineLevel="0" max="10" min="10" style="1" width="15"/>
    <col collapsed="false" customWidth="true" hidden="false" outlineLevel="0" max="12" min="12" style="1" width="16"/>
  </cols>
  <sheetData>
    <row r="1" customFormat="false" ht="15" hidden="false" customHeight="true" outlineLevel="0" collapsed="false">
      <c r="A1" s="11" t="s">
        <v>1281</v>
      </c>
    </row>
    <row r="2" customFormat="false" ht="15" hidden="false" customHeight="true" outlineLevel="0" collapsed="false">
      <c r="A2" s="3" t="s">
        <v>1</v>
      </c>
      <c r="B2" s="13" t="n">
        <v>46290</v>
      </c>
    </row>
    <row r="3" customFormat="false" ht="90" hidden="false" customHeight="true" outlineLevel="0" collapsed="false">
      <c r="A3" s="5" t="s">
        <v>1282</v>
      </c>
      <c r="B3" s="5"/>
      <c r="C3" s="5"/>
      <c r="D3" s="5"/>
      <c r="E3" s="5"/>
      <c r="F3" s="5"/>
      <c r="G3" s="5"/>
      <c r="H3" s="5"/>
      <c r="I3" s="5"/>
      <c r="J3" s="5"/>
    </row>
    <row r="4" customFormat="false" ht="54.75" hidden="false" customHeight="true" outlineLevel="0" collapsed="false">
      <c r="A4" s="5" t="s">
        <v>1283</v>
      </c>
      <c r="B4" s="5"/>
      <c r="C4" s="5"/>
      <c r="D4" s="5"/>
      <c r="E4" s="5"/>
      <c r="F4" s="5"/>
      <c r="G4" s="5"/>
      <c r="H4" s="5"/>
      <c r="I4" s="14" t="s">
        <v>853</v>
      </c>
      <c r="J4" s="15" t="n">
        <v>12</v>
      </c>
      <c r="K4" s="14" t="s">
        <v>854</v>
      </c>
      <c r="L4" s="15" t="n">
        <v>9.5</v>
      </c>
    </row>
    <row r="5" customFormat="false" ht="30" hidden="false" customHeight="true" outlineLevel="0" collapsed="false">
      <c r="A5" s="16" t="s">
        <v>855</v>
      </c>
      <c r="B5" s="17" t="n">
        <f aca="false">SUMPRODUCT(--((($C$9:$C$268&lt;&gt;0)+($H$9:$H$268&lt;&gt;0)&gt;0)*(($D$9:$D$268=0)*($I$9:$I$268=0))))</f>
        <v>18</v>
      </c>
      <c r="C5" s="16" t="s">
        <v>856</v>
      </c>
      <c r="D5" s="17" t="n">
        <f aca="false">SUMPRODUCT(--((($D$9:$D$268&lt;&gt;0)+($I$9:$I$268&lt;&gt;0)&gt;0)*(($C$9:$C$268=0)*($H$9:$H$268=0))))</f>
        <v>38</v>
      </c>
      <c r="I5" s="16" t="s">
        <v>857</v>
      </c>
      <c r="J5" s="18" t="n">
        <f aca="false">J4/L4</f>
        <v>1.26315789473684</v>
      </c>
    </row>
    <row r="6" customFormat="false" ht="30" hidden="false" customHeight="true" outlineLevel="0" collapsed="false">
      <c r="A6" s="16" t="s">
        <v>858</v>
      </c>
      <c r="B6" s="17" t="n">
        <f aca="false">SUMPRODUCT(--((($C$9:$C$268&lt;&gt;0)+($H$9:$H$268&lt;&gt;0)&gt;0)*(($D$9:$D$268=0)*($I$9:$I$268=0)))*$C$9:$C$268)</f>
        <v>175</v>
      </c>
      <c r="C6" s="16" t="s">
        <v>859</v>
      </c>
      <c r="D6" s="17" t="n">
        <f aca="false">SUMPRODUCT(--((($C$9:$C$268&lt;&gt;0)+($H$9:$H$268&lt;&gt;0)&gt;0)*(($D$9:$D$268=0)*($I$9:$I$268=0)))*$H$9:$H$268)</f>
        <v>4498.75</v>
      </c>
      <c r="E6" s="16" t="s">
        <v>860</v>
      </c>
      <c r="F6" s="17" t="n">
        <f aca="false">SUMPRODUCT(--((($D$9:$D$268&lt;&gt;0)+($I$9:$I$268&lt;&gt;0)&gt;0)*(($C$9:$C$268=0)*($H$9:$H$268=0)))*$D$9:$D$268)</f>
        <v>569</v>
      </c>
      <c r="G6" s="16" t="s">
        <v>861</v>
      </c>
      <c r="H6" s="17" t="n">
        <f aca="false">SUMPRODUCT(--((($D$9:$D$268&lt;&gt;0)+($I$9:$I$268&lt;&gt;0)&gt;0)*(($C$9:$C$268=0)*($H$9:$H$268=0)))*$I$9:$I$268)</f>
        <v>40471.1</v>
      </c>
      <c r="I6" s="16" t="s">
        <v>862</v>
      </c>
      <c r="J6" s="17" t="n">
        <f aca="false">F6*$J$5</f>
        <v>718.736842105263</v>
      </c>
      <c r="K6" s="16" t="s">
        <v>863</v>
      </c>
      <c r="L6" s="17" t="n">
        <f aca="false">H6*$J$5</f>
        <v>51121.3894736842</v>
      </c>
    </row>
    <row r="8" customFormat="false" ht="43.5" hidden="false" customHeight="true" outlineLevel="0" collapsed="false">
      <c r="A8" s="19" t="s">
        <v>864</v>
      </c>
      <c r="B8" s="19" t="s">
        <v>865</v>
      </c>
      <c r="C8" s="19" t="s">
        <v>17</v>
      </c>
      <c r="D8" s="19" t="s">
        <v>866</v>
      </c>
      <c r="E8" s="19" t="s">
        <v>867</v>
      </c>
      <c r="F8" s="19" t="s">
        <v>868</v>
      </c>
      <c r="G8" s="19" t="s">
        <v>869</v>
      </c>
      <c r="H8" s="19" t="s">
        <v>21</v>
      </c>
      <c r="I8" s="19" t="s">
        <v>870</v>
      </c>
      <c r="J8" s="19" t="s">
        <v>23</v>
      </c>
      <c r="K8" s="20"/>
      <c r="L8" s="20"/>
    </row>
    <row r="9" customFormat="false" ht="15" hidden="false" customHeight="true" outlineLevel="0" collapsed="false">
      <c r="A9" s="12" t="n">
        <v>4401000</v>
      </c>
      <c r="B9" s="12" t="str">
        <f aca="false">IFERROR(INDEX('מאוחדת Raw'!$B:$B,MATCH($A9,'מאוחדת Raw'!$F:$F,0)),"")</f>
        <v>369  S-L אצבעון מסיליקון יחידה</v>
      </c>
      <c r="C9" s="12" t="n">
        <f aca="false">SUMIFS('מאוחדת Raw'!$D$7:$D$625,'מאוחדת Raw'!$F$7:$F$625,$A9,'מאוחדת Raw'!$C$7:$C$625,2025)</f>
        <v>234</v>
      </c>
      <c r="D9" s="12" t="n">
        <f aca="false">SUMIFS('מאוחדת Raw'!$D$7:$D$625,'מאוחדת Raw'!$F$7:$F$625,$A9,'מאוחדת Raw'!$C$7:$C$625,2026)</f>
        <v>114</v>
      </c>
      <c r="E9" s="12" t="n">
        <f aca="false">D9*$J$5</f>
        <v>144</v>
      </c>
      <c r="F9" s="12" t="n">
        <f aca="false">E9-C9</f>
        <v>-90</v>
      </c>
      <c r="G9" s="21" t="n">
        <f aca="false">IF(AND(C9=0,E9=0),0,IF(C9=0,"New",(E9-C9)/C9))</f>
        <v>-0.384615384615385</v>
      </c>
      <c r="H9" s="12" t="n">
        <f aca="false">SUMIFS('מאוחדת Raw'!$E$7:$E$625,'מאוחדת Raw'!$F$7:$F$625,$A9,'מאוחדת Raw'!$C$7:$C$625,2025)</f>
        <v>3790.8</v>
      </c>
      <c r="I9" s="12" t="n">
        <f aca="false">SUMIFS('מאוחדת Raw'!$E$7:$E$625,'מאוחדת Raw'!$F$7:$F$625,$A9,'מאוחדת Raw'!$C$7:$C$625,2026)</f>
        <v>1729.4</v>
      </c>
      <c r="J9" s="12" t="n">
        <f aca="false">I9*$J$5</f>
        <v>2184.50526315789</v>
      </c>
      <c r="K9" s="12"/>
      <c r="L9" s="22"/>
    </row>
    <row r="10" customFormat="false" ht="15" hidden="false" customHeight="true" outlineLevel="0" collapsed="false">
      <c r="A10" s="12" t="n">
        <v>4401001</v>
      </c>
      <c r="B10" s="12" t="str">
        <f aca="false">IFERROR(INDEX('מאוחדת Raw'!$B:$B,MATCH($A10,'מאוחדת Raw'!$F:$F,0)),"")</f>
        <v>369   XL אצבעון מסיליקון יחידה</v>
      </c>
      <c r="C10" s="12" t="n">
        <f aca="false">SUMIFS('מאוחדת Raw'!$D$7:$D$625,'מאוחדת Raw'!$F$7:$F$625,$A10,'מאוחדת Raw'!$C$7:$C$625,2025)</f>
        <v>336</v>
      </c>
      <c r="D10" s="12" t="n">
        <f aca="false">SUMIFS('מאוחדת Raw'!$D$7:$D$625,'מאוחדת Raw'!$F$7:$F$625,$A10,'מאוחדת Raw'!$C$7:$C$625,2026)</f>
        <v>226</v>
      </c>
      <c r="E10" s="12" t="n">
        <f aca="false">D10*$J$5</f>
        <v>285.473684210526</v>
      </c>
      <c r="F10" s="12" t="n">
        <f aca="false">E10-C10</f>
        <v>-50.5263157894737</v>
      </c>
      <c r="G10" s="21" t="n">
        <f aca="false">IF(AND(C10=0,E10=0),0,IF(C10=0,"New",(E10-C10)/C10))</f>
        <v>-0.150375939849624</v>
      </c>
      <c r="H10" s="12" t="n">
        <f aca="false">SUMIFS('מאוחדת Raw'!$E$7:$E$625,'מאוחדת Raw'!$F$7:$F$625,$A10,'מאוחדת Raw'!$C$7:$C$625,2025)</f>
        <v>5987.52</v>
      </c>
      <c r="I10" s="12" t="n">
        <f aca="false">SUMIFS('מאוחדת Raw'!$E$7:$E$625,'מאוחדת Raw'!$F$7:$F$625,$A10,'מאוחדת Raw'!$C$7:$C$625,2026)</f>
        <v>3987.2</v>
      </c>
      <c r="J10" s="12" t="n">
        <f aca="false">I10*$J$5</f>
        <v>5036.46315789474</v>
      </c>
      <c r="K10" s="12"/>
      <c r="L10" s="22"/>
    </row>
    <row r="11" customFormat="false" ht="15" hidden="false" customHeight="true" outlineLevel="0" collapsed="false">
      <c r="A11" s="12" t="n">
        <v>4401002</v>
      </c>
      <c r="B11" s="12" t="str">
        <f aca="false">IFERROR(INDEX('מאוחדת Raw'!$B:$B,MATCH($A11,'מאוחדת Raw'!$F:$F,0)),"")</f>
        <v>PD 344-אבן טבעית להסרת עור קשה</v>
      </c>
      <c r="C11" s="12" t="n">
        <f aca="false">SUMIFS('מאוחדת Raw'!$D$7:$D$625,'מאוחדת Raw'!$F$7:$F$625,$A11,'מאוחדת Raw'!$C$7:$C$625,2025)</f>
        <v>335</v>
      </c>
      <c r="D11" s="12" t="n">
        <f aca="false">SUMIFS('מאוחדת Raw'!$D$7:$D$625,'מאוחדת Raw'!$F$7:$F$625,$A11,'מאוחדת Raw'!$C$7:$C$625,2026)</f>
        <v>197</v>
      </c>
      <c r="E11" s="12" t="n">
        <f aca="false">D11*$J$5</f>
        <v>248.842105263158</v>
      </c>
      <c r="F11" s="12" t="n">
        <f aca="false">E11-C11</f>
        <v>-86.1578947368421</v>
      </c>
      <c r="G11" s="21" t="n">
        <f aca="false">IF(AND(C11=0,E11=0),0,IF(C11=0,"New",(E11-C11)/C11))</f>
        <v>-0.257187745483111</v>
      </c>
      <c r="H11" s="12" t="n">
        <f aca="false">SUMIFS('מאוחדת Raw'!$E$7:$E$625,'מאוחדת Raw'!$F$7:$F$625,$A11,'מאוחדת Raw'!$C$7:$C$625,2025)</f>
        <v>1946.35</v>
      </c>
      <c r="I11" s="12" t="n">
        <f aca="false">SUMIFS('מאוחדת Raw'!$E$7:$E$625,'מאוחדת Raw'!$F$7:$F$625,$A11,'מאוחדת Raw'!$C$7:$C$625,2026)</f>
        <v>1113.99</v>
      </c>
      <c r="J11" s="12" t="n">
        <f aca="false">I11*$J$5</f>
        <v>1407.14526315789</v>
      </c>
      <c r="K11" s="12"/>
      <c r="L11" s="22"/>
    </row>
    <row r="12" customFormat="false" ht="15" hidden="false" customHeight="true" outlineLevel="0" collapsed="false">
      <c r="A12" s="12" t="n">
        <v>4402000</v>
      </c>
      <c r="B12" s="12" t="str">
        <f aca="false">IFERROR(INDEX('מאוחדת Raw'!$B:$B,MATCH($A12,'מאוחדת Raw'!$F:$F,0)),"")</f>
        <v>363  בננה לתמיכת אצבעות ז.כרית</v>
      </c>
      <c r="C12" s="12" t="n">
        <f aca="false">SUMIFS('מאוחדת Raw'!$D$7:$D$625,'מאוחדת Raw'!$F$7:$F$625,$A12,'מאוחדת Raw'!$C$7:$C$625,2025)</f>
        <v>154</v>
      </c>
      <c r="D12" s="12" t="n">
        <f aca="false">SUMIFS('מאוחדת Raw'!$D$7:$D$625,'מאוחדת Raw'!$F$7:$F$625,$A12,'מאוחדת Raw'!$C$7:$C$625,2026)</f>
        <v>67</v>
      </c>
      <c r="E12" s="12" t="n">
        <f aca="false">D12*$J$5</f>
        <v>84.6315789473684</v>
      </c>
      <c r="F12" s="12" t="n">
        <f aca="false">E12-C12</f>
        <v>-69.3684210526316</v>
      </c>
      <c r="G12" s="21" t="n">
        <f aca="false">IF(AND(C12=0,E12=0),0,IF(C12=0,"New",(E12-C12)/C12))</f>
        <v>-0.450444292549556</v>
      </c>
      <c r="H12" s="12" t="n">
        <f aca="false">SUMIFS('מאוחדת Raw'!$E$7:$E$625,'מאוחדת Raw'!$F$7:$F$625,$A12,'מאוחדת Raw'!$C$7:$C$625,2025)</f>
        <v>2671.9</v>
      </c>
      <c r="I12" s="12" t="n">
        <f aca="false">SUMIFS('מאוחדת Raw'!$E$7:$E$625,'מאוחדת Raw'!$F$7:$F$625,$A12,'מאוחדת Raw'!$C$7:$C$625,2026)</f>
        <v>1119.1</v>
      </c>
      <c r="J12" s="12" t="n">
        <f aca="false">I12*$J$5</f>
        <v>1413.6</v>
      </c>
      <c r="K12" s="12"/>
      <c r="L12" s="22"/>
    </row>
    <row r="13" customFormat="false" ht="15" hidden="false" customHeight="true" outlineLevel="0" collapsed="false">
      <c r="A13" s="12" t="n">
        <v>4402007</v>
      </c>
      <c r="B13" s="12" t="str">
        <f aca="false">IFERROR(INDEX('מאוחדת Raw'!$B:$B,MATCH($A13,'מאוחדת Raw'!$F:$F,0)),"")</f>
        <v>320 בליסטר פלסטר</v>
      </c>
      <c r="C13" s="12" t="n">
        <f aca="false">SUMIFS('מאוחדת Raw'!$D$7:$D$625,'מאוחדת Raw'!$F$7:$F$625,$A13,'מאוחדת Raw'!$C$7:$C$625,2025)</f>
        <v>163</v>
      </c>
      <c r="D13" s="12" t="n">
        <f aca="false">SUMIFS('מאוחדת Raw'!$D$7:$D$625,'מאוחדת Raw'!$F$7:$F$625,$A13,'מאוחדת Raw'!$C$7:$C$625,2026)</f>
        <v>112</v>
      </c>
      <c r="E13" s="12" t="n">
        <f aca="false">D13*$J$5</f>
        <v>141.473684210526</v>
      </c>
      <c r="F13" s="12" t="n">
        <f aca="false">E13-C13</f>
        <v>-21.5263157894737</v>
      </c>
      <c r="G13" s="21" t="n">
        <f aca="false">IF(AND(C13=0,E13=0),0,IF(C13=0,"New",(E13-C13)/C13))</f>
        <v>-0.132063287051986</v>
      </c>
      <c r="H13" s="12" t="n">
        <f aca="false">SUMIFS('מאוחדת Raw'!$E$7:$E$625,'מאוחדת Raw'!$F$7:$F$625,$A13,'מאוחדת Raw'!$C$7:$C$625,2025)</f>
        <v>2089.66</v>
      </c>
      <c r="I13" s="12" t="n">
        <f aca="false">SUMIFS('מאוחדת Raw'!$E$7:$E$625,'מאוחדת Raw'!$F$7:$F$625,$A13,'מאוחדת Raw'!$C$7:$C$625,2026)</f>
        <v>1374.98</v>
      </c>
      <c r="J13" s="12" t="n">
        <f aca="false">I13*$J$5</f>
        <v>1736.81684210526</v>
      </c>
      <c r="K13" s="12"/>
      <c r="L13" s="22"/>
    </row>
    <row r="14" customFormat="false" ht="15" hidden="false" customHeight="true" outlineLevel="0" collapsed="false">
      <c r="A14" s="12" t="n">
        <v>4402011</v>
      </c>
      <c r="B14" s="12" t="str">
        <f aca="false">IFERROR(INDEX('מאוחדת Raw'!$B:$B,MATCH($A14,'מאוחדת Raw'!$F:$F,0)),"")</f>
        <v>S-XLST422 מגן ברך+כרית ג'ל</v>
      </c>
      <c r="C14" s="12" t="n">
        <f aca="false">SUMIFS('מאוחדת Raw'!$D$7:$D$625,'מאוחדת Raw'!$F$7:$F$625,$A14,'מאוחדת Raw'!$C$7:$C$625,2025)</f>
        <v>145</v>
      </c>
      <c r="D14" s="12" t="n">
        <f aca="false">SUMIFS('מאוחדת Raw'!$D$7:$D$625,'מאוחדת Raw'!$F$7:$F$625,$A14,'מאוחדת Raw'!$C$7:$C$625,2026)</f>
        <v>105</v>
      </c>
      <c r="E14" s="12" t="n">
        <f aca="false">D14*$J$5</f>
        <v>132.631578947368</v>
      </c>
      <c r="F14" s="12" t="n">
        <f aca="false">E14-C14</f>
        <v>-12.3684210526316</v>
      </c>
      <c r="G14" s="21" t="n">
        <f aca="false">IF(AND(C14=0,E14=0),0,IF(C14=0,"New",(E14-C14)/C14))</f>
        <v>-0.0852994555353903</v>
      </c>
      <c r="H14" s="12" t="n">
        <f aca="false">SUMIFS('מאוחדת Raw'!$E$7:$E$625,'מאוחדת Raw'!$F$7:$F$625,$A14,'מאוחדת Raw'!$C$7:$C$625,2025)</f>
        <v>7757.5</v>
      </c>
      <c r="I14" s="12" t="n">
        <f aca="false">SUMIFS('מאוחדת Raw'!$E$7:$E$625,'מאוחדת Raw'!$F$7:$F$625,$A14,'מאוחדת Raw'!$C$7:$C$625,2026)</f>
        <v>5497.1</v>
      </c>
      <c r="J14" s="12" t="n">
        <f aca="false">I14*$J$5</f>
        <v>6943.70526315789</v>
      </c>
      <c r="K14" s="12"/>
      <c r="L14" s="22"/>
    </row>
    <row r="15" customFormat="false" ht="15" hidden="false" customHeight="true" outlineLevel="0" collapsed="false">
      <c r="A15" s="12" t="n">
        <v>4403000</v>
      </c>
      <c r="B15" s="12" t="str">
        <f aca="false">IFERROR(INDEX('מאוחדת Raw'!$B:$B,MATCH($A15,'מאוחדת Raw'!$F:$F,0)),"")</f>
        <v>390B גרב.כסף לסכרתים שחור35-38</v>
      </c>
      <c r="C15" s="12" t="n">
        <f aca="false">SUMIFS('מאוחדת Raw'!$D$7:$D$625,'מאוחדת Raw'!$F$7:$F$625,$A15,'מאוחדת Raw'!$C$7:$C$625,2025)</f>
        <v>2</v>
      </c>
      <c r="D15" s="12" t="n">
        <f aca="false">SUMIFS('מאוחדת Raw'!$D$7:$D$625,'מאוחדת Raw'!$F$7:$F$625,$A15,'מאוחדת Raw'!$C$7:$C$625,2026)</f>
        <v>13</v>
      </c>
      <c r="E15" s="12" t="n">
        <f aca="false">D15*$J$5</f>
        <v>16.4210526315789</v>
      </c>
      <c r="F15" s="12" t="n">
        <f aca="false">E15-C15</f>
        <v>14.4210526315789</v>
      </c>
      <c r="G15" s="21" t="n">
        <f aca="false">IF(AND(C15=0,E15=0),0,IF(C15=0,"New",(E15-C15)/C15))</f>
        <v>7.21052631578947</v>
      </c>
      <c r="H15" s="12" t="n">
        <f aca="false">SUMIFS('מאוחדת Raw'!$E$7:$E$625,'מאוחדת Raw'!$F$7:$F$625,$A15,'מאוחדת Raw'!$C$7:$C$625,2025)</f>
        <v>47.2</v>
      </c>
      <c r="I15" s="12" t="n">
        <f aca="false">SUMIFS('מאוחדת Raw'!$E$7:$E$625,'מאוחדת Raw'!$F$7:$F$625,$A15,'מאוחדת Raw'!$C$7:$C$625,2026)</f>
        <v>300.9</v>
      </c>
      <c r="J15" s="12" t="n">
        <f aca="false">I15*$J$5</f>
        <v>380.084210526316</v>
      </c>
      <c r="K15" s="12"/>
      <c r="L15" s="22"/>
    </row>
    <row r="16" customFormat="false" ht="15" hidden="false" customHeight="true" outlineLevel="0" collapsed="false">
      <c r="A16" s="12" t="n">
        <v>4403001</v>
      </c>
      <c r="B16" s="12" t="str">
        <f aca="false">IFERROR(INDEX('מאוחדת Raw'!$B:$B,MATCH($A16,'מאוחדת Raw'!$F:$F,0)),"")</f>
        <v>390B 39-42.גרב.כסף לסכרתיים שח</v>
      </c>
      <c r="C16" s="12" t="n">
        <f aca="false">SUMIFS('מאוחדת Raw'!$D$7:$D$625,'מאוחדת Raw'!$F$7:$F$625,$A16,'מאוחדת Raw'!$C$7:$C$625,2025)</f>
        <v>40</v>
      </c>
      <c r="D16" s="12" t="n">
        <f aca="false">SUMIFS('מאוחדת Raw'!$D$7:$D$625,'מאוחדת Raw'!$F$7:$F$625,$A16,'מאוחדת Raw'!$C$7:$C$625,2026)</f>
        <v>23</v>
      </c>
      <c r="E16" s="12" t="n">
        <f aca="false">D16*$J$5</f>
        <v>29.0526315789474</v>
      </c>
      <c r="F16" s="12" t="n">
        <f aca="false">E16-C16</f>
        <v>-10.9473684210526</v>
      </c>
      <c r="G16" s="21" t="n">
        <f aca="false">IF(AND(C16=0,E16=0),0,IF(C16=0,"New",(E16-C16)/C16))</f>
        <v>-0.273684210526316</v>
      </c>
      <c r="H16" s="12" t="n">
        <f aca="false">SUMIFS('מאוחדת Raw'!$E$7:$E$625,'מאוחדת Raw'!$F$7:$F$625,$A16,'מאוחדת Raw'!$C$7:$C$625,2025)</f>
        <v>944</v>
      </c>
      <c r="I16" s="12" t="n">
        <f aca="false">SUMIFS('מאוחדת Raw'!$E$7:$E$625,'מאוחדת Raw'!$F$7:$F$625,$A16,'מאוחדת Raw'!$C$7:$C$625,2026)</f>
        <v>513.3</v>
      </c>
      <c r="J16" s="12" t="n">
        <f aca="false">I16*$J$5</f>
        <v>648.378947368421</v>
      </c>
      <c r="K16" s="12"/>
      <c r="L16" s="22"/>
    </row>
    <row r="17" customFormat="false" ht="15" hidden="false" customHeight="true" outlineLevel="0" collapsed="false">
      <c r="A17" s="12" t="n">
        <v>4403002</v>
      </c>
      <c r="B17" s="12" t="str">
        <f aca="false">IFERROR(INDEX('מאוחדת Raw'!$B:$B,MATCH($A17,'מאוחדת Raw'!$F:$F,0)),"")</f>
        <v>390B 43-46.גרב.כסף לסכרתיים שח</v>
      </c>
      <c r="C17" s="12" t="n">
        <f aca="false">SUMIFS('מאוחדת Raw'!$D$7:$D$625,'מאוחדת Raw'!$F$7:$F$625,$A17,'מאוחדת Raw'!$C$7:$C$625,2025)</f>
        <v>43</v>
      </c>
      <c r="D17" s="12" t="n">
        <f aca="false">SUMIFS('מאוחדת Raw'!$D$7:$D$625,'מאוחדת Raw'!$F$7:$F$625,$A17,'מאוחדת Raw'!$C$7:$C$625,2026)</f>
        <v>78</v>
      </c>
      <c r="E17" s="12" t="n">
        <f aca="false">D17*$J$5</f>
        <v>98.5263157894737</v>
      </c>
      <c r="F17" s="12" t="n">
        <f aca="false">E17-C17</f>
        <v>55.5263157894737</v>
      </c>
      <c r="G17" s="21" t="n">
        <f aca="false">IF(AND(C17=0,E17=0),0,IF(C17=0,"New",(E17-C17)/C17))</f>
        <v>1.29130966952264</v>
      </c>
      <c r="H17" s="12" t="n">
        <f aca="false">SUMIFS('מאוחדת Raw'!$E$7:$E$625,'מאוחדת Raw'!$F$7:$F$625,$A17,'מאוחדת Raw'!$C$7:$C$625,2025)</f>
        <v>1014.8</v>
      </c>
      <c r="I17" s="12" t="n">
        <f aca="false">SUMIFS('מאוחדת Raw'!$E$7:$E$625,'מאוחדת Raw'!$F$7:$F$625,$A17,'מאוחדת Raw'!$C$7:$C$625,2026)</f>
        <v>1840.8</v>
      </c>
      <c r="J17" s="12" t="n">
        <f aca="false">I17*$J$5</f>
        <v>2325.22105263158</v>
      </c>
      <c r="K17" s="12"/>
      <c r="L17" s="22"/>
    </row>
    <row r="18" customFormat="false" ht="15" hidden="false" customHeight="true" outlineLevel="0" collapsed="false">
      <c r="A18" s="12" t="n">
        <v>4403003</v>
      </c>
      <c r="B18" s="12" t="str">
        <f aca="false">IFERROR(INDEX('מאוחדת Raw'!$B:$B,MATCH($A18,'מאוחדת Raw'!$F:$F,0)),"")</f>
        <v>390G ג.כסף לסכרתיים אפור35-38</v>
      </c>
      <c r="C18" s="12" t="n">
        <f aca="false">SUMIFS('מאוחדת Raw'!$D$7:$D$625,'מאוחדת Raw'!$F$7:$F$625,$A18,'מאוחדת Raw'!$C$7:$C$625,2025)</f>
        <v>7</v>
      </c>
      <c r="D18" s="12" t="n">
        <f aca="false">SUMIFS('מאוחדת Raw'!$D$7:$D$625,'מאוחדת Raw'!$F$7:$F$625,$A18,'מאוחדת Raw'!$C$7:$C$625,2026)</f>
        <v>17</v>
      </c>
      <c r="E18" s="12" t="n">
        <f aca="false">D18*$J$5</f>
        <v>21.4736842105263</v>
      </c>
      <c r="F18" s="12" t="n">
        <f aca="false">E18-C18</f>
        <v>14.4736842105263</v>
      </c>
      <c r="G18" s="21" t="n">
        <f aca="false">IF(AND(C18=0,E18=0),0,IF(C18=0,"New",(E18-C18)/C18))</f>
        <v>2.06766917293233</v>
      </c>
      <c r="H18" s="12" t="n">
        <f aca="false">SUMIFS('מאוחדת Raw'!$E$7:$E$625,'מאוחדת Raw'!$F$7:$F$625,$A18,'מאוחדת Raw'!$C$7:$C$625,2025)</f>
        <v>165.2</v>
      </c>
      <c r="I18" s="12" t="n">
        <f aca="false">SUMIFS('מאוחדת Raw'!$E$7:$E$625,'מאוחדת Raw'!$F$7:$F$625,$A18,'מאוחדת Raw'!$C$7:$C$625,2026)</f>
        <v>401.2</v>
      </c>
      <c r="J18" s="12" t="n">
        <f aca="false">I18*$J$5</f>
        <v>506.778947368421</v>
      </c>
      <c r="K18" s="12"/>
      <c r="L18" s="22"/>
    </row>
    <row r="19" customFormat="false" ht="15" hidden="false" customHeight="true" outlineLevel="0" collapsed="false">
      <c r="A19" s="12" t="n">
        <v>4403005</v>
      </c>
      <c r="B19" s="12" t="str">
        <f aca="false">IFERROR(INDEX('מאוחדת Raw'!$B:$B,MATCH($A19,'מאוחדת Raw'!$F:$F,0)),"")</f>
        <v>G390.43-46 גרבי כסף לסכרת מידה</v>
      </c>
      <c r="C19" s="12" t="n">
        <f aca="false">SUMIFS('מאוחדת Raw'!$D$7:$D$625,'מאוחדת Raw'!$F$7:$F$625,$A19,'מאוחדת Raw'!$C$7:$C$625,2025)</f>
        <v>25</v>
      </c>
      <c r="D19" s="12" t="n">
        <f aca="false">SUMIFS('מאוחדת Raw'!$D$7:$D$625,'מאוחדת Raw'!$F$7:$F$625,$A19,'מאוחדת Raw'!$C$7:$C$625,2026)</f>
        <v>12</v>
      </c>
      <c r="E19" s="12" t="n">
        <f aca="false">D19*$J$5</f>
        <v>15.1578947368421</v>
      </c>
      <c r="F19" s="12" t="n">
        <f aca="false">E19-C19</f>
        <v>-9.8421052631579</v>
      </c>
      <c r="G19" s="21" t="n">
        <f aca="false">IF(AND(C19=0,E19=0),0,IF(C19=0,"New",(E19-C19)/C19))</f>
        <v>-0.393684210526316</v>
      </c>
      <c r="H19" s="12" t="n">
        <f aca="false">SUMIFS('מאוחדת Raw'!$E$7:$E$625,'מאוחדת Raw'!$F$7:$F$625,$A19,'מאוחדת Raw'!$C$7:$C$625,2025)</f>
        <v>590</v>
      </c>
      <c r="I19" s="12" t="n">
        <f aca="false">SUMIFS('מאוחדת Raw'!$E$7:$E$625,'מאוחדת Raw'!$F$7:$F$625,$A19,'מאוחדת Raw'!$C$7:$C$625,2026)</f>
        <v>265.5</v>
      </c>
      <c r="J19" s="12" t="n">
        <f aca="false">I19*$J$5</f>
        <v>335.368421052632</v>
      </c>
      <c r="K19" s="12"/>
      <c r="L19" s="22"/>
    </row>
    <row r="20" customFormat="false" ht="15" hidden="false" customHeight="true" outlineLevel="0" collapsed="false">
      <c r="A20" s="12" t="n">
        <v>4403006</v>
      </c>
      <c r="B20" s="12" t="str">
        <f aca="false">IFERROR(INDEX('מאוחדת Raw'!$B:$B,MATCH($A20,'מאוחדת Raw'!$F:$F,0)),"")</f>
        <v>390W-35-38</v>
      </c>
      <c r="C20" s="12" t="n">
        <f aca="false">SUMIFS('מאוחדת Raw'!$D$7:$D$625,'מאוחדת Raw'!$F$7:$F$625,$A20,'מאוחדת Raw'!$C$7:$C$625,2025)</f>
        <v>3</v>
      </c>
      <c r="D20" s="12" t="n">
        <f aca="false">SUMIFS('מאוחדת Raw'!$D$7:$D$625,'מאוחדת Raw'!$F$7:$F$625,$A20,'מאוחדת Raw'!$C$7:$C$625,2026)</f>
        <v>4</v>
      </c>
      <c r="E20" s="12" t="n">
        <f aca="false">D20*$J$5</f>
        <v>5.05263157894737</v>
      </c>
      <c r="F20" s="12" t="n">
        <f aca="false">E20-C20</f>
        <v>2.05263157894737</v>
      </c>
      <c r="G20" s="21" t="n">
        <f aca="false">IF(AND(C20=0,E20=0),0,IF(C20=0,"New",(E20-C20)/C20))</f>
        <v>0.684210526315789</v>
      </c>
      <c r="H20" s="12" t="n">
        <f aca="false">SUMIFS('מאוחדת Raw'!$E$7:$E$625,'מאוחדת Raw'!$F$7:$F$625,$A20,'מאוחדת Raw'!$C$7:$C$625,2025)</f>
        <v>70.8</v>
      </c>
      <c r="I20" s="12" t="n">
        <f aca="false">SUMIFS('מאוחדת Raw'!$E$7:$E$625,'מאוחדת Raw'!$F$7:$F$625,$A20,'מאוחדת Raw'!$C$7:$C$625,2026)</f>
        <v>94.4</v>
      </c>
      <c r="J20" s="12" t="n">
        <f aca="false">I20*$J$5</f>
        <v>119.242105263158</v>
      </c>
      <c r="K20" s="12"/>
      <c r="L20" s="22"/>
    </row>
    <row r="21" customFormat="false" ht="15" hidden="false" customHeight="true" outlineLevel="0" collapsed="false">
      <c r="A21" s="12" t="n">
        <v>4403007</v>
      </c>
      <c r="B21" s="12" t="str">
        <f aca="false">IFERROR(INDEX('מאוחדת Raw'!$B:$B,MATCH($A21,'מאוחדת Raw'!$F:$F,0)),"")</f>
        <v>390W-39-42</v>
      </c>
      <c r="C21" s="12" t="n">
        <f aca="false">SUMIFS('מאוחדת Raw'!$D$7:$D$625,'מאוחדת Raw'!$F$7:$F$625,$A21,'מאוחדת Raw'!$C$7:$C$625,2025)</f>
        <v>31</v>
      </c>
      <c r="D21" s="12" t="n">
        <f aca="false">SUMIFS('מאוחדת Raw'!$D$7:$D$625,'מאוחדת Raw'!$F$7:$F$625,$A21,'מאוחדת Raw'!$C$7:$C$625,2026)</f>
        <v>3</v>
      </c>
      <c r="E21" s="12" t="n">
        <f aca="false">D21*$J$5</f>
        <v>3.78947368421053</v>
      </c>
      <c r="F21" s="12" t="n">
        <f aca="false">E21-C21</f>
        <v>-27.2105263157895</v>
      </c>
      <c r="G21" s="21" t="n">
        <f aca="false">IF(AND(C21=0,E21=0),0,IF(C21=0,"New",(E21-C21)/C21))</f>
        <v>-0.877758913412564</v>
      </c>
      <c r="H21" s="12" t="n">
        <f aca="false">SUMIFS('מאוחדת Raw'!$E$7:$E$625,'מאוחדת Raw'!$F$7:$F$625,$A21,'מאוחדת Raw'!$C$7:$C$625,2025)</f>
        <v>731.6</v>
      </c>
      <c r="I21" s="12" t="n">
        <f aca="false">SUMIFS('מאוחדת Raw'!$E$7:$E$625,'מאוחדת Raw'!$F$7:$F$625,$A21,'מאוחדת Raw'!$C$7:$C$625,2026)</f>
        <v>70.8</v>
      </c>
      <c r="J21" s="12" t="n">
        <f aca="false">I21*$J$5</f>
        <v>89.4315789473684</v>
      </c>
      <c r="K21" s="12"/>
      <c r="L21" s="22"/>
    </row>
    <row r="22" customFormat="false" ht="15" hidden="false" customHeight="true" outlineLevel="0" collapsed="false">
      <c r="A22" s="12" t="n">
        <v>4403008</v>
      </c>
      <c r="B22" s="12" t="str">
        <f aca="false">IFERROR(INDEX('מאוחדת Raw'!$B:$B,MATCH($A22,'מאוחדת Raw'!$F:$F,0)),"")</f>
        <v>390W-43-46</v>
      </c>
      <c r="C22" s="12" t="n">
        <f aca="false">SUMIFS('מאוחדת Raw'!$D$7:$D$625,'מאוחדת Raw'!$F$7:$F$625,$A22,'מאוחדת Raw'!$C$7:$C$625,2025)</f>
        <v>39</v>
      </c>
      <c r="D22" s="12" t="n">
        <f aca="false">SUMIFS('מאוחדת Raw'!$D$7:$D$625,'מאוחדת Raw'!$F$7:$F$625,$A22,'מאוחדת Raw'!$C$7:$C$625,2026)</f>
        <v>10</v>
      </c>
      <c r="E22" s="12" t="n">
        <f aca="false">D22*$J$5</f>
        <v>12.6315789473684</v>
      </c>
      <c r="F22" s="12" t="n">
        <f aca="false">E22-C22</f>
        <v>-26.3684210526316</v>
      </c>
      <c r="G22" s="21" t="n">
        <f aca="false">IF(AND(C22=0,E22=0),0,IF(C22=0,"New",(E22-C22)/C22))</f>
        <v>-0.676113360323887</v>
      </c>
      <c r="H22" s="12" t="n">
        <f aca="false">SUMIFS('מאוחדת Raw'!$E$7:$E$625,'מאוחדת Raw'!$F$7:$F$625,$A22,'מאוחדת Raw'!$C$7:$C$625,2025)</f>
        <v>920.4</v>
      </c>
      <c r="I22" s="12" t="n">
        <f aca="false">SUMIFS('מאוחדת Raw'!$E$7:$E$625,'מאוחדת Raw'!$F$7:$F$625,$A22,'מאוחדת Raw'!$C$7:$C$625,2026)</f>
        <v>236</v>
      </c>
      <c r="J22" s="12" t="n">
        <f aca="false">I22*$J$5</f>
        <v>298.105263157895</v>
      </c>
      <c r="K22" s="12"/>
      <c r="L22" s="22"/>
    </row>
    <row r="23" customFormat="false" ht="15" hidden="false" customHeight="true" outlineLevel="0" collapsed="false">
      <c r="A23" s="12" t="n">
        <v>4403017</v>
      </c>
      <c r="B23" s="12" t="str">
        <f aca="false">IFERROR(INDEX('מאוחדת Raw'!$B:$B,MATCH($A23,'מאוחדת Raw'!$F:$F,0)),"")</f>
        <v>394B גרב.כסף לסכרתים שחור35-38</v>
      </c>
      <c r="C23" s="12" t="n">
        <f aca="false">SUMIFS('מאוחדת Raw'!$D$7:$D$625,'מאוחדת Raw'!$F$7:$F$625,$A23,'מאוחדת Raw'!$C$7:$C$625,2025)</f>
        <v>63</v>
      </c>
      <c r="D23" s="12" t="n">
        <f aca="false">SUMIFS('מאוחדת Raw'!$D$7:$D$625,'מאוחדת Raw'!$F$7:$F$625,$A23,'מאוחדת Raw'!$C$7:$C$625,2026)</f>
        <v>10</v>
      </c>
      <c r="E23" s="12" t="n">
        <f aca="false">D23*$J$5</f>
        <v>12.6315789473684</v>
      </c>
      <c r="F23" s="12" t="n">
        <f aca="false">E23-C23</f>
        <v>-50.3684210526316</v>
      </c>
      <c r="G23" s="21" t="n">
        <f aca="false">IF(AND(C23=0,E23=0),0,IF(C23=0,"New",(E23-C23)/C23))</f>
        <v>-0.799498746867168</v>
      </c>
      <c r="H23" s="12" t="n">
        <f aca="false">SUMIFS('מאוחדת Raw'!$E$7:$E$625,'מאוחדת Raw'!$F$7:$F$625,$A23,'מאוחדת Raw'!$C$7:$C$625,2025)</f>
        <v>1159.2</v>
      </c>
      <c r="I23" s="12" t="n">
        <f aca="false">SUMIFS('מאוחדת Raw'!$E$7:$E$625,'מאוחדת Raw'!$F$7:$F$625,$A23,'מאוחדת Raw'!$C$7:$C$625,2026)</f>
        <v>184</v>
      </c>
      <c r="J23" s="12" t="n">
        <f aca="false">I23*$J$5</f>
        <v>232.421052631579</v>
      </c>
      <c r="K23" s="12"/>
      <c r="L23" s="22"/>
    </row>
    <row r="24" customFormat="false" ht="15" hidden="false" customHeight="true" outlineLevel="0" collapsed="false">
      <c r="A24" s="12" t="n">
        <v>4403018</v>
      </c>
      <c r="B24" s="12" t="str">
        <f aca="false">IFERROR(INDEX('מאוחדת Raw'!$B:$B,MATCH($A24,'מאוחדת Raw'!$F:$F,0)),"")</f>
        <v>394B-39-42</v>
      </c>
      <c r="C24" s="12" t="n">
        <f aca="false">SUMIFS('מאוחדת Raw'!$D$7:$D$625,'מאוחדת Raw'!$F$7:$F$625,$A24,'מאוחדת Raw'!$C$7:$C$625,2025)</f>
        <v>191</v>
      </c>
      <c r="D24" s="12" t="n">
        <f aca="false">SUMIFS('מאוחדת Raw'!$D$7:$D$625,'מאוחדת Raw'!$F$7:$F$625,$A24,'מאוחדת Raw'!$C$7:$C$625,2026)</f>
        <v>20</v>
      </c>
      <c r="E24" s="12" t="n">
        <f aca="false">D24*$J$5</f>
        <v>25.2631578947368</v>
      </c>
      <c r="F24" s="12" t="n">
        <f aca="false">E24-C24</f>
        <v>-165.736842105263</v>
      </c>
      <c r="G24" s="21" t="n">
        <f aca="false">IF(AND(C24=0,E24=0),0,IF(C24=0,"New",(E24-C24)/C24))</f>
        <v>-0.867732157619179</v>
      </c>
      <c r="H24" s="12" t="n">
        <f aca="false">SUMIFS('מאוחדת Raw'!$E$7:$E$625,'מאוחדת Raw'!$F$7:$F$625,$A24,'מאוחדת Raw'!$C$7:$C$625,2025)</f>
        <v>3514.4</v>
      </c>
      <c r="I24" s="12" t="n">
        <f aca="false">SUMIFS('מאוחדת Raw'!$E$7:$E$625,'מאוחדת Raw'!$F$7:$F$625,$A24,'מאוחדת Raw'!$C$7:$C$625,2026)</f>
        <v>368</v>
      </c>
      <c r="J24" s="12" t="n">
        <f aca="false">I24*$J$5</f>
        <v>464.842105263158</v>
      </c>
      <c r="K24" s="12"/>
      <c r="L24" s="22"/>
    </row>
    <row r="25" customFormat="false" ht="15" hidden="false" customHeight="true" outlineLevel="0" collapsed="false">
      <c r="A25" s="12" t="n">
        <v>4403019</v>
      </c>
      <c r="B25" s="12" t="str">
        <f aca="false">IFERROR(INDEX('מאוחדת Raw'!$B:$B,MATCH($A25,'מאוחדת Raw'!$F:$F,0)),"")</f>
        <v>394B גרב.כסף לסכרתים שחור43-46</v>
      </c>
      <c r="C25" s="12" t="n">
        <f aca="false">SUMIFS('מאוחדת Raw'!$D$7:$D$625,'מאוחדת Raw'!$F$7:$F$625,$A25,'מאוחדת Raw'!$C$7:$C$625,2025)</f>
        <v>206</v>
      </c>
      <c r="D25" s="12" t="n">
        <f aca="false">SUMIFS('מאוחדת Raw'!$D$7:$D$625,'מאוחדת Raw'!$F$7:$F$625,$A25,'מאוחדת Raw'!$C$7:$C$625,2026)</f>
        <v>39</v>
      </c>
      <c r="E25" s="12" t="n">
        <f aca="false">D25*$J$5</f>
        <v>49.2631578947368</v>
      </c>
      <c r="F25" s="12" t="n">
        <f aca="false">E25-C25</f>
        <v>-156.736842105263</v>
      </c>
      <c r="G25" s="21" t="n">
        <f aca="false">IF(AND(C25=0,E25=0),0,IF(C25=0,"New",(E25-C25)/C25))</f>
        <v>-0.760858456821666</v>
      </c>
      <c r="H25" s="12" t="n">
        <f aca="false">SUMIFS('מאוחדת Raw'!$E$7:$E$625,'מאוחדת Raw'!$F$7:$F$625,$A25,'מאוחדת Raw'!$C$7:$C$625,2025)</f>
        <v>3790.4</v>
      </c>
      <c r="I25" s="12" t="n">
        <f aca="false">SUMIFS('מאוחדת Raw'!$E$7:$E$625,'מאוחדת Raw'!$F$7:$F$625,$A25,'מאוחדת Raw'!$C$7:$C$625,2026)</f>
        <v>717.6</v>
      </c>
      <c r="J25" s="12" t="n">
        <f aca="false">I25*$J$5</f>
        <v>906.442105263158</v>
      </c>
      <c r="K25" s="12"/>
      <c r="L25" s="22"/>
    </row>
    <row r="26" customFormat="false" ht="15" hidden="false" customHeight="true" outlineLevel="0" collapsed="false">
      <c r="A26" s="12" t="n">
        <v>4403023</v>
      </c>
      <c r="B26" s="12" t="str">
        <f aca="false">IFERROR(INDEX('מאוחדת Raw'!$B:$B,MATCH($A26,'מאוחדת Raw'!$F:$F,0)),"")</f>
        <v>394W 35-38 גרב.כסף לסכרתים לבן</v>
      </c>
      <c r="C26" s="12" t="n">
        <f aca="false">SUMIFS('מאוחדת Raw'!$D$7:$D$625,'מאוחדת Raw'!$F$7:$F$625,$A26,'מאוחדת Raw'!$C$7:$C$625,2025)</f>
        <v>49</v>
      </c>
      <c r="D26" s="12" t="n">
        <f aca="false">SUMIFS('מאוחדת Raw'!$D$7:$D$625,'מאוחדת Raw'!$F$7:$F$625,$A26,'מאוחדת Raw'!$C$7:$C$625,2026)</f>
        <v>21</v>
      </c>
      <c r="E26" s="12" t="n">
        <f aca="false">D26*$J$5</f>
        <v>26.5263157894737</v>
      </c>
      <c r="F26" s="12" t="n">
        <f aca="false">E26-C26</f>
        <v>-22.4736842105263</v>
      </c>
      <c r="G26" s="21" t="n">
        <f aca="false">IF(AND(C26=0,E26=0),0,IF(C26=0,"New",(E26-C26)/C26))</f>
        <v>-0.458646616541353</v>
      </c>
      <c r="H26" s="12" t="n">
        <f aca="false">SUMIFS('מאוחדת Raw'!$E$7:$E$625,'מאוחדת Raw'!$F$7:$F$625,$A26,'מאוחדת Raw'!$C$7:$C$625,2025)</f>
        <v>901.6</v>
      </c>
      <c r="I26" s="12" t="n">
        <f aca="false">SUMIFS('מאוחדת Raw'!$E$7:$E$625,'מאוחדת Raw'!$F$7:$F$625,$A26,'מאוחדת Raw'!$C$7:$C$625,2026)</f>
        <v>386.4</v>
      </c>
      <c r="J26" s="12" t="n">
        <f aca="false">I26*$J$5</f>
        <v>488.084210526316</v>
      </c>
      <c r="K26" s="12"/>
      <c r="L26" s="22"/>
    </row>
    <row r="27" customFormat="false" ht="15" hidden="false" customHeight="true" outlineLevel="0" collapsed="false">
      <c r="A27" s="12" t="n">
        <v>4403024</v>
      </c>
      <c r="B27" s="12" t="str">
        <f aca="false">IFERROR(INDEX('מאוחדת Raw'!$B:$B,MATCH($A27,'מאוחדת Raw'!$F:$F,0)),"")</f>
        <v>394W 39-42 גרב.כסף לסכרתים לבן</v>
      </c>
      <c r="C27" s="12" t="n">
        <f aca="false">SUMIFS('מאוחדת Raw'!$D$7:$D$625,'מאוחדת Raw'!$F$7:$F$625,$A27,'מאוחדת Raw'!$C$7:$C$625,2025)</f>
        <v>37</v>
      </c>
      <c r="D27" s="12" t="n">
        <f aca="false">SUMIFS('מאוחדת Raw'!$D$7:$D$625,'מאוחדת Raw'!$F$7:$F$625,$A27,'מאוחדת Raw'!$C$7:$C$625,2026)</f>
        <v>46</v>
      </c>
      <c r="E27" s="12" t="n">
        <f aca="false">D27*$J$5</f>
        <v>58.1052631578947</v>
      </c>
      <c r="F27" s="12" t="n">
        <f aca="false">E27-C27</f>
        <v>21.1052631578947</v>
      </c>
      <c r="G27" s="21" t="n">
        <f aca="false">IF(AND(C27=0,E27=0),0,IF(C27=0,"New",(E27-C27)/C27))</f>
        <v>0.570412517780939</v>
      </c>
      <c r="H27" s="12" t="n">
        <f aca="false">SUMIFS('מאוחדת Raw'!$E$7:$E$625,'מאוחדת Raw'!$F$7:$F$625,$A27,'מאוחדת Raw'!$C$7:$C$625,2025)</f>
        <v>680.8</v>
      </c>
      <c r="I27" s="12" t="n">
        <f aca="false">SUMIFS('מאוחדת Raw'!$E$7:$E$625,'מאוחדת Raw'!$F$7:$F$625,$A27,'מאוחדת Raw'!$C$7:$C$625,2026)</f>
        <v>846.4</v>
      </c>
      <c r="J27" s="12" t="n">
        <f aca="false">I27*$J$5</f>
        <v>1069.13684210526</v>
      </c>
      <c r="K27" s="12"/>
      <c r="L27" s="22"/>
    </row>
    <row r="28" customFormat="false" ht="15" hidden="false" customHeight="true" outlineLevel="0" collapsed="false">
      <c r="A28" s="12" t="n">
        <v>4403025</v>
      </c>
      <c r="B28" s="12" t="str">
        <f aca="false">IFERROR(INDEX('מאוחדת Raw'!$B:$B,MATCH($A28,'מאוחדת Raw'!$F:$F,0)),"")</f>
        <v>394W 43-46 גרב.כסף לסכרתים לבן</v>
      </c>
      <c r="C28" s="12" t="n">
        <f aca="false">SUMIFS('מאוחדת Raw'!$D$7:$D$625,'מאוחדת Raw'!$F$7:$F$625,$A28,'מאוחדת Raw'!$C$7:$C$625,2025)</f>
        <v>50</v>
      </c>
      <c r="D28" s="12" t="n">
        <f aca="false">SUMIFS('מאוחדת Raw'!$D$7:$D$625,'מאוחדת Raw'!$F$7:$F$625,$A28,'מאוחדת Raw'!$C$7:$C$625,2026)</f>
        <v>39</v>
      </c>
      <c r="E28" s="12" t="n">
        <f aca="false">D28*$J$5</f>
        <v>49.2631578947368</v>
      </c>
      <c r="F28" s="12" t="n">
        <f aca="false">E28-C28</f>
        <v>-0.736842105263158</v>
      </c>
      <c r="G28" s="21" t="n">
        <f aca="false">IF(AND(C28=0,E28=0),0,IF(C28=0,"New",(E28-C28)/C28))</f>
        <v>-0.0147368421052632</v>
      </c>
      <c r="H28" s="12" t="n">
        <f aca="false">SUMIFS('מאוחדת Raw'!$E$7:$E$625,'מאוחדת Raw'!$F$7:$F$625,$A28,'מאוחדת Raw'!$C$7:$C$625,2025)</f>
        <v>920</v>
      </c>
      <c r="I28" s="12" t="n">
        <f aca="false">SUMIFS('מאוחדת Raw'!$E$7:$E$625,'מאוחדת Raw'!$F$7:$F$625,$A28,'מאוחדת Raw'!$C$7:$C$625,2026)</f>
        <v>717.6</v>
      </c>
      <c r="J28" s="12" t="n">
        <f aca="false">I28*$J$5</f>
        <v>906.442105263158</v>
      </c>
      <c r="K28" s="12"/>
      <c r="L28" s="22"/>
    </row>
    <row r="29" customFormat="false" ht="15" hidden="false" customHeight="true" outlineLevel="0" collapsed="false">
      <c r="A29" s="12" t="n">
        <v>4403029</v>
      </c>
      <c r="B29" s="12" t="str">
        <f aca="false">IFERROR(INDEX('מאוחדת Raw'!$B:$B,MATCH($A29,'מאוחדת Raw'!$F:$F,0)),"")</f>
        <v>397-39-42</v>
      </c>
      <c r="C29" s="12" t="n">
        <f aca="false">SUMIFS('מאוחדת Raw'!$D$7:$D$625,'מאוחדת Raw'!$F$7:$F$625,$A29,'מאוחדת Raw'!$C$7:$C$625,2025)</f>
        <v>312</v>
      </c>
      <c r="D29" s="12" t="n">
        <f aca="false">SUMIFS('מאוחדת Raw'!$D$7:$D$625,'מאוחדת Raw'!$F$7:$F$625,$A29,'מאוחדת Raw'!$C$7:$C$625,2026)</f>
        <v>-2</v>
      </c>
      <c r="E29" s="12" t="n">
        <f aca="false">D29*$J$5</f>
        <v>-2.52631578947368</v>
      </c>
      <c r="F29" s="12" t="n">
        <f aca="false">E29-C29</f>
        <v>-314.526315789474</v>
      </c>
      <c r="G29" s="21" t="n">
        <f aca="false">IF(AND(C29=0,E29=0),0,IF(C29=0,"New",(E29-C29)/C29))</f>
        <v>-1.0080971659919</v>
      </c>
      <c r="H29" s="12" t="n">
        <f aca="false">SUMIFS('מאוחדת Raw'!$E$7:$E$625,'מאוחדת Raw'!$F$7:$F$625,$A29,'מאוחדת Raw'!$C$7:$C$625,2025)</f>
        <v>13044.72</v>
      </c>
      <c r="I29" s="12" t="n">
        <f aca="false">SUMIFS('מאוחדת Raw'!$E$7:$E$625,'מאוחדת Raw'!$F$7:$F$625,$A29,'מאוחדת Raw'!$C$7:$C$625,2026)</f>
        <v>-83.62</v>
      </c>
      <c r="J29" s="12" t="n">
        <f aca="false">I29*$J$5</f>
        <v>-105.625263157895</v>
      </c>
      <c r="K29" s="12"/>
      <c r="L29" s="22"/>
    </row>
    <row r="30" customFormat="false" ht="15" hidden="false" customHeight="true" outlineLevel="0" collapsed="false">
      <c r="A30" s="12" t="n">
        <v>4403041</v>
      </c>
      <c r="B30" s="12" t="str">
        <f aca="false">IFERROR(INDEX('מאוחדת Raw'!$B:$B,MATCH($A30,'מאוחדת Raw'!$F:$F,0)),"")</f>
        <v>397A-גרבי טיסה אנטי בקטרי35-38</v>
      </c>
      <c r="C30" s="12" t="n">
        <f aca="false">SUMIFS('מאוחדת Raw'!$D$7:$D$625,'מאוחדת Raw'!$F$7:$F$625,$A30,'מאוחדת Raw'!$C$7:$C$625,2025)</f>
        <v>125</v>
      </c>
      <c r="D30" s="12" t="n">
        <f aca="false">SUMIFS('מאוחדת Raw'!$D$7:$D$625,'מאוחדת Raw'!$F$7:$F$625,$A30,'מאוחדת Raw'!$C$7:$C$625,2026)</f>
        <v>99</v>
      </c>
      <c r="E30" s="12" t="n">
        <f aca="false">D30*$J$5</f>
        <v>125.052631578947</v>
      </c>
      <c r="F30" s="12" t="n">
        <f aca="false">E30-C30</f>
        <v>0.0526315789473557</v>
      </c>
      <c r="G30" s="21" t="n">
        <f aca="false">IF(AND(C30=0,E30=0),0,IF(C30=0,"New",(E30-C30)/C30))</f>
        <v>0.000421052631578846</v>
      </c>
      <c r="H30" s="12" t="n">
        <f aca="false">SUMIFS('מאוחדת Raw'!$E$7:$E$625,'מאוחדת Raw'!$F$7:$F$625,$A30,'מאוחדת Raw'!$C$7:$C$625,2025)</f>
        <v>5226.25</v>
      </c>
      <c r="I30" s="12" t="n">
        <f aca="false">SUMIFS('מאוחדת Raw'!$E$7:$E$625,'מאוחדת Raw'!$F$7:$F$625,$A30,'מאוחדת Raw'!$C$7:$C$625,2026)</f>
        <v>4139.17</v>
      </c>
      <c r="J30" s="12" t="n">
        <f aca="false">I30*$J$5</f>
        <v>5228.4252631579</v>
      </c>
      <c r="K30" s="12"/>
      <c r="L30" s="22"/>
    </row>
    <row r="31" customFormat="false" ht="15" hidden="false" customHeight="true" outlineLevel="0" collapsed="false">
      <c r="A31" s="12" t="n">
        <v>4403042</v>
      </c>
      <c r="B31" s="12" t="str">
        <f aca="false">IFERROR(INDEX('מאוחדת Raw'!$B:$B,MATCH($A31,'מאוחדת Raw'!$F:$F,0)),"")</f>
        <v>397A-גרבי טיסה אנטי בקטרי39-42</v>
      </c>
      <c r="C31" s="12" t="n">
        <f aca="false">SUMIFS('מאוחדת Raw'!$D$7:$D$625,'מאוחדת Raw'!$F$7:$F$625,$A31,'מאוחדת Raw'!$C$7:$C$625,2025)</f>
        <v>0</v>
      </c>
      <c r="D31" s="12" t="n">
        <f aca="false">SUMIFS('מאוחדת Raw'!$D$7:$D$625,'מאוחדת Raw'!$F$7:$F$625,$A31,'מאוחדת Raw'!$C$7:$C$625,2026)</f>
        <v>147</v>
      </c>
      <c r="E31" s="12" t="n">
        <f aca="false">D31*$J$5</f>
        <v>185.684210526316</v>
      </c>
      <c r="F31" s="12" t="n">
        <f aca="false">E31-C31</f>
        <v>185.684210526316</v>
      </c>
      <c r="G31" s="21" t="str">
        <f aca="false">IF(AND(C31=0,E31=0),0,IF(C31=0,"New",(E31-C31)/C31))</f>
        <v>New</v>
      </c>
      <c r="H31" s="12" t="n">
        <f aca="false">SUMIFS('מאוחדת Raw'!$E$7:$E$625,'מאוחדת Raw'!$F$7:$F$625,$A31,'מאוחדת Raw'!$C$7:$C$625,2025)</f>
        <v>0</v>
      </c>
      <c r="I31" s="12" t="n">
        <f aca="false">SUMIFS('מאוחדת Raw'!$E$7:$E$625,'מאוחדת Raw'!$F$7:$F$625,$A31,'מאוחדת Raw'!$C$7:$C$625,2026)</f>
        <v>6146.1</v>
      </c>
      <c r="J31" s="12" t="n">
        <f aca="false">I31*$J$5</f>
        <v>7763.49473684211</v>
      </c>
      <c r="K31" s="12"/>
      <c r="L31" s="22"/>
    </row>
    <row r="32" customFormat="false" ht="15" hidden="false" customHeight="true" outlineLevel="0" collapsed="false">
      <c r="A32" s="12" t="n">
        <v>4403043</v>
      </c>
      <c r="B32" s="12" t="str">
        <f aca="false">IFERROR(INDEX('מאוחדת Raw'!$B:$B,MATCH($A32,'מאוחדת Raw'!$F:$F,0)),"")</f>
        <v>397A-גרבי טיסה אנטי בקטרי43-46</v>
      </c>
      <c r="C32" s="12" t="n">
        <f aca="false">SUMIFS('מאוחדת Raw'!$D$7:$D$625,'מאוחדת Raw'!$F$7:$F$625,$A32,'מאוחדת Raw'!$C$7:$C$625,2025)</f>
        <v>284</v>
      </c>
      <c r="D32" s="12" t="n">
        <f aca="false">SUMIFS('מאוחדת Raw'!$D$7:$D$625,'מאוחדת Raw'!$F$7:$F$625,$A32,'מאוחדת Raw'!$C$7:$C$625,2026)</f>
        <v>165</v>
      </c>
      <c r="E32" s="12" t="n">
        <f aca="false">D32*$J$5</f>
        <v>208.421052631579</v>
      </c>
      <c r="F32" s="12" t="n">
        <f aca="false">E32-C32</f>
        <v>-75.5789473684211</v>
      </c>
      <c r="G32" s="21" t="n">
        <f aca="false">IF(AND(C32=0,E32=0),0,IF(C32=0,"New",(E32-C32)/C32))</f>
        <v>-0.266123054114159</v>
      </c>
      <c r="H32" s="12" t="n">
        <f aca="false">SUMIFS('מאוחדת Raw'!$E$7:$E$625,'מאוחדת Raw'!$F$7:$F$625,$A32,'מאוחדת Raw'!$C$7:$C$625,2025)</f>
        <v>11874.04</v>
      </c>
      <c r="I32" s="12" t="n">
        <f aca="false">SUMIFS('מאוחדת Raw'!$E$7:$E$625,'מאוחדת Raw'!$F$7:$F$625,$A32,'מאוחדת Raw'!$C$7:$C$625,2026)</f>
        <v>6522.28</v>
      </c>
      <c r="J32" s="12" t="n">
        <f aca="false">I32*$J$5</f>
        <v>8238.66947368421</v>
      </c>
      <c r="K32" s="12"/>
      <c r="L32" s="22"/>
    </row>
    <row r="33" customFormat="false" ht="15" hidden="false" customHeight="true" outlineLevel="0" collapsed="false">
      <c r="A33" s="12" t="n">
        <v>4408014</v>
      </c>
      <c r="B33" s="12" t="str">
        <f aca="false">IFERROR(INDEX('מאוחדת Raw'!$B:$B,MATCH($A33,'מאוחדת Raw'!$F:$F,0)),"")</f>
        <v>07AU S</v>
      </c>
      <c r="C33" s="12" t="n">
        <f aca="false">SUMIFS('מאוחדת Raw'!$D$7:$D$625,'מאוחדת Raw'!$F$7:$F$625,$A33,'מאוחדת Raw'!$C$7:$C$625,2025)</f>
        <v>6</v>
      </c>
      <c r="D33" s="12" t="n">
        <f aca="false">SUMIFS('מאוחדת Raw'!$D$7:$D$625,'מאוחדת Raw'!$F$7:$F$625,$A33,'מאוחדת Raw'!$C$7:$C$625,2026)</f>
        <v>3</v>
      </c>
      <c r="E33" s="12" t="n">
        <f aca="false">D33*$J$5</f>
        <v>3.78947368421053</v>
      </c>
      <c r="F33" s="12" t="n">
        <f aca="false">E33-C33</f>
        <v>-2.21052631578947</v>
      </c>
      <c r="G33" s="21" t="n">
        <f aca="false">IF(AND(C33=0,E33=0),0,IF(C33=0,"New",(E33-C33)/C33))</f>
        <v>-0.368421052631579</v>
      </c>
      <c r="H33" s="12" t="n">
        <f aca="false">SUMIFS('מאוחדת Raw'!$E$7:$E$625,'מאוחדת Raw'!$F$7:$F$625,$A33,'מאוחדת Raw'!$C$7:$C$625,2025)</f>
        <v>1053</v>
      </c>
      <c r="I33" s="12" t="n">
        <f aca="false">SUMIFS('מאוחדת Raw'!$E$7:$E$625,'מאוחדת Raw'!$F$7:$F$625,$A33,'מאוחדת Raw'!$C$7:$C$625,2026)</f>
        <v>526.5</v>
      </c>
      <c r="J33" s="12" t="n">
        <f aca="false">I33*$J$5</f>
        <v>665.052631578947</v>
      </c>
      <c r="K33" s="12"/>
      <c r="L33" s="22"/>
    </row>
    <row r="34" customFormat="false" ht="15" hidden="false" customHeight="true" outlineLevel="0" collapsed="false">
      <c r="A34" s="12" t="n">
        <v>4408015</v>
      </c>
      <c r="B34" s="12" t="str">
        <f aca="false">IFERROR(INDEX('מאוחדת Raw'!$B:$B,MATCH($A34,'מאוחדת Raw'!$F:$F,0)),"")</f>
        <v>07AU L</v>
      </c>
      <c r="C34" s="12" t="n">
        <f aca="false">SUMIFS('מאוחדת Raw'!$D$7:$D$625,'מאוחדת Raw'!$F$7:$F$625,$A34,'מאוחדת Raw'!$C$7:$C$625,2025)</f>
        <v>64</v>
      </c>
      <c r="D34" s="12" t="n">
        <f aca="false">SUMIFS('מאוחדת Raw'!$D$7:$D$625,'מאוחדת Raw'!$F$7:$F$625,$A34,'מאוחדת Raw'!$C$7:$C$625,2026)</f>
        <v>12</v>
      </c>
      <c r="E34" s="12" t="n">
        <f aca="false">D34*$J$5</f>
        <v>15.1578947368421</v>
      </c>
      <c r="F34" s="12" t="n">
        <f aca="false">E34-C34</f>
        <v>-48.8421052631579</v>
      </c>
      <c r="G34" s="21" t="n">
        <f aca="false">IF(AND(C34=0,E34=0),0,IF(C34=0,"New",(E34-C34)/C34))</f>
        <v>-0.763157894736842</v>
      </c>
      <c r="H34" s="12" t="n">
        <f aca="false">SUMIFS('מאוחדת Raw'!$E$7:$E$625,'מאוחדת Raw'!$F$7:$F$625,$A34,'מאוחדת Raw'!$C$7:$C$625,2025)</f>
        <v>11232</v>
      </c>
      <c r="I34" s="12" t="n">
        <f aca="false">SUMIFS('מאוחדת Raw'!$E$7:$E$625,'מאוחדת Raw'!$F$7:$F$625,$A34,'מאוחדת Raw'!$C$7:$C$625,2026)</f>
        <v>2106</v>
      </c>
      <c r="J34" s="12" t="n">
        <f aca="false">I34*$J$5</f>
        <v>2660.21052631579</v>
      </c>
      <c r="K34" s="12"/>
      <c r="L34" s="22"/>
    </row>
    <row r="35" customFormat="false" ht="15" hidden="false" customHeight="true" outlineLevel="0" collapsed="false">
      <c r="A35" s="12" t="n">
        <v>4408016</v>
      </c>
      <c r="B35" s="12" t="str">
        <f aca="false">IFERROR(INDEX('מאוחדת Raw'!$B:$B,MATCH($A35,'מאוחדת Raw'!$F:$F,0)),"")</f>
        <v>07AU M</v>
      </c>
      <c r="C35" s="12" t="n">
        <f aca="false">SUMIFS('מאוחדת Raw'!$D$7:$D$625,'מאוחדת Raw'!$F$7:$F$625,$A35,'מאוחדת Raw'!$C$7:$C$625,2025)</f>
        <v>21</v>
      </c>
      <c r="D35" s="12" t="n">
        <f aca="false">SUMIFS('מאוחדת Raw'!$D$7:$D$625,'מאוחדת Raw'!$F$7:$F$625,$A35,'מאוחדת Raw'!$C$7:$C$625,2026)</f>
        <v>4</v>
      </c>
      <c r="E35" s="12" t="n">
        <f aca="false">D35*$J$5</f>
        <v>5.05263157894737</v>
      </c>
      <c r="F35" s="12" t="n">
        <f aca="false">E35-C35</f>
        <v>-15.9473684210526</v>
      </c>
      <c r="G35" s="21" t="n">
        <f aca="false">IF(AND(C35=0,E35=0),0,IF(C35=0,"New",(E35-C35)/C35))</f>
        <v>-0.759398496240602</v>
      </c>
      <c r="H35" s="12" t="n">
        <f aca="false">SUMIFS('מאוחדת Raw'!$E$7:$E$625,'מאוחדת Raw'!$F$7:$F$625,$A35,'מאוחדת Raw'!$C$7:$C$625,2025)</f>
        <v>3685.5</v>
      </c>
      <c r="I35" s="12" t="n">
        <f aca="false">SUMIFS('מאוחדת Raw'!$E$7:$E$625,'מאוחדת Raw'!$F$7:$F$625,$A35,'מאוחדת Raw'!$C$7:$C$625,2026)</f>
        <v>702</v>
      </c>
      <c r="J35" s="12" t="n">
        <f aca="false">I35*$J$5</f>
        <v>886.736842105263</v>
      </c>
      <c r="K35" s="12"/>
      <c r="L35" s="22"/>
    </row>
    <row r="36" customFormat="false" ht="15" hidden="false" customHeight="true" outlineLevel="0" collapsed="false">
      <c r="A36" s="12" t="n">
        <v>4408017</v>
      </c>
      <c r="B36" s="12" t="str">
        <f aca="false">IFERROR(INDEX('מאוחדת Raw'!$B:$B,MATCH($A36,'מאוחדת Raw'!$F:$F,0)),"")</f>
        <v>07AU XL</v>
      </c>
      <c r="C36" s="12" t="n">
        <f aca="false">SUMIFS('מאוחדת Raw'!$D$7:$D$625,'מאוחדת Raw'!$F$7:$F$625,$A36,'מאוחדת Raw'!$C$7:$C$625,2025)</f>
        <v>67</v>
      </c>
      <c r="D36" s="12" t="n">
        <f aca="false">SUMIFS('מאוחדת Raw'!$D$7:$D$625,'מאוחדת Raw'!$F$7:$F$625,$A36,'מאוחדת Raw'!$C$7:$C$625,2026)</f>
        <v>11</v>
      </c>
      <c r="E36" s="12" t="n">
        <f aca="false">D36*$J$5</f>
        <v>13.8947368421053</v>
      </c>
      <c r="F36" s="12" t="n">
        <f aca="false">E36-C36</f>
        <v>-53.1052631578947</v>
      </c>
      <c r="G36" s="21" t="n">
        <f aca="false">IF(AND(C36=0,E36=0),0,IF(C36=0,"New",(E36-C36)/C36))</f>
        <v>-0.79261586802828</v>
      </c>
      <c r="H36" s="12" t="n">
        <f aca="false">SUMIFS('מאוחדת Raw'!$E$7:$E$625,'מאוחדת Raw'!$F$7:$F$625,$A36,'מאוחדת Raw'!$C$7:$C$625,2025)</f>
        <v>11758.5</v>
      </c>
      <c r="I36" s="12" t="n">
        <f aca="false">SUMIFS('מאוחדת Raw'!$E$7:$E$625,'מאוחדת Raw'!$F$7:$F$625,$A36,'מאוחדת Raw'!$C$7:$C$625,2026)</f>
        <v>1930.5</v>
      </c>
      <c r="J36" s="12" t="n">
        <f aca="false">I36*$J$5</f>
        <v>2438.52631578947</v>
      </c>
      <c r="K36" s="12"/>
      <c r="L36" s="22"/>
    </row>
    <row r="37" customFormat="false" ht="15" hidden="false" customHeight="true" outlineLevel="0" collapsed="false">
      <c r="A37" s="12" t="n">
        <v>4408018</v>
      </c>
      <c r="B37" s="12" t="str">
        <f aca="false">IFERROR(INDEX('מאוחדת Raw'!$B:$B,MATCH($A37,'מאוחדת Raw'!$F:$F,0)),"")</f>
        <v>07AU XXL</v>
      </c>
      <c r="C37" s="12" t="n">
        <f aca="false">SUMIFS('מאוחדת Raw'!$D$7:$D$625,'מאוחדת Raw'!$F$7:$F$625,$A37,'מאוחדת Raw'!$C$7:$C$625,2025)</f>
        <v>52</v>
      </c>
      <c r="D37" s="12" t="n">
        <f aca="false">SUMIFS('מאוחדת Raw'!$D$7:$D$625,'מאוחדת Raw'!$F$7:$F$625,$A37,'מאוחדת Raw'!$C$7:$C$625,2026)</f>
        <v>4</v>
      </c>
      <c r="E37" s="12" t="n">
        <f aca="false">D37*$J$5</f>
        <v>5.05263157894737</v>
      </c>
      <c r="F37" s="12" t="n">
        <f aca="false">E37-C37</f>
        <v>-46.9473684210526</v>
      </c>
      <c r="G37" s="21" t="n">
        <f aca="false">IF(AND(C37=0,E37=0),0,IF(C37=0,"New",(E37-C37)/C37))</f>
        <v>-0.902834008097166</v>
      </c>
      <c r="H37" s="12" t="n">
        <f aca="false">SUMIFS('מאוחדת Raw'!$E$7:$E$625,'מאוחדת Raw'!$F$7:$F$625,$A37,'מאוחדת Raw'!$C$7:$C$625,2025)</f>
        <v>9126</v>
      </c>
      <c r="I37" s="12" t="n">
        <f aca="false">SUMIFS('מאוחדת Raw'!$E$7:$E$625,'מאוחדת Raw'!$F$7:$F$625,$A37,'מאוחדת Raw'!$C$7:$C$625,2026)</f>
        <v>702</v>
      </c>
      <c r="J37" s="12" t="n">
        <f aca="false">I37*$J$5</f>
        <v>886.736842105263</v>
      </c>
      <c r="K37" s="12"/>
      <c r="L37" s="22"/>
    </row>
    <row r="38" customFormat="false" ht="15" hidden="false" customHeight="true" outlineLevel="0" collapsed="false">
      <c r="A38" s="12" t="n">
        <v>4408031</v>
      </c>
      <c r="B38" s="12" t="str">
        <f aca="false">IFERROR(INDEX('מאוחדת Raw'!$B:$B,MATCH($A38,'מאוחדת Raw'!$F:$F,0)),"")</f>
        <v>11 S</v>
      </c>
      <c r="C38" s="12" t="n">
        <f aca="false">SUMIFS('מאוחדת Raw'!$D$7:$D$625,'מאוחדת Raw'!$F$7:$F$625,$A38,'מאוחדת Raw'!$C$7:$C$625,2025)</f>
        <v>33</v>
      </c>
      <c r="D38" s="12" t="n">
        <f aca="false">SUMIFS('מאוחדת Raw'!$D$7:$D$625,'מאוחדת Raw'!$F$7:$F$625,$A38,'מאוחדת Raw'!$C$7:$C$625,2026)</f>
        <v>2</v>
      </c>
      <c r="E38" s="12" t="n">
        <f aca="false">D38*$J$5</f>
        <v>2.52631578947368</v>
      </c>
      <c r="F38" s="12" t="n">
        <f aca="false">E38-C38</f>
        <v>-30.4736842105263</v>
      </c>
      <c r="G38" s="21" t="n">
        <f aca="false">IF(AND(C38=0,E38=0),0,IF(C38=0,"New",(E38-C38)/C38))</f>
        <v>-0.923444976076555</v>
      </c>
      <c r="H38" s="12" t="n">
        <f aca="false">SUMIFS('מאוחדת Raw'!$E$7:$E$625,'מאוחדת Raw'!$F$7:$F$625,$A38,'מאוחדת Raw'!$C$7:$C$625,2025)</f>
        <v>2387.22</v>
      </c>
      <c r="I38" s="12" t="n">
        <f aca="false">SUMIFS('מאוחדת Raw'!$E$7:$E$625,'מאוחדת Raw'!$F$7:$F$625,$A38,'מאוחדת Raw'!$C$7:$C$625,2026)</f>
        <v>144.68</v>
      </c>
      <c r="J38" s="12" t="n">
        <f aca="false">I38*$J$5</f>
        <v>182.753684210526</v>
      </c>
      <c r="K38" s="12"/>
      <c r="L38" s="22"/>
    </row>
    <row r="39" customFormat="false" ht="15" hidden="false" customHeight="true" outlineLevel="0" collapsed="false">
      <c r="A39" s="12" t="n">
        <v>4408032</v>
      </c>
      <c r="B39" s="12" t="str">
        <f aca="false">IFERROR(INDEX('מאוחדת Raw'!$B:$B,MATCH($A39,'מאוחדת Raw'!$F:$F,0)),"")</f>
        <v>11 L</v>
      </c>
      <c r="C39" s="12" t="n">
        <f aca="false">SUMIFS('מאוחדת Raw'!$D$7:$D$625,'מאוחדת Raw'!$F$7:$F$625,$A39,'מאוחדת Raw'!$C$7:$C$625,2025)</f>
        <v>74</v>
      </c>
      <c r="D39" s="12" t="n">
        <f aca="false">SUMIFS('מאוחדת Raw'!$D$7:$D$625,'מאוחדת Raw'!$F$7:$F$625,$A39,'מאוחדת Raw'!$C$7:$C$625,2026)</f>
        <v>17</v>
      </c>
      <c r="E39" s="12" t="n">
        <f aca="false">D39*$J$5</f>
        <v>21.4736842105263</v>
      </c>
      <c r="F39" s="12" t="n">
        <f aca="false">E39-C39</f>
        <v>-52.5263157894737</v>
      </c>
      <c r="G39" s="21" t="n">
        <f aca="false">IF(AND(C39=0,E39=0),0,IF(C39=0,"New",(E39-C39)/C39))</f>
        <v>-0.709815078236131</v>
      </c>
      <c r="H39" s="12" t="n">
        <f aca="false">SUMIFS('מאוחדת Raw'!$E$7:$E$625,'מאוחדת Raw'!$F$7:$F$625,$A39,'מאוחדת Raw'!$C$7:$C$625,2025)</f>
        <v>5353.16</v>
      </c>
      <c r="I39" s="12" t="n">
        <f aca="false">SUMIFS('מאוחדת Raw'!$E$7:$E$625,'מאוחדת Raw'!$F$7:$F$625,$A39,'מאוחדת Raw'!$C$7:$C$625,2026)</f>
        <v>1229.78</v>
      </c>
      <c r="J39" s="12" t="n">
        <f aca="false">I39*$J$5</f>
        <v>1553.40631578947</v>
      </c>
      <c r="K39" s="12"/>
      <c r="L39" s="22"/>
    </row>
    <row r="40" customFormat="false" ht="15" hidden="false" customHeight="true" outlineLevel="0" collapsed="false">
      <c r="A40" s="12" t="n">
        <v>4408033</v>
      </c>
      <c r="B40" s="12" t="str">
        <f aca="false">IFERROR(INDEX('מאוחדת Raw'!$B:$B,MATCH($A40,'מאוחדת Raw'!$F:$F,0)),"")</f>
        <v>11 M</v>
      </c>
      <c r="C40" s="12" t="n">
        <f aca="false">SUMIFS('מאוחדת Raw'!$D$7:$D$625,'מאוחדת Raw'!$F$7:$F$625,$A40,'מאוחדת Raw'!$C$7:$C$625,2025)</f>
        <v>57</v>
      </c>
      <c r="D40" s="12" t="n">
        <f aca="false">SUMIFS('מאוחדת Raw'!$D$7:$D$625,'מאוחדת Raw'!$F$7:$F$625,$A40,'מאוחדת Raw'!$C$7:$C$625,2026)</f>
        <v>12</v>
      </c>
      <c r="E40" s="12" t="n">
        <f aca="false">D40*$J$5</f>
        <v>15.1578947368421</v>
      </c>
      <c r="F40" s="12" t="n">
        <f aca="false">E40-C40</f>
        <v>-41.8421052631579</v>
      </c>
      <c r="G40" s="21" t="n">
        <f aca="false">IF(AND(C40=0,E40=0),0,IF(C40=0,"New",(E40-C40)/C40))</f>
        <v>-0.734072022160665</v>
      </c>
      <c r="H40" s="12" t="n">
        <f aca="false">SUMIFS('מאוחדת Raw'!$E$7:$E$625,'מאוחדת Raw'!$F$7:$F$625,$A40,'מאוחדת Raw'!$C$7:$C$625,2025)</f>
        <v>4123.38</v>
      </c>
      <c r="I40" s="12" t="n">
        <f aca="false">SUMIFS('מאוחדת Raw'!$E$7:$E$625,'מאוחדת Raw'!$F$7:$F$625,$A40,'מאוחדת Raw'!$C$7:$C$625,2026)</f>
        <v>868.08</v>
      </c>
      <c r="J40" s="12" t="n">
        <f aca="false">I40*$J$5</f>
        <v>1096.52210526316</v>
      </c>
      <c r="K40" s="12"/>
      <c r="L40" s="22"/>
    </row>
    <row r="41" customFormat="false" ht="15" hidden="false" customHeight="true" outlineLevel="0" collapsed="false">
      <c r="A41" s="12" t="n">
        <v>4408034</v>
      </c>
      <c r="B41" s="12" t="str">
        <f aca="false">IFERROR(INDEX('מאוחדת Raw'!$B:$B,MATCH($A41,'מאוחדת Raw'!$F:$F,0)),"")</f>
        <v>11 XL</v>
      </c>
      <c r="C41" s="12" t="n">
        <f aca="false">SUMIFS('מאוחדת Raw'!$D$7:$D$625,'מאוחדת Raw'!$F$7:$F$625,$A41,'מאוחדת Raw'!$C$7:$C$625,2025)</f>
        <v>112</v>
      </c>
      <c r="D41" s="12" t="n">
        <f aca="false">SUMIFS('מאוחדת Raw'!$D$7:$D$625,'מאוחדת Raw'!$F$7:$F$625,$A41,'מאוחדת Raw'!$C$7:$C$625,2026)</f>
        <v>38</v>
      </c>
      <c r="E41" s="12" t="n">
        <f aca="false">D41*$J$5</f>
        <v>48</v>
      </c>
      <c r="F41" s="12" t="n">
        <f aca="false">E41-C41</f>
        <v>-64</v>
      </c>
      <c r="G41" s="21" t="n">
        <f aca="false">IF(AND(C41=0,E41=0),0,IF(C41=0,"New",(E41-C41)/C41))</f>
        <v>-0.571428571428571</v>
      </c>
      <c r="H41" s="12" t="n">
        <f aca="false">SUMIFS('מאוחדת Raw'!$E$7:$E$625,'מאוחדת Raw'!$F$7:$F$625,$A41,'מאוחדת Raw'!$C$7:$C$625,2025)</f>
        <v>8102.08000000001</v>
      </c>
      <c r="I41" s="12" t="n">
        <f aca="false">SUMIFS('מאוחדת Raw'!$E$7:$E$625,'מאוחדת Raw'!$F$7:$F$625,$A41,'מאוחדת Raw'!$C$7:$C$625,2026)</f>
        <v>2748.92</v>
      </c>
      <c r="J41" s="12" t="n">
        <f aca="false">I41*$J$5</f>
        <v>3472.32</v>
      </c>
      <c r="K41" s="12"/>
      <c r="L41" s="22"/>
    </row>
    <row r="42" customFormat="false" ht="15" hidden="false" customHeight="true" outlineLevel="0" collapsed="false">
      <c r="A42" s="12" t="n">
        <v>4408035</v>
      </c>
      <c r="B42" s="12" t="str">
        <f aca="false">IFERROR(INDEX('מאוחדת Raw'!$B:$B,MATCH($A42,'מאוחדת Raw'!$F:$F,0)),"")</f>
        <v>11 XXL</v>
      </c>
      <c r="C42" s="12" t="n">
        <f aca="false">SUMIFS('מאוחדת Raw'!$D$7:$D$625,'מאוחדת Raw'!$F$7:$F$625,$A42,'מאוחדת Raw'!$C$7:$C$625,2025)</f>
        <v>76</v>
      </c>
      <c r="D42" s="12" t="n">
        <f aca="false">SUMIFS('מאוחדת Raw'!$D$7:$D$625,'מאוחדת Raw'!$F$7:$F$625,$A42,'מאוחדת Raw'!$C$7:$C$625,2026)</f>
        <v>13</v>
      </c>
      <c r="E42" s="12" t="n">
        <f aca="false">D42*$J$5</f>
        <v>16.4210526315789</v>
      </c>
      <c r="F42" s="12" t="n">
        <f aca="false">E42-C42</f>
        <v>-59.5789473684211</v>
      </c>
      <c r="G42" s="21" t="n">
        <f aca="false">IF(AND(C42=0,E42=0),0,IF(C42=0,"New",(E42-C42)/C42))</f>
        <v>-0.78393351800554</v>
      </c>
      <c r="H42" s="12" t="n">
        <f aca="false">SUMIFS('מאוחדת Raw'!$E$7:$E$625,'מאוחדת Raw'!$F$7:$F$625,$A42,'מאוחדת Raw'!$C$7:$C$625,2025)</f>
        <v>5497.84</v>
      </c>
      <c r="I42" s="12" t="n">
        <f aca="false">SUMIFS('מאוחדת Raw'!$E$7:$E$625,'מאוחדת Raw'!$F$7:$F$625,$A42,'מאוחדת Raw'!$C$7:$C$625,2026)</f>
        <v>940.42</v>
      </c>
      <c r="J42" s="12" t="n">
        <f aca="false">I42*$J$5</f>
        <v>1187.89894736842</v>
      </c>
      <c r="K42" s="12"/>
      <c r="L42" s="22"/>
    </row>
    <row r="43" customFormat="false" ht="15" hidden="false" customHeight="true" outlineLevel="0" collapsed="false">
      <c r="A43" s="12" t="n">
        <v>4408051</v>
      </c>
      <c r="B43" s="12" t="str">
        <f aca="false">IFERROR(INDEX('מאוחדת Raw'!$B:$B,MATCH($A43,'מאוחדת Raw'!$F:$F,0)),"")</f>
        <v>21 S  חבק יד ארוך</v>
      </c>
      <c r="C43" s="12" t="n">
        <f aca="false">SUMIFS('מאוחדת Raw'!$D$7:$D$625,'מאוחדת Raw'!$F$7:$F$625,$A43,'מאוחדת Raw'!$C$7:$C$625,2025)</f>
        <v>181</v>
      </c>
      <c r="D43" s="12" t="n">
        <f aca="false">SUMIFS('מאוחדת Raw'!$D$7:$D$625,'מאוחדת Raw'!$F$7:$F$625,$A43,'מאוחדת Raw'!$C$7:$C$625,2026)</f>
        <v>106</v>
      </c>
      <c r="E43" s="12" t="n">
        <f aca="false">D43*$J$5</f>
        <v>133.894736842105</v>
      </c>
      <c r="F43" s="12" t="n">
        <f aca="false">E43-C43</f>
        <v>-47.1052631578947</v>
      </c>
      <c r="G43" s="21" t="n">
        <f aca="false">IF(AND(C43=0,E43=0),0,IF(C43=0,"New",(E43-C43)/C43))</f>
        <v>-0.260250072695551</v>
      </c>
      <c r="H43" s="12" t="n">
        <f aca="false">SUMIFS('מאוחדת Raw'!$E$7:$E$625,'מאוחדת Raw'!$F$7:$F$625,$A43,'מאוחדת Raw'!$C$7:$C$625,2025)</f>
        <v>4421.83</v>
      </c>
      <c r="I43" s="12" t="n">
        <f aca="false">SUMIFS('מאוחדת Raw'!$E$7:$E$625,'מאוחדת Raw'!$F$7:$F$625,$A43,'מאוחדת Raw'!$C$7:$C$625,2026)</f>
        <v>2522.42</v>
      </c>
      <c r="J43" s="12" t="n">
        <f aca="false">I43*$J$5</f>
        <v>3186.21473684211</v>
      </c>
      <c r="K43" s="12"/>
      <c r="L43" s="22"/>
    </row>
    <row r="44" customFormat="false" ht="15" hidden="false" customHeight="true" outlineLevel="0" collapsed="false">
      <c r="A44" s="12" t="n">
        <v>4408052</v>
      </c>
      <c r="B44" s="12" t="str">
        <f aca="false">IFERROR(INDEX('מאוחדת Raw'!$B:$B,MATCH($A44,'מאוחדת Raw'!$F:$F,0)),"")</f>
        <v>21 L  חבק יד ארוך</v>
      </c>
      <c r="C44" s="12" t="n">
        <f aca="false">SUMIFS('מאוחדת Raw'!$D$7:$D$625,'מאוחדת Raw'!$F$7:$F$625,$A44,'מאוחדת Raw'!$C$7:$C$625,2025)</f>
        <v>315</v>
      </c>
      <c r="D44" s="12" t="n">
        <f aca="false">SUMIFS('מאוחדת Raw'!$D$7:$D$625,'מאוחדת Raw'!$F$7:$F$625,$A44,'מאוחדת Raw'!$C$7:$C$625,2026)</f>
        <v>203</v>
      </c>
      <c r="E44" s="12" t="n">
        <f aca="false">D44*$J$5</f>
        <v>256.421052631579</v>
      </c>
      <c r="F44" s="12" t="n">
        <f aca="false">E44-C44</f>
        <v>-58.578947368421</v>
      </c>
      <c r="G44" s="21" t="n">
        <f aca="false">IF(AND(C44=0,E44=0),0,IF(C44=0,"New",(E44-C44)/C44))</f>
        <v>-0.185964912280702</v>
      </c>
      <c r="H44" s="12" t="n">
        <f aca="false">SUMIFS('מאוחדת Raw'!$E$7:$E$625,'מאוחדת Raw'!$F$7:$F$625,$A44,'מאוחדת Raw'!$C$7:$C$625,2025)</f>
        <v>7695.45</v>
      </c>
      <c r="I44" s="12" t="n">
        <f aca="false">SUMIFS('מאוחדת Raw'!$E$7:$E$625,'מאוחדת Raw'!$F$7:$F$625,$A44,'מאוחדת Raw'!$C$7:$C$625,2026)</f>
        <v>4822.92</v>
      </c>
      <c r="J44" s="12" t="n">
        <f aca="false">I44*$J$5</f>
        <v>6092.10947368421</v>
      </c>
      <c r="K44" s="12"/>
      <c r="L44" s="22"/>
    </row>
    <row r="45" customFormat="false" ht="15" hidden="false" customHeight="true" outlineLevel="0" collapsed="false">
      <c r="A45" s="12" t="n">
        <v>4408053</v>
      </c>
      <c r="B45" s="12" t="str">
        <f aca="false">IFERROR(INDEX('מאוחדת Raw'!$B:$B,MATCH($A45,'מאוחדת Raw'!$F:$F,0)),"")</f>
        <v>21 M  חבק יד ארוך</v>
      </c>
      <c r="C45" s="12" t="n">
        <f aca="false">SUMIFS('מאוחדת Raw'!$D$7:$D$625,'מאוחדת Raw'!$F$7:$F$625,$A45,'מאוחדת Raw'!$C$7:$C$625,2025)</f>
        <v>434</v>
      </c>
      <c r="D45" s="12" t="n">
        <f aca="false">SUMIFS('מאוחדת Raw'!$D$7:$D$625,'מאוחדת Raw'!$F$7:$F$625,$A45,'מאוחדת Raw'!$C$7:$C$625,2026)</f>
        <v>277</v>
      </c>
      <c r="E45" s="12" t="n">
        <f aca="false">D45*$J$5</f>
        <v>349.894736842105</v>
      </c>
      <c r="F45" s="12" t="n">
        <f aca="false">E45-C45</f>
        <v>-84.1052631578947</v>
      </c>
      <c r="G45" s="21" t="n">
        <f aca="false">IF(AND(C45=0,E45=0),0,IF(C45=0,"New",(E45-C45)/C45))</f>
        <v>-0.193790928935241</v>
      </c>
      <c r="H45" s="12" t="n">
        <f aca="false">SUMIFS('מאוחדת Raw'!$E$7:$E$625,'מאוחדת Raw'!$F$7:$F$625,$A45,'מאוחדת Raw'!$C$7:$C$625,2025)</f>
        <v>10602.62</v>
      </c>
      <c r="I45" s="12" t="n">
        <f aca="false">SUMIFS('מאוחדת Raw'!$E$7:$E$625,'מאוחדת Raw'!$F$7:$F$625,$A45,'מאוחדת Raw'!$C$7:$C$625,2026)</f>
        <v>6510.49</v>
      </c>
      <c r="J45" s="12" t="n">
        <f aca="false">I45*$J$5</f>
        <v>8223.77684210526</v>
      </c>
      <c r="K45" s="12"/>
      <c r="L45" s="22"/>
    </row>
    <row r="46" customFormat="false" ht="15" hidden="false" customHeight="true" outlineLevel="0" collapsed="false">
      <c r="A46" s="12" t="n">
        <v>4408054</v>
      </c>
      <c r="B46" s="12" t="str">
        <f aca="false">IFERROR(INDEX('מאוחדת Raw'!$B:$B,MATCH($A46,'מאוחדת Raw'!$F:$F,0)),"")</f>
        <v>21 XL חבק יד ארוך</v>
      </c>
      <c r="C46" s="12" t="n">
        <f aca="false">SUMIFS('מאוחדת Raw'!$D$7:$D$625,'מאוחדת Raw'!$F$7:$F$625,$A46,'מאוחדת Raw'!$C$7:$C$625,2025)</f>
        <v>157</v>
      </c>
      <c r="D46" s="12" t="n">
        <f aca="false">SUMIFS('מאוחדת Raw'!$D$7:$D$625,'מאוחדת Raw'!$F$7:$F$625,$A46,'מאוחדת Raw'!$C$7:$C$625,2026)</f>
        <v>81</v>
      </c>
      <c r="E46" s="12" t="n">
        <f aca="false">D46*$J$5</f>
        <v>102.315789473684</v>
      </c>
      <c r="F46" s="12" t="n">
        <f aca="false">E46-C46</f>
        <v>-54.6842105263158</v>
      </c>
      <c r="G46" s="21" t="n">
        <f aca="false">IF(AND(C46=0,E46=0),0,IF(C46=0,"New",(E46-C46)/C46))</f>
        <v>-0.348307073416024</v>
      </c>
      <c r="H46" s="12" t="n">
        <f aca="false">SUMIFS('מאוחדת Raw'!$E$7:$E$625,'מאוחדת Raw'!$F$7:$F$625,$A46,'מאוחדת Raw'!$C$7:$C$625,2025)</f>
        <v>3835.51</v>
      </c>
      <c r="I46" s="12" t="n">
        <f aca="false">SUMIFS('מאוחדת Raw'!$E$7:$E$625,'מאוחדת Raw'!$F$7:$F$625,$A46,'מאוחדת Raw'!$C$7:$C$625,2026)</f>
        <v>1948.25</v>
      </c>
      <c r="J46" s="12" t="n">
        <f aca="false">I46*$J$5</f>
        <v>2460.94736842105</v>
      </c>
      <c r="K46" s="12"/>
      <c r="L46" s="22"/>
    </row>
    <row r="47" customFormat="false" ht="15" hidden="false" customHeight="true" outlineLevel="0" collapsed="false">
      <c r="A47" s="12" t="n">
        <v>4408069</v>
      </c>
      <c r="B47" s="12" t="str">
        <f aca="false">IFERROR(INDEX('מאוחדת Raw'!$B:$B,MATCH($A47,'מאוחדת Raw'!$F:$F,0)),"")</f>
        <v>38 0</v>
      </c>
      <c r="C47" s="12" t="n">
        <f aca="false">SUMIFS('מאוחדת Raw'!$D$7:$D$625,'מאוחדת Raw'!$F$7:$F$625,$A47,'מאוחדת Raw'!$C$7:$C$625,2025)</f>
        <v>17</v>
      </c>
      <c r="D47" s="12" t="n">
        <f aca="false">SUMIFS('מאוחדת Raw'!$D$7:$D$625,'מאוחדת Raw'!$F$7:$F$625,$A47,'מאוחדת Raw'!$C$7:$C$625,2026)</f>
        <v>1</v>
      </c>
      <c r="E47" s="12" t="n">
        <f aca="false">D47*$J$5</f>
        <v>1.26315789473684</v>
      </c>
      <c r="F47" s="12" t="n">
        <f aca="false">E47-C47</f>
        <v>-15.7368421052632</v>
      </c>
      <c r="G47" s="21" t="n">
        <f aca="false">IF(AND(C47=0,E47=0),0,IF(C47=0,"New",(E47-C47)/C47))</f>
        <v>-0.925696594427245</v>
      </c>
      <c r="H47" s="12" t="n">
        <f aca="false">SUMIFS('מאוחדת Raw'!$E$7:$E$625,'מאוחדת Raw'!$F$7:$F$625,$A47,'מאוחדת Raw'!$C$7:$C$625,2025)</f>
        <v>910.01</v>
      </c>
      <c r="I47" s="12" t="n">
        <f aca="false">SUMIFS('מאוחדת Raw'!$E$7:$E$625,'מאוחדת Raw'!$F$7:$F$625,$A47,'מאוחדת Raw'!$C$7:$C$625,2026)</f>
        <v>53.53</v>
      </c>
      <c r="J47" s="12" t="n">
        <f aca="false">I47*$J$5</f>
        <v>67.6168421052632</v>
      </c>
      <c r="K47" s="12"/>
      <c r="L47" s="22"/>
    </row>
    <row r="48" customFormat="false" ht="15" hidden="false" customHeight="true" outlineLevel="0" collapsed="false">
      <c r="A48" s="12" t="n">
        <v>4408070</v>
      </c>
      <c r="B48" s="12" t="str">
        <f aca="false">IFERROR(INDEX('מאוחדת Raw'!$B:$B,MATCH($A48,'מאוחדת Raw'!$F:$F,0)),"")</f>
        <v>59D S</v>
      </c>
      <c r="C48" s="12" t="n">
        <f aca="false">SUMIFS('מאוחדת Raw'!$D$7:$D$625,'מאוחדת Raw'!$F$7:$F$625,$A48,'מאוחדת Raw'!$C$7:$C$625,2025)</f>
        <v>2</v>
      </c>
      <c r="D48" s="12" t="n">
        <f aca="false">SUMIFS('מאוחדת Raw'!$D$7:$D$625,'מאוחדת Raw'!$F$7:$F$625,$A48,'מאוחדת Raw'!$C$7:$C$625,2026)</f>
        <v>1</v>
      </c>
      <c r="E48" s="12" t="n">
        <f aca="false">D48*$J$5</f>
        <v>1.26315789473684</v>
      </c>
      <c r="F48" s="12" t="n">
        <f aca="false">E48-C48</f>
        <v>-0.736842105263158</v>
      </c>
      <c r="G48" s="21" t="n">
        <f aca="false">IF(AND(C48=0,E48=0),0,IF(C48=0,"New",(E48-C48)/C48))</f>
        <v>-0.368421052631579</v>
      </c>
      <c r="H48" s="12" t="n">
        <f aca="false">SUMIFS('מאוחדת Raw'!$E$7:$E$625,'מאוחדת Raw'!$F$7:$F$625,$A48,'מאוחדת Raw'!$C$7:$C$625,2025)</f>
        <v>391.46</v>
      </c>
      <c r="I48" s="12" t="n">
        <f aca="false">SUMIFS('מאוחדת Raw'!$E$7:$E$625,'מאוחדת Raw'!$F$7:$F$625,$A48,'מאוחדת Raw'!$C$7:$C$625,2026)</f>
        <v>195.73</v>
      </c>
      <c r="J48" s="12" t="n">
        <f aca="false">I48*$J$5</f>
        <v>247.237894736842</v>
      </c>
      <c r="K48" s="12"/>
      <c r="L48" s="22"/>
    </row>
    <row r="49" customFormat="false" ht="15" hidden="false" customHeight="true" outlineLevel="0" collapsed="false">
      <c r="A49" s="12" t="n">
        <v>4408071</v>
      </c>
      <c r="B49" s="12" t="str">
        <f aca="false">IFERROR(INDEX('מאוחדת Raw'!$B:$B,MATCH($A49,'מאוחדת Raw'!$F:$F,0)),"")</f>
        <v>59D L חגורת שבר דו צדדי</v>
      </c>
      <c r="C49" s="12" t="n">
        <f aca="false">SUMIFS('מאוחדת Raw'!$D$7:$D$625,'מאוחדת Raw'!$F$7:$F$625,$A49,'מאוחדת Raw'!$C$7:$C$625,2025)</f>
        <v>5</v>
      </c>
      <c r="D49" s="12" t="n">
        <f aca="false">SUMIFS('מאוחדת Raw'!$D$7:$D$625,'מאוחדת Raw'!$F$7:$F$625,$A49,'מאוחדת Raw'!$C$7:$C$625,2026)</f>
        <v>1</v>
      </c>
      <c r="E49" s="12" t="n">
        <f aca="false">D49*$J$5</f>
        <v>1.26315789473684</v>
      </c>
      <c r="F49" s="12" t="n">
        <f aca="false">E49-C49</f>
        <v>-3.73684210526316</v>
      </c>
      <c r="G49" s="21" t="n">
        <f aca="false">IF(AND(C49=0,E49=0),0,IF(C49=0,"New",(E49-C49)/C49))</f>
        <v>-0.747368421052632</v>
      </c>
      <c r="H49" s="12" t="n">
        <f aca="false">SUMIFS('מאוחדת Raw'!$E$7:$E$625,'מאוחדת Raw'!$F$7:$F$625,$A49,'מאוחדת Raw'!$C$7:$C$625,2025)</f>
        <v>978.65</v>
      </c>
      <c r="I49" s="12" t="n">
        <f aca="false">SUMIFS('מאוחדת Raw'!$E$7:$E$625,'מאוחדת Raw'!$F$7:$F$625,$A49,'מאוחדת Raw'!$C$7:$C$625,2026)</f>
        <v>146.77</v>
      </c>
      <c r="J49" s="12" t="n">
        <f aca="false">I49*$J$5</f>
        <v>185.393684210526</v>
      </c>
      <c r="K49" s="12"/>
      <c r="L49" s="22"/>
    </row>
    <row r="50" customFormat="false" ht="15" hidden="false" customHeight="true" outlineLevel="0" collapsed="false">
      <c r="A50" s="12" t="n">
        <v>4408072</v>
      </c>
      <c r="B50" s="12" t="str">
        <f aca="false">IFERROR(INDEX('מאוחדת Raw'!$B:$B,MATCH($A50,'מאוחדת Raw'!$F:$F,0)),"")</f>
        <v>59D M חגורת שבר דו צדדי</v>
      </c>
      <c r="C50" s="12" t="n">
        <f aca="false">SUMIFS('מאוחדת Raw'!$D$7:$D$625,'מאוחדת Raw'!$F$7:$F$625,$A50,'מאוחדת Raw'!$C$7:$C$625,2025)</f>
        <v>5</v>
      </c>
      <c r="D50" s="12" t="n">
        <f aca="false">SUMIFS('מאוחדת Raw'!$D$7:$D$625,'מאוחדת Raw'!$F$7:$F$625,$A50,'מאוחדת Raw'!$C$7:$C$625,2026)</f>
        <v>4</v>
      </c>
      <c r="E50" s="12" t="n">
        <f aca="false">D50*$J$5</f>
        <v>5.05263157894737</v>
      </c>
      <c r="F50" s="12" t="n">
        <f aca="false">E50-C50</f>
        <v>0.0526315789473681</v>
      </c>
      <c r="G50" s="21" t="n">
        <f aca="false">IF(AND(C50=0,E50=0),0,IF(C50=0,"New",(E50-C50)/C50))</f>
        <v>0.0105263157894736</v>
      </c>
      <c r="H50" s="12" t="n">
        <f aca="false">SUMIFS('מאוחדת Raw'!$E$7:$E$625,'מאוחדת Raw'!$F$7:$F$625,$A50,'מאוחדת Raw'!$C$7:$C$625,2025)</f>
        <v>978.65</v>
      </c>
      <c r="I50" s="12" t="n">
        <f aca="false">SUMIFS('מאוחדת Raw'!$E$7:$E$625,'מאוחדת Raw'!$F$7:$F$625,$A50,'מאוחדת Raw'!$C$7:$C$625,2026)</f>
        <v>782.93</v>
      </c>
      <c r="J50" s="12" t="n">
        <f aca="false">I50*$J$5</f>
        <v>988.964210526316</v>
      </c>
      <c r="K50" s="12"/>
      <c r="L50" s="22"/>
    </row>
    <row r="51" customFormat="false" ht="15" hidden="false" customHeight="true" outlineLevel="0" collapsed="false">
      <c r="A51" s="12" t="n">
        <v>4408073</v>
      </c>
      <c r="B51" s="12" t="str">
        <f aca="false">IFERROR(INDEX('מאוחדת Raw'!$B:$B,MATCH($A51,'מאוחדת Raw'!$F:$F,0)),"")</f>
        <v>59D XL חגורת שבר דו צדדי</v>
      </c>
      <c r="C51" s="12" t="n">
        <f aca="false">SUMIFS('מאוחדת Raw'!$D$7:$D$625,'מאוחדת Raw'!$F$7:$F$625,$A51,'מאוחדת Raw'!$C$7:$C$625,2025)</f>
        <v>1</v>
      </c>
      <c r="D51" s="12" t="n">
        <f aca="false">SUMIFS('מאוחדת Raw'!$D$7:$D$625,'מאוחדת Raw'!$F$7:$F$625,$A51,'מאוחדת Raw'!$C$7:$C$625,2026)</f>
        <v>4</v>
      </c>
      <c r="E51" s="12" t="n">
        <f aca="false">D51*$J$5</f>
        <v>5.05263157894737</v>
      </c>
      <c r="F51" s="12" t="n">
        <f aca="false">E51-C51</f>
        <v>4.05263157894737</v>
      </c>
      <c r="G51" s="21" t="n">
        <f aca="false">IF(AND(C51=0,E51=0),0,IF(C51=0,"New",(E51-C51)/C51))</f>
        <v>4.05263157894737</v>
      </c>
      <c r="H51" s="12" t="n">
        <f aca="false">SUMIFS('מאוחדת Raw'!$E$7:$E$625,'מאוחדת Raw'!$F$7:$F$625,$A51,'מאוחדת Raw'!$C$7:$C$625,2025)</f>
        <v>195.73</v>
      </c>
      <c r="I51" s="12" t="n">
        <f aca="false">SUMIFS('מאוחדת Raw'!$E$7:$E$625,'מאוחדת Raw'!$F$7:$F$625,$A51,'מאוחדת Raw'!$C$7:$C$625,2026)</f>
        <v>733.96</v>
      </c>
      <c r="J51" s="12" t="n">
        <f aca="false">I51*$J$5</f>
        <v>927.107368421053</v>
      </c>
      <c r="K51" s="12"/>
      <c r="L51" s="22"/>
    </row>
    <row r="52" customFormat="false" ht="15" hidden="false" customHeight="true" outlineLevel="0" collapsed="false">
      <c r="A52" s="12" t="n">
        <v>4408075</v>
      </c>
      <c r="B52" s="12" t="str">
        <f aca="false">IFERROR(INDEX('מאוחדת Raw'!$B:$B,MATCH($A52,'מאוחדת Raw'!$F:$F,0)),"")</f>
        <v>59L S חגורת שבר לצד שמאל</v>
      </c>
      <c r="C52" s="12" t="n">
        <f aca="false">SUMIFS('מאוחדת Raw'!$D$7:$D$625,'מאוחדת Raw'!$F$7:$F$625,$A52,'מאוחדת Raw'!$C$7:$C$625,2025)</f>
        <v>1</v>
      </c>
      <c r="D52" s="12" t="n">
        <f aca="false">SUMIFS('מאוחדת Raw'!$D$7:$D$625,'מאוחדת Raw'!$F$7:$F$625,$A52,'מאוחדת Raw'!$C$7:$C$625,2026)</f>
        <v>3</v>
      </c>
      <c r="E52" s="12" t="n">
        <f aca="false">D52*$J$5</f>
        <v>3.78947368421053</v>
      </c>
      <c r="F52" s="12" t="n">
        <f aca="false">E52-C52</f>
        <v>2.78947368421053</v>
      </c>
      <c r="G52" s="21" t="n">
        <f aca="false">IF(AND(C52=0,E52=0),0,IF(C52=0,"New",(E52-C52)/C52))</f>
        <v>2.78947368421053</v>
      </c>
      <c r="H52" s="12" t="n">
        <f aca="false">SUMIFS('מאוחדת Raw'!$E$7:$E$625,'מאוחדת Raw'!$F$7:$F$625,$A52,'מאוחדת Raw'!$C$7:$C$625,2025)</f>
        <v>126.57</v>
      </c>
      <c r="I52" s="12" t="n">
        <f aca="false">SUMIFS('מאוחדת Raw'!$E$7:$E$625,'מאוחדת Raw'!$F$7:$F$625,$A52,'מאוחדת Raw'!$C$7:$C$625,2026)</f>
        <v>379.67</v>
      </c>
      <c r="J52" s="12" t="n">
        <f aca="false">I52*$J$5</f>
        <v>479.583157894737</v>
      </c>
      <c r="K52" s="12"/>
      <c r="L52" s="22"/>
    </row>
    <row r="53" customFormat="false" ht="15" hidden="false" customHeight="true" outlineLevel="0" collapsed="false">
      <c r="A53" s="12" t="n">
        <v>4408076</v>
      </c>
      <c r="B53" s="12" t="str">
        <f aca="false">IFERROR(INDEX('מאוחדת Raw'!$B:$B,MATCH($A53,'מאוחדת Raw'!$F:$F,0)),"")</f>
        <v>59L L חגורת שבר לצד שמאל</v>
      </c>
      <c r="C53" s="12" t="n">
        <f aca="false">SUMIFS('מאוחדת Raw'!$D$7:$D$625,'מאוחדת Raw'!$F$7:$F$625,$A53,'מאוחדת Raw'!$C$7:$C$625,2025)</f>
        <v>4</v>
      </c>
      <c r="D53" s="12" t="n">
        <f aca="false">SUMIFS('מאוחדת Raw'!$D$7:$D$625,'מאוחדת Raw'!$F$7:$F$625,$A53,'מאוחדת Raw'!$C$7:$C$625,2026)</f>
        <v>7</v>
      </c>
      <c r="E53" s="12" t="n">
        <f aca="false">D53*$J$5</f>
        <v>8.84210526315789</v>
      </c>
      <c r="F53" s="12" t="n">
        <f aca="false">E53-C53</f>
        <v>4.84210526315789</v>
      </c>
      <c r="G53" s="21" t="n">
        <f aca="false">IF(AND(C53=0,E53=0),0,IF(C53=0,"New",(E53-C53)/C53))</f>
        <v>1.21052631578947</v>
      </c>
      <c r="H53" s="12" t="n">
        <f aca="false">SUMIFS('מאוחדת Raw'!$E$7:$E$625,'מאוחדת Raw'!$F$7:$F$625,$A53,'מאוחדת Raw'!$C$7:$C$625,2025)</f>
        <v>506.28</v>
      </c>
      <c r="I53" s="12" t="n">
        <f aca="false">SUMIFS('מאוחדת Raw'!$E$7:$E$625,'מאוחדת Raw'!$F$7:$F$625,$A53,'מאוחדת Raw'!$C$7:$C$625,2026)</f>
        <v>822.7</v>
      </c>
      <c r="J53" s="12" t="n">
        <f aca="false">I53*$J$5</f>
        <v>1039.2</v>
      </c>
      <c r="K53" s="12"/>
      <c r="L53" s="22"/>
    </row>
    <row r="54" customFormat="false" ht="15" hidden="false" customHeight="true" outlineLevel="0" collapsed="false">
      <c r="A54" s="12" t="n">
        <v>4408077</v>
      </c>
      <c r="B54" s="12" t="str">
        <f aca="false">IFERROR(INDEX('מאוחדת Raw'!$B:$B,MATCH($A54,'מאוחדת Raw'!$F:$F,0)),"")</f>
        <v>59L M חגורת שבר לצד שמאל</v>
      </c>
      <c r="C54" s="12" t="n">
        <f aca="false">SUMIFS('מאוחדת Raw'!$D$7:$D$625,'מאוחדת Raw'!$F$7:$F$625,$A54,'מאוחדת Raw'!$C$7:$C$625,2025)</f>
        <v>15</v>
      </c>
      <c r="D54" s="12" t="n">
        <f aca="false">SUMIFS('מאוחדת Raw'!$D$7:$D$625,'מאוחדת Raw'!$F$7:$F$625,$A54,'מאוחדת Raw'!$C$7:$C$625,2026)</f>
        <v>5</v>
      </c>
      <c r="E54" s="12" t="n">
        <f aca="false">D54*$J$5</f>
        <v>6.31578947368421</v>
      </c>
      <c r="F54" s="12" t="n">
        <f aca="false">E54-C54</f>
        <v>-8.68421052631579</v>
      </c>
      <c r="G54" s="21" t="n">
        <f aca="false">IF(AND(C54=0,E54=0),0,IF(C54=0,"New",(E54-C54)/C54))</f>
        <v>-0.578947368421053</v>
      </c>
      <c r="H54" s="12" t="n">
        <f aca="false">SUMIFS('מאוחדת Raw'!$E$7:$E$625,'מאוחדת Raw'!$F$7:$F$625,$A54,'מאוחדת Raw'!$C$7:$C$625,2025)</f>
        <v>1898.55</v>
      </c>
      <c r="I54" s="12" t="n">
        <f aca="false">SUMIFS('מאוחדת Raw'!$E$7:$E$625,'מאוחדת Raw'!$F$7:$F$625,$A54,'מאוחדת Raw'!$C$7:$C$625,2026)</f>
        <v>632.88</v>
      </c>
      <c r="J54" s="12" t="n">
        <f aca="false">I54*$J$5</f>
        <v>799.427368421053</v>
      </c>
      <c r="K54" s="12"/>
      <c r="L54" s="22"/>
    </row>
    <row r="55" customFormat="false" ht="15" hidden="false" customHeight="true" outlineLevel="0" collapsed="false">
      <c r="A55" s="12" t="n">
        <v>4408078</v>
      </c>
      <c r="B55" s="12" t="str">
        <f aca="false">IFERROR(INDEX('מאוחדת Raw'!$B:$B,MATCH($A55,'מאוחדת Raw'!$F:$F,0)),"")</f>
        <v>59L XL</v>
      </c>
      <c r="C55" s="12" t="n">
        <f aca="false">SUMIFS('מאוחדת Raw'!$D$7:$D$625,'מאוחדת Raw'!$F$7:$F$625,$A55,'מאוחדת Raw'!$C$7:$C$625,2025)</f>
        <v>1</v>
      </c>
      <c r="D55" s="12" t="n">
        <f aca="false">SUMIFS('מאוחדת Raw'!$D$7:$D$625,'מאוחדת Raw'!$F$7:$F$625,$A55,'מאוחדת Raw'!$C$7:$C$625,2026)</f>
        <v>1</v>
      </c>
      <c r="E55" s="12" t="n">
        <f aca="false">D55*$J$5</f>
        <v>1.26315789473684</v>
      </c>
      <c r="F55" s="12" t="n">
        <f aca="false">E55-C55</f>
        <v>0.263157894736842</v>
      </c>
      <c r="G55" s="21" t="n">
        <f aca="false">IF(AND(C55=0,E55=0),0,IF(C55=0,"New",(E55-C55)/C55))</f>
        <v>0.263157894736842</v>
      </c>
      <c r="H55" s="12" t="n">
        <f aca="false">SUMIFS('מאוחדת Raw'!$E$7:$E$625,'מאוחדת Raw'!$F$7:$F$625,$A55,'מאוחדת Raw'!$C$7:$C$625,2025)</f>
        <v>126.57</v>
      </c>
      <c r="I55" s="12" t="n">
        <f aca="false">SUMIFS('מאוחדת Raw'!$E$7:$E$625,'מאוחדת Raw'!$F$7:$F$625,$A55,'מאוחדת Raw'!$C$7:$C$625,2026)</f>
        <v>126.57</v>
      </c>
      <c r="J55" s="12" t="n">
        <f aca="false">I55*$J$5</f>
        <v>159.877894736842</v>
      </c>
      <c r="K55" s="12"/>
      <c r="L55" s="22"/>
    </row>
    <row r="56" customFormat="false" ht="15" hidden="false" customHeight="true" outlineLevel="0" collapsed="false">
      <c r="A56" s="12" t="n">
        <v>4408079</v>
      </c>
      <c r="B56" s="12" t="str">
        <f aca="false">IFERROR(INDEX('מאוחדת Raw'!$B:$B,MATCH($A56,'מאוחדת Raw'!$F:$F,0)),"")</f>
        <v>59R S</v>
      </c>
      <c r="C56" s="12" t="n">
        <f aca="false">SUMIFS('מאוחדת Raw'!$D$7:$D$625,'מאוחדת Raw'!$F$7:$F$625,$A56,'מאוחדת Raw'!$C$7:$C$625,2025)</f>
        <v>2</v>
      </c>
      <c r="D56" s="12" t="n">
        <f aca="false">SUMIFS('מאוחדת Raw'!$D$7:$D$625,'מאוחדת Raw'!$F$7:$F$625,$A56,'מאוחדת Raw'!$C$7:$C$625,2026)</f>
        <v>-1</v>
      </c>
      <c r="E56" s="12" t="n">
        <f aca="false">D56*$J$5</f>
        <v>-1.26315789473684</v>
      </c>
      <c r="F56" s="12" t="n">
        <f aca="false">E56-C56</f>
        <v>-3.26315789473684</v>
      </c>
      <c r="G56" s="21" t="n">
        <f aca="false">IF(AND(C56=0,E56=0),0,IF(C56=0,"New",(E56-C56)/C56))</f>
        <v>-1.63157894736842</v>
      </c>
      <c r="H56" s="12" t="n">
        <f aca="false">SUMIFS('מאוחדת Raw'!$E$7:$E$625,'מאוחדת Raw'!$F$7:$F$625,$A56,'מאוחדת Raw'!$C$7:$C$625,2025)</f>
        <v>253.14</v>
      </c>
      <c r="I56" s="12" t="n">
        <f aca="false">SUMIFS('מאוחדת Raw'!$E$7:$E$625,'מאוחדת Raw'!$F$7:$F$625,$A56,'מאוחדת Raw'!$C$7:$C$625,2026)</f>
        <v>-126.57</v>
      </c>
      <c r="J56" s="12" t="n">
        <f aca="false">I56*$J$5</f>
        <v>-159.877894736842</v>
      </c>
      <c r="K56" s="12"/>
      <c r="L56" s="22"/>
    </row>
    <row r="57" customFormat="false" ht="15" hidden="false" customHeight="true" outlineLevel="0" collapsed="false">
      <c r="A57" s="12" t="n">
        <v>4408080</v>
      </c>
      <c r="B57" s="12" t="str">
        <f aca="false">IFERROR(INDEX('מאוחדת Raw'!$B:$B,MATCH($A57,'מאוחדת Raw'!$F:$F,0)),"")</f>
        <v>59R L חגורת שבר לצד ימין</v>
      </c>
      <c r="C57" s="12" t="n">
        <f aca="false">SUMIFS('מאוחדת Raw'!$D$7:$D$625,'מאוחדת Raw'!$F$7:$F$625,$A57,'מאוחדת Raw'!$C$7:$C$625,2025)</f>
        <v>17</v>
      </c>
      <c r="D57" s="12" t="n">
        <f aca="false">SUMIFS('מאוחדת Raw'!$D$7:$D$625,'מאוחדת Raw'!$F$7:$F$625,$A57,'מאוחדת Raw'!$C$7:$C$625,2026)</f>
        <v>6</v>
      </c>
      <c r="E57" s="12" t="n">
        <f aca="false">D57*$J$5</f>
        <v>7.57894736842105</v>
      </c>
      <c r="F57" s="12" t="n">
        <f aca="false">E57-C57</f>
        <v>-9.42105263157895</v>
      </c>
      <c r="G57" s="21" t="n">
        <f aca="false">IF(AND(C57=0,E57=0),0,IF(C57=0,"New",(E57-C57)/C57))</f>
        <v>-0.554179566563468</v>
      </c>
      <c r="H57" s="12" t="n">
        <f aca="false">SUMIFS('מאוחדת Raw'!$E$7:$E$625,'מאוחדת Raw'!$F$7:$F$625,$A57,'מאוחדת Raw'!$C$7:$C$625,2025)</f>
        <v>2151.69</v>
      </c>
      <c r="I57" s="12" t="n">
        <f aca="false">SUMIFS('מאוחדת Raw'!$E$7:$E$625,'מאוחדת Raw'!$F$7:$F$625,$A57,'מאוחדת Raw'!$C$7:$C$625,2026)</f>
        <v>727.81</v>
      </c>
      <c r="J57" s="12" t="n">
        <f aca="false">I57*$J$5</f>
        <v>919.338947368421</v>
      </c>
      <c r="K57" s="12"/>
      <c r="L57" s="22"/>
    </row>
    <row r="58" customFormat="false" ht="15" hidden="false" customHeight="true" outlineLevel="0" collapsed="false">
      <c r="A58" s="12" t="n">
        <v>4408081</v>
      </c>
      <c r="B58" s="12" t="str">
        <f aca="false">IFERROR(INDEX('מאוחדת Raw'!$B:$B,MATCH($A58,'מאוחדת Raw'!$F:$F,0)),"")</f>
        <v>59R M חגורת שבר לצד ימין</v>
      </c>
      <c r="C58" s="12" t="n">
        <f aca="false">SUMIFS('מאוחדת Raw'!$D$7:$D$625,'מאוחדת Raw'!$F$7:$F$625,$A58,'מאוחדת Raw'!$C$7:$C$625,2025)</f>
        <v>18</v>
      </c>
      <c r="D58" s="12" t="n">
        <f aca="false">SUMIFS('מאוחדת Raw'!$D$7:$D$625,'מאוחדת Raw'!$F$7:$F$625,$A58,'מאוחדת Raw'!$C$7:$C$625,2026)</f>
        <v>12</v>
      </c>
      <c r="E58" s="12" t="n">
        <f aca="false">D58*$J$5</f>
        <v>15.1578947368421</v>
      </c>
      <c r="F58" s="12" t="n">
        <f aca="false">E58-C58</f>
        <v>-2.8421052631579</v>
      </c>
      <c r="G58" s="21" t="n">
        <f aca="false">IF(AND(C58=0,E58=0),0,IF(C58=0,"New",(E58-C58)/C58))</f>
        <v>-0.157894736842105</v>
      </c>
      <c r="H58" s="12" t="n">
        <f aca="false">SUMIFS('מאוחדת Raw'!$E$7:$E$625,'מאוחדת Raw'!$F$7:$F$625,$A58,'מאוחדת Raw'!$C$7:$C$625,2025)</f>
        <v>2278.26</v>
      </c>
      <c r="I58" s="12" t="n">
        <f aca="false">SUMIFS('מאוחדת Raw'!$E$7:$E$625,'מאוחדת Raw'!$F$7:$F$625,$A58,'מאוחדת Raw'!$C$7:$C$625,2026)</f>
        <v>1392.24</v>
      </c>
      <c r="J58" s="12" t="n">
        <f aca="false">I58*$J$5</f>
        <v>1758.61894736842</v>
      </c>
      <c r="K58" s="12"/>
      <c r="L58" s="22"/>
    </row>
    <row r="59" customFormat="false" ht="15" hidden="false" customHeight="true" outlineLevel="0" collapsed="false">
      <c r="A59" s="12" t="n">
        <v>4408082</v>
      </c>
      <c r="B59" s="12" t="str">
        <f aca="false">IFERROR(INDEX('מאוחדת Raw'!$B:$B,MATCH($A59,'מאוחדת Raw'!$F:$F,0)),"")</f>
        <v>59R XL</v>
      </c>
      <c r="C59" s="12" t="n">
        <f aca="false">SUMIFS('מאוחדת Raw'!$D$7:$D$625,'מאוחדת Raw'!$F$7:$F$625,$A59,'מאוחדת Raw'!$C$7:$C$625,2025)</f>
        <v>7</v>
      </c>
      <c r="D59" s="12" t="n">
        <f aca="false">SUMIFS('מאוחדת Raw'!$D$7:$D$625,'מאוחדת Raw'!$F$7:$F$625,$A59,'מאוחדת Raw'!$C$7:$C$625,2026)</f>
        <v>0</v>
      </c>
      <c r="E59" s="12" t="n">
        <f aca="false">D59*$J$5</f>
        <v>0</v>
      </c>
      <c r="F59" s="12" t="n">
        <f aca="false">E59-C59</f>
        <v>-7</v>
      </c>
      <c r="G59" s="21" t="n">
        <f aca="false">IF(AND(C59=0,E59=0),0,IF(C59=0,"New",(E59-C59)/C59))</f>
        <v>-1</v>
      </c>
      <c r="H59" s="12" t="n">
        <f aca="false">SUMIFS('מאוחדת Raw'!$E$7:$E$625,'מאוחדת Raw'!$F$7:$F$625,$A59,'מאוחדת Raw'!$C$7:$C$625,2025)</f>
        <v>885.99</v>
      </c>
      <c r="I59" s="12" t="n">
        <f aca="false">SUMIFS('מאוחדת Raw'!$E$7:$E$625,'מאוחדת Raw'!$F$7:$F$625,$A59,'מאוחדת Raw'!$C$7:$C$625,2026)</f>
        <v>0</v>
      </c>
      <c r="J59" s="12" t="n">
        <f aca="false">I59*$J$5</f>
        <v>0</v>
      </c>
      <c r="K59" s="12"/>
      <c r="L59" s="22"/>
    </row>
    <row r="60" customFormat="false" ht="15" hidden="false" customHeight="true" outlineLevel="0" collapsed="false">
      <c r="A60" s="12" t="n">
        <v>4408092</v>
      </c>
      <c r="B60" s="12" t="str">
        <f aca="false">IFERROR(INDEX('מאוחדת Raw'!$B:$B,MATCH($A60,'מאוחדת Raw'!$F:$F,0)),"")</f>
        <v>T11C XL</v>
      </c>
      <c r="C60" s="12" t="n">
        <f aca="false">SUMIFS('מאוחדת Raw'!$D$7:$D$625,'מאוחדת Raw'!$F$7:$F$625,$A60,'מאוחדת Raw'!$C$7:$C$625,2025)</f>
        <v>-1</v>
      </c>
      <c r="D60" s="12" t="n">
        <f aca="false">SUMIFS('מאוחדת Raw'!$D$7:$D$625,'מאוחדת Raw'!$F$7:$F$625,$A60,'מאוחדת Raw'!$C$7:$C$625,2026)</f>
        <v>0</v>
      </c>
      <c r="E60" s="12" t="n">
        <f aca="false">D60*$J$5</f>
        <v>0</v>
      </c>
      <c r="F60" s="12" t="n">
        <f aca="false">E60-C60</f>
        <v>1</v>
      </c>
      <c r="G60" s="21" t="n">
        <f aca="false">IF(AND(C60=0,E60=0),0,IF(C60=0,"New",(E60-C60)/C60))</f>
        <v>-1</v>
      </c>
      <c r="H60" s="12" t="n">
        <f aca="false">SUMIFS('מאוחדת Raw'!$E$7:$E$625,'מאוחדת Raw'!$F$7:$F$625,$A60,'מאוחדת Raw'!$C$7:$C$625,2025)</f>
        <v>-74.63</v>
      </c>
      <c r="I60" s="12" t="n">
        <f aca="false">SUMIFS('מאוחדת Raw'!$E$7:$E$625,'מאוחדת Raw'!$F$7:$F$625,$A60,'מאוחדת Raw'!$C$7:$C$625,2026)</f>
        <v>0</v>
      </c>
      <c r="J60" s="12" t="n">
        <f aca="false">I60*$J$5</f>
        <v>0</v>
      </c>
      <c r="K60" s="12"/>
      <c r="L60" s="22"/>
    </row>
    <row r="61" customFormat="false" ht="15" hidden="false" customHeight="true" outlineLevel="0" collapsed="false">
      <c r="A61" s="12" t="n">
        <v>4408151</v>
      </c>
      <c r="B61" s="12" t="str">
        <f aca="false">IFERROR(INDEX('מאוחדת Raw'!$B:$B,MATCH($A61,'מאוחדת Raw'!$F:$F,0)),"")</f>
        <v>11TO M חגורה למנותחי בית החזה</v>
      </c>
      <c r="C61" s="12" t="n">
        <f aca="false">SUMIFS('מאוחדת Raw'!$D$7:$D$625,'מאוחדת Raw'!$F$7:$F$625,$A61,'מאוחדת Raw'!$C$7:$C$625,2025)</f>
        <v>8</v>
      </c>
      <c r="D61" s="12" t="n">
        <f aca="false">SUMIFS('מאוחדת Raw'!$D$7:$D$625,'מאוחדת Raw'!$F$7:$F$625,$A61,'מאוחדת Raw'!$C$7:$C$625,2026)</f>
        <v>1</v>
      </c>
      <c r="E61" s="12" t="n">
        <f aca="false">D61*$J$5</f>
        <v>1.26315789473684</v>
      </c>
      <c r="F61" s="12" t="n">
        <f aca="false">E61-C61</f>
        <v>-6.73684210526316</v>
      </c>
      <c r="G61" s="21" t="n">
        <f aca="false">IF(AND(C61=0,E61=0),0,IF(C61=0,"New",(E61-C61)/C61))</f>
        <v>-0.842105263157895</v>
      </c>
      <c r="H61" s="12" t="n">
        <f aca="false">SUMIFS('מאוחדת Raw'!$E$7:$E$625,'מאוחדת Raw'!$F$7:$F$625,$A61,'מאוחדת Raw'!$C$7:$C$625,2025)</f>
        <v>856.72</v>
      </c>
      <c r="I61" s="12" t="n">
        <f aca="false">SUMIFS('מאוחדת Raw'!$E$7:$E$625,'מאוחדת Raw'!$F$7:$F$625,$A61,'מאוחדת Raw'!$C$7:$C$625,2026)</f>
        <v>107.1</v>
      </c>
      <c r="J61" s="12" t="n">
        <f aca="false">I61*$J$5</f>
        <v>135.284210526316</v>
      </c>
      <c r="K61" s="12"/>
      <c r="L61" s="22"/>
    </row>
    <row r="62" customFormat="false" ht="15" hidden="false" customHeight="true" outlineLevel="0" collapsed="false">
      <c r="A62" s="12" t="n">
        <v>4408152</v>
      </c>
      <c r="B62" s="12" t="str">
        <f aca="false">IFERROR(INDEX('מאוחדת Raw'!$B:$B,MATCH($A62,'מאוחדת Raw'!$F:$F,0)),"")</f>
        <v>11TO L חגורה למנותחי בית החזה</v>
      </c>
      <c r="C62" s="12" t="n">
        <f aca="false">SUMIFS('מאוחדת Raw'!$D$7:$D$625,'מאוחדת Raw'!$F$7:$F$625,$A62,'מאוחדת Raw'!$C$7:$C$625,2025)</f>
        <v>17</v>
      </c>
      <c r="D62" s="12" t="n">
        <f aca="false">SUMIFS('מאוחדת Raw'!$D$7:$D$625,'מאוחדת Raw'!$F$7:$F$625,$A62,'מאוחדת Raw'!$C$7:$C$625,2026)</f>
        <v>16</v>
      </c>
      <c r="E62" s="12" t="n">
        <f aca="false">D62*$J$5</f>
        <v>20.2105263157895</v>
      </c>
      <c r="F62" s="12" t="n">
        <f aca="false">E62-C62</f>
        <v>3.21052631578947</v>
      </c>
      <c r="G62" s="21" t="n">
        <f aca="false">IF(AND(C62=0,E62=0),0,IF(C62=0,"New",(E62-C62)/C62))</f>
        <v>0.188854489164087</v>
      </c>
      <c r="H62" s="12" t="n">
        <f aca="false">SUMIFS('מאוחדת Raw'!$E$7:$E$625,'מאוחדת Raw'!$F$7:$F$625,$A62,'מאוחדת Raw'!$C$7:$C$625,2025)</f>
        <v>1820.53</v>
      </c>
      <c r="I62" s="12" t="n">
        <f aca="false">SUMIFS('מאוחדת Raw'!$E$7:$E$625,'מאוחדת Raw'!$F$7:$F$625,$A62,'מאוחדת Raw'!$C$7:$C$625,2026)</f>
        <v>1659.84</v>
      </c>
      <c r="J62" s="12" t="n">
        <f aca="false">I62*$J$5</f>
        <v>2096.64</v>
      </c>
      <c r="K62" s="12"/>
      <c r="L62" s="22"/>
    </row>
    <row r="63" customFormat="false" ht="15" hidden="false" customHeight="true" outlineLevel="0" collapsed="false">
      <c r="A63" s="12" t="n">
        <v>4408153</v>
      </c>
      <c r="B63" s="12" t="str">
        <f aca="false">IFERROR(INDEX('מאוחדת Raw'!$B:$B,MATCH($A63,'מאוחדת Raw'!$F:$F,0)),"")</f>
        <v>11TO XLחגורה למנותחי בית החזה</v>
      </c>
      <c r="C63" s="12" t="n">
        <f aca="false">SUMIFS('מאוחדת Raw'!$D$7:$D$625,'מאוחדת Raw'!$F$7:$F$625,$A63,'מאוחדת Raw'!$C$7:$C$625,2025)</f>
        <v>9</v>
      </c>
      <c r="D63" s="12" t="n">
        <f aca="false">SUMIFS('מאוחדת Raw'!$D$7:$D$625,'מאוחדת Raw'!$F$7:$F$625,$A63,'מאוחדת Raw'!$C$7:$C$625,2026)</f>
        <v>6</v>
      </c>
      <c r="E63" s="12" t="n">
        <f aca="false">D63*$J$5</f>
        <v>7.57894736842105</v>
      </c>
      <c r="F63" s="12" t="n">
        <f aca="false">E63-C63</f>
        <v>-1.42105263157895</v>
      </c>
      <c r="G63" s="21" t="n">
        <f aca="false">IF(AND(C63=0,E63=0),0,IF(C63=0,"New",(E63-C63)/C63))</f>
        <v>-0.157894736842105</v>
      </c>
      <c r="H63" s="12" t="n">
        <f aca="false">SUMIFS('מאוחדת Raw'!$E$7:$E$625,'מאוחדת Raw'!$F$7:$F$625,$A63,'מאוחדת Raw'!$C$7:$C$625,2025)</f>
        <v>963.81</v>
      </c>
      <c r="I63" s="12" t="n">
        <f aca="false">SUMIFS('מאוחדת Raw'!$E$7:$E$625,'מאוחדת Raw'!$F$7:$F$625,$A63,'מאוחדת Raw'!$C$7:$C$625,2026)</f>
        <v>615.78</v>
      </c>
      <c r="J63" s="12" t="n">
        <f aca="false">I63*$J$5</f>
        <v>777.827368421053</v>
      </c>
      <c r="K63" s="12"/>
      <c r="L63" s="22"/>
    </row>
    <row r="64" customFormat="false" ht="15" hidden="false" customHeight="true" outlineLevel="0" collapsed="false">
      <c r="A64" s="12" t="n">
        <v>4408154</v>
      </c>
      <c r="B64" s="12" t="str">
        <f aca="false">IFERROR(INDEX('מאוחדת Raw'!$B:$B,MATCH($A64,'מאוחדת Raw'!$F:$F,0)),"")</f>
        <v>11TO XXLחגורה למנותחי בית החזה</v>
      </c>
      <c r="C64" s="12" t="n">
        <f aca="false">SUMIFS('מאוחדת Raw'!$D$7:$D$625,'מאוחדת Raw'!$F$7:$F$625,$A64,'מאוחדת Raw'!$C$7:$C$625,2025)</f>
        <v>0</v>
      </c>
      <c r="D64" s="12" t="n">
        <f aca="false">SUMIFS('מאוחדת Raw'!$D$7:$D$625,'מאוחדת Raw'!$F$7:$F$625,$A64,'מאוחדת Raw'!$C$7:$C$625,2026)</f>
        <v>12</v>
      </c>
      <c r="E64" s="12" t="n">
        <f aca="false">D64*$J$5</f>
        <v>15.1578947368421</v>
      </c>
      <c r="F64" s="12" t="n">
        <f aca="false">E64-C64</f>
        <v>15.1578947368421</v>
      </c>
      <c r="G64" s="21" t="str">
        <f aca="false">IF(AND(C64=0,E64=0),0,IF(C64=0,"New",(E64-C64)/C64))</f>
        <v>New</v>
      </c>
      <c r="H64" s="12" t="n">
        <f aca="false">SUMIFS('מאוחדת Raw'!$E$7:$E$625,'מאוחדת Raw'!$F$7:$F$625,$A64,'מאוחדת Raw'!$C$7:$C$625,2025)</f>
        <v>2.8421709430404E-014</v>
      </c>
      <c r="I64" s="12" t="n">
        <f aca="false">SUMIFS('מאוחדת Raw'!$E$7:$E$625,'מאוחדת Raw'!$F$7:$F$625,$A64,'מאוחדת Raw'!$C$7:$C$625,2026)</f>
        <v>1177.95</v>
      </c>
      <c r="J64" s="12" t="n">
        <f aca="false">I64*$J$5</f>
        <v>1487.93684210526</v>
      </c>
      <c r="K64" s="12"/>
      <c r="L64" s="22"/>
    </row>
    <row r="65" customFormat="false" ht="15" hidden="false" customHeight="true" outlineLevel="0" collapsed="false">
      <c r="A65" s="12" t="n">
        <v>4408179</v>
      </c>
      <c r="B65" s="12" t="str">
        <f aca="false">IFERROR(INDEX('מאוחדת Raw'!$B:$B,MATCH($A65,'מאוחדת Raw'!$F:$F,0)),"")</f>
        <v>13 XL</v>
      </c>
      <c r="C65" s="12" t="n">
        <f aca="false">SUMIFS('מאוחדת Raw'!$D$7:$D$625,'מאוחדת Raw'!$F$7:$F$625,$A65,'מאוחדת Raw'!$C$7:$C$625,2025)</f>
        <v>7</v>
      </c>
      <c r="D65" s="12" t="n">
        <f aca="false">SUMIFS('מאוחדת Raw'!$D$7:$D$625,'מאוחדת Raw'!$F$7:$F$625,$A65,'מאוחדת Raw'!$C$7:$C$625,2026)</f>
        <v>-2</v>
      </c>
      <c r="E65" s="12" t="n">
        <f aca="false">D65*$J$5</f>
        <v>-2.52631578947368</v>
      </c>
      <c r="F65" s="12" t="n">
        <f aca="false">E65-C65</f>
        <v>-9.52631578947369</v>
      </c>
      <c r="G65" s="21" t="n">
        <f aca="false">IF(AND(C65=0,E65=0),0,IF(C65=0,"New",(E65-C65)/C65))</f>
        <v>-1.3609022556391</v>
      </c>
      <c r="H65" s="12" t="n">
        <f aca="false">SUMIFS('מאוחדת Raw'!$E$7:$E$625,'מאוחדת Raw'!$F$7:$F$625,$A65,'מאוחדת Raw'!$C$7:$C$625,2025)</f>
        <v>749.63</v>
      </c>
      <c r="I65" s="12" t="n">
        <f aca="false">SUMIFS('מאוחדת Raw'!$E$7:$E$625,'מאוחדת Raw'!$F$7:$F$625,$A65,'מאוחדת Raw'!$C$7:$C$625,2026)</f>
        <v>-214.18</v>
      </c>
      <c r="J65" s="12" t="n">
        <f aca="false">I65*$J$5</f>
        <v>-270.543157894737</v>
      </c>
      <c r="K65" s="12"/>
      <c r="L65" s="22"/>
    </row>
    <row r="66" customFormat="false" ht="15" hidden="false" customHeight="true" outlineLevel="0" collapsed="false">
      <c r="A66" s="12" t="n">
        <v>4408190</v>
      </c>
      <c r="B66" s="12" t="str">
        <f aca="false">IFERROR(INDEX('מאוחדת Raw'!$B:$B,MATCH($A66,'מאוחדת Raw'!$F:$F,0)),"")</f>
        <v>M078 חגורת גב +סגירה כפולה</v>
      </c>
      <c r="C66" s="12" t="n">
        <f aca="false">SUMIFS('מאוחדת Raw'!$D$7:$D$625,'מאוחדת Raw'!$F$7:$F$625,$A66,'מאוחדת Raw'!$C$7:$C$625,2025)</f>
        <v>59</v>
      </c>
      <c r="D66" s="12" t="n">
        <f aca="false">SUMIFS('מאוחדת Raw'!$D$7:$D$625,'מאוחדת Raw'!$F$7:$F$625,$A66,'מאוחדת Raw'!$C$7:$C$625,2026)</f>
        <v>62</v>
      </c>
      <c r="E66" s="12" t="n">
        <f aca="false">D66*$J$5</f>
        <v>78.3157894736842</v>
      </c>
      <c r="F66" s="12" t="n">
        <f aca="false">E66-C66</f>
        <v>19.3157894736842</v>
      </c>
      <c r="G66" s="21" t="n">
        <f aca="false">IF(AND(C66=0,E66=0),0,IF(C66=0,"New",(E66-C66)/C66))</f>
        <v>0.327386262265834</v>
      </c>
      <c r="H66" s="12" t="n">
        <f aca="false">SUMIFS('מאוחדת Raw'!$E$7:$E$625,'מאוחדת Raw'!$F$7:$F$625,$A66,'מאוחדת Raw'!$C$7:$C$625,2025)</f>
        <v>3835</v>
      </c>
      <c r="I66" s="12" t="n">
        <f aca="false">SUMIFS('מאוחדת Raw'!$E$7:$E$625,'מאוחדת Raw'!$F$7:$F$625,$A66,'מאוחדת Raw'!$C$7:$C$625,2026)</f>
        <v>3948.8</v>
      </c>
      <c r="J66" s="12" t="n">
        <f aca="false">I66*$J$5</f>
        <v>4987.95789473684</v>
      </c>
      <c r="K66" s="12"/>
      <c r="L66" s="22"/>
    </row>
    <row r="67" customFormat="false" ht="15" hidden="false" customHeight="true" outlineLevel="0" collapsed="false">
      <c r="A67" s="12" t="n">
        <v>4408192</v>
      </c>
      <c r="B67" s="12" t="str">
        <f aca="false">IFERROR(INDEX('מאוחדת Raw'!$B:$B,MATCH($A67,'מאוחדת Raw'!$F:$F,0)),"")</f>
        <v>078 L חגורת גב +סגירה</v>
      </c>
      <c r="C67" s="12" t="n">
        <f aca="false">SUMIFS('מאוחדת Raw'!$D$7:$D$625,'מאוחדת Raw'!$F$7:$F$625,$A67,'מאוחדת Raw'!$C$7:$C$625,2025)</f>
        <v>139</v>
      </c>
      <c r="D67" s="12" t="n">
        <f aca="false">SUMIFS('מאוחדת Raw'!$D$7:$D$625,'מאוחדת Raw'!$F$7:$F$625,$A67,'מאוחדת Raw'!$C$7:$C$625,2026)</f>
        <v>129</v>
      </c>
      <c r="E67" s="12" t="n">
        <f aca="false">D67*$J$5</f>
        <v>162.947368421053</v>
      </c>
      <c r="F67" s="12" t="n">
        <f aca="false">E67-C67</f>
        <v>23.9473684210526</v>
      </c>
      <c r="G67" s="21" t="n">
        <f aca="false">IF(AND(C67=0,E67=0),0,IF(C67=0,"New",(E67-C67)/C67))</f>
        <v>0.172283226050738</v>
      </c>
      <c r="H67" s="12" t="n">
        <f aca="false">SUMIFS('מאוחדת Raw'!$E$7:$E$625,'מאוחדת Raw'!$F$7:$F$625,$A67,'מאוחדת Raw'!$C$7:$C$625,2025)</f>
        <v>9035</v>
      </c>
      <c r="I67" s="12" t="n">
        <f aca="false">SUMIFS('מאוחדת Raw'!$E$7:$E$625,'מאוחדת Raw'!$F$7:$F$625,$A67,'מאוחדת Raw'!$C$7:$C$625,2026)</f>
        <v>8141.3</v>
      </c>
      <c r="J67" s="12" t="n">
        <f aca="false">I67*$J$5</f>
        <v>10283.7473684211</v>
      </c>
      <c r="K67" s="12"/>
      <c r="L67" s="22"/>
    </row>
    <row r="68" customFormat="false" ht="15" hidden="false" customHeight="true" outlineLevel="0" collapsed="false">
      <c r="A68" s="12" t="n">
        <v>4408203</v>
      </c>
      <c r="B68" s="12" t="str">
        <f aca="false">IFERROR(INDEX('מאוחדת Raw'!$B:$B,MATCH($A68,'מאוחדת Raw'!$F:$F,0)),"")</f>
        <v>14 0 חגורה למנותחי בית חזה</v>
      </c>
      <c r="C68" s="12" t="n">
        <f aca="false">SUMIFS('מאוחדת Raw'!$D$7:$D$625,'מאוחדת Raw'!$F$7:$F$625,$A68,'מאוחדת Raw'!$C$7:$C$625,2025)</f>
        <v>0</v>
      </c>
      <c r="D68" s="12" t="n">
        <f aca="false">SUMIFS('מאוחדת Raw'!$D$7:$D$625,'מאוחדת Raw'!$F$7:$F$625,$A68,'מאוחדת Raw'!$C$7:$C$625,2026)</f>
        <v>5</v>
      </c>
      <c r="E68" s="12" t="n">
        <f aca="false">D68*$J$5</f>
        <v>6.31578947368421</v>
      </c>
      <c r="F68" s="12" t="n">
        <f aca="false">E68-C68</f>
        <v>6.31578947368421</v>
      </c>
      <c r="G68" s="21" t="str">
        <f aca="false">IF(AND(C68=0,E68=0),0,IF(C68=0,"New",(E68-C68)/C68))</f>
        <v>New</v>
      </c>
      <c r="H68" s="12" t="n">
        <f aca="false">SUMIFS('מאוחדת Raw'!$E$7:$E$625,'מאוחדת Raw'!$F$7:$F$625,$A68,'מאוחדת Raw'!$C$7:$C$625,2025)</f>
        <v>0</v>
      </c>
      <c r="I68" s="12" t="n">
        <f aca="false">SUMIFS('מאוחדת Raw'!$E$7:$E$625,'מאוחדת Raw'!$F$7:$F$625,$A68,'מאוחדת Raw'!$C$7:$C$625,2026)</f>
        <v>800</v>
      </c>
      <c r="J68" s="12" t="n">
        <f aca="false">I68*$J$5</f>
        <v>1010.52631578947</v>
      </c>
      <c r="K68" s="12"/>
      <c r="L68" s="22"/>
    </row>
    <row r="69" customFormat="false" ht="15" hidden="false" customHeight="true" outlineLevel="0" collapsed="false">
      <c r="A69" s="12" t="n">
        <v>4408217</v>
      </c>
      <c r="B69" s="12" t="str">
        <f aca="false">IFERROR(INDEX('מאוחדת Raw'!$B:$B,MATCH($A69,'מאוחדת Raw'!$F:$F,0)),"")</f>
        <v>S078 חגורת גב +סגירה כפולה</v>
      </c>
      <c r="C69" s="12" t="n">
        <f aca="false">SUMIFS('מאוחדת Raw'!$D$7:$D$625,'מאוחדת Raw'!$F$7:$F$625,$A69,'מאוחדת Raw'!$C$7:$C$625,2025)</f>
        <v>3</v>
      </c>
      <c r="D69" s="12" t="n">
        <f aca="false">SUMIFS('מאוחדת Raw'!$D$7:$D$625,'מאוחדת Raw'!$F$7:$F$625,$A69,'מאוחדת Raw'!$C$7:$C$625,2026)</f>
        <v>7</v>
      </c>
      <c r="E69" s="12" t="n">
        <f aca="false">D69*$J$5</f>
        <v>8.84210526315789</v>
      </c>
      <c r="F69" s="12" t="n">
        <f aca="false">E69-C69</f>
        <v>5.84210526315789</v>
      </c>
      <c r="G69" s="21" t="n">
        <f aca="false">IF(AND(C69=0,E69=0),0,IF(C69=0,"New",(E69-C69)/C69))</f>
        <v>1.94736842105263</v>
      </c>
      <c r="H69" s="12" t="n">
        <f aca="false">SUMIFS('מאוחדת Raw'!$E$7:$E$625,'מאוחדת Raw'!$F$7:$F$625,$A69,'מאוחדת Raw'!$C$7:$C$625,2025)</f>
        <v>195</v>
      </c>
      <c r="I69" s="12" t="n">
        <f aca="false">SUMIFS('מאוחדת Raw'!$E$7:$E$625,'מאוחדת Raw'!$F$7:$F$625,$A69,'מאוחדת Raw'!$C$7:$C$625,2026)</f>
        <v>455</v>
      </c>
      <c r="J69" s="12" t="n">
        <f aca="false">I69*$J$5</f>
        <v>574.736842105263</v>
      </c>
      <c r="K69" s="12"/>
      <c r="L69" s="22"/>
    </row>
    <row r="70" customFormat="false" ht="15" hidden="false" customHeight="true" outlineLevel="0" collapsed="false">
      <c r="A70" s="12" t="n">
        <v>4408218</v>
      </c>
      <c r="B70" s="12" t="str">
        <f aca="false">IFERROR(INDEX('מאוחדת Raw'!$B:$B,MATCH($A70,'מאוחדת Raw'!$F:$F,0)),"")</f>
        <v>078XL חגורת גב +סגירה כפולה</v>
      </c>
      <c r="C70" s="12" t="n">
        <f aca="false">SUMIFS('מאוחדת Raw'!$D$7:$D$625,'מאוחדת Raw'!$F$7:$F$625,$A70,'מאוחדת Raw'!$C$7:$C$625,2025)</f>
        <v>115</v>
      </c>
      <c r="D70" s="12" t="n">
        <f aca="false">SUMIFS('מאוחדת Raw'!$D$7:$D$625,'מאוחדת Raw'!$F$7:$F$625,$A70,'מאוחדת Raw'!$C$7:$C$625,2026)</f>
        <v>103</v>
      </c>
      <c r="E70" s="12" t="n">
        <f aca="false">D70*$J$5</f>
        <v>130.105263157895</v>
      </c>
      <c r="F70" s="12" t="n">
        <f aca="false">E70-C70</f>
        <v>15.1052631578947</v>
      </c>
      <c r="G70" s="21" t="n">
        <f aca="false">IF(AND(C70=0,E70=0),0,IF(C70=0,"New",(E70-C70)/C70))</f>
        <v>0.131350114416476</v>
      </c>
      <c r="H70" s="12" t="n">
        <f aca="false">SUMIFS('מאוחדת Raw'!$E$7:$E$625,'מאוחדת Raw'!$F$7:$F$625,$A70,'מאוחדת Raw'!$C$7:$C$625,2025)</f>
        <v>7475</v>
      </c>
      <c r="I70" s="12" t="n">
        <f aca="false">SUMIFS('מאוחדת Raw'!$E$7:$E$625,'מאוחדת Raw'!$F$7:$F$625,$A70,'מאוחדת Raw'!$C$7:$C$625,2026)</f>
        <v>6695</v>
      </c>
      <c r="J70" s="12" t="n">
        <f aca="false">I70*$J$5</f>
        <v>8456.84210526316</v>
      </c>
      <c r="K70" s="12"/>
      <c r="L70" s="22"/>
    </row>
    <row r="71" customFormat="false" ht="15" hidden="false" customHeight="true" outlineLevel="0" collapsed="false">
      <c r="A71" s="12" t="n">
        <v>4408219</v>
      </c>
      <c r="B71" s="12" t="str">
        <f aca="false">IFERROR(INDEX('מאוחדת Raw'!$B:$B,MATCH($A71,'מאוחדת Raw'!$F:$F,0)),"")</f>
        <v>078G-S חגורת גב אפורה</v>
      </c>
      <c r="C71" s="12" t="n">
        <f aca="false">SUMIFS('מאוחדת Raw'!$D$7:$D$625,'מאוחדת Raw'!$F$7:$F$625,$A71,'מאוחדת Raw'!$C$7:$C$625,2025)</f>
        <v>26</v>
      </c>
      <c r="D71" s="12" t="n">
        <f aca="false">SUMIFS('מאוחדת Raw'!$D$7:$D$625,'מאוחדת Raw'!$F$7:$F$625,$A71,'מאוחדת Raw'!$C$7:$C$625,2026)</f>
        <v>13</v>
      </c>
      <c r="E71" s="12" t="n">
        <f aca="false">D71*$J$5</f>
        <v>16.4210526315789</v>
      </c>
      <c r="F71" s="12" t="n">
        <f aca="false">E71-C71</f>
        <v>-9.57894736842106</v>
      </c>
      <c r="G71" s="21" t="n">
        <f aca="false">IF(AND(C71=0,E71=0),0,IF(C71=0,"New",(E71-C71)/C71))</f>
        <v>-0.368421052631579</v>
      </c>
      <c r="H71" s="12" t="n">
        <f aca="false">SUMIFS('מאוחדת Raw'!$E$7:$E$625,'מאוחדת Raw'!$F$7:$F$625,$A71,'מאוחדת Raw'!$C$7:$C$625,2025)</f>
        <v>1690</v>
      </c>
      <c r="I71" s="12" t="n">
        <f aca="false">SUMIFS('מאוחדת Raw'!$E$7:$E$625,'מאוחדת Raw'!$F$7:$F$625,$A71,'מאוחדת Raw'!$C$7:$C$625,2026)</f>
        <v>1027.36</v>
      </c>
      <c r="J71" s="12" t="n">
        <f aca="false">I71*$J$5</f>
        <v>1297.71789473684</v>
      </c>
      <c r="K71" s="12"/>
      <c r="L71" s="22"/>
    </row>
    <row r="72" customFormat="false" ht="15" hidden="false" customHeight="true" outlineLevel="0" collapsed="false">
      <c r="A72" s="12" t="n">
        <v>4408220</v>
      </c>
      <c r="B72" s="12" t="str">
        <f aca="false">IFERROR(INDEX('מאוחדת Raw'!$B:$B,MATCH($A72,'מאוחדת Raw'!$F:$F,0)),"")</f>
        <v>078G-M חגורת גב אפורה</v>
      </c>
      <c r="C72" s="12" t="n">
        <f aca="false">SUMIFS('מאוחדת Raw'!$D$7:$D$625,'מאוחדת Raw'!$F$7:$F$625,$A72,'מאוחדת Raw'!$C$7:$C$625,2025)</f>
        <v>150</v>
      </c>
      <c r="D72" s="12" t="n">
        <f aca="false">SUMIFS('מאוחדת Raw'!$D$7:$D$625,'מאוחדת Raw'!$F$7:$F$625,$A72,'מאוחדת Raw'!$C$7:$C$625,2026)</f>
        <v>55</v>
      </c>
      <c r="E72" s="12" t="n">
        <f aca="false">D72*$J$5</f>
        <v>69.4736842105263</v>
      </c>
      <c r="F72" s="12" t="n">
        <f aca="false">E72-C72</f>
        <v>-80.5263157894737</v>
      </c>
      <c r="G72" s="21" t="n">
        <f aca="false">IF(AND(C72=0,E72=0),0,IF(C72=0,"New",(E72-C72)/C72))</f>
        <v>-0.536842105263158</v>
      </c>
      <c r="H72" s="12" t="n">
        <f aca="false">SUMIFS('מאוחדת Raw'!$E$7:$E$625,'מאוחדת Raw'!$F$7:$F$625,$A72,'מאוחדת Raw'!$C$7:$C$625,2025)</f>
        <v>9750</v>
      </c>
      <c r="I72" s="12" t="n">
        <f aca="false">SUMIFS('מאוחדת Raw'!$E$7:$E$625,'מאוחדת Raw'!$F$7:$F$625,$A72,'מאוחדת Raw'!$C$7:$C$625,2026)</f>
        <v>3757.36</v>
      </c>
      <c r="J72" s="12" t="n">
        <f aca="false">I72*$J$5</f>
        <v>4746.13894736842</v>
      </c>
      <c r="K72" s="12"/>
      <c r="L72" s="22"/>
    </row>
    <row r="73" customFormat="false" ht="15" hidden="false" customHeight="true" outlineLevel="0" collapsed="false">
      <c r="A73" s="12" t="n">
        <v>4408221</v>
      </c>
      <c r="B73" s="12" t="str">
        <f aca="false">IFERROR(INDEX('מאוחדת Raw'!$B:$B,MATCH($A73,'מאוחדת Raw'!$F:$F,0)),"")</f>
        <v>078G-L חגורת גב אפורה</v>
      </c>
      <c r="C73" s="12" t="n">
        <f aca="false">SUMIFS('מאוחדת Raw'!$D$7:$D$625,'מאוחדת Raw'!$F$7:$F$625,$A73,'מאוחדת Raw'!$C$7:$C$625,2025)</f>
        <v>392</v>
      </c>
      <c r="D73" s="12" t="n">
        <f aca="false">SUMIFS('מאוחדת Raw'!$D$7:$D$625,'מאוחדת Raw'!$F$7:$F$625,$A73,'מאוחדת Raw'!$C$7:$C$625,2026)</f>
        <v>165</v>
      </c>
      <c r="E73" s="12" t="n">
        <f aca="false">D73*$J$5</f>
        <v>208.421052631579</v>
      </c>
      <c r="F73" s="12" t="n">
        <f aca="false">E73-C73</f>
        <v>-183.578947368421</v>
      </c>
      <c r="G73" s="21" t="n">
        <f aca="false">IF(AND(C73=0,E73=0),0,IF(C73=0,"New",(E73-C73)/C73))</f>
        <v>-0.468313641245972</v>
      </c>
      <c r="H73" s="12" t="n">
        <f aca="false">SUMIFS('מאוחדת Raw'!$E$7:$E$625,'מאוחדת Raw'!$F$7:$F$625,$A73,'מאוחדת Raw'!$C$7:$C$625,2025)</f>
        <v>25480</v>
      </c>
      <c r="I73" s="12" t="n">
        <f aca="false">SUMIFS('מאוחדת Raw'!$E$7:$E$625,'מאוחדת Raw'!$F$7:$F$625,$A73,'מאוחדת Raw'!$C$7:$C$625,2026)</f>
        <v>10907.36</v>
      </c>
      <c r="J73" s="12" t="n">
        <f aca="false">I73*$J$5</f>
        <v>13777.7178947368</v>
      </c>
      <c r="K73" s="12"/>
      <c r="L73" s="22"/>
    </row>
    <row r="74" customFormat="false" ht="15" hidden="false" customHeight="true" outlineLevel="0" collapsed="false">
      <c r="A74" s="12" t="n">
        <v>4408222</v>
      </c>
      <c r="B74" s="12" t="str">
        <f aca="false">IFERROR(INDEX('מאוחדת Raw'!$B:$B,MATCH($A74,'מאוחדת Raw'!$F:$F,0)),"")</f>
        <v>078G-XLחגורת גב אפורה</v>
      </c>
      <c r="C74" s="12" t="n">
        <f aca="false">SUMIFS('מאוחדת Raw'!$D$7:$D$625,'מאוחדת Raw'!$F$7:$F$625,$A74,'מאוחדת Raw'!$C$7:$C$625,2025)</f>
        <v>279</v>
      </c>
      <c r="D74" s="12" t="n">
        <f aca="false">SUMIFS('מאוחדת Raw'!$D$7:$D$625,'מאוחדת Raw'!$F$7:$F$625,$A74,'מאוחדת Raw'!$C$7:$C$625,2026)</f>
        <v>108</v>
      </c>
      <c r="E74" s="12" t="n">
        <f aca="false">D74*$J$5</f>
        <v>136.421052631579</v>
      </c>
      <c r="F74" s="12" t="n">
        <f aca="false">E74-C74</f>
        <v>-142.578947368421</v>
      </c>
      <c r="G74" s="21" t="n">
        <f aca="false">IF(AND(C74=0,E74=0),0,IF(C74=0,"New",(E74-C74)/C74))</f>
        <v>-0.511035653650255</v>
      </c>
      <c r="H74" s="12" t="n">
        <f aca="false">SUMIFS('מאוחדת Raw'!$E$7:$E$625,'מאוחדת Raw'!$F$7:$F$625,$A74,'מאוחדת Raw'!$C$7:$C$625,2025)</f>
        <v>18135</v>
      </c>
      <c r="I74" s="12" t="n">
        <f aca="false">SUMIFS('מאוחדת Raw'!$E$7:$E$625,'מאוחדת Raw'!$F$7:$F$625,$A74,'מאוחדת Raw'!$C$7:$C$625,2026)</f>
        <v>7202.36</v>
      </c>
      <c r="J74" s="12" t="n">
        <f aca="false">I74*$J$5</f>
        <v>9097.71789473684</v>
      </c>
      <c r="K74" s="12"/>
      <c r="L74" s="22"/>
    </row>
    <row r="75" customFormat="false" ht="15" hidden="false" customHeight="true" outlineLevel="0" collapsed="false">
      <c r="A75" s="12" t="n">
        <v>4408223</v>
      </c>
      <c r="B75" s="12" t="str">
        <f aca="false">IFERROR(INDEX('מאוחדת Raw'!$B:$B,MATCH($A75,'מאוחדת Raw'!$F:$F,0)),"")</f>
        <v>078G-XXLחגורת גב אפורה</v>
      </c>
      <c r="C75" s="12" t="n">
        <f aca="false">SUMIFS('מאוחדת Raw'!$D$7:$D$625,'מאוחדת Raw'!$F$7:$F$625,$A75,'מאוחדת Raw'!$C$7:$C$625,2025)</f>
        <v>145</v>
      </c>
      <c r="D75" s="12" t="n">
        <f aca="false">SUMIFS('מאוחדת Raw'!$D$7:$D$625,'מאוחדת Raw'!$F$7:$F$625,$A75,'מאוחדת Raw'!$C$7:$C$625,2026)</f>
        <v>68</v>
      </c>
      <c r="E75" s="12" t="n">
        <f aca="false">D75*$J$5</f>
        <v>85.8947368421053</v>
      </c>
      <c r="F75" s="12" t="n">
        <f aca="false">E75-C75</f>
        <v>-59.1052631578947</v>
      </c>
      <c r="G75" s="21" t="n">
        <f aca="false">IF(AND(C75=0,E75=0),0,IF(C75=0,"New",(E75-C75)/C75))</f>
        <v>-0.407622504537205</v>
      </c>
      <c r="H75" s="12" t="n">
        <f aca="false">SUMIFS('מאוחדת Raw'!$E$7:$E$625,'מאוחדת Raw'!$F$7:$F$625,$A75,'מאוחדת Raw'!$C$7:$C$625,2025)</f>
        <v>9425</v>
      </c>
      <c r="I75" s="12" t="n">
        <f aca="false">SUMIFS('מאוחדת Raw'!$E$7:$E$625,'מאוחדת Raw'!$F$7:$F$625,$A75,'מאוחדת Raw'!$C$7:$C$625,2026)</f>
        <v>4602.36</v>
      </c>
      <c r="J75" s="12" t="n">
        <f aca="false">I75*$J$5</f>
        <v>5813.50736842105</v>
      </c>
      <c r="K75" s="12"/>
      <c r="L75" s="22"/>
    </row>
    <row r="76" customFormat="false" ht="15" hidden="false" customHeight="true" outlineLevel="0" collapsed="false">
      <c r="A76" s="12" t="n">
        <v>4408230</v>
      </c>
      <c r="B76" s="12" t="str">
        <f aca="false">IFERROR(INDEX('מאוחדת Raw'!$B:$B,MATCH($A76,'מאוחדת Raw'!$F:$F,0)),"")</f>
        <v>16 L-XL חגורת הריון</v>
      </c>
      <c r="C76" s="12" t="n">
        <f aca="false">SUMIFS('מאוחדת Raw'!$D$7:$D$625,'מאוחדת Raw'!$F$7:$F$625,$A76,'מאוחדת Raw'!$C$7:$C$625,2025)</f>
        <v>70</v>
      </c>
      <c r="D76" s="12" t="n">
        <f aca="false">SUMIFS('מאוחדת Raw'!$D$7:$D$625,'מאוחדת Raw'!$F$7:$F$625,$A76,'מאוחדת Raw'!$C$7:$C$625,2026)</f>
        <v>57</v>
      </c>
      <c r="E76" s="12" t="n">
        <f aca="false">D76*$J$5</f>
        <v>72</v>
      </c>
      <c r="F76" s="12" t="n">
        <f aca="false">E76-C76</f>
        <v>2</v>
      </c>
      <c r="G76" s="21" t="n">
        <f aca="false">IF(AND(C76=0,E76=0),0,IF(C76=0,"New",(E76-C76)/C76))</f>
        <v>0.0285714285714286</v>
      </c>
      <c r="H76" s="12" t="n">
        <f aca="false">SUMIFS('מאוחדת Raw'!$E$7:$E$625,'מאוחדת Raw'!$F$7:$F$625,$A76,'מאוחדת Raw'!$C$7:$C$625,2025)</f>
        <v>5446</v>
      </c>
      <c r="I76" s="12" t="n">
        <f aca="false">SUMIFS('מאוחדת Raw'!$E$7:$E$625,'מאוחדת Raw'!$F$7:$F$625,$A76,'מאוחדת Raw'!$C$7:$C$625,2026)</f>
        <v>4434.6</v>
      </c>
      <c r="J76" s="12" t="n">
        <f aca="false">I76*$J$5</f>
        <v>5601.6</v>
      </c>
      <c r="K76" s="12"/>
      <c r="L76" s="22"/>
    </row>
    <row r="77" customFormat="false" ht="15" hidden="false" customHeight="true" outlineLevel="0" collapsed="false">
      <c r="A77" s="12" t="n">
        <v>4408231</v>
      </c>
      <c r="B77" s="12" t="str">
        <f aca="false">IFERROR(INDEX('מאוחדת Raw'!$B:$B,MATCH($A77,'מאוחדת Raw'!$F:$F,0)),"")</f>
        <v>16 S-M חגורת הריון</v>
      </c>
      <c r="C77" s="12" t="n">
        <f aca="false">SUMIFS('מאוחדת Raw'!$D$7:$D$625,'מאוחדת Raw'!$F$7:$F$625,$A77,'מאוחדת Raw'!$C$7:$C$625,2025)</f>
        <v>49</v>
      </c>
      <c r="D77" s="12" t="n">
        <f aca="false">SUMIFS('מאוחדת Raw'!$D$7:$D$625,'מאוחדת Raw'!$F$7:$F$625,$A77,'מאוחדת Raw'!$C$7:$C$625,2026)</f>
        <v>31</v>
      </c>
      <c r="E77" s="12" t="n">
        <f aca="false">D77*$J$5</f>
        <v>39.1578947368421</v>
      </c>
      <c r="F77" s="12" t="n">
        <f aca="false">E77-C77</f>
        <v>-9.8421052631579</v>
      </c>
      <c r="G77" s="21" t="n">
        <f aca="false">IF(AND(C77=0,E77=0),0,IF(C77=0,"New",(E77-C77)/C77))</f>
        <v>-0.200859291084855</v>
      </c>
      <c r="H77" s="12" t="n">
        <f aca="false">SUMIFS('מאוחדת Raw'!$E$7:$E$625,'מאוחדת Raw'!$F$7:$F$625,$A77,'מאוחדת Raw'!$C$7:$C$625,2025)</f>
        <v>3812.2</v>
      </c>
      <c r="I77" s="12" t="n">
        <f aca="false">SUMIFS('מאוחדת Raw'!$E$7:$E$625,'מאוחדת Raw'!$F$7:$F$625,$A77,'מאוחדת Raw'!$C$7:$C$625,2026)</f>
        <v>2411.8</v>
      </c>
      <c r="J77" s="12" t="n">
        <f aca="false">I77*$J$5</f>
        <v>3046.48421052632</v>
      </c>
      <c r="K77" s="12"/>
      <c r="L77" s="22"/>
    </row>
    <row r="78" customFormat="false" ht="15" hidden="false" customHeight="true" outlineLevel="0" collapsed="false">
      <c r="A78" s="12" t="n">
        <v>4408232</v>
      </c>
      <c r="B78" s="12" t="str">
        <f aca="false">IFERROR(INDEX('מאוחדת Raw'!$B:$B,MATCH($A78,'מאוחדת Raw'!$F:$F,0)),"")</f>
        <v>16 XXL חגורת הריון</v>
      </c>
      <c r="C78" s="12" t="n">
        <f aca="false">SUMIFS('מאוחדת Raw'!$D$7:$D$625,'מאוחדת Raw'!$F$7:$F$625,$A78,'מאוחדת Raw'!$C$7:$C$625,2025)</f>
        <v>24</v>
      </c>
      <c r="D78" s="12" t="n">
        <f aca="false">SUMIFS('מאוחדת Raw'!$D$7:$D$625,'מאוחדת Raw'!$F$7:$F$625,$A78,'מאוחדת Raw'!$C$7:$C$625,2026)</f>
        <v>11</v>
      </c>
      <c r="E78" s="12" t="n">
        <f aca="false">D78*$J$5</f>
        <v>13.8947368421053</v>
      </c>
      <c r="F78" s="12" t="n">
        <f aca="false">E78-C78</f>
        <v>-10.1052631578947</v>
      </c>
      <c r="G78" s="21" t="n">
        <f aca="false">IF(AND(C78=0,E78=0),0,IF(C78=0,"New",(E78-C78)/C78))</f>
        <v>-0.421052631578947</v>
      </c>
      <c r="H78" s="12" t="n">
        <f aca="false">SUMIFS('מאוחדת Raw'!$E$7:$E$625,'מאוחדת Raw'!$F$7:$F$625,$A78,'מאוחדת Raw'!$C$7:$C$625,2025)</f>
        <v>1867.2</v>
      </c>
      <c r="I78" s="12" t="n">
        <f aca="false">SUMIFS('מאוחדת Raw'!$E$7:$E$625,'מאוחדת Raw'!$F$7:$F$625,$A78,'מאוחדת Raw'!$C$7:$C$625,2026)</f>
        <v>855.8</v>
      </c>
      <c r="J78" s="12" t="n">
        <f aca="false">I78*$J$5</f>
        <v>1081.01052631579</v>
      </c>
      <c r="K78" s="12"/>
      <c r="L78" s="22"/>
    </row>
    <row r="79" customFormat="false" ht="15" hidden="false" customHeight="true" outlineLevel="0" collapsed="false">
      <c r="A79" s="12" t="n">
        <v>4408259</v>
      </c>
      <c r="B79" s="12" t="str">
        <f aca="false">IFERROR(INDEX('מאוחדת Raw'!$B:$B,MATCH($A79,'מאוחדת Raw'!$F:$F,0)),"")</f>
        <v>11STO S חגורה אחרי ניתוח</v>
      </c>
      <c r="C79" s="12" t="n">
        <f aca="false">SUMIFS('מאוחדת Raw'!$D$7:$D$625,'מאוחדת Raw'!$F$7:$F$625,$A79,'מאוחדת Raw'!$C$7:$C$625,2025)</f>
        <v>1</v>
      </c>
      <c r="D79" s="12" t="n">
        <f aca="false">SUMIFS('מאוחדת Raw'!$D$7:$D$625,'מאוחדת Raw'!$F$7:$F$625,$A79,'מאוחדת Raw'!$C$7:$C$625,2026)</f>
        <v>2</v>
      </c>
      <c r="E79" s="12" t="n">
        <f aca="false">D79*$J$5</f>
        <v>2.52631578947368</v>
      </c>
      <c r="F79" s="12" t="n">
        <f aca="false">E79-C79</f>
        <v>1.52631578947368</v>
      </c>
      <c r="G79" s="21" t="n">
        <f aca="false">IF(AND(C79=0,E79=0),0,IF(C79=0,"New",(E79-C79)/C79))</f>
        <v>1.52631578947368</v>
      </c>
      <c r="H79" s="12" t="n">
        <f aca="false">SUMIFS('מאוחדת Raw'!$E$7:$E$625,'מאוחדת Raw'!$F$7:$F$625,$A79,'מאוחדת Raw'!$C$7:$C$625,2025)</f>
        <v>113.58</v>
      </c>
      <c r="I79" s="12" t="n">
        <f aca="false">SUMIFS('מאוחדת Raw'!$E$7:$E$625,'מאוחדת Raw'!$F$7:$F$625,$A79,'מאוחדת Raw'!$C$7:$C$625,2026)</f>
        <v>227.2</v>
      </c>
      <c r="J79" s="12" t="n">
        <f aca="false">I79*$J$5</f>
        <v>286.989473684211</v>
      </c>
      <c r="K79" s="12"/>
      <c r="L79" s="22"/>
    </row>
    <row r="80" customFormat="false" ht="15" hidden="false" customHeight="true" outlineLevel="0" collapsed="false">
      <c r="A80" s="12" t="n">
        <v>4408260</v>
      </c>
      <c r="B80" s="12" t="str">
        <f aca="false">IFERROR(INDEX('מאוחדת Raw'!$B:$B,MATCH($A80,'מאוחדת Raw'!$F:$F,0)),"")</f>
        <v>11STO M חגורה אחרי ניתוח</v>
      </c>
      <c r="C80" s="12" t="n">
        <f aca="false">SUMIFS('מאוחדת Raw'!$D$7:$D$625,'מאוחדת Raw'!$F$7:$F$625,$A80,'מאוחדת Raw'!$C$7:$C$625,2025)</f>
        <v>3</v>
      </c>
      <c r="D80" s="12" t="n">
        <f aca="false">SUMIFS('מאוחדת Raw'!$D$7:$D$625,'מאוחדת Raw'!$F$7:$F$625,$A80,'מאוחדת Raw'!$C$7:$C$625,2026)</f>
        <v>0</v>
      </c>
      <c r="E80" s="12" t="n">
        <f aca="false">D80*$J$5</f>
        <v>0</v>
      </c>
      <c r="F80" s="12" t="n">
        <f aca="false">E80-C80</f>
        <v>-3</v>
      </c>
      <c r="G80" s="21" t="n">
        <f aca="false">IF(AND(C80=0,E80=0),0,IF(C80=0,"New",(E80-C80)/C80))</f>
        <v>-1</v>
      </c>
      <c r="H80" s="12" t="n">
        <f aca="false">SUMIFS('מאוחדת Raw'!$E$7:$E$625,'מאוחדת Raw'!$F$7:$F$625,$A80,'מאוחדת Raw'!$C$7:$C$625,2025)</f>
        <v>340.74</v>
      </c>
      <c r="I80" s="12" t="n">
        <f aca="false">SUMIFS('מאוחדת Raw'!$E$7:$E$625,'מאוחדת Raw'!$F$7:$F$625,$A80,'מאוחדת Raw'!$C$7:$C$625,2026)</f>
        <v>0.019999999999996</v>
      </c>
      <c r="J80" s="12" t="n">
        <f aca="false">I80*$J$5</f>
        <v>0.0252631578947318</v>
      </c>
      <c r="K80" s="12"/>
      <c r="L80" s="22"/>
    </row>
    <row r="81" customFormat="false" ht="15" hidden="false" customHeight="true" outlineLevel="0" collapsed="false">
      <c r="A81" s="12" t="n">
        <v>4408261</v>
      </c>
      <c r="B81" s="12" t="str">
        <f aca="false">IFERROR(INDEX('מאוחדת Raw'!$B:$B,MATCH($A81,'מאוחדת Raw'!$F:$F,0)),"")</f>
        <v>11STO L חגורה אחרי ניתוח</v>
      </c>
      <c r="C81" s="12" t="n">
        <f aca="false">SUMIFS('מאוחדת Raw'!$D$7:$D$625,'מאוחדת Raw'!$F$7:$F$625,$A81,'מאוחדת Raw'!$C$7:$C$625,2025)</f>
        <v>8</v>
      </c>
      <c r="D81" s="12" t="n">
        <f aca="false">SUMIFS('מאוחדת Raw'!$D$7:$D$625,'מאוחדת Raw'!$F$7:$F$625,$A81,'מאוחדת Raw'!$C$7:$C$625,2026)</f>
        <v>3</v>
      </c>
      <c r="E81" s="12" t="n">
        <f aca="false">D81*$J$5</f>
        <v>3.78947368421053</v>
      </c>
      <c r="F81" s="12" t="n">
        <f aca="false">E81-C81</f>
        <v>-4.21052631578947</v>
      </c>
      <c r="G81" s="21" t="n">
        <f aca="false">IF(AND(C81=0,E81=0),0,IF(C81=0,"New",(E81-C81)/C81))</f>
        <v>-0.526315789473684</v>
      </c>
      <c r="H81" s="12" t="n">
        <f aca="false">SUMIFS('מאוחדת Raw'!$E$7:$E$625,'מאוחדת Raw'!$F$7:$F$625,$A81,'מאוחדת Raw'!$C$7:$C$625,2025)</f>
        <v>908.64</v>
      </c>
      <c r="I81" s="12" t="n">
        <f aca="false">SUMIFS('מאוחדת Raw'!$E$7:$E$625,'מאוחדת Raw'!$F$7:$F$625,$A81,'מאוחדת Raw'!$C$7:$C$625,2026)</f>
        <v>340.76</v>
      </c>
      <c r="J81" s="12" t="n">
        <f aca="false">I81*$J$5</f>
        <v>430.433684210526</v>
      </c>
      <c r="K81" s="12"/>
      <c r="L81" s="22"/>
    </row>
    <row r="82" customFormat="false" ht="15" hidden="false" customHeight="true" outlineLevel="0" collapsed="false">
      <c r="A82" s="12" t="n">
        <v>4408262</v>
      </c>
      <c r="B82" s="12" t="str">
        <f aca="false">IFERROR(INDEX('מאוחדת Raw'!$B:$B,MATCH($A82,'מאוחדת Raw'!$F:$F,0)),"")</f>
        <v>11STO XL  חגורה אחרי ניתוח</v>
      </c>
      <c r="C82" s="12" t="n">
        <f aca="false">SUMIFS('מאוחדת Raw'!$D$7:$D$625,'מאוחדת Raw'!$F$7:$F$625,$A82,'מאוחדת Raw'!$C$7:$C$625,2025)</f>
        <v>7</v>
      </c>
      <c r="D82" s="12" t="n">
        <f aca="false">SUMIFS('מאוחדת Raw'!$D$7:$D$625,'מאוחדת Raw'!$F$7:$F$625,$A82,'מאוחדת Raw'!$C$7:$C$625,2026)</f>
        <v>4</v>
      </c>
      <c r="E82" s="12" t="n">
        <f aca="false">D82*$J$5</f>
        <v>5.05263157894737</v>
      </c>
      <c r="F82" s="12" t="n">
        <f aca="false">E82-C82</f>
        <v>-1.94736842105263</v>
      </c>
      <c r="G82" s="21" t="n">
        <f aca="false">IF(AND(C82=0,E82=0),0,IF(C82=0,"New",(E82-C82)/C82))</f>
        <v>-0.278195488721805</v>
      </c>
      <c r="H82" s="12" t="n">
        <f aca="false">SUMIFS('מאוחדת Raw'!$E$7:$E$625,'מאוחדת Raw'!$F$7:$F$625,$A82,'מאוחדת Raw'!$C$7:$C$625,2025)</f>
        <v>795.06</v>
      </c>
      <c r="I82" s="12" t="n">
        <f aca="false">SUMIFS('מאוחדת Raw'!$E$7:$E$625,'מאוחדת Raw'!$F$7:$F$625,$A82,'מאוחדת Raw'!$C$7:$C$625,2026)</f>
        <v>454.3</v>
      </c>
      <c r="J82" s="12" t="n">
        <f aca="false">I82*$J$5</f>
        <v>573.852631578947</v>
      </c>
      <c r="K82" s="12"/>
      <c r="L82" s="22"/>
    </row>
    <row r="83" customFormat="false" ht="15" hidden="false" customHeight="true" outlineLevel="0" collapsed="false">
      <c r="A83" s="12" t="n">
        <v>4408263</v>
      </c>
      <c r="B83" s="12" t="str">
        <f aca="false">IFERROR(INDEX('מאוחדת Raw'!$B:$B,MATCH($A83,'מאוחדת Raw'!$F:$F,0)),"")</f>
        <v>11STO XXL חגורה אחרי ניתוח</v>
      </c>
      <c r="C83" s="12" t="n">
        <f aca="false">SUMIFS('מאוחדת Raw'!$D$7:$D$625,'מאוחדת Raw'!$F$7:$F$625,$A83,'מאוחדת Raw'!$C$7:$C$625,2025)</f>
        <v>7</v>
      </c>
      <c r="D83" s="12" t="n">
        <f aca="false">SUMIFS('מאוחדת Raw'!$D$7:$D$625,'מאוחדת Raw'!$F$7:$F$625,$A83,'מאוחדת Raw'!$C$7:$C$625,2026)</f>
        <v>1</v>
      </c>
      <c r="E83" s="12" t="n">
        <f aca="false">D83*$J$5</f>
        <v>1.26315789473684</v>
      </c>
      <c r="F83" s="12" t="n">
        <f aca="false">E83-C83</f>
        <v>-5.73684210526316</v>
      </c>
      <c r="G83" s="21" t="n">
        <f aca="false">IF(AND(C83=0,E83=0),0,IF(C83=0,"New",(E83-C83)/C83))</f>
        <v>-0.819548872180451</v>
      </c>
      <c r="H83" s="12" t="n">
        <f aca="false">SUMIFS('מאוחדת Raw'!$E$7:$E$625,'מאוחדת Raw'!$F$7:$F$625,$A83,'מאוחדת Raw'!$C$7:$C$625,2025)</f>
        <v>795.06</v>
      </c>
      <c r="I83" s="12" t="n">
        <f aca="false">SUMIFS('מאוחדת Raw'!$E$7:$E$625,'מאוחדת Raw'!$F$7:$F$625,$A83,'מאוחדת Raw'!$C$7:$C$625,2026)</f>
        <v>113.6</v>
      </c>
      <c r="J83" s="12" t="n">
        <f aca="false">I83*$J$5</f>
        <v>143.494736842105</v>
      </c>
      <c r="K83" s="12"/>
      <c r="L83" s="22"/>
    </row>
    <row r="84" customFormat="false" ht="15" hidden="false" customHeight="true" outlineLevel="0" collapsed="false">
      <c r="A84" s="12" t="n">
        <v>4408267</v>
      </c>
      <c r="B84" s="12" t="str">
        <f aca="false">IFERROR(INDEX('מאוחדת Raw'!$B:$B,MATCH($A84,'מאוחדת Raw'!$F:$F,0)),"")</f>
        <v>ST25 חבק שורש לכף היד</v>
      </c>
      <c r="C84" s="12" t="n">
        <f aca="false">SUMIFS('מאוחדת Raw'!$D$7:$D$625,'מאוחדת Raw'!$F$7:$F$625,$A84,'מאוחדת Raw'!$C$7:$C$625,2025)</f>
        <v>474</v>
      </c>
      <c r="D84" s="12" t="n">
        <f aca="false">SUMIFS('מאוחדת Raw'!$D$7:$D$625,'מאוחדת Raw'!$F$7:$F$625,$A84,'מאוחדת Raw'!$C$7:$C$625,2026)</f>
        <v>548</v>
      </c>
      <c r="E84" s="12" t="n">
        <f aca="false">D84*$J$5</f>
        <v>692.21052631579</v>
      </c>
      <c r="F84" s="12" t="n">
        <f aca="false">E84-C84</f>
        <v>218.210526315789</v>
      </c>
      <c r="G84" s="21" t="n">
        <f aca="false">IF(AND(C84=0,E84=0),0,IF(C84=0,"New",(E84-C84)/C84))</f>
        <v>0.460359760159893</v>
      </c>
      <c r="H84" s="12" t="n">
        <f aca="false">SUMIFS('מאוחדת Raw'!$E$7:$E$625,'מאוחדת Raw'!$F$7:$F$625,$A84,'מאוחדת Raw'!$C$7:$C$625,2025)</f>
        <v>8769</v>
      </c>
      <c r="I84" s="12" t="n">
        <f aca="false">SUMIFS('מאוחדת Raw'!$E$7:$E$625,'מאוחדת Raw'!$F$7:$F$625,$A84,'מאוחדת Raw'!$C$7:$C$625,2026)</f>
        <v>9828.1</v>
      </c>
      <c r="J84" s="12" t="n">
        <f aca="false">I84*$J$5</f>
        <v>12414.4421052632</v>
      </c>
      <c r="K84" s="12"/>
      <c r="L84" s="22"/>
    </row>
    <row r="85" customFormat="false" ht="15" hidden="false" customHeight="true" outlineLevel="0" collapsed="false">
      <c r="A85" s="12" t="n">
        <v>4408268</v>
      </c>
      <c r="B85" s="12" t="str">
        <f aca="false">IFERROR(INDEX('מאוחדת Raw'!$B:$B,MATCH($A85,'מאוחדת Raw'!$F:$F,0)),"")</f>
        <v>ST20 חבק יד</v>
      </c>
      <c r="C85" s="12" t="n">
        <f aca="false">SUMIFS('מאוחדת Raw'!$D$7:$D$625,'מאוחדת Raw'!$F$7:$F$625,$A85,'מאוחדת Raw'!$C$7:$C$625,2025)</f>
        <v>172</v>
      </c>
      <c r="D85" s="12" t="n">
        <f aca="false">SUMIFS('מאוחדת Raw'!$D$7:$D$625,'מאוחדת Raw'!$F$7:$F$625,$A85,'מאוחדת Raw'!$C$7:$C$625,2026)</f>
        <v>116</v>
      </c>
      <c r="E85" s="12" t="n">
        <f aca="false">D85*$J$5</f>
        <v>146.526315789474</v>
      </c>
      <c r="F85" s="12" t="n">
        <f aca="false">E85-C85</f>
        <v>-25.4736842105263</v>
      </c>
      <c r="G85" s="21" t="n">
        <f aca="false">IF(AND(C85=0,E85=0),0,IF(C85=0,"New",(E85-C85)/C85))</f>
        <v>-0.148102815177479</v>
      </c>
      <c r="H85" s="12" t="n">
        <f aca="false">SUMIFS('מאוחדת Raw'!$E$7:$E$625,'מאוחדת Raw'!$F$7:$F$625,$A85,'מאוחדת Raw'!$C$7:$C$625,2025)</f>
        <v>2855.2</v>
      </c>
      <c r="I85" s="12" t="n">
        <f aca="false">SUMIFS('מאוחדת Raw'!$E$7:$E$625,'מאוחדת Raw'!$F$7:$F$625,$A85,'מאוחדת Raw'!$C$7:$C$625,2026)</f>
        <v>1863.4</v>
      </c>
      <c r="J85" s="12" t="n">
        <f aca="false">I85*$J$5</f>
        <v>2353.76842105263</v>
      </c>
      <c r="K85" s="12"/>
      <c r="L85" s="22"/>
    </row>
    <row r="86" customFormat="false" ht="15" hidden="false" customHeight="true" outlineLevel="0" collapsed="false">
      <c r="A86" s="12" t="n">
        <v>4408269</v>
      </c>
      <c r="B86" s="12" t="str">
        <f aca="false">IFERROR(INDEX('מאוחדת Raw'!$B:$B,MATCH($A86,'מאוחדת Raw'!$F:$F,0)),"")</f>
        <v>ST37 חבק לקרסול</v>
      </c>
      <c r="C86" s="12" t="n">
        <f aca="false">SUMIFS('מאוחדת Raw'!$D$7:$D$625,'מאוחדת Raw'!$F$7:$F$625,$A86,'מאוחדת Raw'!$C$7:$C$625,2025)</f>
        <v>177</v>
      </c>
      <c r="D86" s="12" t="n">
        <f aca="false">SUMIFS('מאוחדת Raw'!$D$7:$D$625,'מאוחדת Raw'!$F$7:$F$625,$A86,'מאוחדת Raw'!$C$7:$C$625,2026)</f>
        <v>170</v>
      </c>
      <c r="E86" s="12" t="n">
        <f aca="false">D86*$J$5</f>
        <v>214.736842105263</v>
      </c>
      <c r="F86" s="12" t="n">
        <f aca="false">E86-C86</f>
        <v>37.7368421052632</v>
      </c>
      <c r="G86" s="21" t="n">
        <f aca="false">IF(AND(C86=0,E86=0),0,IF(C86=0,"New",(E86-C86)/C86))</f>
        <v>0.213202497769848</v>
      </c>
      <c r="H86" s="12" t="n">
        <f aca="false">SUMIFS('מאוחדת Raw'!$E$7:$E$625,'מאוחדת Raw'!$F$7:$F$625,$A86,'מאוחדת Raw'!$C$7:$C$625,2025)</f>
        <v>3717</v>
      </c>
      <c r="I86" s="12" t="n">
        <f aca="false">SUMIFS('מאוחדת Raw'!$E$7:$E$625,'מאוחדת Raw'!$F$7:$F$625,$A86,'מאוחדת Raw'!$C$7:$C$625,2026)</f>
        <v>3522.8</v>
      </c>
      <c r="J86" s="12" t="n">
        <f aca="false">I86*$J$5</f>
        <v>4449.85263157895</v>
      </c>
      <c r="K86" s="12"/>
      <c r="L86" s="22"/>
    </row>
    <row r="87" customFormat="false" ht="15" hidden="false" customHeight="true" outlineLevel="0" collapsed="false">
      <c r="A87" s="12" t="n">
        <v>4408270</v>
      </c>
      <c r="B87" s="12" t="str">
        <f aca="false">IFERROR(INDEX('מאוחדת Raw'!$B:$B,MATCH($A87,'מאוחדת Raw'!$F:$F,0)),"")</f>
        <v>ST11  חגורת בטן</v>
      </c>
      <c r="C87" s="12" t="n">
        <f aca="false">SUMIFS('מאוחדת Raw'!$D$7:$D$625,'מאוחדת Raw'!$F$7:$F$625,$A87,'מאוחדת Raw'!$C$7:$C$625,2025)</f>
        <v>58</v>
      </c>
      <c r="D87" s="12" t="n">
        <f aca="false">SUMIFS('מאוחדת Raw'!$D$7:$D$625,'מאוחדת Raw'!$F$7:$F$625,$A87,'מאוחדת Raw'!$C$7:$C$625,2026)</f>
        <v>11</v>
      </c>
      <c r="E87" s="12" t="n">
        <f aca="false">D87*$J$5</f>
        <v>13.8947368421053</v>
      </c>
      <c r="F87" s="12" t="n">
        <f aca="false">E87-C87</f>
        <v>-44.1052631578947</v>
      </c>
      <c r="G87" s="21" t="n">
        <f aca="false">IF(AND(C87=0,E87=0),0,IF(C87=0,"New",(E87-C87)/C87))</f>
        <v>-0.76043557168784</v>
      </c>
      <c r="H87" s="12" t="n">
        <f aca="false">SUMIFS('מאוחדת Raw'!$E$7:$E$625,'מאוחדת Raw'!$F$7:$F$625,$A87,'מאוחדת Raw'!$C$7:$C$625,2025)</f>
        <v>2088</v>
      </c>
      <c r="I87" s="12" t="n">
        <f aca="false">SUMIFS('מאוחדת Raw'!$E$7:$E$625,'מאוחדת Raw'!$F$7:$F$625,$A87,'מאוחדת Raw'!$C$7:$C$625,2026)</f>
        <v>477.36</v>
      </c>
      <c r="J87" s="12" t="n">
        <f aca="false">I87*$J$5</f>
        <v>602.981052631579</v>
      </c>
      <c r="K87" s="12"/>
      <c r="L87" s="22"/>
    </row>
    <row r="88" customFormat="false" ht="15" hidden="false" customHeight="true" outlineLevel="0" collapsed="false">
      <c r="A88" s="12" t="n">
        <v>4408271</v>
      </c>
      <c r="B88" s="12" t="str">
        <f aca="false">IFERROR(INDEX('מאוחדת Raw'!$B:$B,MATCH($A88,'מאוחדת Raw'!$F:$F,0)),"")</f>
        <v>70N XS חגורת פאבליק</v>
      </c>
      <c r="C88" s="12" t="n">
        <f aca="false">SUMIFS('מאוחדת Raw'!$D$7:$D$625,'מאוחדת Raw'!$F$7:$F$625,$A88,'מאוחדת Raw'!$C$7:$C$625,2025)</f>
        <v>0</v>
      </c>
      <c r="D88" s="12" t="n">
        <f aca="false">SUMIFS('מאוחדת Raw'!$D$7:$D$625,'מאוחדת Raw'!$F$7:$F$625,$A88,'מאוחדת Raw'!$C$7:$C$625,2026)</f>
        <v>8</v>
      </c>
      <c r="E88" s="12" t="n">
        <f aca="false">D88*$J$5</f>
        <v>10.1052631578947</v>
      </c>
      <c r="F88" s="12" t="n">
        <f aca="false">E88-C88</f>
        <v>10.1052631578947</v>
      </c>
      <c r="G88" s="21" t="str">
        <f aca="false">IF(AND(C88=0,E88=0),0,IF(C88=0,"New",(E88-C88)/C88))</f>
        <v>New</v>
      </c>
      <c r="H88" s="12" t="n">
        <f aca="false">SUMIFS('מאוחדת Raw'!$E$7:$E$625,'מאוחדת Raw'!$F$7:$F$625,$A88,'מאוחדת Raw'!$C$7:$C$625,2025)</f>
        <v>0</v>
      </c>
      <c r="I88" s="12" t="n">
        <f aca="false">SUMIFS('מאוחדת Raw'!$E$7:$E$625,'מאוחדת Raw'!$F$7:$F$625,$A88,'מאוחדת Raw'!$C$7:$C$625,2026)</f>
        <v>1672</v>
      </c>
      <c r="J88" s="12" t="n">
        <f aca="false">I88*$J$5</f>
        <v>2112</v>
      </c>
      <c r="K88" s="12"/>
      <c r="L88" s="22"/>
    </row>
    <row r="89" customFormat="false" ht="15" hidden="false" customHeight="true" outlineLevel="0" collapsed="false">
      <c r="A89" s="12" t="n">
        <v>4408272</v>
      </c>
      <c r="B89" s="12" t="str">
        <f aca="false">IFERROR(INDEX('מאוחדת Raw'!$B:$B,MATCH($A89,'מאוחדת Raw'!$F:$F,0)),"")</f>
        <v>70N S חגורת פאבליק</v>
      </c>
      <c r="C89" s="12" t="n">
        <f aca="false">SUMIFS('מאוחדת Raw'!$D$7:$D$625,'מאוחדת Raw'!$F$7:$F$625,$A89,'מאוחדת Raw'!$C$7:$C$625,2025)</f>
        <v>0</v>
      </c>
      <c r="D89" s="12" t="n">
        <f aca="false">SUMIFS('מאוחדת Raw'!$D$7:$D$625,'מאוחדת Raw'!$F$7:$F$625,$A89,'מאוחדת Raw'!$C$7:$C$625,2026)</f>
        <v>2</v>
      </c>
      <c r="E89" s="12" t="n">
        <f aca="false">D89*$J$5</f>
        <v>2.52631578947368</v>
      </c>
      <c r="F89" s="12" t="n">
        <f aca="false">E89-C89</f>
        <v>2.52631578947368</v>
      </c>
      <c r="G89" s="21" t="str">
        <f aca="false">IF(AND(C89=0,E89=0),0,IF(C89=0,"New",(E89-C89)/C89))</f>
        <v>New</v>
      </c>
      <c r="H89" s="12" t="n">
        <f aca="false">SUMIFS('מאוחדת Raw'!$E$7:$E$625,'מאוחדת Raw'!$F$7:$F$625,$A89,'מאוחדת Raw'!$C$7:$C$625,2025)</f>
        <v>0</v>
      </c>
      <c r="I89" s="12" t="n">
        <f aca="false">SUMIFS('מאוחדת Raw'!$E$7:$E$625,'מאוחדת Raw'!$F$7:$F$625,$A89,'מאוחדת Raw'!$C$7:$C$625,2026)</f>
        <v>431</v>
      </c>
      <c r="J89" s="12" t="n">
        <f aca="false">I89*$J$5</f>
        <v>544.421052631579</v>
      </c>
      <c r="K89" s="12"/>
      <c r="L89" s="22"/>
    </row>
    <row r="90" customFormat="false" ht="15" hidden="false" customHeight="true" outlineLevel="0" collapsed="false">
      <c r="A90" s="12" t="n">
        <v>4408273</v>
      </c>
      <c r="B90" s="12" t="str">
        <f aca="false">IFERROR(INDEX('מאוחדת Raw'!$B:$B,MATCH($A90,'מאוחדת Raw'!$F:$F,0)),"")</f>
        <v>70N M חגורת פאבליק</v>
      </c>
      <c r="C90" s="12" t="n">
        <f aca="false">SUMIFS('מאוחדת Raw'!$D$7:$D$625,'מאוחדת Raw'!$F$7:$F$625,$A90,'מאוחדת Raw'!$C$7:$C$625,2025)</f>
        <v>0</v>
      </c>
      <c r="D90" s="12" t="n">
        <f aca="false">SUMIFS('מאוחדת Raw'!$D$7:$D$625,'מאוחדת Raw'!$F$7:$F$625,$A90,'מאוחדת Raw'!$C$7:$C$625,2026)</f>
        <v>1</v>
      </c>
      <c r="E90" s="12" t="n">
        <f aca="false">D90*$J$5</f>
        <v>1.26315789473684</v>
      </c>
      <c r="F90" s="12" t="n">
        <f aca="false">E90-C90</f>
        <v>1.26315789473684</v>
      </c>
      <c r="G90" s="21" t="str">
        <f aca="false">IF(AND(C90=0,E90=0),0,IF(C90=0,"New",(E90-C90)/C90))</f>
        <v>New</v>
      </c>
      <c r="H90" s="12" t="n">
        <f aca="false">SUMIFS('מאוחדת Raw'!$E$7:$E$625,'מאוחדת Raw'!$F$7:$F$625,$A90,'מאוחדת Raw'!$C$7:$C$625,2025)</f>
        <v>0</v>
      </c>
      <c r="I90" s="12" t="n">
        <f aca="false">SUMIFS('מאוחדת Raw'!$E$7:$E$625,'מאוחדת Raw'!$F$7:$F$625,$A90,'מאוחדת Raw'!$C$7:$C$625,2026)</f>
        <v>222</v>
      </c>
      <c r="J90" s="12" t="n">
        <f aca="false">I90*$J$5</f>
        <v>280.421052631579</v>
      </c>
      <c r="K90" s="12"/>
      <c r="L90" s="22"/>
    </row>
    <row r="91" customFormat="false" ht="15" hidden="false" customHeight="true" outlineLevel="0" collapsed="false">
      <c r="A91" s="12" t="n">
        <v>4408274</v>
      </c>
      <c r="B91" s="12" t="str">
        <f aca="false">IFERROR(INDEX('מאוחדת Raw'!$B:$B,MATCH($A91,'מאוחדת Raw'!$F:$F,0)),"")</f>
        <v>70N L חגורת פאבליק</v>
      </c>
      <c r="C91" s="12" t="n">
        <f aca="false">SUMIFS('מאוחדת Raw'!$D$7:$D$625,'מאוחדת Raw'!$F$7:$F$625,$A91,'מאוחדת Raw'!$C$7:$C$625,2025)</f>
        <v>0</v>
      </c>
      <c r="D91" s="12" t="n">
        <f aca="false">SUMIFS('מאוחדת Raw'!$D$7:$D$625,'מאוחדת Raw'!$F$7:$F$625,$A91,'מאוחדת Raw'!$C$7:$C$625,2026)</f>
        <v>1</v>
      </c>
      <c r="E91" s="12" t="n">
        <f aca="false">D91*$J$5</f>
        <v>1.26315789473684</v>
      </c>
      <c r="F91" s="12" t="n">
        <f aca="false">E91-C91</f>
        <v>1.26315789473684</v>
      </c>
      <c r="G91" s="21" t="str">
        <f aca="false">IF(AND(C91=0,E91=0),0,IF(C91=0,"New",(E91-C91)/C91))</f>
        <v>New</v>
      </c>
      <c r="H91" s="12" t="n">
        <f aca="false">SUMIFS('מאוחדת Raw'!$E$7:$E$625,'מאוחדת Raw'!$F$7:$F$625,$A91,'מאוחדת Raw'!$C$7:$C$625,2025)</f>
        <v>0</v>
      </c>
      <c r="I91" s="12" t="n">
        <f aca="false">SUMIFS('מאוחדת Raw'!$E$7:$E$625,'מאוחדת Raw'!$F$7:$F$625,$A91,'מאוחדת Raw'!$C$7:$C$625,2026)</f>
        <v>222</v>
      </c>
      <c r="J91" s="12" t="n">
        <f aca="false">I91*$J$5</f>
        <v>280.421052631579</v>
      </c>
      <c r="K91" s="12"/>
      <c r="L91" s="22"/>
    </row>
    <row r="92" customFormat="false" ht="15" hidden="false" customHeight="true" outlineLevel="0" collapsed="false">
      <c r="A92" s="12" t="n">
        <v>4409000</v>
      </c>
      <c r="B92" s="12" t="str">
        <f aca="false">IFERROR(INDEX('מאוחדת Raw'!$B:$B,MATCH($A92,'מאוחדת Raw'!$F:$F,0)),"")</f>
        <v>365 S-Lטבעת אלסטית מסיליקון</v>
      </c>
      <c r="C92" s="12" t="n">
        <f aca="false">SUMIFS('מאוחדת Raw'!$D$7:$D$625,'מאוחדת Raw'!$F$7:$F$625,$A92,'מאוחדת Raw'!$C$7:$C$625,2025)</f>
        <v>335</v>
      </c>
      <c r="D92" s="12" t="n">
        <f aca="false">SUMIFS('מאוחדת Raw'!$D$7:$D$625,'מאוחדת Raw'!$F$7:$F$625,$A92,'מאוחדת Raw'!$C$7:$C$625,2026)</f>
        <v>254</v>
      </c>
      <c r="E92" s="12" t="n">
        <f aca="false">D92*$J$5</f>
        <v>320.842105263158</v>
      </c>
      <c r="F92" s="12" t="n">
        <f aca="false">E92-C92</f>
        <v>-14.1578947368421</v>
      </c>
      <c r="G92" s="21" t="n">
        <f aca="false">IF(AND(C92=0,E92=0),0,IF(C92=0,"New",(E92-C92)/C92))</f>
        <v>-0.0422623723487825</v>
      </c>
      <c r="H92" s="12" t="n">
        <f aca="false">SUMIFS('מאוחדת Raw'!$E$7:$E$625,'מאוחדת Raw'!$F$7:$F$625,$A92,'מאוחדת Raw'!$C$7:$C$625,2025)</f>
        <v>3252.85</v>
      </c>
      <c r="I92" s="12" t="n">
        <f aca="false">SUMIFS('מאוחדת Raw'!$E$7:$E$625,'מאוחדת Raw'!$F$7:$F$625,$A92,'מאוחדת Raw'!$C$7:$C$625,2026)</f>
        <v>2376.46</v>
      </c>
      <c r="J92" s="12" t="n">
        <f aca="false">I92*$J$5</f>
        <v>3001.84421052632</v>
      </c>
      <c r="K92" s="12"/>
      <c r="L92" s="22"/>
    </row>
    <row r="93" customFormat="false" ht="15" hidden="false" customHeight="true" outlineLevel="0" collapsed="false">
      <c r="A93" s="12" t="n">
        <v>4409001</v>
      </c>
      <c r="B93" s="12" t="str">
        <f aca="false">IFERROR(INDEX('מאוחדת Raw'!$B:$B,MATCH($A93,'מאוחדת Raw'!$F:$F,0)),"")</f>
        <v>365  X-Lטבעת אלסטית מסיליקון</v>
      </c>
      <c r="C93" s="12" t="n">
        <f aca="false">SUMIFS('מאוחדת Raw'!$D$7:$D$625,'מאוחדת Raw'!$F$7:$F$625,$A93,'מאוחדת Raw'!$C$7:$C$625,2025)</f>
        <v>158</v>
      </c>
      <c r="D93" s="12" t="n">
        <f aca="false">SUMIFS('מאוחדת Raw'!$D$7:$D$625,'מאוחדת Raw'!$F$7:$F$625,$A93,'מאוחדת Raw'!$C$7:$C$625,2026)</f>
        <v>89</v>
      </c>
      <c r="E93" s="12" t="n">
        <f aca="false">D93*$J$5</f>
        <v>112.421052631579</v>
      </c>
      <c r="F93" s="12" t="n">
        <f aca="false">E93-C93</f>
        <v>-45.5789473684211</v>
      </c>
      <c r="G93" s="21" t="n">
        <f aca="false">IF(AND(C93=0,E93=0),0,IF(C93=0,"New",(E93-C93)/C93))</f>
        <v>-0.288474350433045</v>
      </c>
      <c r="H93" s="12" t="n">
        <f aca="false">SUMIFS('מאוחדת Raw'!$E$7:$E$625,'מאוחדת Raw'!$F$7:$F$625,$A93,'מאוחדת Raw'!$C$7:$C$625,2025)</f>
        <v>1276.64</v>
      </c>
      <c r="I93" s="12" t="n">
        <f aca="false">SUMIFS('מאוחדת Raw'!$E$7:$E$625,'מאוחדת Raw'!$F$7:$F$625,$A93,'מאוחדת Raw'!$C$7:$C$625,2026)</f>
        <v>709.04</v>
      </c>
      <c r="J93" s="12" t="n">
        <f aca="false">I93*$J$5</f>
        <v>895.62947368421</v>
      </c>
      <c r="K93" s="12"/>
      <c r="L93" s="22"/>
    </row>
    <row r="94" customFormat="false" ht="15" hidden="false" customHeight="true" outlineLevel="0" collapsed="false">
      <c r="A94" s="12" t="n">
        <v>4409004</v>
      </c>
      <c r="B94" s="12" t="str">
        <f aca="false">IFERROR(INDEX('מאוחדת Raw'!$B:$B,MATCH($A94,'מאוחדת Raw'!$F:$F,0)),"")</f>
        <v>FC335 טלק מעושר באלוורה</v>
      </c>
      <c r="C94" s="12" t="n">
        <f aca="false">SUMIFS('מאוחדת Raw'!$D$7:$D$625,'מאוחדת Raw'!$F$7:$F$625,$A94,'מאוחדת Raw'!$C$7:$C$625,2025)</f>
        <v>1180</v>
      </c>
      <c r="D94" s="12" t="n">
        <f aca="false">SUMIFS('מאוחדת Raw'!$D$7:$D$625,'מאוחדת Raw'!$F$7:$F$625,$A94,'מאוחדת Raw'!$C$7:$C$625,2026)</f>
        <v>468</v>
      </c>
      <c r="E94" s="12" t="n">
        <f aca="false">D94*$J$5</f>
        <v>591.157894736842</v>
      </c>
      <c r="F94" s="12" t="n">
        <f aca="false">E94-C94</f>
        <v>-588.842105263158</v>
      </c>
      <c r="G94" s="21" t="n">
        <f aca="false">IF(AND(C94=0,E94=0),0,IF(C94=0,"New",(E94-C94)/C94))</f>
        <v>-0.499018733273863</v>
      </c>
      <c r="H94" s="12" t="n">
        <f aca="false">SUMIFS('מאוחדת Raw'!$E$7:$E$625,'מאוחדת Raw'!$F$7:$F$625,$A94,'מאוחדת Raw'!$C$7:$C$625,2025)</f>
        <v>15812</v>
      </c>
      <c r="I94" s="12" t="n">
        <f aca="false">SUMIFS('מאוחדת Raw'!$E$7:$E$625,'מאוחדת Raw'!$F$7:$F$625,$A94,'מאוחדת Raw'!$C$7:$C$625,2026)</f>
        <v>6107.1</v>
      </c>
      <c r="J94" s="12" t="n">
        <f aca="false">I94*$J$5</f>
        <v>7714.23157894737</v>
      </c>
      <c r="K94" s="12"/>
      <c r="L94" s="22"/>
    </row>
    <row r="95" customFormat="false" ht="15" hidden="false" customHeight="true" outlineLevel="0" collapsed="false">
      <c r="A95" s="12" t="n">
        <v>4409014</v>
      </c>
      <c r="B95" s="12" t="str">
        <f aca="false">IFERROR(INDEX('מאוחדת Raw'!$B:$B,MATCH($A95,'מאוחדת Raw'!$F:$F,0)),"")</f>
        <v>808KT-P        טייפ קינזיולוגי</v>
      </c>
      <c r="C95" s="12" t="n">
        <f aca="false">SUMIFS('מאוחדת Raw'!$D$7:$D$625,'מאוחדת Raw'!$F$7:$F$625,$A95,'מאוחדת Raw'!$C$7:$C$625,2025)</f>
        <v>92</v>
      </c>
      <c r="D95" s="12" t="n">
        <f aca="false">SUMIFS('מאוחדת Raw'!$D$7:$D$625,'מאוחדת Raw'!$F$7:$F$625,$A95,'מאוחדת Raw'!$C$7:$C$625,2026)</f>
        <v>61</v>
      </c>
      <c r="E95" s="12" t="n">
        <f aca="false">D95*$J$5</f>
        <v>77.0526315789474</v>
      </c>
      <c r="F95" s="12" t="n">
        <f aca="false">E95-C95</f>
        <v>-14.9473684210526</v>
      </c>
      <c r="G95" s="21" t="n">
        <f aca="false">IF(AND(C95=0,E95=0),0,IF(C95=0,"New",(E95-C95)/C95))</f>
        <v>-0.162471395881007</v>
      </c>
      <c r="H95" s="12" t="n">
        <f aca="false">SUMIFS('מאוחדת Raw'!$E$7:$E$625,'מאוחדת Raw'!$F$7:$F$625,$A95,'מאוחדת Raw'!$C$7:$C$625,2025)</f>
        <v>2300</v>
      </c>
      <c r="I95" s="12" t="n">
        <f aca="false">SUMIFS('מאוחדת Raw'!$E$7:$E$625,'מאוחדת Raw'!$F$7:$F$625,$A95,'מאוחדת Raw'!$C$7:$C$625,2026)</f>
        <v>1525</v>
      </c>
      <c r="J95" s="12" t="n">
        <f aca="false">I95*$J$5</f>
        <v>1926.31578947368</v>
      </c>
      <c r="K95" s="12"/>
      <c r="L95" s="22"/>
    </row>
    <row r="96" customFormat="false" ht="15" hidden="false" customHeight="true" outlineLevel="0" collapsed="false">
      <c r="A96" s="12" t="n">
        <v>4409015</v>
      </c>
      <c r="B96" s="12" t="str">
        <f aca="false">IFERROR(INDEX('מאוחדת Raw'!$B:$B,MATCH($A96,'מאוחדת Raw'!$F:$F,0)),"")</f>
        <v>808KT-BL       טייפ קינזיולוגי</v>
      </c>
      <c r="C96" s="12" t="n">
        <f aca="false">SUMIFS('מאוחדת Raw'!$D$7:$D$625,'מאוחדת Raw'!$F$7:$F$625,$A96,'מאוחדת Raw'!$C$7:$C$625,2025)</f>
        <v>111</v>
      </c>
      <c r="D96" s="12" t="n">
        <f aca="false">SUMIFS('מאוחדת Raw'!$D$7:$D$625,'מאוחדת Raw'!$F$7:$F$625,$A96,'מאוחדת Raw'!$C$7:$C$625,2026)</f>
        <v>78</v>
      </c>
      <c r="E96" s="12" t="n">
        <f aca="false">D96*$J$5</f>
        <v>98.5263157894737</v>
      </c>
      <c r="F96" s="12" t="n">
        <f aca="false">E96-C96</f>
        <v>-12.4736842105263</v>
      </c>
      <c r="G96" s="21" t="n">
        <f aca="false">IF(AND(C96=0,E96=0),0,IF(C96=0,"New",(E96-C96)/C96))</f>
        <v>-0.112375533428165</v>
      </c>
      <c r="H96" s="12" t="n">
        <f aca="false">SUMIFS('מאוחדת Raw'!$E$7:$E$625,'מאוחדת Raw'!$F$7:$F$625,$A96,'מאוחדת Raw'!$C$7:$C$625,2025)</f>
        <v>2775</v>
      </c>
      <c r="I96" s="12" t="n">
        <f aca="false">SUMIFS('מאוחדת Raw'!$E$7:$E$625,'מאוחדת Raw'!$F$7:$F$625,$A96,'מאוחדת Raw'!$C$7:$C$625,2026)</f>
        <v>1950</v>
      </c>
      <c r="J96" s="12" t="n">
        <f aca="false">I96*$J$5</f>
        <v>2463.15789473684</v>
      </c>
      <c r="K96" s="12"/>
      <c r="L96" s="22"/>
    </row>
    <row r="97" customFormat="false" ht="15" hidden="false" customHeight="true" outlineLevel="0" collapsed="false">
      <c r="A97" s="12" t="n">
        <v>4409016</v>
      </c>
      <c r="B97" s="12" t="str">
        <f aca="false">IFERROR(INDEX('מאוחדת Raw'!$B:$B,MATCH($A97,'מאוחדת Raw'!$F:$F,0)),"")</f>
        <v>808KT-C        טייפ קינזיולוגי</v>
      </c>
      <c r="C97" s="12" t="n">
        <f aca="false">SUMIFS('מאוחדת Raw'!$D$7:$D$625,'מאוחדת Raw'!$F$7:$F$625,$A97,'מאוחדת Raw'!$C$7:$C$625,2025)</f>
        <v>104</v>
      </c>
      <c r="D97" s="12" t="n">
        <f aca="false">SUMIFS('מאוחדת Raw'!$D$7:$D$625,'מאוחדת Raw'!$F$7:$F$625,$A97,'מאוחדת Raw'!$C$7:$C$625,2026)</f>
        <v>98</v>
      </c>
      <c r="E97" s="12" t="n">
        <f aca="false">D97*$J$5</f>
        <v>123.789473684211</v>
      </c>
      <c r="F97" s="12" t="n">
        <f aca="false">E97-C97</f>
        <v>19.7894736842105</v>
      </c>
      <c r="G97" s="21" t="n">
        <f aca="false">IF(AND(C97=0,E97=0),0,IF(C97=0,"New",(E97-C97)/C97))</f>
        <v>0.190283400809717</v>
      </c>
      <c r="H97" s="12" t="n">
        <f aca="false">SUMIFS('מאוחדת Raw'!$E$7:$E$625,'מאוחדת Raw'!$F$7:$F$625,$A97,'מאוחדת Raw'!$C$7:$C$625,2025)</f>
        <v>2600</v>
      </c>
      <c r="I97" s="12" t="n">
        <f aca="false">SUMIFS('מאוחדת Raw'!$E$7:$E$625,'מאוחדת Raw'!$F$7:$F$625,$A97,'מאוחדת Raw'!$C$7:$C$625,2026)</f>
        <v>2450</v>
      </c>
      <c r="J97" s="12" t="n">
        <f aca="false">I97*$J$5</f>
        <v>3094.73684210526</v>
      </c>
      <c r="K97" s="12"/>
      <c r="L97" s="22"/>
    </row>
    <row r="98" customFormat="false" ht="15" hidden="false" customHeight="true" outlineLevel="0" collapsed="false">
      <c r="A98" s="12" t="n">
        <v>4409017</v>
      </c>
      <c r="B98" s="12" t="str">
        <f aca="false">IFERROR(INDEX('מאוחדת Raw'!$B:$B,MATCH($A98,'מאוחדת Raw'!$F:$F,0)),"")</f>
        <v>808KT-B        טייפ קינזיולוגי</v>
      </c>
      <c r="C98" s="12" t="n">
        <f aca="false">SUMIFS('מאוחדת Raw'!$D$7:$D$625,'מאוחדת Raw'!$F$7:$F$625,$A98,'מאוחדת Raw'!$C$7:$C$625,2025)</f>
        <v>84</v>
      </c>
      <c r="D98" s="12" t="n">
        <f aca="false">SUMIFS('מאוחדת Raw'!$D$7:$D$625,'מאוחדת Raw'!$F$7:$F$625,$A98,'מאוחדת Raw'!$C$7:$C$625,2026)</f>
        <v>92</v>
      </c>
      <c r="E98" s="12" t="n">
        <f aca="false">D98*$J$5</f>
        <v>116.210526315789</v>
      </c>
      <c r="F98" s="12" t="n">
        <f aca="false">E98-C98</f>
        <v>32.2105263157895</v>
      </c>
      <c r="G98" s="21" t="n">
        <f aca="false">IF(AND(C98=0,E98=0),0,IF(C98=0,"New",(E98-C98)/C98))</f>
        <v>0.383458646616541</v>
      </c>
      <c r="H98" s="12" t="n">
        <f aca="false">SUMIFS('מאוחדת Raw'!$E$7:$E$625,'מאוחדת Raw'!$F$7:$F$625,$A98,'מאוחדת Raw'!$C$7:$C$625,2025)</f>
        <v>2100</v>
      </c>
      <c r="I98" s="12" t="n">
        <f aca="false">SUMIFS('מאוחדת Raw'!$E$7:$E$625,'מאוחדת Raw'!$F$7:$F$625,$A98,'מאוחדת Raw'!$C$7:$C$625,2026)</f>
        <v>2300</v>
      </c>
      <c r="J98" s="12" t="n">
        <f aca="false">I98*$J$5</f>
        <v>2905.26315789474</v>
      </c>
      <c r="K98" s="12"/>
      <c r="L98" s="22"/>
    </row>
    <row r="99" customFormat="false" ht="15" hidden="false" customHeight="true" outlineLevel="0" collapsed="false">
      <c r="A99" s="12" t="n">
        <v>4411000</v>
      </c>
      <c r="B99" s="12" t="str">
        <f aca="false">IFERROR(INDEX('מאוחדת Raw'!$B:$B,MATCH($A99,'מאוחדת Raw'!$F:$F,0)),"")</f>
        <v>כרית מטטרזלי סיליקון362</v>
      </c>
      <c r="C99" s="12" t="n">
        <f aca="false">SUMIFS('מאוחדת Raw'!$D$7:$D$625,'מאוחדת Raw'!$F$7:$F$625,$A99,'מאוחדת Raw'!$C$7:$C$625,2025)</f>
        <v>188</v>
      </c>
      <c r="D99" s="12" t="n">
        <f aca="false">SUMIFS('מאוחדת Raw'!$D$7:$D$625,'מאוחדת Raw'!$F$7:$F$625,$A99,'מאוחדת Raw'!$C$7:$C$625,2026)</f>
        <v>117</v>
      </c>
      <c r="E99" s="12" t="n">
        <f aca="false">D99*$J$5</f>
        <v>147.789473684211</v>
      </c>
      <c r="F99" s="12" t="n">
        <f aca="false">E99-C99</f>
        <v>-40.2105263157895</v>
      </c>
      <c r="G99" s="21" t="n">
        <f aca="false">IF(AND(C99=0,E99=0),0,IF(C99=0,"New",(E99-C99)/C99))</f>
        <v>-0.213885778275476</v>
      </c>
      <c r="H99" s="12" t="n">
        <f aca="false">SUMIFS('מאוחדת Raw'!$E$7:$E$625,'מאוחדת Raw'!$F$7:$F$625,$A99,'מאוחדת Raw'!$C$7:$C$625,2025)</f>
        <v>3468.6</v>
      </c>
      <c r="I99" s="12" t="n">
        <f aca="false">SUMIFS('מאוחדת Raw'!$E$7:$E$625,'מאוחדת Raw'!$F$7:$F$625,$A99,'מאוחדת Raw'!$C$7:$C$625,2026)</f>
        <v>2057.15</v>
      </c>
      <c r="J99" s="12" t="n">
        <f aca="false">I99*$J$5</f>
        <v>2598.50526315789</v>
      </c>
      <c r="K99" s="12"/>
      <c r="L99" s="22"/>
    </row>
    <row r="100" customFormat="false" ht="15" hidden="false" customHeight="true" outlineLevel="0" collapsed="false">
      <c r="A100" s="12" t="n">
        <v>4411001</v>
      </c>
      <c r="B100" s="12" t="str">
        <f aca="false">IFERROR(INDEX('מאוחדת Raw'!$B:$B,MATCH($A100,'מאוחדת Raw'!$F:$F,0)),"")</f>
        <v>3623 כרית ליישור אצבע פטיש</v>
      </c>
      <c r="C100" s="12" t="n">
        <f aca="false">SUMIFS('מאוחדת Raw'!$D$7:$D$625,'מאוחדת Raw'!$F$7:$F$625,$A100,'מאוחדת Raw'!$C$7:$C$625,2025)</f>
        <v>136</v>
      </c>
      <c r="D100" s="12" t="n">
        <f aca="false">SUMIFS('מאוחדת Raw'!$D$7:$D$625,'מאוחדת Raw'!$F$7:$F$625,$A100,'מאוחדת Raw'!$C$7:$C$625,2026)</f>
        <v>118</v>
      </c>
      <c r="E100" s="12" t="n">
        <f aca="false">D100*$J$5</f>
        <v>149.052631578947</v>
      </c>
      <c r="F100" s="12" t="n">
        <f aca="false">E100-C100</f>
        <v>13.0526315789474</v>
      </c>
      <c r="G100" s="21" t="n">
        <f aca="false">IF(AND(C100=0,E100=0),0,IF(C100=0,"New",(E100-C100)/C100))</f>
        <v>0.0959752321981424</v>
      </c>
      <c r="H100" s="12" t="n">
        <f aca="false">SUMIFS('מאוחדת Raw'!$E$7:$E$625,'מאוחדת Raw'!$F$7:$F$625,$A100,'מאוחדת Raw'!$C$7:$C$625,2025)</f>
        <v>2709.12</v>
      </c>
      <c r="I100" s="12" t="n">
        <f aca="false">SUMIFS('מאוחדת Raw'!$E$7:$E$625,'מאוחדת Raw'!$F$7:$F$625,$A100,'מאוחדת Raw'!$C$7:$C$625,2026)</f>
        <v>2310.72</v>
      </c>
      <c r="J100" s="12" t="n">
        <f aca="false">I100*$J$5</f>
        <v>2918.80421052632</v>
      </c>
      <c r="K100" s="12"/>
      <c r="L100" s="22"/>
    </row>
    <row r="101" customFormat="false" ht="15" hidden="false" customHeight="true" outlineLevel="0" collapsed="false">
      <c r="A101" s="12" t="n">
        <v>4411015</v>
      </c>
      <c r="B101" s="12" t="str">
        <f aca="false">IFERROR(INDEX('מאוחדת Raw'!$B:$B,MATCH($A101,'מאוחדת Raw'!$F:$F,0)),"")</f>
        <v>820 0 כרית חום וקור</v>
      </c>
      <c r="C101" s="12" t="n">
        <f aca="false">SUMIFS('מאוחדת Raw'!$D$7:$D$625,'מאוחדת Raw'!$F$7:$F$625,$A101,'מאוחדת Raw'!$C$7:$C$625,2025)</f>
        <v>76</v>
      </c>
      <c r="D101" s="12" t="n">
        <f aca="false">SUMIFS('מאוחדת Raw'!$D$7:$D$625,'מאוחדת Raw'!$F$7:$F$625,$A101,'מאוחדת Raw'!$C$7:$C$625,2026)</f>
        <v>38</v>
      </c>
      <c r="E101" s="12" t="n">
        <f aca="false">D101*$J$5</f>
        <v>48</v>
      </c>
      <c r="F101" s="12" t="n">
        <f aca="false">E101-C101</f>
        <v>-28</v>
      </c>
      <c r="G101" s="21" t="n">
        <f aca="false">IF(AND(C101=0,E101=0),0,IF(C101=0,"New",(E101-C101)/C101))</f>
        <v>-0.368421052631579</v>
      </c>
      <c r="H101" s="12" t="n">
        <f aca="false">SUMIFS('מאוחדת Raw'!$E$7:$E$625,'מאוחדת Raw'!$F$7:$F$625,$A101,'מאוחדת Raw'!$C$7:$C$625,2025)</f>
        <v>2464.68</v>
      </c>
      <c r="I101" s="12" t="n">
        <f aca="false">SUMIFS('מאוחדת Raw'!$E$7:$E$625,'מאוחדת Raw'!$F$7:$F$625,$A101,'מאוחדת Raw'!$C$7:$C$625,2026)</f>
        <v>1232.3</v>
      </c>
      <c r="J101" s="12" t="n">
        <f aca="false">I101*$J$5</f>
        <v>1556.58947368421</v>
      </c>
      <c r="K101" s="12"/>
      <c r="L101" s="22"/>
    </row>
    <row r="102" customFormat="false" ht="15" hidden="false" customHeight="true" outlineLevel="0" collapsed="false">
      <c r="A102" s="12" t="n">
        <v>4411016</v>
      </c>
      <c r="B102" s="12" t="str">
        <f aca="false">IFERROR(INDEX('מאוחדת Raw'!$B:$B,MATCH($A102,'מאוחדת Raw'!$F:$F,0)),"")</f>
        <v>307 XL כרית סיליקון לעקב</v>
      </c>
      <c r="C102" s="12" t="n">
        <f aca="false">SUMIFS('מאוחדת Raw'!$D$7:$D$625,'מאוחדת Raw'!$F$7:$F$625,$A102,'מאוחדת Raw'!$C$7:$C$625,2025)</f>
        <v>135</v>
      </c>
      <c r="D102" s="12" t="n">
        <f aca="false">SUMIFS('מאוחדת Raw'!$D$7:$D$625,'מאוחדת Raw'!$F$7:$F$625,$A102,'מאוחדת Raw'!$C$7:$C$625,2026)</f>
        <v>70</v>
      </c>
      <c r="E102" s="12" t="n">
        <f aca="false">D102*$J$5</f>
        <v>88.421052631579</v>
      </c>
      <c r="F102" s="12" t="n">
        <f aca="false">E102-C102</f>
        <v>-46.5789473684211</v>
      </c>
      <c r="G102" s="21" t="n">
        <f aca="false">IF(AND(C102=0,E102=0),0,IF(C102=0,"New",(E102-C102)/C102))</f>
        <v>-0.345029239766082</v>
      </c>
      <c r="H102" s="12" t="n">
        <f aca="false">SUMIFS('מאוחדת Raw'!$E$7:$E$625,'מאוחדת Raw'!$F$7:$F$625,$A102,'מאוחדת Raw'!$C$7:$C$625,2025)</f>
        <v>8541.45</v>
      </c>
      <c r="I102" s="12" t="n">
        <f aca="false">SUMIFS('מאוחדת Raw'!$E$7:$E$625,'מאוחדת Raw'!$F$7:$F$625,$A102,'מאוחדת Raw'!$C$7:$C$625,2026)</f>
        <v>4548.52</v>
      </c>
      <c r="J102" s="12" t="n">
        <f aca="false">I102*$J$5</f>
        <v>5745.49894736842</v>
      </c>
      <c r="K102" s="12"/>
      <c r="L102" s="22"/>
    </row>
    <row r="103" customFormat="false" ht="15" hidden="false" customHeight="true" outlineLevel="0" collapsed="false">
      <c r="A103" s="12" t="n">
        <v>4411026</v>
      </c>
      <c r="B103" s="12" t="str">
        <f aca="false">IFERROR(INDEX('מאוחדת Raw'!$B:$B,MATCH($A103,'מאוחדת Raw'!$F:$F,0)),"")</f>
        <v>213CTSL L שמאל CTS כפפות</v>
      </c>
      <c r="C103" s="12" t="n">
        <f aca="false">SUMIFS('מאוחדת Raw'!$D$7:$D$625,'מאוחדת Raw'!$F$7:$F$625,$A103,'מאוחדת Raw'!$C$7:$C$625,2025)</f>
        <v>0</v>
      </c>
      <c r="D103" s="12" t="n">
        <f aca="false">SUMIFS('מאוחדת Raw'!$D$7:$D$625,'מאוחדת Raw'!$F$7:$F$625,$A103,'מאוחדת Raw'!$C$7:$C$625,2026)</f>
        <v>6</v>
      </c>
      <c r="E103" s="12" t="n">
        <f aca="false">D103*$J$5</f>
        <v>7.57894736842105</v>
      </c>
      <c r="F103" s="12" t="n">
        <f aca="false">E103-C103</f>
        <v>7.57894736842105</v>
      </c>
      <c r="G103" s="21" t="str">
        <f aca="false">IF(AND(C103=0,E103=0),0,IF(C103=0,"New",(E103-C103)/C103))</f>
        <v>New</v>
      </c>
      <c r="H103" s="12" t="n">
        <f aca="false">SUMIFS('מאוחדת Raw'!$E$7:$E$625,'מאוחדת Raw'!$F$7:$F$625,$A103,'מאוחדת Raw'!$C$7:$C$625,2025)</f>
        <v>0</v>
      </c>
      <c r="I103" s="12" t="n">
        <f aca="false">SUMIFS('מאוחדת Raw'!$E$7:$E$625,'מאוחדת Raw'!$F$7:$F$625,$A103,'מאוחדת Raw'!$C$7:$C$625,2026)</f>
        <v>426</v>
      </c>
      <c r="J103" s="12" t="n">
        <f aca="false">I103*$J$5</f>
        <v>538.105263157895</v>
      </c>
      <c r="K103" s="12"/>
      <c r="L103" s="22"/>
    </row>
    <row r="104" customFormat="false" ht="15" hidden="false" customHeight="true" outlineLevel="0" collapsed="false">
      <c r="A104" s="12" t="n">
        <v>4411027</v>
      </c>
      <c r="B104" s="12" t="str">
        <f aca="false">IFERROR(INDEX('מאוחדת Raw'!$B:$B,MATCH($A104,'מאוחדת Raw'!$F:$F,0)),"")</f>
        <v>213CTSL M שמאל CTS כפפות</v>
      </c>
      <c r="C104" s="12" t="n">
        <f aca="false">SUMIFS('מאוחדת Raw'!$D$7:$D$625,'מאוחדת Raw'!$F$7:$F$625,$A104,'מאוחדת Raw'!$C$7:$C$625,2025)</f>
        <v>0</v>
      </c>
      <c r="D104" s="12" t="n">
        <f aca="false">SUMIFS('מאוחדת Raw'!$D$7:$D$625,'מאוחדת Raw'!$F$7:$F$625,$A104,'מאוחדת Raw'!$C$7:$C$625,2026)</f>
        <v>11</v>
      </c>
      <c r="E104" s="12" t="n">
        <f aca="false">D104*$J$5</f>
        <v>13.8947368421053</v>
      </c>
      <c r="F104" s="12" t="n">
        <f aca="false">E104-C104</f>
        <v>13.8947368421053</v>
      </c>
      <c r="G104" s="21" t="str">
        <f aca="false">IF(AND(C104=0,E104=0),0,IF(C104=0,"New",(E104-C104)/C104))</f>
        <v>New</v>
      </c>
      <c r="H104" s="12" t="n">
        <f aca="false">SUMIFS('מאוחדת Raw'!$E$7:$E$625,'מאוחדת Raw'!$F$7:$F$625,$A104,'מאוחדת Raw'!$C$7:$C$625,2025)</f>
        <v>0</v>
      </c>
      <c r="I104" s="12" t="n">
        <f aca="false">SUMIFS('מאוחדת Raw'!$E$7:$E$625,'מאוחדת Raw'!$F$7:$F$625,$A104,'מאוחדת Raw'!$C$7:$C$625,2026)</f>
        <v>781</v>
      </c>
      <c r="J104" s="12" t="n">
        <f aca="false">I104*$J$5</f>
        <v>986.526315789474</v>
      </c>
      <c r="K104" s="12"/>
      <c r="L104" s="22"/>
    </row>
    <row r="105" customFormat="false" ht="15" hidden="false" customHeight="true" outlineLevel="0" collapsed="false">
      <c r="A105" s="12" t="n">
        <v>4411028</v>
      </c>
      <c r="B105" s="12" t="str">
        <f aca="false">IFERROR(INDEX('מאוחדת Raw'!$B:$B,MATCH($A105,'מאוחדת Raw'!$F:$F,0)),"")</f>
        <v>213CTSL S שמאל CTS כפפות</v>
      </c>
      <c r="C105" s="12" t="n">
        <f aca="false">SUMIFS('מאוחדת Raw'!$D$7:$D$625,'מאוחדת Raw'!$F$7:$F$625,$A105,'מאוחדת Raw'!$C$7:$C$625,2025)</f>
        <v>0</v>
      </c>
      <c r="D105" s="12" t="n">
        <f aca="false">SUMIFS('מאוחדת Raw'!$D$7:$D$625,'מאוחדת Raw'!$F$7:$F$625,$A105,'מאוחדת Raw'!$C$7:$C$625,2026)</f>
        <v>5</v>
      </c>
      <c r="E105" s="12" t="n">
        <f aca="false">D105*$J$5</f>
        <v>6.31578947368421</v>
      </c>
      <c r="F105" s="12" t="n">
        <f aca="false">E105-C105</f>
        <v>6.31578947368421</v>
      </c>
      <c r="G105" s="21" t="str">
        <f aca="false">IF(AND(C105=0,E105=0),0,IF(C105=0,"New",(E105-C105)/C105))</f>
        <v>New</v>
      </c>
      <c r="H105" s="12" t="n">
        <f aca="false">SUMIFS('מאוחדת Raw'!$E$7:$E$625,'מאוחדת Raw'!$F$7:$F$625,$A105,'מאוחדת Raw'!$C$7:$C$625,2025)</f>
        <v>0</v>
      </c>
      <c r="I105" s="12" t="n">
        <f aca="false">SUMIFS('מאוחדת Raw'!$E$7:$E$625,'מאוחדת Raw'!$F$7:$F$625,$A105,'מאוחדת Raw'!$C$7:$C$625,2026)</f>
        <v>355</v>
      </c>
      <c r="J105" s="12" t="n">
        <f aca="false">I105*$J$5</f>
        <v>448.421052631579</v>
      </c>
      <c r="K105" s="12"/>
      <c r="L105" s="22"/>
    </row>
    <row r="106" customFormat="false" ht="15" hidden="false" customHeight="true" outlineLevel="0" collapsed="false">
      <c r="A106" s="12" t="n">
        <v>4411029</v>
      </c>
      <c r="B106" s="12" t="str">
        <f aca="false">IFERROR(INDEX('מאוחדת Raw'!$B:$B,MATCH($A106,'מאוחדת Raw'!$F:$F,0)),"")</f>
        <v>213CTSR L ימין CTS כפפות</v>
      </c>
      <c r="C106" s="12" t="n">
        <f aca="false">SUMIFS('מאוחדת Raw'!$D$7:$D$625,'מאוחדת Raw'!$F$7:$F$625,$A106,'מאוחדת Raw'!$C$7:$C$625,2025)</f>
        <v>0</v>
      </c>
      <c r="D106" s="12" t="n">
        <f aca="false">SUMIFS('מאוחדת Raw'!$D$7:$D$625,'מאוחדת Raw'!$F$7:$F$625,$A106,'מאוחדת Raw'!$C$7:$C$625,2026)</f>
        <v>9</v>
      </c>
      <c r="E106" s="12" t="n">
        <f aca="false">D106*$J$5</f>
        <v>11.3684210526316</v>
      </c>
      <c r="F106" s="12" t="n">
        <f aca="false">E106-C106</f>
        <v>11.3684210526316</v>
      </c>
      <c r="G106" s="21" t="str">
        <f aca="false">IF(AND(C106=0,E106=0),0,IF(C106=0,"New",(E106-C106)/C106))</f>
        <v>New</v>
      </c>
      <c r="H106" s="12" t="n">
        <f aca="false">SUMIFS('מאוחדת Raw'!$E$7:$E$625,'מאוחדת Raw'!$F$7:$F$625,$A106,'מאוחדת Raw'!$C$7:$C$625,2025)</f>
        <v>0</v>
      </c>
      <c r="I106" s="12" t="n">
        <f aca="false">SUMIFS('מאוחדת Raw'!$E$7:$E$625,'מאוחדת Raw'!$F$7:$F$625,$A106,'מאוחדת Raw'!$C$7:$C$625,2026)</f>
        <v>639</v>
      </c>
      <c r="J106" s="12" t="n">
        <f aca="false">I106*$J$5</f>
        <v>807.157894736842</v>
      </c>
      <c r="K106" s="12"/>
      <c r="L106" s="22"/>
    </row>
    <row r="107" customFormat="false" ht="15" hidden="false" customHeight="true" outlineLevel="0" collapsed="false">
      <c r="A107" s="12" t="n">
        <v>4411030</v>
      </c>
      <c r="B107" s="12" t="str">
        <f aca="false">IFERROR(INDEX('מאוחדת Raw'!$B:$B,MATCH($A107,'מאוחדת Raw'!$F:$F,0)),"")</f>
        <v>213CTSR M ימין CTS כפפות</v>
      </c>
      <c r="C107" s="12" t="n">
        <f aca="false">SUMIFS('מאוחדת Raw'!$D$7:$D$625,'מאוחדת Raw'!$F$7:$F$625,$A107,'מאוחדת Raw'!$C$7:$C$625,2025)</f>
        <v>0</v>
      </c>
      <c r="D107" s="12" t="n">
        <f aca="false">SUMIFS('מאוחדת Raw'!$D$7:$D$625,'מאוחדת Raw'!$F$7:$F$625,$A107,'מאוחדת Raw'!$C$7:$C$625,2026)</f>
        <v>14</v>
      </c>
      <c r="E107" s="12" t="n">
        <f aca="false">D107*$J$5</f>
        <v>17.6842105263158</v>
      </c>
      <c r="F107" s="12" t="n">
        <f aca="false">E107-C107</f>
        <v>17.6842105263158</v>
      </c>
      <c r="G107" s="21" t="str">
        <f aca="false">IF(AND(C107=0,E107=0),0,IF(C107=0,"New",(E107-C107)/C107))</f>
        <v>New</v>
      </c>
      <c r="H107" s="12" t="n">
        <f aca="false">SUMIFS('מאוחדת Raw'!$E$7:$E$625,'מאוחדת Raw'!$F$7:$F$625,$A107,'מאוחדת Raw'!$C$7:$C$625,2025)</f>
        <v>0</v>
      </c>
      <c r="I107" s="12" t="n">
        <f aca="false">SUMIFS('מאוחדת Raw'!$E$7:$E$625,'מאוחדת Raw'!$F$7:$F$625,$A107,'מאוחדת Raw'!$C$7:$C$625,2026)</f>
        <v>994</v>
      </c>
      <c r="J107" s="12" t="n">
        <f aca="false">I107*$J$5</f>
        <v>1255.57894736842</v>
      </c>
      <c r="K107" s="12"/>
      <c r="L107" s="22"/>
    </row>
    <row r="108" customFormat="false" ht="15" hidden="false" customHeight="true" outlineLevel="0" collapsed="false">
      <c r="A108" s="12" t="n">
        <v>4411031</v>
      </c>
      <c r="B108" s="12" t="str">
        <f aca="false">IFERROR(INDEX('מאוחדת Raw'!$B:$B,MATCH($A108,'מאוחדת Raw'!$F:$F,0)),"")</f>
        <v>213CTS  S ימין CTS כפפות</v>
      </c>
      <c r="C108" s="12" t="n">
        <f aca="false">SUMIFS('מאוחדת Raw'!$D$7:$D$625,'מאוחדת Raw'!$F$7:$F$625,$A108,'מאוחדת Raw'!$C$7:$C$625,2025)</f>
        <v>0</v>
      </c>
      <c r="D108" s="12" t="n">
        <f aca="false">SUMIFS('מאוחדת Raw'!$D$7:$D$625,'מאוחדת Raw'!$F$7:$F$625,$A108,'מאוחדת Raw'!$C$7:$C$625,2026)</f>
        <v>8</v>
      </c>
      <c r="E108" s="12" t="n">
        <f aca="false">D108*$J$5</f>
        <v>10.1052631578947</v>
      </c>
      <c r="F108" s="12" t="n">
        <f aca="false">E108-C108</f>
        <v>10.1052631578947</v>
      </c>
      <c r="G108" s="21" t="str">
        <f aca="false">IF(AND(C108=0,E108=0),0,IF(C108=0,"New",(E108-C108)/C108))</f>
        <v>New</v>
      </c>
      <c r="H108" s="12" t="n">
        <f aca="false">SUMIFS('מאוחדת Raw'!$E$7:$E$625,'מאוחדת Raw'!$F$7:$F$625,$A108,'מאוחדת Raw'!$C$7:$C$625,2025)</f>
        <v>0</v>
      </c>
      <c r="I108" s="12" t="n">
        <f aca="false">SUMIFS('מאוחדת Raw'!$E$7:$E$625,'מאוחדת Raw'!$F$7:$F$625,$A108,'מאוחדת Raw'!$C$7:$C$625,2026)</f>
        <v>568</v>
      </c>
      <c r="J108" s="12" t="n">
        <f aca="false">I108*$J$5</f>
        <v>717.473684210526</v>
      </c>
      <c r="K108" s="12"/>
      <c r="L108" s="22"/>
    </row>
    <row r="109" customFormat="false" ht="15" hidden="false" customHeight="true" outlineLevel="0" collapsed="false">
      <c r="A109" s="12" t="n">
        <v>4413033</v>
      </c>
      <c r="B109" s="12" t="str">
        <f aca="false">IFERROR(INDEX('מאוחדת Raw'!$B:$B,MATCH($A109,'מאוחדת Raw'!$F:$F,0)),"")</f>
        <v>311'מדב.ג'ל למניעת שפשוף 5 יח</v>
      </c>
      <c r="C109" s="12" t="n">
        <f aca="false">SUMIFS('מאוחדת Raw'!$D$7:$D$625,'מאוחדת Raw'!$F$7:$F$625,$A109,'מאוחדת Raw'!$C$7:$C$625,2025)</f>
        <v>207</v>
      </c>
      <c r="D109" s="12" t="n">
        <f aca="false">SUMIFS('מאוחדת Raw'!$D$7:$D$625,'מאוחדת Raw'!$F$7:$F$625,$A109,'מאוחדת Raw'!$C$7:$C$625,2026)</f>
        <v>151</v>
      </c>
      <c r="E109" s="12" t="n">
        <f aca="false">D109*$J$5</f>
        <v>190.736842105263</v>
      </c>
      <c r="F109" s="12" t="n">
        <f aca="false">E109-C109</f>
        <v>-16.2631578947369</v>
      </c>
      <c r="G109" s="21" t="n">
        <f aca="false">IF(AND(C109=0,E109=0),0,IF(C109=0,"New",(E109-C109)/C109))</f>
        <v>-0.0785659801678109</v>
      </c>
      <c r="H109" s="12" t="n">
        <f aca="false">SUMIFS('מאוחדת Raw'!$E$7:$E$625,'מאוחדת Raw'!$F$7:$F$625,$A109,'מאוחדת Raw'!$C$7:$C$625,2025)</f>
        <v>2032.74</v>
      </c>
      <c r="I109" s="12" t="n">
        <f aca="false">SUMIFS('מאוחדת Raw'!$E$7:$E$625,'מאוחדת Raw'!$F$7:$F$625,$A109,'מאוחדת Raw'!$C$7:$C$625,2026)</f>
        <v>1436.12</v>
      </c>
      <c r="J109" s="12" t="n">
        <f aca="false">I109*$J$5</f>
        <v>1814.04631578947</v>
      </c>
      <c r="K109" s="12"/>
      <c r="L109" s="22"/>
    </row>
    <row r="110" customFormat="false" ht="15" hidden="false" customHeight="true" outlineLevel="0" collapsed="false">
      <c r="A110" s="12" t="n">
        <v>4413034</v>
      </c>
      <c r="B110" s="12" t="str">
        <f aca="false">IFERROR(INDEX('מאוחדת Raw'!$B:$B,MATCH($A110,'מאוחדת Raw'!$F:$F,0)),"")</f>
        <v>312 0</v>
      </c>
      <c r="C110" s="12" t="n">
        <f aca="false">SUMIFS('מאוחדת Raw'!$D$7:$D$625,'מאוחדת Raw'!$F$7:$F$625,$A110,'מאוחדת Raw'!$C$7:$C$625,2025)</f>
        <v>69</v>
      </c>
      <c r="D110" s="12" t="n">
        <f aca="false">SUMIFS('מאוחדת Raw'!$D$7:$D$625,'מאוחדת Raw'!$F$7:$F$625,$A110,'מאוחדת Raw'!$C$7:$C$625,2026)</f>
        <v>15</v>
      </c>
      <c r="E110" s="12" t="n">
        <f aca="false">D110*$J$5</f>
        <v>18.9473684210526</v>
      </c>
      <c r="F110" s="12" t="n">
        <f aca="false">E110-C110</f>
        <v>-50.0526315789474</v>
      </c>
      <c r="G110" s="21" t="n">
        <f aca="false">IF(AND(C110=0,E110=0),0,IF(C110=0,"New",(E110-C110)/C110))</f>
        <v>-0.725400457665904</v>
      </c>
      <c r="H110" s="12" t="n">
        <f aca="false">SUMIFS('מאוחדת Raw'!$E$7:$E$625,'מאוחדת Raw'!$F$7:$F$625,$A110,'מאוחדת Raw'!$C$7:$C$625,2025)</f>
        <v>985.32</v>
      </c>
      <c r="I110" s="12" t="n">
        <f aca="false">SUMIFS('מאוחדת Raw'!$E$7:$E$625,'מאוחדת Raw'!$F$7:$F$625,$A110,'מאוחדת Raw'!$C$7:$C$625,2026)</f>
        <v>214.2</v>
      </c>
      <c r="J110" s="12" t="n">
        <f aca="false">I110*$J$5</f>
        <v>270.568421052632</v>
      </c>
      <c r="K110" s="12"/>
      <c r="L110" s="22"/>
    </row>
    <row r="111" customFormat="false" ht="15" hidden="false" customHeight="true" outlineLevel="0" collapsed="false">
      <c r="A111" s="12" t="n">
        <v>4413041</v>
      </c>
      <c r="B111" s="12" t="str">
        <f aca="false">IFERROR(INDEX('מאוחדת Raw'!$B:$B,MATCH($A111,'מאוחדת Raw'!$F:$F,0)),"")</f>
        <v>34  M מגן קרסול עקב סגור</v>
      </c>
      <c r="C111" s="12" t="n">
        <f aca="false">SUMIFS('מאוחדת Raw'!$D$7:$D$625,'מאוחדת Raw'!$F$7:$F$625,$A111,'מאוחדת Raw'!$C$7:$C$625,2025)</f>
        <v>289</v>
      </c>
      <c r="D111" s="12" t="n">
        <f aca="false">SUMIFS('מאוחדת Raw'!$D$7:$D$625,'מאוחדת Raw'!$F$7:$F$625,$A111,'מאוחדת Raw'!$C$7:$C$625,2026)</f>
        <v>190</v>
      </c>
      <c r="E111" s="12" t="n">
        <f aca="false">D111*$J$5</f>
        <v>240</v>
      </c>
      <c r="F111" s="12" t="n">
        <f aca="false">E111-C111</f>
        <v>-49</v>
      </c>
      <c r="G111" s="21" t="n">
        <f aca="false">IF(AND(C111=0,E111=0),0,IF(C111=0,"New",(E111-C111)/C111))</f>
        <v>-0.169550173010381</v>
      </c>
      <c r="H111" s="12" t="n">
        <f aca="false">SUMIFS('מאוחדת Raw'!$E$7:$E$625,'מאוחדת Raw'!$F$7:$F$625,$A111,'מאוחדת Raw'!$C$7:$C$625,2025)</f>
        <v>8360.77</v>
      </c>
      <c r="I111" s="12" t="n">
        <f aca="false">SUMIFS('מאוחדת Raw'!$E$7:$E$625,'מאוחדת Raw'!$F$7:$F$625,$A111,'מאוחדת Raw'!$C$7:$C$625,2026)</f>
        <v>5366.48</v>
      </c>
      <c r="J111" s="12" t="n">
        <f aca="false">I111*$J$5</f>
        <v>6778.71157894737</v>
      </c>
      <c r="K111" s="12"/>
      <c r="L111" s="22"/>
    </row>
    <row r="112" customFormat="false" ht="15" hidden="false" customHeight="true" outlineLevel="0" collapsed="false">
      <c r="A112" s="12" t="n">
        <v>4413042</v>
      </c>
      <c r="B112" s="12" t="str">
        <f aca="false">IFERROR(INDEX('מאוחדת Raw'!$B:$B,MATCH($A112,'מאוחדת Raw'!$F:$F,0)),"")</f>
        <v>34  S מגן קרסול עקב סגור</v>
      </c>
      <c r="C112" s="12" t="n">
        <f aca="false">SUMIFS('מאוחדת Raw'!$D$7:$D$625,'מאוחדת Raw'!$F$7:$F$625,$A112,'מאוחדת Raw'!$C$7:$C$625,2025)</f>
        <v>119</v>
      </c>
      <c r="D112" s="12" t="n">
        <f aca="false">SUMIFS('מאוחדת Raw'!$D$7:$D$625,'מאוחדת Raw'!$F$7:$F$625,$A112,'מאוחדת Raw'!$C$7:$C$625,2026)</f>
        <v>75</v>
      </c>
      <c r="E112" s="12" t="n">
        <f aca="false">D112*$J$5</f>
        <v>94.7368421052632</v>
      </c>
      <c r="F112" s="12" t="n">
        <f aca="false">E112-C112</f>
        <v>-24.2631578947369</v>
      </c>
      <c r="G112" s="21" t="n">
        <f aca="false">IF(AND(C112=0,E112=0),0,IF(C112=0,"New",(E112-C112)/C112))</f>
        <v>-0.203892083149049</v>
      </c>
      <c r="H112" s="12" t="n">
        <f aca="false">SUMIFS('מאוחדת Raw'!$E$7:$E$625,'מאוחדת Raw'!$F$7:$F$625,$A112,'מאוחדת Raw'!$C$7:$C$625,2025)</f>
        <v>3442.67</v>
      </c>
      <c r="I112" s="12" t="n">
        <f aca="false">SUMIFS('מאוחדת Raw'!$E$7:$E$625,'מאוחדת Raw'!$F$7:$F$625,$A112,'מאוחדת Raw'!$C$7:$C$625,2026)</f>
        <v>2119.14</v>
      </c>
      <c r="J112" s="12" t="n">
        <f aca="false">I112*$J$5</f>
        <v>2676.80842105263</v>
      </c>
      <c r="K112" s="12"/>
      <c r="L112" s="22"/>
    </row>
    <row r="113" customFormat="false" ht="15" hidden="false" customHeight="true" outlineLevel="0" collapsed="false">
      <c r="A113" s="12" t="n">
        <v>4413043</v>
      </c>
      <c r="B113" s="12" t="str">
        <f aca="false">IFERROR(INDEX('מאוחדת Raw'!$B:$B,MATCH($A113,'מאוחדת Raw'!$F:$F,0)),"")</f>
        <v>34  L מגן קרסול עקב סגור</v>
      </c>
      <c r="C113" s="12" t="n">
        <f aca="false">SUMIFS('מאוחדת Raw'!$D$7:$D$625,'מאוחדת Raw'!$F$7:$F$625,$A113,'מאוחדת Raw'!$C$7:$C$625,2025)</f>
        <v>320</v>
      </c>
      <c r="D113" s="12" t="n">
        <f aca="false">SUMIFS('מאוחדת Raw'!$D$7:$D$625,'מאוחדת Raw'!$F$7:$F$625,$A113,'מאוחדת Raw'!$C$7:$C$625,2026)</f>
        <v>208</v>
      </c>
      <c r="E113" s="12" t="n">
        <f aca="false">D113*$J$5</f>
        <v>262.736842105263</v>
      </c>
      <c r="F113" s="12" t="n">
        <f aca="false">E113-C113</f>
        <v>-57.2631578947369</v>
      </c>
      <c r="G113" s="21" t="n">
        <f aca="false">IF(AND(C113=0,E113=0),0,IF(C113=0,"New",(E113-C113)/C113))</f>
        <v>-0.178947368421053</v>
      </c>
      <c r="H113" s="12" t="n">
        <f aca="false">SUMIFS('מאוחדת Raw'!$E$7:$E$625,'מאוחדת Raw'!$F$7:$F$625,$A113,'מאוחדת Raw'!$C$7:$C$625,2025)</f>
        <v>9257.6</v>
      </c>
      <c r="I113" s="12" t="n">
        <f aca="false">SUMIFS('מאוחדת Raw'!$E$7:$E$625,'מאוחדת Raw'!$F$7:$F$625,$A113,'מאוחדת Raw'!$C$7:$C$625,2026)</f>
        <v>5908.96</v>
      </c>
      <c r="J113" s="12" t="n">
        <f aca="false">I113*$J$5</f>
        <v>7463.94947368421</v>
      </c>
      <c r="K113" s="12"/>
      <c r="L113" s="22"/>
    </row>
    <row r="114" customFormat="false" ht="15" hidden="false" customHeight="true" outlineLevel="0" collapsed="false">
      <c r="A114" s="12" t="n">
        <v>4413044</v>
      </c>
      <c r="B114" s="12" t="str">
        <f aca="false">IFERROR(INDEX('מאוחדת Raw'!$B:$B,MATCH($A114,'מאוחדת Raw'!$F:$F,0)),"")</f>
        <v>34 XL מגן קרסול עקב סגור</v>
      </c>
      <c r="C114" s="12" t="n">
        <f aca="false">SUMIFS('מאוחדת Raw'!$D$7:$D$625,'מאוחדת Raw'!$F$7:$F$625,$A114,'מאוחדת Raw'!$C$7:$C$625,2025)</f>
        <v>192</v>
      </c>
      <c r="D114" s="12" t="n">
        <f aca="false">SUMIFS('מאוחדת Raw'!$D$7:$D$625,'מאוחדת Raw'!$F$7:$F$625,$A114,'מאוחדת Raw'!$C$7:$C$625,2026)</f>
        <v>143</v>
      </c>
      <c r="E114" s="12" t="n">
        <f aca="false">D114*$J$5</f>
        <v>180.631578947368</v>
      </c>
      <c r="F114" s="12" t="n">
        <f aca="false">E114-C114</f>
        <v>-11.3684210526316</v>
      </c>
      <c r="G114" s="21" t="n">
        <f aca="false">IF(AND(C114=0,E114=0),0,IF(C114=0,"New",(E114-C114)/C114))</f>
        <v>-0.0592105263157895</v>
      </c>
      <c r="H114" s="12" t="n">
        <f aca="false">SUMIFS('מאוחדת Raw'!$E$7:$E$625,'מאוחדת Raw'!$F$7:$F$625,$A114,'מאוחדת Raw'!$C$7:$C$625,2025)</f>
        <v>5554.56</v>
      </c>
      <c r="I114" s="12" t="n">
        <f aca="false">SUMIFS('מאוחדת Raw'!$E$7:$E$625,'מאוחדת Raw'!$F$7:$F$625,$A114,'מאוחדת Raw'!$C$7:$C$625,2026)</f>
        <v>4021.18</v>
      </c>
      <c r="J114" s="12" t="n">
        <f aca="false">I114*$J$5</f>
        <v>5079.38526315789</v>
      </c>
      <c r="K114" s="12"/>
      <c r="L114" s="22"/>
    </row>
    <row r="115" customFormat="false" ht="15" hidden="false" customHeight="true" outlineLevel="0" collapsed="false">
      <c r="A115" s="12" t="n">
        <v>4413046</v>
      </c>
      <c r="B115" s="12" t="str">
        <f aca="false">IFERROR(INDEX('מאוחדת Raw'!$B:$B,MATCH($A115,'מאוחדת Raw'!$F:$F,0)),"")</f>
        <v>34 XXL מגן קרסול עקב סגור</v>
      </c>
      <c r="C115" s="12" t="n">
        <f aca="false">SUMIFS('מאוחדת Raw'!$D$7:$D$625,'מאוחדת Raw'!$F$7:$F$625,$A115,'מאוחדת Raw'!$C$7:$C$625,2025)</f>
        <v>64</v>
      </c>
      <c r="D115" s="12" t="n">
        <f aca="false">SUMIFS('מאוחדת Raw'!$D$7:$D$625,'מאוחדת Raw'!$F$7:$F$625,$A115,'מאוחדת Raw'!$C$7:$C$625,2026)</f>
        <v>49</v>
      </c>
      <c r="E115" s="12" t="n">
        <f aca="false">D115*$J$5</f>
        <v>61.8947368421053</v>
      </c>
      <c r="F115" s="12" t="n">
        <f aca="false">E115-C115</f>
        <v>-2.10526315789474</v>
      </c>
      <c r="G115" s="21" t="n">
        <f aca="false">IF(AND(C115=0,E115=0),0,IF(C115=0,"New",(E115-C115)/C115))</f>
        <v>-0.0328947368421053</v>
      </c>
      <c r="H115" s="12" t="n">
        <f aca="false">SUMIFS('מאוחדת Raw'!$E$7:$E$625,'מאוחדת Raw'!$F$7:$F$625,$A115,'מאוחדת Raw'!$C$7:$C$625,2025)</f>
        <v>1851.52</v>
      </c>
      <c r="I115" s="12" t="n">
        <f aca="false">SUMIFS('מאוחדת Raw'!$E$7:$E$625,'מאוחדת Raw'!$F$7:$F$625,$A115,'מאוחדת Raw'!$C$7:$C$625,2026)</f>
        <v>1395.86</v>
      </c>
      <c r="J115" s="12" t="n">
        <f aca="false">I115*$J$5</f>
        <v>1763.19157894737</v>
      </c>
      <c r="K115" s="12"/>
      <c r="L115" s="22"/>
    </row>
    <row r="116" customFormat="false" ht="15" hidden="false" customHeight="true" outlineLevel="0" collapsed="false">
      <c r="A116" s="12" t="n">
        <v>4413047</v>
      </c>
      <c r="B116" s="12" t="str">
        <f aca="false">IFERROR(INDEX('מאוחדת Raw'!$B:$B,MATCH($A116,'מאוחדת Raw'!$F:$F,0)),"")</f>
        <v>35 S מגן קרסול לבן</v>
      </c>
      <c r="C116" s="12" t="n">
        <f aca="false">SUMIFS('מאוחדת Raw'!$D$7:$D$625,'מאוחדת Raw'!$F$7:$F$625,$A116,'מאוחדת Raw'!$C$7:$C$625,2025)</f>
        <v>95</v>
      </c>
      <c r="D116" s="12" t="n">
        <f aca="false">SUMIFS('מאוחדת Raw'!$D$7:$D$625,'מאוחדת Raw'!$F$7:$F$625,$A116,'מאוחדת Raw'!$C$7:$C$625,2026)</f>
        <v>74</v>
      </c>
      <c r="E116" s="12" t="n">
        <f aca="false">D116*$J$5</f>
        <v>93.4736842105263</v>
      </c>
      <c r="F116" s="12" t="n">
        <f aca="false">E116-C116</f>
        <v>-1.52631578947369</v>
      </c>
      <c r="G116" s="21" t="n">
        <f aca="false">IF(AND(C116=0,E116=0),0,IF(C116=0,"New",(E116-C116)/C116))</f>
        <v>-0.0160664819944598</v>
      </c>
      <c r="H116" s="12" t="n">
        <f aca="false">SUMIFS('מאוחדת Raw'!$E$7:$E$625,'מאוחדת Raw'!$F$7:$F$625,$A116,'מאוחדת Raw'!$C$7:$C$625,2025)</f>
        <v>1615</v>
      </c>
      <c r="I116" s="12" t="n">
        <f aca="false">SUMIFS('מאוחדת Raw'!$E$7:$E$625,'מאוחדת Raw'!$F$7:$F$625,$A116,'מאוחדת Raw'!$C$7:$C$625,2026)</f>
        <v>1224</v>
      </c>
      <c r="J116" s="12" t="n">
        <f aca="false">I116*$J$5</f>
        <v>1546.10526315789</v>
      </c>
    </row>
    <row r="117" customFormat="false" ht="15" hidden="false" customHeight="true" outlineLevel="0" collapsed="false">
      <c r="A117" s="23" t="n">
        <v>4413048</v>
      </c>
      <c r="B117" s="23" t="str">
        <f aca="false">IFERROR(INDEX('מאוחדת Raw'!$B:$B,MATCH($A117,'מאוחדת Raw'!$F:$F,0)),"")</f>
        <v>35 L מגן קרסול לבן</v>
      </c>
      <c r="C117" s="23" t="n">
        <f aca="false">SUMIFS('מאוחדת Raw'!$D$7:$D$625,'מאוחדת Raw'!$F$7:$F$625,$A117,'מאוחדת Raw'!$C$7:$C$625,2025)</f>
        <v>235</v>
      </c>
      <c r="D117" s="23" t="n">
        <f aca="false">SUMIFS('מאוחדת Raw'!$D$7:$D$625,'מאוחדת Raw'!$F$7:$F$625,$A117,'מאוחדת Raw'!$C$7:$C$625,2026)</f>
        <v>180</v>
      </c>
      <c r="E117" s="23" t="n">
        <f aca="false">D117*$J$5</f>
        <v>227.368421052632</v>
      </c>
      <c r="F117" s="23" t="n">
        <f aca="false">E117-C117</f>
        <v>-7.63157894736844</v>
      </c>
      <c r="G117" s="24" t="n">
        <f aca="false">IF(AND(C117=0,E117=0),0,IF(C117=0,"New",(E117-C117)/C117))</f>
        <v>-0.0324748040313551</v>
      </c>
      <c r="H117" s="23" t="n">
        <f aca="false">SUMIFS('מאוחדת Raw'!$E$7:$E$625,'מאוחדת Raw'!$F$7:$F$625,$A117,'מאוחדת Raw'!$C$7:$C$625,2025)</f>
        <v>3995</v>
      </c>
      <c r="I117" s="23" t="n">
        <f aca="false">SUMIFS('מאוחדת Raw'!$E$7:$E$625,'מאוחדת Raw'!$F$7:$F$625,$A117,'מאוחדת Raw'!$C$7:$C$625,2026)</f>
        <v>2992</v>
      </c>
      <c r="J117" s="23" t="n">
        <f aca="false">I117*$J$5</f>
        <v>3779.36842105263</v>
      </c>
      <c r="K117" s="25"/>
      <c r="L117" s="26"/>
    </row>
    <row r="118" customFormat="false" ht="15" hidden="false" customHeight="true" outlineLevel="0" collapsed="false">
      <c r="A118" s="12" t="n">
        <v>4413049</v>
      </c>
      <c r="B118" s="12" t="str">
        <f aca="false">IFERROR(INDEX('מאוחדת Raw'!$B:$B,MATCH($A118,'מאוחדת Raw'!$F:$F,0)),"")</f>
        <v>35 M מגן קרסול לבן</v>
      </c>
      <c r="C118" s="12" t="n">
        <f aca="false">SUMIFS('מאוחדת Raw'!$D$7:$D$625,'מאוחדת Raw'!$F$7:$F$625,$A118,'מאוחדת Raw'!$C$7:$C$625,2025)</f>
        <v>275</v>
      </c>
      <c r="D118" s="12" t="n">
        <f aca="false">SUMIFS('מאוחדת Raw'!$D$7:$D$625,'מאוחדת Raw'!$F$7:$F$625,$A118,'מאוחדת Raw'!$C$7:$C$625,2026)</f>
        <v>171</v>
      </c>
      <c r="E118" s="12" t="n">
        <f aca="false">D118*$J$5</f>
        <v>216</v>
      </c>
      <c r="F118" s="12" t="n">
        <f aca="false">E118-C118</f>
        <v>-59</v>
      </c>
      <c r="G118" s="21" t="n">
        <f aca="false">IF(AND(C118=0,E118=0),0,IF(C118=0,"New",(E118-C118)/C118))</f>
        <v>-0.214545454545455</v>
      </c>
      <c r="H118" s="12" t="n">
        <f aca="false">SUMIFS('מאוחדת Raw'!$E$7:$E$625,'מאוחדת Raw'!$F$7:$F$625,$A118,'מאוחדת Raw'!$C$7:$C$625,2025)</f>
        <v>4675</v>
      </c>
      <c r="I118" s="12" t="n">
        <f aca="false">SUMIFS('מאוחדת Raw'!$E$7:$E$625,'מאוחדת Raw'!$F$7:$F$625,$A118,'מאוחדת Raw'!$C$7:$C$625,2026)</f>
        <v>2843.3</v>
      </c>
      <c r="J118" s="12" t="n">
        <f aca="false">I118*$J$5</f>
        <v>3591.53684210526</v>
      </c>
    </row>
    <row r="119" customFormat="false" ht="15" hidden="false" customHeight="true" outlineLevel="0" collapsed="false">
      <c r="A119" s="12" t="n">
        <v>4413050</v>
      </c>
      <c r="B119" s="12" t="str">
        <f aca="false">IFERROR(INDEX('מאוחדת Raw'!$B:$B,MATCH($A119,'מאוחדת Raw'!$F:$F,0)),"")</f>
        <v>35 XL מגן קרסול לבן</v>
      </c>
      <c r="C119" s="12" t="n">
        <f aca="false">SUMIFS('מאוחדת Raw'!$D$7:$D$625,'מאוחדת Raw'!$F$7:$F$625,$A119,'מאוחדת Raw'!$C$7:$C$625,2025)</f>
        <v>226</v>
      </c>
      <c r="D119" s="12" t="n">
        <f aca="false">SUMIFS('מאוחדת Raw'!$D$7:$D$625,'מאוחדת Raw'!$F$7:$F$625,$A119,'מאוחדת Raw'!$C$7:$C$625,2026)</f>
        <v>129</v>
      </c>
      <c r="E119" s="12" t="n">
        <f aca="false">D119*$J$5</f>
        <v>162.947368421053</v>
      </c>
      <c r="F119" s="12" t="n">
        <f aca="false">E119-C119</f>
        <v>-63.0526315789474</v>
      </c>
      <c r="G119" s="21" t="n">
        <f aca="false">IF(AND(C119=0,E119=0),0,IF(C119=0,"New",(E119-C119)/C119))</f>
        <v>-0.27899394503959</v>
      </c>
      <c r="H119" s="12" t="n">
        <f aca="false">SUMIFS('מאוחדת Raw'!$E$7:$E$625,'מאוחדת Raw'!$F$7:$F$625,$A119,'מאוחדת Raw'!$C$7:$C$625,2025)</f>
        <v>3842</v>
      </c>
      <c r="I119" s="12" t="n">
        <f aca="false">SUMIFS('מאוחדת Raw'!$E$7:$E$625,'מאוחדת Raw'!$F$7:$F$625,$A119,'מאוחדת Raw'!$C$7:$C$625,2026)</f>
        <v>2112.3</v>
      </c>
      <c r="J119" s="12" t="n">
        <f aca="false">I119*$J$5</f>
        <v>2668.16842105263</v>
      </c>
    </row>
    <row r="120" customFormat="false" ht="15" hidden="false" customHeight="true" outlineLevel="0" collapsed="false">
      <c r="A120" s="12" t="n">
        <v>4413051</v>
      </c>
      <c r="B120" s="12" t="str">
        <f aca="false">IFERROR(INDEX('מאוחדת Raw'!$B:$B,MATCH($A120,'מאוחדת Raw'!$F:$F,0)),"")</f>
        <v>35 XXL מגן קרסול לבן</v>
      </c>
      <c r="C120" s="12" t="n">
        <f aca="false">SUMIFS('מאוחדת Raw'!$D$7:$D$625,'מאוחדת Raw'!$F$7:$F$625,$A120,'מאוחדת Raw'!$C$7:$C$625,2025)</f>
        <v>77</v>
      </c>
      <c r="D120" s="12" t="n">
        <f aca="false">SUMIFS('מאוחדת Raw'!$D$7:$D$625,'מאוחדת Raw'!$F$7:$F$625,$A120,'מאוחדת Raw'!$C$7:$C$625,2026)</f>
        <v>24</v>
      </c>
      <c r="E120" s="12" t="n">
        <f aca="false">D120*$J$5</f>
        <v>30.3157894736842</v>
      </c>
      <c r="F120" s="12" t="n">
        <f aca="false">E120-C120</f>
        <v>-46.6842105263158</v>
      </c>
      <c r="G120" s="21" t="n">
        <f aca="false">IF(AND(C120=0,E120=0),0,IF(C120=0,"New",(E120-C120)/C120))</f>
        <v>-0.606288448393712</v>
      </c>
      <c r="H120" s="12" t="n">
        <f aca="false">SUMIFS('מאוחדת Raw'!$E$7:$E$625,'מאוחדת Raw'!$F$7:$F$625,$A120,'מאוחדת Raw'!$C$7:$C$625,2025)</f>
        <v>1309</v>
      </c>
      <c r="I120" s="12" t="n">
        <f aca="false">SUMIFS('מאוחדת Raw'!$E$7:$E$625,'מאוחדת Raw'!$F$7:$F$625,$A120,'מאוחדת Raw'!$C$7:$C$625,2026)</f>
        <v>399.5</v>
      </c>
      <c r="J120" s="12" t="n">
        <f aca="false">I120*$J$5</f>
        <v>504.631578947368</v>
      </c>
    </row>
    <row r="121" customFormat="false" ht="15" hidden="false" customHeight="true" outlineLevel="0" collapsed="false">
      <c r="A121" s="12" t="n">
        <v>4413056</v>
      </c>
      <c r="B121" s="12" t="str">
        <f aca="false">IFERROR(INDEX('מאוחדת Raw'!$B:$B,MATCH($A121,'מאוחדת Raw'!$F:$F,0)),"")</f>
        <v>LF360 מדרס מטטרזלי לנעלי עקב</v>
      </c>
      <c r="C121" s="12" t="n">
        <f aca="false">SUMIFS('מאוחדת Raw'!$D$7:$D$625,'מאוחדת Raw'!$F$7:$F$625,$A121,'מאוחדת Raw'!$C$7:$C$625,2025)</f>
        <v>38</v>
      </c>
      <c r="D121" s="12" t="n">
        <f aca="false">SUMIFS('מאוחדת Raw'!$D$7:$D$625,'מאוחדת Raw'!$F$7:$F$625,$A121,'מאוחדת Raw'!$C$7:$C$625,2026)</f>
        <v>27</v>
      </c>
      <c r="E121" s="12" t="n">
        <f aca="false">D121*$J$5</f>
        <v>34.1052631578947</v>
      </c>
      <c r="F121" s="12" t="n">
        <f aca="false">E121-C121</f>
        <v>-3.89473684210527</v>
      </c>
      <c r="G121" s="21" t="n">
        <f aca="false">IF(AND(C121=0,E121=0),0,IF(C121=0,"New",(E121-C121)/C121))</f>
        <v>-0.102493074792244</v>
      </c>
      <c r="H121" s="12" t="n">
        <f aca="false">SUMIFS('מאוחדת Raw'!$E$7:$E$625,'מאוחדת Raw'!$F$7:$F$625,$A121,'מאוחדת Raw'!$C$7:$C$625,2025)</f>
        <v>615.6</v>
      </c>
      <c r="I121" s="12" t="n">
        <f aca="false">SUMIFS('מאוחדת Raw'!$E$7:$E$625,'מאוחדת Raw'!$F$7:$F$625,$A121,'מאוחדת Raw'!$C$7:$C$625,2026)</f>
        <v>437.4</v>
      </c>
      <c r="J121" s="12" t="n">
        <f aca="false">I121*$J$5</f>
        <v>552.505263157895</v>
      </c>
    </row>
    <row r="122" customFormat="false" ht="15" hidden="false" customHeight="true" outlineLevel="0" collapsed="false">
      <c r="A122" s="12" t="n">
        <v>4413058</v>
      </c>
      <c r="B122" s="12" t="str">
        <f aca="false">IFERROR(INDEX('מאוחדת Raw'!$B:$B,MATCH($A122,'מאוחדת Raw'!$F:$F,0)),"")</f>
        <v>3622S מדבקה לשחרור לחץ 2 יח</v>
      </c>
      <c r="C122" s="12" t="n">
        <f aca="false">SUMIFS('מאוחדת Raw'!$D$7:$D$625,'מאוחדת Raw'!$F$7:$F$625,$A122,'מאוחדת Raw'!$C$7:$C$625,2025)</f>
        <v>71</v>
      </c>
      <c r="D122" s="12" t="n">
        <f aca="false">SUMIFS('מאוחדת Raw'!$D$7:$D$625,'מאוחדת Raw'!$F$7:$F$625,$A122,'מאוחדת Raw'!$C$7:$C$625,2026)</f>
        <v>47</v>
      </c>
      <c r="E122" s="12" t="n">
        <f aca="false">D122*$J$5</f>
        <v>59.3684210526316</v>
      </c>
      <c r="F122" s="12" t="n">
        <f aca="false">E122-C122</f>
        <v>-11.6315789473684</v>
      </c>
      <c r="G122" s="21" t="n">
        <f aca="false">IF(AND(C122=0,E122=0),0,IF(C122=0,"New",(E122-C122)/C122))</f>
        <v>-0.163825055596738</v>
      </c>
      <c r="H122" s="12" t="n">
        <f aca="false">SUMIFS('מאוחדת Raw'!$E$7:$E$625,'מאוחדת Raw'!$F$7:$F$625,$A122,'מאוחדת Raw'!$C$7:$C$625,2025)</f>
        <v>1661.4</v>
      </c>
      <c r="I122" s="12" t="n">
        <f aca="false">SUMIFS('מאוחדת Raw'!$E$7:$E$625,'מאוחדת Raw'!$F$7:$F$625,$A122,'מאוחדת Raw'!$C$7:$C$625,2026)</f>
        <v>1053</v>
      </c>
      <c r="J122" s="12" t="n">
        <f aca="false">I122*$J$5</f>
        <v>1330.10526315789</v>
      </c>
    </row>
    <row r="123" customFormat="false" ht="15" hidden="false" customHeight="true" outlineLevel="0" collapsed="false">
      <c r="A123" s="12" t="n">
        <v>4413059</v>
      </c>
      <c r="B123" s="12" t="str">
        <f aca="false">IFERROR(INDEX('מאוחדת Raw'!$B:$B,MATCH($A123,'מאוחדת Raw'!$F:$F,0)),"")</f>
        <v>364S Lמפר.אצבע סיליק. ליבל.זוג</v>
      </c>
      <c r="C123" s="12" t="n">
        <f aca="false">SUMIFS('מאוחדת Raw'!$D$7:$D$625,'מאוחדת Raw'!$F$7:$F$625,$A123,'מאוחדת Raw'!$C$7:$C$625,2025)</f>
        <v>669</v>
      </c>
      <c r="D123" s="12" t="n">
        <f aca="false">SUMIFS('מאוחדת Raw'!$D$7:$D$625,'מאוחדת Raw'!$F$7:$F$625,$A123,'מאוחדת Raw'!$C$7:$C$625,2026)</f>
        <v>346</v>
      </c>
      <c r="E123" s="12" t="n">
        <f aca="false">D123*$J$5</f>
        <v>437.052631578947</v>
      </c>
      <c r="F123" s="12" t="n">
        <f aca="false">E123-C123</f>
        <v>-231.947368421053</v>
      </c>
      <c r="G123" s="21" t="n">
        <f aca="false">IF(AND(C123=0,E123=0),0,IF(C123=0,"New",(E123-C123)/C123))</f>
        <v>-0.346707576115176</v>
      </c>
      <c r="H123" s="12" t="n">
        <f aca="false">SUMIFS('מאוחדת Raw'!$E$7:$E$625,'מאוחדת Raw'!$F$7:$F$625,$A123,'מאוחדת Raw'!$C$7:$C$625,2025)</f>
        <v>6355.5</v>
      </c>
      <c r="I123" s="12" t="n">
        <f aca="false">SUMIFS('מאוחדת Raw'!$E$7:$E$625,'מאוחדת Raw'!$F$7:$F$625,$A123,'מאוחדת Raw'!$C$7:$C$625,2026)</f>
        <v>3130.6</v>
      </c>
      <c r="J123" s="12" t="n">
        <f aca="false">I123*$J$5</f>
        <v>3954.44210526316</v>
      </c>
    </row>
    <row r="124" customFormat="false" ht="15" hidden="false" customHeight="true" outlineLevel="0" collapsed="false">
      <c r="A124" s="12" t="n">
        <v>4413060</v>
      </c>
      <c r="B124" s="12" t="str">
        <f aca="false">IFERROR(INDEX('מאוחדת Raw'!$B:$B,MATCH($A124,'מאוחדת Raw'!$F:$F,0)),"")</f>
        <v>364 XLמפריד אצבע סיליקון ליבלת</v>
      </c>
      <c r="C124" s="12" t="n">
        <f aca="false">SUMIFS('מאוחדת Raw'!$D$7:$D$625,'מאוחדת Raw'!$F$7:$F$625,$A124,'מאוחדת Raw'!$C$7:$C$625,2025)</f>
        <v>327</v>
      </c>
      <c r="D124" s="12" t="n">
        <f aca="false">SUMIFS('מאוחדת Raw'!$D$7:$D$625,'מאוחדת Raw'!$F$7:$F$625,$A124,'מאוחדת Raw'!$C$7:$C$625,2026)</f>
        <v>224</v>
      </c>
      <c r="E124" s="12" t="n">
        <f aca="false">D124*$J$5</f>
        <v>282.947368421053</v>
      </c>
      <c r="F124" s="12" t="n">
        <f aca="false">E124-C124</f>
        <v>-44.0526315789474</v>
      </c>
      <c r="G124" s="21" t="n">
        <f aca="false">IF(AND(C124=0,E124=0),0,IF(C124=0,"New",(E124-C124)/C124))</f>
        <v>-0.134717527764365</v>
      </c>
      <c r="H124" s="12" t="n">
        <f aca="false">SUMIFS('מאוחדת Raw'!$E$7:$E$625,'מאוחדת Raw'!$F$7:$F$625,$A124,'מאוחדת Raw'!$C$7:$C$625,2025)</f>
        <v>3106.5</v>
      </c>
      <c r="I124" s="12" t="n">
        <f aca="false">SUMIFS('מאוחדת Raw'!$E$7:$E$625,'מאוחדת Raw'!$F$7:$F$625,$A124,'מאוחדת Raw'!$C$7:$C$625,2026)</f>
        <v>2037.7</v>
      </c>
      <c r="J124" s="12" t="n">
        <f aca="false">I124*$J$5</f>
        <v>2573.93684210526</v>
      </c>
    </row>
    <row r="125" customFormat="false" ht="15" hidden="false" customHeight="true" outlineLevel="0" collapsed="false">
      <c r="A125" s="12" t="n">
        <v>4413061</v>
      </c>
      <c r="B125" s="12" t="str">
        <f aca="false">IFERROR(INDEX('מאוחדת Raw'!$B:$B,MATCH($A125,'מאוחדת Raw'!$F:$F,0)),"")</f>
        <v>3641 0</v>
      </c>
      <c r="C125" s="12" t="n">
        <f aca="false">SUMIFS('מאוחדת Raw'!$D$7:$D$625,'מאוחדת Raw'!$F$7:$F$625,$A125,'מאוחדת Raw'!$C$7:$C$625,2025)</f>
        <v>199</v>
      </c>
      <c r="D125" s="12" t="n">
        <f aca="false">SUMIFS('מאוחדת Raw'!$D$7:$D$625,'מאוחדת Raw'!$F$7:$F$625,$A125,'מאוחדת Raw'!$C$7:$C$625,2026)</f>
        <v>23</v>
      </c>
      <c r="E125" s="12" t="n">
        <f aca="false">D125*$J$5</f>
        <v>29.0526315789474</v>
      </c>
      <c r="F125" s="12" t="n">
        <f aca="false">E125-C125</f>
        <v>-169.947368421053</v>
      </c>
      <c r="G125" s="21" t="n">
        <f aca="false">IF(AND(C125=0,E125=0),0,IF(C125=0,"New",(E125-C125)/C125))</f>
        <v>-0.854006876487702</v>
      </c>
      <c r="H125" s="12" t="n">
        <f aca="false">SUMIFS('מאוחדת Raw'!$E$7:$E$625,'מאוחדת Raw'!$F$7:$F$625,$A125,'מאוחדת Raw'!$C$7:$C$625,2025)</f>
        <v>2577.05</v>
      </c>
      <c r="I125" s="12" t="n">
        <f aca="false">SUMIFS('מאוחדת Raw'!$E$7:$E$625,'מאוחדת Raw'!$F$7:$F$625,$A125,'מאוחדת Raw'!$C$7:$C$625,2026)</f>
        <v>297.85</v>
      </c>
      <c r="J125" s="12" t="n">
        <f aca="false">I125*$J$5</f>
        <v>376.231578947368</v>
      </c>
    </row>
    <row r="126" customFormat="false" ht="15" hidden="false" customHeight="true" outlineLevel="0" collapsed="false">
      <c r="A126" s="12" t="n">
        <v>4413063</v>
      </c>
      <c r="B126" s="12" t="str">
        <f aca="false">IFERROR(INDEX('מאוחדת Raw'!$B:$B,MATCH($A126,'מאוחדת Raw'!$F:$F,0)),"")</f>
        <v>366S-'מדבק.לשחרור לחץ מיבלת2יח</v>
      </c>
      <c r="C126" s="12" t="n">
        <f aca="false">SUMIFS('מאוחדת Raw'!$D$7:$D$625,'מאוחדת Raw'!$F$7:$F$625,$A126,'מאוחדת Raw'!$C$7:$C$625,2025)</f>
        <v>151</v>
      </c>
      <c r="D126" s="12" t="n">
        <f aca="false">SUMIFS('מאוחדת Raw'!$D$7:$D$625,'מאוחדת Raw'!$F$7:$F$625,$A126,'מאוחדת Raw'!$C$7:$C$625,2026)</f>
        <v>98</v>
      </c>
      <c r="E126" s="12" t="n">
        <f aca="false">D126*$J$5</f>
        <v>123.789473684211</v>
      </c>
      <c r="F126" s="12" t="n">
        <f aca="false">E126-C126</f>
        <v>-27.2105263157895</v>
      </c>
      <c r="G126" s="21" t="n">
        <f aca="false">IF(AND(C126=0,E126=0),0,IF(C126=0,"New",(E126-C126)/C126))</f>
        <v>-0.180202161031718</v>
      </c>
      <c r="H126" s="12" t="n">
        <f aca="false">SUMIFS('מאוחדת Raw'!$E$7:$E$625,'מאוחדת Raw'!$F$7:$F$625,$A126,'מאוחדת Raw'!$C$7:$C$625,2025)</f>
        <v>1710.83</v>
      </c>
      <c r="I126" s="12" t="n">
        <f aca="false">SUMIFS('מאוחדת Raw'!$E$7:$E$625,'מאוחדת Raw'!$F$7:$F$625,$A126,'מאוחדת Raw'!$C$7:$C$625,2026)</f>
        <v>1062.19</v>
      </c>
      <c r="J126" s="12" t="n">
        <f aca="false">I126*$J$5</f>
        <v>1341.71368421053</v>
      </c>
    </row>
    <row r="127" customFormat="false" ht="15" hidden="false" customHeight="true" outlineLevel="0" collapsed="false">
      <c r="A127" s="12" t="n">
        <v>4413066</v>
      </c>
      <c r="B127" s="12" t="str">
        <f aca="false">IFERROR(INDEX('מאוחדת Raw'!$B:$B,MATCH($A127,'מאוחדת Raw'!$F:$F,0)),"")</f>
        <v>3677S-מד.לשחרור לחץ א.הבוניון</v>
      </c>
      <c r="C127" s="12" t="n">
        <f aca="false">SUMIFS('מאוחדת Raw'!$D$7:$D$625,'מאוחדת Raw'!$F$7:$F$625,$A127,'מאוחדת Raw'!$C$7:$C$625,2025)</f>
        <v>104</v>
      </c>
      <c r="D127" s="12" t="n">
        <f aca="false">SUMIFS('מאוחדת Raw'!$D$7:$D$625,'מאוחדת Raw'!$F$7:$F$625,$A127,'מאוחדת Raw'!$C$7:$C$625,2026)</f>
        <v>50</v>
      </c>
      <c r="E127" s="12" t="n">
        <f aca="false">D127*$J$5</f>
        <v>63.1578947368421</v>
      </c>
      <c r="F127" s="12" t="n">
        <f aca="false">E127-C127</f>
        <v>-40.8421052631579</v>
      </c>
      <c r="G127" s="21" t="n">
        <f aca="false">IF(AND(C127=0,E127=0),0,IF(C127=0,"New",(E127-C127)/C127))</f>
        <v>-0.392712550607288</v>
      </c>
      <c r="H127" s="12" t="n">
        <f aca="false">SUMIFS('מאוחדת Raw'!$E$7:$E$625,'מאוחדת Raw'!$F$7:$F$625,$A127,'מאוחדת Raw'!$C$7:$C$625,2025)</f>
        <v>1439.36</v>
      </c>
      <c r="I127" s="12" t="n">
        <f aca="false">SUMIFS('מאוחדת Raw'!$E$7:$E$625,'מאוחדת Raw'!$F$7:$F$625,$A127,'מאוחדת Raw'!$C$7:$C$625,2026)</f>
        <v>667.76</v>
      </c>
      <c r="J127" s="12" t="n">
        <f aca="false">I127*$J$5</f>
        <v>843.486315789474</v>
      </c>
    </row>
    <row r="128" customFormat="false" ht="15" hidden="false" customHeight="true" outlineLevel="0" collapsed="false">
      <c r="A128" s="12" t="n">
        <v>4413071</v>
      </c>
      <c r="B128" s="12" t="str">
        <f aca="false">IFERROR(INDEX('מאוחדת Raw'!$B:$B,MATCH($A128,'מאוחדת Raw'!$F:$F,0)),"")</f>
        <v>41 Sמ.ברך מוצלב+ספירלות בצדדים</v>
      </c>
      <c r="C128" s="12" t="n">
        <f aca="false">SUMIFS('מאוחדת Raw'!$D$7:$D$625,'מאוחדת Raw'!$F$7:$F$625,$A128,'מאוחדת Raw'!$C$7:$C$625,2025)</f>
        <v>3</v>
      </c>
      <c r="D128" s="12" t="n">
        <f aca="false">SUMIFS('מאוחדת Raw'!$D$7:$D$625,'מאוחדת Raw'!$F$7:$F$625,$A128,'מאוחדת Raw'!$C$7:$C$625,2026)</f>
        <v>5</v>
      </c>
      <c r="E128" s="12" t="n">
        <f aca="false">D128*$J$5</f>
        <v>6.31578947368421</v>
      </c>
      <c r="F128" s="12" t="n">
        <f aca="false">E128-C128</f>
        <v>3.31578947368421</v>
      </c>
      <c r="G128" s="21" t="n">
        <f aca="false">IF(AND(C128=0,E128=0),0,IF(C128=0,"New",(E128-C128)/C128))</f>
        <v>1.10526315789474</v>
      </c>
      <c r="H128" s="12" t="n">
        <f aca="false">SUMIFS('מאוחדת Raw'!$E$7:$E$625,'מאוחדת Raw'!$F$7:$F$625,$A128,'מאוחדת Raw'!$C$7:$C$625,2025)</f>
        <v>231.72</v>
      </c>
      <c r="I128" s="12" t="n">
        <f aca="false">SUMIFS('מאוחדת Raw'!$E$7:$E$625,'מאוחדת Raw'!$F$7:$F$625,$A128,'מאוחדת Raw'!$C$7:$C$625,2026)</f>
        <v>386.24</v>
      </c>
      <c r="J128" s="12" t="n">
        <f aca="false">I128*$J$5</f>
        <v>487.882105263158</v>
      </c>
    </row>
    <row r="129" customFormat="false" ht="15" hidden="false" customHeight="true" outlineLevel="0" collapsed="false">
      <c r="A129" s="12" t="n">
        <v>4413092</v>
      </c>
      <c r="B129" s="12" t="str">
        <f aca="false">IFERROR(INDEX('מאוחדת Raw'!$B:$B,MATCH($A129,'מאוחדת Raw'!$F:$F,0)),"")</f>
        <v>45 L מגן ברך לבן</v>
      </c>
      <c r="C129" s="12" t="n">
        <f aca="false">SUMIFS('מאוחדת Raw'!$D$7:$D$625,'מאוחדת Raw'!$F$7:$F$625,$A129,'מאוחדת Raw'!$C$7:$C$625,2025)</f>
        <v>646</v>
      </c>
      <c r="D129" s="12" t="n">
        <f aca="false">SUMIFS('מאוחדת Raw'!$D$7:$D$625,'מאוחדת Raw'!$F$7:$F$625,$A129,'מאוחדת Raw'!$C$7:$C$625,2026)</f>
        <v>373</v>
      </c>
      <c r="E129" s="12" t="n">
        <f aca="false">D129*$J$5</f>
        <v>471.157894736842</v>
      </c>
      <c r="F129" s="12" t="n">
        <f aca="false">E129-C129</f>
        <v>-174.842105263158</v>
      </c>
      <c r="G129" s="21" t="n">
        <f aca="false">IF(AND(C129=0,E129=0),0,IF(C129=0,"New",(E129-C129)/C129))</f>
        <v>-0.270653413720059</v>
      </c>
      <c r="H129" s="12" t="n">
        <f aca="false">SUMIFS('מאוחדת Raw'!$E$7:$E$625,'מאוחדת Raw'!$F$7:$F$625,$A129,'מאוחדת Raw'!$C$7:$C$625,2025)</f>
        <v>10659</v>
      </c>
      <c r="I129" s="12" t="n">
        <f aca="false">SUMIFS('מאוחדת Raw'!$E$7:$E$625,'מאוחדת Raw'!$F$7:$F$625,$A129,'מאוחדת Raw'!$C$7:$C$625,2026)</f>
        <v>6154.5</v>
      </c>
      <c r="J129" s="12" t="n">
        <f aca="false">I129*$J$5</f>
        <v>7774.10526315789</v>
      </c>
    </row>
    <row r="130" customFormat="false" ht="15" hidden="false" customHeight="true" outlineLevel="0" collapsed="false">
      <c r="A130" s="12" t="n">
        <v>4413093</v>
      </c>
      <c r="B130" s="12" t="str">
        <f aca="false">IFERROR(INDEX('מאוחדת Raw'!$B:$B,MATCH($A130,'מאוחדת Raw'!$F:$F,0)),"")</f>
        <v>45 M מגן ברך לבן</v>
      </c>
      <c r="C130" s="12" t="n">
        <f aca="false">SUMIFS('מאוחדת Raw'!$D$7:$D$625,'מאוחדת Raw'!$F$7:$F$625,$A130,'מאוחדת Raw'!$C$7:$C$625,2025)</f>
        <v>470</v>
      </c>
      <c r="D130" s="12" t="n">
        <f aca="false">SUMIFS('מאוחדת Raw'!$D$7:$D$625,'מאוחדת Raw'!$F$7:$F$625,$A130,'מאוחדת Raw'!$C$7:$C$625,2026)</f>
        <v>301</v>
      </c>
      <c r="E130" s="12" t="n">
        <f aca="false">D130*$J$5</f>
        <v>380.21052631579</v>
      </c>
      <c r="F130" s="12" t="n">
        <f aca="false">E130-C130</f>
        <v>-89.7894736842105</v>
      </c>
      <c r="G130" s="21" t="n">
        <f aca="false">IF(AND(C130=0,E130=0),0,IF(C130=0,"New",(E130-C130)/C130))</f>
        <v>-0.191041433370661</v>
      </c>
      <c r="H130" s="12" t="n">
        <f aca="false">SUMIFS('מאוחדת Raw'!$E$7:$E$625,'מאוחדת Raw'!$F$7:$F$625,$A130,'מאוחדת Raw'!$C$7:$C$625,2025)</f>
        <v>7755</v>
      </c>
      <c r="I130" s="12" t="n">
        <f aca="false">SUMIFS('מאוחדת Raw'!$E$7:$E$625,'מאוחדת Raw'!$F$7:$F$625,$A130,'מאוחדת Raw'!$C$7:$C$625,2026)</f>
        <v>4966.5</v>
      </c>
      <c r="J130" s="12" t="n">
        <f aca="false">I130*$J$5</f>
        <v>6273.47368421053</v>
      </c>
    </row>
    <row r="131" customFormat="false" ht="15" hidden="false" customHeight="true" outlineLevel="0" collapsed="false">
      <c r="A131" s="12" t="n">
        <v>4413094</v>
      </c>
      <c r="B131" s="12" t="str">
        <f aca="false">IFERROR(INDEX('מאוחדת Raw'!$B:$B,MATCH($A131,'מאוחדת Raw'!$F:$F,0)),"")</f>
        <v>45 S מגן ברך לבן</v>
      </c>
      <c r="C131" s="12" t="n">
        <f aca="false">SUMIFS('מאוחדת Raw'!$D$7:$D$625,'מאוחדת Raw'!$F$7:$F$625,$A131,'מאוחדת Raw'!$C$7:$C$625,2025)</f>
        <v>142</v>
      </c>
      <c r="D131" s="12" t="n">
        <f aca="false">SUMIFS('מאוחדת Raw'!$D$7:$D$625,'מאוחדת Raw'!$F$7:$F$625,$A131,'מאוחדת Raw'!$C$7:$C$625,2026)</f>
        <v>99</v>
      </c>
      <c r="E131" s="12" t="n">
        <f aca="false">D131*$J$5</f>
        <v>125.052631578947</v>
      </c>
      <c r="F131" s="12" t="n">
        <f aca="false">E131-C131</f>
        <v>-16.9473684210526</v>
      </c>
      <c r="G131" s="21" t="n">
        <f aca="false">IF(AND(C131=0,E131=0),0,IF(C131=0,"New",(E131-C131)/C131))</f>
        <v>-0.11934766493699</v>
      </c>
      <c r="H131" s="12" t="n">
        <f aca="false">SUMIFS('מאוחדת Raw'!$E$7:$E$625,'מאוחדת Raw'!$F$7:$F$625,$A131,'מאוחדת Raw'!$C$7:$C$625,2025)</f>
        <v>2343</v>
      </c>
      <c r="I131" s="12" t="n">
        <f aca="false">SUMIFS('מאוחדת Raw'!$E$7:$E$625,'מאוחדת Raw'!$F$7:$F$625,$A131,'מאוחדת Raw'!$C$7:$C$625,2026)</f>
        <v>1633.5</v>
      </c>
      <c r="J131" s="12" t="n">
        <f aca="false">I131*$J$5</f>
        <v>2063.36842105263</v>
      </c>
    </row>
    <row r="132" customFormat="false" ht="15" hidden="false" customHeight="true" outlineLevel="0" collapsed="false">
      <c r="A132" s="12" t="n">
        <v>4413095</v>
      </c>
      <c r="B132" s="12" t="str">
        <f aca="false">IFERROR(INDEX('מאוחדת Raw'!$B:$B,MATCH($A132,'מאוחדת Raw'!$F:$F,0)),"")</f>
        <v>45 XL מגן ברך לבן</v>
      </c>
      <c r="C132" s="12" t="n">
        <f aca="false">SUMIFS('מאוחדת Raw'!$D$7:$D$625,'מאוחדת Raw'!$F$7:$F$625,$A132,'מאוחדת Raw'!$C$7:$C$625,2025)</f>
        <v>383</v>
      </c>
      <c r="D132" s="12" t="n">
        <f aca="false">SUMIFS('מאוחדת Raw'!$D$7:$D$625,'מאוחדת Raw'!$F$7:$F$625,$A132,'מאוחדת Raw'!$C$7:$C$625,2026)</f>
        <v>214</v>
      </c>
      <c r="E132" s="12" t="n">
        <f aca="false">D132*$J$5</f>
        <v>270.315789473684</v>
      </c>
      <c r="F132" s="12" t="n">
        <f aca="false">E132-C132</f>
        <v>-112.684210526316</v>
      </c>
      <c r="G132" s="21" t="n">
        <f aca="false">IF(AND(C132=0,E132=0),0,IF(C132=0,"New",(E132-C132)/C132))</f>
        <v>-0.294214648893775</v>
      </c>
      <c r="H132" s="12" t="n">
        <f aca="false">SUMIFS('מאוחדת Raw'!$E$7:$E$625,'מאוחדת Raw'!$F$7:$F$625,$A132,'מאוחדת Raw'!$C$7:$C$625,2025)</f>
        <v>6319.5</v>
      </c>
      <c r="I132" s="12" t="n">
        <f aca="false">SUMIFS('מאוחדת Raw'!$E$7:$E$625,'מאוחדת Raw'!$F$7:$F$625,$A132,'מאוחדת Raw'!$C$7:$C$625,2026)</f>
        <v>3403.1</v>
      </c>
      <c r="J132" s="12" t="n">
        <f aca="false">I132*$J$5</f>
        <v>4298.65263157895</v>
      </c>
    </row>
    <row r="133" customFormat="false" ht="15" hidden="false" customHeight="true" outlineLevel="0" collapsed="false">
      <c r="A133" s="12" t="n">
        <v>4413096</v>
      </c>
      <c r="B133" s="12" t="str">
        <f aca="false">IFERROR(INDEX('מאוחדת Raw'!$B:$B,MATCH($A133,'מאוחדת Raw'!$F:$F,0)),"")</f>
        <v>45 XXL מגן ברך לבן</v>
      </c>
      <c r="C133" s="12" t="n">
        <f aca="false">SUMIFS('מאוחדת Raw'!$D$7:$D$625,'מאוחדת Raw'!$F$7:$F$625,$A133,'מאוחדת Raw'!$C$7:$C$625,2025)</f>
        <v>178</v>
      </c>
      <c r="D133" s="12" t="n">
        <f aca="false">SUMIFS('מאוחדת Raw'!$D$7:$D$625,'מאוחדת Raw'!$F$7:$F$625,$A133,'מאוחדת Raw'!$C$7:$C$625,2026)</f>
        <v>93</v>
      </c>
      <c r="E133" s="12" t="n">
        <f aca="false">D133*$J$5</f>
        <v>117.473684210526</v>
      </c>
      <c r="F133" s="12" t="n">
        <f aca="false">E133-C133</f>
        <v>-60.5263157894737</v>
      </c>
      <c r="G133" s="21" t="n">
        <f aca="false">IF(AND(C133=0,E133=0),0,IF(C133=0,"New",(E133-C133)/C133))</f>
        <v>-0.340035481963335</v>
      </c>
      <c r="H133" s="12" t="n">
        <f aca="false">SUMIFS('מאוחדת Raw'!$E$7:$E$625,'מאוחדת Raw'!$F$7:$F$625,$A133,'מאוחדת Raw'!$C$7:$C$625,2025)</f>
        <v>2937</v>
      </c>
      <c r="I133" s="12" t="n">
        <f aca="false">SUMIFS('מאוחדת Raw'!$E$7:$E$625,'מאוחדת Raw'!$F$7:$F$625,$A133,'מאוחדת Raw'!$C$7:$C$625,2026)</f>
        <v>1489.1</v>
      </c>
      <c r="J133" s="12" t="n">
        <f aca="false">I133*$J$5</f>
        <v>1880.96842105263</v>
      </c>
    </row>
    <row r="134" customFormat="false" ht="15" hidden="false" customHeight="true" outlineLevel="0" collapsed="false">
      <c r="A134" s="12" t="n">
        <v>4413101</v>
      </c>
      <c r="B134" s="12" t="str">
        <f aca="false">IFERROR(INDEX('מאוחדת Raw'!$B:$B,MATCH($A134,'מאוחדת Raw'!$F:$F,0)),"")</f>
        <v>45E Sמגן ברך ארוך לבן</v>
      </c>
      <c r="C134" s="12" t="n">
        <f aca="false">SUMIFS('מאוחדת Raw'!$D$7:$D$625,'מאוחדת Raw'!$F$7:$F$625,$A134,'מאוחדת Raw'!$C$7:$C$625,2025)</f>
        <v>80</v>
      </c>
      <c r="D134" s="12" t="n">
        <f aca="false">SUMIFS('מאוחדת Raw'!$D$7:$D$625,'מאוחדת Raw'!$F$7:$F$625,$A134,'מאוחדת Raw'!$C$7:$C$625,2026)</f>
        <v>78</v>
      </c>
      <c r="E134" s="12" t="n">
        <f aca="false">D134*$J$5</f>
        <v>98.5263157894737</v>
      </c>
      <c r="F134" s="12" t="n">
        <f aca="false">E134-C134</f>
        <v>18.5263157894737</v>
      </c>
      <c r="G134" s="21" t="n">
        <f aca="false">IF(AND(C134=0,E134=0),0,IF(C134=0,"New",(E134-C134)/C134))</f>
        <v>0.231578947368421</v>
      </c>
      <c r="H134" s="12" t="n">
        <f aca="false">SUMIFS('מאוחדת Raw'!$E$7:$E$625,'מאוחדת Raw'!$F$7:$F$625,$A134,'מאוחדת Raw'!$C$7:$C$625,2025)</f>
        <v>1640</v>
      </c>
      <c r="I134" s="12" t="n">
        <f aca="false">SUMIFS('מאוחדת Raw'!$E$7:$E$625,'מאוחדת Raw'!$F$7:$F$625,$A134,'מאוחדת Raw'!$C$7:$C$625,2026)</f>
        <v>1568.3</v>
      </c>
      <c r="J134" s="12" t="n">
        <f aca="false">I134*$J$5</f>
        <v>1981.01052631579</v>
      </c>
    </row>
    <row r="135" customFormat="false" ht="15" hidden="false" customHeight="true" outlineLevel="0" collapsed="false">
      <c r="A135" s="12" t="n">
        <v>4413102</v>
      </c>
      <c r="B135" s="12" t="str">
        <f aca="false">IFERROR(INDEX('מאוחדת Raw'!$B:$B,MATCH($A135,'מאוחדת Raw'!$F:$F,0)),"")</f>
        <v>45E  L        מגן ברך ארוך לבן</v>
      </c>
      <c r="C135" s="12" t="n">
        <f aca="false">SUMIFS('מאוחדת Raw'!$D$7:$D$625,'מאוחדת Raw'!$F$7:$F$625,$A135,'מאוחדת Raw'!$C$7:$C$625,2025)</f>
        <v>374</v>
      </c>
      <c r="D135" s="12" t="n">
        <f aca="false">SUMIFS('מאוחדת Raw'!$D$7:$D$625,'מאוחדת Raw'!$F$7:$F$625,$A135,'מאוחדת Raw'!$C$7:$C$625,2026)</f>
        <v>236</v>
      </c>
      <c r="E135" s="12" t="n">
        <f aca="false">D135*$J$5</f>
        <v>298.105263157895</v>
      </c>
      <c r="F135" s="12" t="n">
        <f aca="false">E135-C135</f>
        <v>-75.8947368421053</v>
      </c>
      <c r="G135" s="21" t="n">
        <f aca="false">IF(AND(C135=0,E135=0),0,IF(C135=0,"New",(E135-C135)/C135))</f>
        <v>-0.202927103855896</v>
      </c>
      <c r="H135" s="12" t="n">
        <f aca="false">SUMIFS('מאוחדת Raw'!$E$7:$E$625,'מאוחדת Raw'!$F$7:$F$625,$A135,'מאוחדת Raw'!$C$7:$C$625,2025)</f>
        <v>7667</v>
      </c>
      <c r="I135" s="12" t="n">
        <f aca="false">SUMIFS('מאוחדת Raw'!$E$7:$E$625,'מאוחדת Raw'!$F$7:$F$625,$A135,'מאוחדת Raw'!$C$7:$C$625,2026)</f>
        <v>4735.5</v>
      </c>
      <c r="J135" s="12" t="n">
        <f aca="false">I135*$J$5</f>
        <v>5981.68421052632</v>
      </c>
    </row>
    <row r="136" customFormat="false" ht="15" hidden="false" customHeight="true" outlineLevel="0" collapsed="false">
      <c r="A136" s="12" t="n">
        <v>4413103</v>
      </c>
      <c r="B136" s="12" t="str">
        <f aca="false">IFERROR(INDEX('מאוחדת Raw'!$B:$B,MATCH($A136,'מאוחדת Raw'!$F:$F,0)),"")</f>
        <v>45E Mמגן ברך ארוך לבן</v>
      </c>
      <c r="C136" s="12" t="n">
        <f aca="false">SUMIFS('מאוחדת Raw'!$D$7:$D$625,'מאוחדת Raw'!$F$7:$F$625,$A136,'מאוחדת Raw'!$C$7:$C$625,2025)</f>
        <v>329</v>
      </c>
      <c r="D136" s="12" t="n">
        <f aca="false">SUMIFS('מאוחדת Raw'!$D$7:$D$625,'מאוחדת Raw'!$F$7:$F$625,$A136,'מאוחדת Raw'!$C$7:$C$625,2026)</f>
        <v>210</v>
      </c>
      <c r="E136" s="12" t="n">
        <f aca="false">D136*$J$5</f>
        <v>265.263157894737</v>
      </c>
      <c r="F136" s="12" t="n">
        <f aca="false">E136-C136</f>
        <v>-63.7368421052632</v>
      </c>
      <c r="G136" s="21" t="n">
        <f aca="false">IF(AND(C136=0,E136=0),0,IF(C136=0,"New",(E136-C136)/C136))</f>
        <v>-0.193729003359463</v>
      </c>
      <c r="H136" s="12" t="n">
        <f aca="false">SUMIFS('מאוחדת Raw'!$E$7:$E$625,'מאוחדת Raw'!$F$7:$F$625,$A136,'מאוחדת Raw'!$C$7:$C$625,2025)</f>
        <v>6744.5</v>
      </c>
      <c r="I136" s="12" t="n">
        <f aca="false">SUMIFS('מאוחדת Raw'!$E$7:$E$625,'מאוחדת Raw'!$F$7:$F$625,$A136,'מאוחדת Raw'!$C$7:$C$625,2026)</f>
        <v>4212.7</v>
      </c>
      <c r="J136" s="12" t="n">
        <f aca="false">I136*$J$5</f>
        <v>5321.30526315789</v>
      </c>
    </row>
    <row r="137" customFormat="false" ht="15" hidden="false" customHeight="true" outlineLevel="0" collapsed="false">
      <c r="A137" s="12" t="n">
        <v>4413104</v>
      </c>
      <c r="B137" s="12" t="str">
        <f aca="false">IFERROR(INDEX('מאוחדת Raw'!$B:$B,MATCH($A137,'מאוחדת Raw'!$F:$F,0)),"")</f>
        <v>45E XLמגן ברך ארוך לבן</v>
      </c>
      <c r="C137" s="12" t="n">
        <f aca="false">SUMIFS('מאוחדת Raw'!$D$7:$D$625,'מאוחדת Raw'!$F$7:$F$625,$A137,'מאוחדת Raw'!$C$7:$C$625,2025)</f>
        <v>290</v>
      </c>
      <c r="D137" s="12" t="n">
        <f aca="false">SUMIFS('מאוחדת Raw'!$D$7:$D$625,'מאוחדת Raw'!$F$7:$F$625,$A137,'מאוחדת Raw'!$C$7:$C$625,2026)</f>
        <v>191</v>
      </c>
      <c r="E137" s="12" t="n">
        <f aca="false">D137*$J$5</f>
        <v>241.263157894737</v>
      </c>
      <c r="F137" s="12" t="n">
        <f aca="false">E137-C137</f>
        <v>-48.7368421052632</v>
      </c>
      <c r="G137" s="21" t="n">
        <f aca="false">IF(AND(C137=0,E137=0),0,IF(C137=0,"New",(E137-C137)/C137))</f>
        <v>-0.168058076225045</v>
      </c>
      <c r="H137" s="12" t="n">
        <f aca="false">SUMIFS('מאוחדת Raw'!$E$7:$E$625,'מאוחדת Raw'!$F$7:$F$625,$A137,'מאוחדת Raw'!$C$7:$C$625,2025)</f>
        <v>5945</v>
      </c>
      <c r="I137" s="12" t="n">
        <f aca="false">SUMIFS('מאוחדת Raw'!$E$7:$E$625,'מאוחדת Raw'!$F$7:$F$625,$A137,'מאוחדת Raw'!$C$7:$C$625,2026)</f>
        <v>3823.2</v>
      </c>
      <c r="J137" s="12" t="n">
        <f aca="false">I137*$J$5</f>
        <v>4829.30526315789</v>
      </c>
    </row>
    <row r="138" customFormat="false" ht="15" hidden="false" customHeight="true" outlineLevel="0" collapsed="false">
      <c r="A138" s="12" t="n">
        <v>4413105</v>
      </c>
      <c r="B138" s="12" t="str">
        <f aca="false">IFERROR(INDEX('מאוחדת Raw'!$B:$B,MATCH($A138,'מאוחדת Raw'!$F:$F,0)),"")</f>
        <v>45E XXLמגן ברך ארוך לבן</v>
      </c>
      <c r="C138" s="12" t="n">
        <f aca="false">SUMIFS('מאוחדת Raw'!$D$7:$D$625,'מאוחדת Raw'!$F$7:$F$625,$A138,'מאוחדת Raw'!$C$7:$C$625,2025)</f>
        <v>135</v>
      </c>
      <c r="D138" s="12" t="n">
        <f aca="false">SUMIFS('מאוחדת Raw'!$D$7:$D$625,'מאוחדת Raw'!$F$7:$F$625,$A138,'מאוחדת Raw'!$C$7:$C$625,2026)</f>
        <v>82</v>
      </c>
      <c r="E138" s="12" t="n">
        <f aca="false">D138*$J$5</f>
        <v>103.578947368421</v>
      </c>
      <c r="F138" s="12" t="n">
        <f aca="false">E138-C138</f>
        <v>-31.421052631579</v>
      </c>
      <c r="G138" s="21" t="n">
        <f aca="false">IF(AND(C138=0,E138=0),0,IF(C138=0,"New",(E138-C138)/C138))</f>
        <v>-0.232748538011696</v>
      </c>
      <c r="H138" s="12" t="n">
        <f aca="false">SUMIFS('מאוחדת Raw'!$E$7:$E$625,'מאוחדת Raw'!$F$7:$F$625,$A138,'מאוחדת Raw'!$C$7:$C$625,2025)</f>
        <v>2767.5</v>
      </c>
      <c r="I138" s="12" t="n">
        <f aca="false">SUMIFS('מאוחדת Raw'!$E$7:$E$625,'מאוחדת Raw'!$F$7:$F$625,$A138,'מאוחדת Raw'!$C$7:$C$625,2026)</f>
        <v>1665.6</v>
      </c>
      <c r="J138" s="12" t="n">
        <f aca="false">I138*$J$5</f>
        <v>2103.91578947368</v>
      </c>
    </row>
    <row r="139" customFormat="false" ht="15" hidden="false" customHeight="true" outlineLevel="0" collapsed="false">
      <c r="A139" s="12" t="n">
        <v>4413111</v>
      </c>
      <c r="B139" s="12" t="str">
        <f aca="false">IFERROR(INDEX('מאוחדת Raw'!$B:$B,MATCH($A139,'מאוחדת Raw'!$F:$F,0)),"")</f>
        <v>49  S מגן ירך</v>
      </c>
      <c r="C139" s="12" t="n">
        <f aca="false">SUMIFS('מאוחדת Raw'!$D$7:$D$625,'מאוחדת Raw'!$F$7:$F$625,$A139,'מאוחדת Raw'!$C$7:$C$625,2025)</f>
        <v>0</v>
      </c>
      <c r="D139" s="12" t="n">
        <f aca="false">SUMIFS('מאוחדת Raw'!$D$7:$D$625,'מאוחדת Raw'!$F$7:$F$625,$A139,'מאוחדת Raw'!$C$7:$C$625,2026)</f>
        <v>2</v>
      </c>
      <c r="E139" s="12" t="n">
        <f aca="false">D139*$J$5</f>
        <v>2.52631578947368</v>
      </c>
      <c r="F139" s="12" t="n">
        <f aca="false">E139-C139</f>
        <v>2.52631578947368</v>
      </c>
      <c r="G139" s="21" t="str">
        <f aca="false">IF(AND(C139=0,E139=0),0,IF(C139=0,"New",(E139-C139)/C139))</f>
        <v>New</v>
      </c>
      <c r="H139" s="12" t="n">
        <f aca="false">SUMIFS('מאוחדת Raw'!$E$7:$E$625,'מאוחדת Raw'!$F$7:$F$625,$A139,'מאוחדת Raw'!$C$7:$C$625,2025)</f>
        <v>0</v>
      </c>
      <c r="I139" s="12" t="n">
        <f aca="false">SUMIFS('מאוחדת Raw'!$E$7:$E$625,'מאוחדת Raw'!$F$7:$F$625,$A139,'מאוחדת Raw'!$C$7:$C$625,2026)</f>
        <v>42</v>
      </c>
      <c r="J139" s="12" t="n">
        <f aca="false">I139*$J$5</f>
        <v>53.0526315789474</v>
      </c>
    </row>
    <row r="140" customFormat="false" ht="15" hidden="false" customHeight="true" outlineLevel="0" collapsed="false">
      <c r="A140" s="12" t="n">
        <v>4413112</v>
      </c>
      <c r="B140" s="12" t="str">
        <f aca="false">IFERROR(INDEX('מאוחדת Raw'!$B:$B,MATCH($A140,'מאוחדת Raw'!$F:$F,0)),"")</f>
        <v>49  L מגן ירך</v>
      </c>
      <c r="C140" s="12" t="n">
        <f aca="false">SUMIFS('מאוחדת Raw'!$D$7:$D$625,'מאוחדת Raw'!$F$7:$F$625,$A140,'מאוחדת Raw'!$C$7:$C$625,2025)</f>
        <v>11</v>
      </c>
      <c r="D140" s="12" t="n">
        <f aca="false">SUMIFS('מאוחדת Raw'!$D$7:$D$625,'מאוחדת Raw'!$F$7:$F$625,$A140,'מאוחדת Raw'!$C$7:$C$625,2026)</f>
        <v>12</v>
      </c>
      <c r="E140" s="12" t="n">
        <f aca="false">D140*$J$5</f>
        <v>15.1578947368421</v>
      </c>
      <c r="F140" s="12" t="n">
        <f aca="false">E140-C140</f>
        <v>4.1578947368421</v>
      </c>
      <c r="G140" s="21" t="n">
        <f aca="false">IF(AND(C140=0,E140=0),0,IF(C140=0,"New",(E140-C140)/C140))</f>
        <v>0.37799043062201</v>
      </c>
      <c r="H140" s="12" t="n">
        <f aca="false">SUMIFS('מאוחדת Raw'!$E$7:$E$625,'מאוחדת Raw'!$F$7:$F$625,$A140,'מאוחדת Raw'!$C$7:$C$625,2025)</f>
        <v>231</v>
      </c>
      <c r="I140" s="12" t="n">
        <f aca="false">SUMIFS('מאוחדת Raw'!$E$7:$E$625,'מאוחדת Raw'!$F$7:$F$625,$A140,'מאוחדת Raw'!$C$7:$C$625,2026)</f>
        <v>225.8</v>
      </c>
      <c r="J140" s="12" t="n">
        <f aca="false">I140*$J$5</f>
        <v>285.221052631579</v>
      </c>
    </row>
    <row r="141" customFormat="false" ht="15" hidden="false" customHeight="true" outlineLevel="0" collapsed="false">
      <c r="A141" s="12" t="n">
        <v>4413113</v>
      </c>
      <c r="B141" s="12" t="str">
        <f aca="false">IFERROR(INDEX('מאוחדת Raw'!$B:$B,MATCH($A141,'מאוחדת Raw'!$F:$F,0)),"")</f>
        <v>49 M</v>
      </c>
      <c r="C141" s="12" t="n">
        <f aca="false">SUMIFS('מאוחדת Raw'!$D$7:$D$625,'מאוחדת Raw'!$F$7:$F$625,$A141,'מאוחדת Raw'!$C$7:$C$625,2025)</f>
        <v>7</v>
      </c>
      <c r="D141" s="12" t="n">
        <f aca="false">SUMIFS('מאוחדת Raw'!$D$7:$D$625,'מאוחדת Raw'!$F$7:$F$625,$A141,'מאוחדת Raw'!$C$7:$C$625,2026)</f>
        <v>7</v>
      </c>
      <c r="E141" s="12" t="n">
        <f aca="false">D141*$J$5</f>
        <v>8.84210526315789</v>
      </c>
      <c r="F141" s="12" t="n">
        <f aca="false">E141-C141</f>
        <v>1.84210526315789</v>
      </c>
      <c r="G141" s="21" t="n">
        <f aca="false">IF(AND(C141=0,E141=0),0,IF(C141=0,"New",(E141-C141)/C141))</f>
        <v>0.263157894736842</v>
      </c>
      <c r="H141" s="12" t="n">
        <f aca="false">SUMIFS('מאוחדת Raw'!$E$7:$E$625,'מאוחדת Raw'!$F$7:$F$625,$A141,'מאוחדת Raw'!$C$7:$C$625,2025)</f>
        <v>147</v>
      </c>
      <c r="I141" s="12" t="n">
        <f aca="false">SUMIFS('מאוחדת Raw'!$E$7:$E$625,'מאוחדת Raw'!$F$7:$F$625,$A141,'מאוחדת Raw'!$C$7:$C$625,2026)</f>
        <v>147</v>
      </c>
      <c r="J141" s="12" t="n">
        <f aca="false">I141*$J$5</f>
        <v>185.684210526316</v>
      </c>
    </row>
    <row r="142" customFormat="false" ht="15" hidden="false" customHeight="true" outlineLevel="0" collapsed="false">
      <c r="A142" s="12" t="n">
        <v>4413114</v>
      </c>
      <c r="B142" s="12" t="str">
        <f aca="false">IFERROR(INDEX('מאוחדת Raw'!$B:$B,MATCH($A142,'מאוחדת Raw'!$F:$F,0)),"")</f>
        <v>49 XL מגן ירך</v>
      </c>
      <c r="C142" s="12" t="n">
        <f aca="false">SUMIFS('מאוחדת Raw'!$D$7:$D$625,'מאוחדת Raw'!$F$7:$F$625,$A142,'מאוחדת Raw'!$C$7:$C$625,2025)</f>
        <v>10</v>
      </c>
      <c r="D142" s="12" t="n">
        <f aca="false">SUMIFS('מאוחדת Raw'!$D$7:$D$625,'מאוחדת Raw'!$F$7:$F$625,$A142,'מאוחדת Raw'!$C$7:$C$625,2026)</f>
        <v>17</v>
      </c>
      <c r="E142" s="12" t="n">
        <f aca="false">D142*$J$5</f>
        <v>21.4736842105263</v>
      </c>
      <c r="F142" s="12" t="n">
        <f aca="false">E142-C142</f>
        <v>11.4736842105263</v>
      </c>
      <c r="G142" s="21" t="n">
        <f aca="false">IF(AND(C142=0,E142=0),0,IF(C142=0,"New",(E142-C142)/C142))</f>
        <v>1.14736842105263</v>
      </c>
      <c r="H142" s="12" t="n">
        <f aca="false">SUMIFS('מאוחדת Raw'!$E$7:$E$625,'מאוחדת Raw'!$F$7:$F$625,$A142,'מאוחדת Raw'!$C$7:$C$625,2025)</f>
        <v>210</v>
      </c>
      <c r="I142" s="12" t="n">
        <f aca="false">SUMIFS('מאוחדת Raw'!$E$7:$E$625,'מאוחדת Raw'!$F$7:$F$625,$A142,'מאוחדת Raw'!$C$7:$C$625,2026)</f>
        <v>330.8</v>
      </c>
      <c r="J142" s="12" t="n">
        <f aca="false">I142*$J$5</f>
        <v>417.852631578947</v>
      </c>
    </row>
    <row r="143" customFormat="false" ht="15" hidden="false" customHeight="true" outlineLevel="0" collapsed="false">
      <c r="A143" s="12" t="n">
        <v>4413115</v>
      </c>
      <c r="B143" s="12" t="str">
        <f aca="false">IFERROR(INDEX('מאוחדת Raw'!$B:$B,MATCH($A143,'מאוחדת Raw'!$F:$F,0)),"")</f>
        <v>49 XXL</v>
      </c>
      <c r="C143" s="12" t="n">
        <f aca="false">SUMIFS('מאוחדת Raw'!$D$7:$D$625,'מאוחדת Raw'!$F$7:$F$625,$A143,'מאוחדת Raw'!$C$7:$C$625,2025)</f>
        <v>1</v>
      </c>
      <c r="D143" s="12" t="n">
        <f aca="false">SUMIFS('מאוחדת Raw'!$D$7:$D$625,'מאוחדת Raw'!$F$7:$F$625,$A143,'מאוחדת Raw'!$C$7:$C$625,2026)</f>
        <v>0</v>
      </c>
      <c r="E143" s="12" t="n">
        <f aca="false">D143*$J$5</f>
        <v>0</v>
      </c>
      <c r="F143" s="12" t="n">
        <f aca="false">E143-C143</f>
        <v>-1</v>
      </c>
      <c r="G143" s="21" t="n">
        <f aca="false">IF(AND(C143=0,E143=0),0,IF(C143=0,"New",(E143-C143)/C143))</f>
        <v>-1</v>
      </c>
      <c r="H143" s="12" t="n">
        <f aca="false">SUMIFS('מאוחדת Raw'!$E$7:$E$625,'מאוחדת Raw'!$F$7:$F$625,$A143,'מאוחדת Raw'!$C$7:$C$625,2025)</f>
        <v>21</v>
      </c>
      <c r="I143" s="12" t="n">
        <f aca="false">SUMIFS('מאוחדת Raw'!$E$7:$E$625,'מאוחדת Raw'!$F$7:$F$625,$A143,'מאוחדת Raw'!$C$7:$C$625,2026)</f>
        <v>0</v>
      </c>
      <c r="J143" s="12" t="n">
        <f aca="false">I143*$J$5</f>
        <v>0</v>
      </c>
    </row>
    <row r="144" customFormat="false" ht="15" hidden="false" customHeight="true" outlineLevel="0" collapsed="false">
      <c r="A144" s="12" t="n">
        <v>4413131</v>
      </c>
      <c r="B144" s="12" t="str">
        <f aca="false">IFERROR(INDEX('מאוחדת Raw'!$B:$B,MATCH($A144,'מאוחדת Raw'!$F:$F,0)),"")</f>
        <v>76 Sמיישר כתף יציב יישור ג.רחב</v>
      </c>
      <c r="C144" s="12" t="n">
        <f aca="false">SUMIFS('מאוחדת Raw'!$D$7:$D$625,'מאוחדת Raw'!$F$7:$F$625,$A144,'מאוחדת Raw'!$C$7:$C$625,2025)</f>
        <v>14</v>
      </c>
      <c r="D144" s="12" t="n">
        <f aca="false">SUMIFS('מאוחדת Raw'!$D$7:$D$625,'מאוחדת Raw'!$F$7:$F$625,$A144,'מאוחדת Raw'!$C$7:$C$625,2026)</f>
        <v>5</v>
      </c>
      <c r="E144" s="12" t="n">
        <f aca="false">D144*$J$5</f>
        <v>6.31578947368421</v>
      </c>
      <c r="F144" s="12" t="n">
        <f aca="false">E144-C144</f>
        <v>-7.68421052631579</v>
      </c>
      <c r="G144" s="21" t="n">
        <f aca="false">IF(AND(C144=0,E144=0),0,IF(C144=0,"New",(E144-C144)/C144))</f>
        <v>-0.548872180451128</v>
      </c>
      <c r="H144" s="12" t="n">
        <f aca="false">SUMIFS('מאוחדת Raw'!$E$7:$E$625,'מאוחדת Raw'!$F$7:$F$625,$A144,'מאוחדת Raw'!$C$7:$C$625,2025)</f>
        <v>1908.2</v>
      </c>
      <c r="I144" s="12" t="n">
        <f aca="false">SUMIFS('מאוחדת Raw'!$E$7:$E$625,'מאוחדת Raw'!$F$7:$F$625,$A144,'מאוחדת Raw'!$C$7:$C$625,2026)</f>
        <v>681.5</v>
      </c>
      <c r="J144" s="12" t="n">
        <f aca="false">I144*$J$5</f>
        <v>860.842105263158</v>
      </c>
    </row>
    <row r="145" customFormat="false" ht="15" hidden="false" customHeight="true" outlineLevel="0" collapsed="false">
      <c r="A145" s="12" t="n">
        <v>4413132</v>
      </c>
      <c r="B145" s="12" t="str">
        <f aca="false">IFERROR(INDEX('מאוחדת Raw'!$B:$B,MATCH($A145,'מאוחדת Raw'!$F:$F,0)),"")</f>
        <v>76 Lמיישר כתף יציב יישור רחב</v>
      </c>
      <c r="C145" s="12" t="n">
        <f aca="false">SUMIFS('מאוחדת Raw'!$D$7:$D$625,'מאוחדת Raw'!$F$7:$F$625,$A145,'מאוחדת Raw'!$C$7:$C$625,2025)</f>
        <v>19</v>
      </c>
      <c r="D145" s="12" t="n">
        <f aca="false">SUMIFS('מאוחדת Raw'!$D$7:$D$625,'מאוחדת Raw'!$F$7:$F$625,$A145,'מאוחדת Raw'!$C$7:$C$625,2026)</f>
        <v>12</v>
      </c>
      <c r="E145" s="12" t="n">
        <f aca="false">D145*$J$5</f>
        <v>15.1578947368421</v>
      </c>
      <c r="F145" s="12" t="n">
        <f aca="false">E145-C145</f>
        <v>-3.8421052631579</v>
      </c>
      <c r="G145" s="21" t="n">
        <f aca="false">IF(AND(C145=0,E145=0),0,IF(C145=0,"New",(E145-C145)/C145))</f>
        <v>-0.202216066481995</v>
      </c>
      <c r="H145" s="12" t="n">
        <f aca="false">SUMIFS('מאוחדת Raw'!$E$7:$E$625,'מאוחדת Raw'!$F$7:$F$625,$A145,'מאוחדת Raw'!$C$7:$C$625,2025)</f>
        <v>2589.7</v>
      </c>
      <c r="I145" s="12" t="n">
        <f aca="false">SUMIFS('מאוחדת Raw'!$E$7:$E$625,'מאוחדת Raw'!$F$7:$F$625,$A145,'מאוחדת Raw'!$C$7:$C$625,2026)</f>
        <v>1635.6</v>
      </c>
      <c r="J145" s="12" t="n">
        <f aca="false">I145*$J$5</f>
        <v>2066.02105263158</v>
      </c>
    </row>
    <row r="146" customFormat="false" ht="15" hidden="false" customHeight="true" outlineLevel="0" collapsed="false">
      <c r="A146" s="12" t="n">
        <v>4413133</v>
      </c>
      <c r="B146" s="12" t="str">
        <f aca="false">IFERROR(INDEX('מאוחדת Raw'!$B:$B,MATCH($A146,'מאוחדת Raw'!$F:$F,0)),"")</f>
        <v>76 Mמיישר כתף יציב,יישור רחב</v>
      </c>
      <c r="C146" s="12" t="n">
        <f aca="false">SUMIFS('מאוחדת Raw'!$D$7:$D$625,'מאוחדת Raw'!$F$7:$F$625,$A146,'מאוחדת Raw'!$C$7:$C$625,2025)</f>
        <v>24</v>
      </c>
      <c r="D146" s="12" t="n">
        <f aca="false">SUMIFS('מאוחדת Raw'!$D$7:$D$625,'מאוחדת Raw'!$F$7:$F$625,$A146,'מאוחדת Raw'!$C$7:$C$625,2026)</f>
        <v>14</v>
      </c>
      <c r="E146" s="12" t="n">
        <f aca="false">D146*$J$5</f>
        <v>17.6842105263158</v>
      </c>
      <c r="F146" s="12" t="n">
        <f aca="false">E146-C146</f>
        <v>-6.31578947368421</v>
      </c>
      <c r="G146" s="21" t="n">
        <f aca="false">IF(AND(C146=0,E146=0),0,IF(C146=0,"New",(E146-C146)/C146))</f>
        <v>-0.263157894736842</v>
      </c>
      <c r="H146" s="12" t="n">
        <f aca="false">SUMIFS('מאוחדת Raw'!$E$7:$E$625,'מאוחדת Raw'!$F$7:$F$625,$A146,'מאוחדת Raw'!$C$7:$C$625,2025)</f>
        <v>3271.2</v>
      </c>
      <c r="I146" s="12" t="n">
        <f aca="false">SUMIFS('מאוחדת Raw'!$E$7:$E$625,'מאוחדת Raw'!$F$7:$F$625,$A146,'מאוחדת Raw'!$C$7:$C$625,2026)</f>
        <v>1908.2</v>
      </c>
      <c r="J146" s="12" t="n">
        <f aca="false">I146*$J$5</f>
        <v>2410.35789473684</v>
      </c>
    </row>
    <row r="147" customFormat="false" ht="15" hidden="false" customHeight="true" outlineLevel="0" collapsed="false">
      <c r="A147" s="12" t="n">
        <v>4413134</v>
      </c>
      <c r="B147" s="12" t="str">
        <f aca="false">IFERROR(INDEX('מאוחדת Raw'!$B:$B,MATCH($A147,'מאוחדת Raw'!$F:$F,0)),"")</f>
        <v>76 XLמיישר כתף יציב יישור רחב</v>
      </c>
      <c r="C147" s="12" t="n">
        <f aca="false">SUMIFS('מאוחדת Raw'!$D$7:$D$625,'מאוחדת Raw'!$F$7:$F$625,$A147,'מאוחדת Raw'!$C$7:$C$625,2025)</f>
        <v>7</v>
      </c>
      <c r="D147" s="12" t="n">
        <f aca="false">SUMIFS('מאוחדת Raw'!$D$7:$D$625,'מאוחדת Raw'!$F$7:$F$625,$A147,'מאוחדת Raw'!$C$7:$C$625,2026)</f>
        <v>15</v>
      </c>
      <c r="E147" s="12" t="n">
        <f aca="false">D147*$J$5</f>
        <v>18.9473684210526</v>
      </c>
      <c r="F147" s="12" t="n">
        <f aca="false">E147-C147</f>
        <v>11.9473684210526</v>
      </c>
      <c r="G147" s="21" t="n">
        <f aca="false">IF(AND(C147=0,E147=0),0,IF(C147=0,"New",(E147-C147)/C147))</f>
        <v>1.70676691729323</v>
      </c>
      <c r="H147" s="12" t="n">
        <f aca="false">SUMIFS('מאוחדת Raw'!$E$7:$E$625,'מאוחדת Raw'!$F$7:$F$625,$A147,'מאוחדת Raw'!$C$7:$C$625,2025)</f>
        <v>954.1</v>
      </c>
      <c r="I147" s="12" t="n">
        <f aca="false">SUMIFS('מאוחדת Raw'!$E$7:$E$625,'מאוחדת Raw'!$F$7:$F$625,$A147,'מאוחדת Raw'!$C$7:$C$625,2026)</f>
        <v>2044.5</v>
      </c>
      <c r="J147" s="12" t="n">
        <f aca="false">I147*$J$5</f>
        <v>2582.52631578947</v>
      </c>
    </row>
    <row r="148" customFormat="false" ht="15" hidden="false" customHeight="true" outlineLevel="0" collapsed="false">
      <c r="A148" s="12" t="n">
        <v>4413135</v>
      </c>
      <c r="B148" s="12" t="str">
        <f aca="false">IFERROR(INDEX('מאוחדת Raw'!$B:$B,MATCH($A148,'מאוחדת Raw'!$F:$F,0)),"")</f>
        <v>85 L (מתלה ליד )כיס</v>
      </c>
      <c r="C148" s="12" t="n">
        <f aca="false">SUMIFS('מאוחדת Raw'!$D$7:$D$625,'מאוחדת Raw'!$F$7:$F$625,$A148,'מאוחדת Raw'!$C$7:$C$625,2025)</f>
        <v>345</v>
      </c>
      <c r="D148" s="12" t="n">
        <f aca="false">SUMIFS('מאוחדת Raw'!$D$7:$D$625,'מאוחדת Raw'!$F$7:$F$625,$A148,'מאוחדת Raw'!$C$7:$C$625,2026)</f>
        <v>232</v>
      </c>
      <c r="E148" s="12" t="n">
        <f aca="false">D148*$J$5</f>
        <v>293.052631578947</v>
      </c>
      <c r="F148" s="12" t="n">
        <f aca="false">E148-C148</f>
        <v>-51.9473684210527</v>
      </c>
      <c r="G148" s="21" t="n">
        <f aca="false">IF(AND(C148=0,E148=0),0,IF(C148=0,"New",(E148-C148)/C148))</f>
        <v>-0.150572082379863</v>
      </c>
      <c r="H148" s="12" t="n">
        <f aca="false">SUMIFS('מאוחדת Raw'!$E$7:$E$625,'מאוחדת Raw'!$F$7:$F$625,$A148,'מאוחדת Raw'!$C$7:$C$625,2025)</f>
        <v>12075</v>
      </c>
      <c r="I148" s="12" t="n">
        <f aca="false">SUMIFS('מאוחדת Raw'!$E$7:$E$625,'מאוחדת Raw'!$F$7:$F$625,$A148,'מאוחדת Raw'!$C$7:$C$625,2026)</f>
        <v>7918.8</v>
      </c>
      <c r="J148" s="12" t="n">
        <f aca="false">I148*$J$5</f>
        <v>10002.6947368421</v>
      </c>
    </row>
    <row r="149" customFormat="false" ht="15" hidden="false" customHeight="true" outlineLevel="0" collapsed="false">
      <c r="A149" s="12" t="n">
        <v>4413136</v>
      </c>
      <c r="B149" s="12" t="str">
        <f aca="false">IFERROR(INDEX('מאוחדת Raw'!$B:$B,MATCH($A149,'מאוחדת Raw'!$F:$F,0)),"")</f>
        <v>85 M (מתלה ליד )כיס</v>
      </c>
      <c r="C149" s="12" t="n">
        <f aca="false">SUMIFS('מאוחדת Raw'!$D$7:$D$625,'מאוחדת Raw'!$F$7:$F$625,$A149,'מאוחדת Raw'!$C$7:$C$625,2025)</f>
        <v>309</v>
      </c>
      <c r="D149" s="12" t="n">
        <f aca="false">SUMIFS('מאוחדת Raw'!$D$7:$D$625,'מאוחדת Raw'!$F$7:$F$625,$A149,'מאוחדת Raw'!$C$7:$C$625,2026)</f>
        <v>153</v>
      </c>
      <c r="E149" s="12" t="n">
        <f aca="false">D149*$J$5</f>
        <v>193.263157894737</v>
      </c>
      <c r="F149" s="12" t="n">
        <f aca="false">E149-C149</f>
        <v>-115.736842105263</v>
      </c>
      <c r="G149" s="21" t="n">
        <f aca="false">IF(AND(C149=0,E149=0),0,IF(C149=0,"New",(E149-C149)/C149))</f>
        <v>-0.374552887072049</v>
      </c>
      <c r="H149" s="12" t="n">
        <f aca="false">SUMIFS('מאוחדת Raw'!$E$7:$E$625,'מאוחדת Raw'!$F$7:$F$625,$A149,'מאוחדת Raw'!$C$7:$C$625,2025)</f>
        <v>10815</v>
      </c>
      <c r="I149" s="12" t="n">
        <f aca="false">SUMIFS('מאוחדת Raw'!$E$7:$E$625,'מאוחדת Raw'!$F$7:$F$625,$A149,'מאוחדת Raw'!$C$7:$C$625,2026)</f>
        <v>5258.8</v>
      </c>
      <c r="J149" s="12" t="n">
        <f aca="false">I149*$J$5</f>
        <v>6642.69473684211</v>
      </c>
    </row>
    <row r="150" customFormat="false" ht="15" hidden="false" customHeight="true" outlineLevel="0" collapsed="false">
      <c r="A150" s="12" t="n">
        <v>4413137</v>
      </c>
      <c r="B150" s="12" t="str">
        <f aca="false">IFERROR(INDEX('מאוחדת Raw'!$B:$B,MATCH($A150,'מאוחדת Raw'!$F:$F,0)),"")</f>
        <v>85 S (מתלה ליד )כיס</v>
      </c>
      <c r="C150" s="12" t="n">
        <f aca="false">SUMIFS('מאוחדת Raw'!$D$7:$D$625,'מאוחדת Raw'!$F$7:$F$625,$A150,'מאוחדת Raw'!$C$7:$C$625,2025)</f>
        <v>127</v>
      </c>
      <c r="D150" s="12" t="n">
        <f aca="false">SUMIFS('מאוחדת Raw'!$D$7:$D$625,'מאוחדת Raw'!$F$7:$F$625,$A150,'מאוחדת Raw'!$C$7:$C$625,2026)</f>
        <v>99</v>
      </c>
      <c r="E150" s="12" t="n">
        <f aca="false">D150*$J$5</f>
        <v>125.052631578947</v>
      </c>
      <c r="F150" s="12" t="n">
        <f aca="false">E150-C150</f>
        <v>-1.94736842105264</v>
      </c>
      <c r="G150" s="21" t="n">
        <f aca="false">IF(AND(C150=0,E150=0),0,IF(C150=0,"New",(E150-C150)/C150))</f>
        <v>-0.0153336096145878</v>
      </c>
      <c r="H150" s="12" t="n">
        <f aca="false">SUMIFS('מאוחדת Raw'!$E$7:$E$625,'מאוחדת Raw'!$F$7:$F$625,$A150,'מאוחדת Raw'!$C$7:$C$625,2025)</f>
        <v>4445</v>
      </c>
      <c r="I150" s="12" t="n">
        <f aca="false">SUMIFS('מאוחדת Raw'!$E$7:$E$625,'מאוחדת Raw'!$F$7:$F$625,$A150,'מאוחדת Raw'!$C$7:$C$625,2026)</f>
        <v>3412.5</v>
      </c>
      <c r="J150" s="12" t="n">
        <f aca="false">I150*$J$5</f>
        <v>4310.52631578947</v>
      </c>
    </row>
    <row r="151" customFormat="false" ht="15" hidden="false" customHeight="true" outlineLevel="0" collapsed="false">
      <c r="A151" s="12" t="n">
        <v>4413138</v>
      </c>
      <c r="B151" s="12" t="str">
        <f aca="false">IFERROR(INDEX('מאוחדת Raw'!$B:$B,MATCH($A151,'מאוחדת Raw'!$F:$F,0)),"")</f>
        <v>85 XL (מתלה ליד )כיס</v>
      </c>
      <c r="C151" s="12" t="n">
        <f aca="false">SUMIFS('מאוחדת Raw'!$D$7:$D$625,'מאוחדת Raw'!$F$7:$F$625,$A151,'מאוחדת Raw'!$C$7:$C$625,2025)</f>
        <v>133</v>
      </c>
      <c r="D151" s="12" t="n">
        <f aca="false">SUMIFS('מאוחדת Raw'!$D$7:$D$625,'מאוחדת Raw'!$F$7:$F$625,$A151,'מאוחדת Raw'!$C$7:$C$625,2026)</f>
        <v>97</v>
      </c>
      <c r="E151" s="12" t="n">
        <f aca="false">D151*$J$5</f>
        <v>122.526315789474</v>
      </c>
      <c r="F151" s="12" t="n">
        <f aca="false">E151-C151</f>
        <v>-10.4736842105263</v>
      </c>
      <c r="G151" s="21" t="n">
        <f aca="false">IF(AND(C151=0,E151=0),0,IF(C151=0,"New",(E151-C151)/C151))</f>
        <v>-0.0787495053423032</v>
      </c>
      <c r="H151" s="12" t="n">
        <f aca="false">SUMIFS('מאוחדת Raw'!$E$7:$E$625,'מאוחדת Raw'!$F$7:$F$625,$A151,'מאוחדת Raw'!$C$7:$C$625,2025)</f>
        <v>4655</v>
      </c>
      <c r="I151" s="12" t="n">
        <f aca="false">SUMIFS('מאוחדת Raw'!$E$7:$E$625,'מאוחדת Raw'!$F$7:$F$625,$A151,'מאוחדת Raw'!$C$7:$C$625,2026)</f>
        <v>3246.3</v>
      </c>
      <c r="J151" s="12" t="n">
        <f aca="false">I151*$J$5</f>
        <v>4100.58947368421</v>
      </c>
    </row>
    <row r="152" customFormat="false" ht="15" hidden="false" customHeight="true" outlineLevel="0" collapsed="false">
      <c r="A152" s="12" t="n">
        <v>4413139</v>
      </c>
      <c r="B152" s="12" t="str">
        <f aca="false">IFERROR(INDEX('מאוחדת Raw'!$B:$B,MATCH($A152,'מאוחדת Raw'!$F:$F,0)),"")</f>
        <v>95 L מגן מרפק רגיל לבן</v>
      </c>
      <c r="C152" s="12" t="n">
        <f aca="false">SUMIFS('מאוחדת Raw'!$D$7:$D$625,'מאוחדת Raw'!$F$7:$F$625,$A152,'מאוחדת Raw'!$C$7:$C$625,2025)</f>
        <v>217</v>
      </c>
      <c r="D152" s="12" t="n">
        <f aca="false">SUMIFS('מאוחדת Raw'!$D$7:$D$625,'מאוחדת Raw'!$F$7:$F$625,$A152,'מאוחדת Raw'!$C$7:$C$625,2026)</f>
        <v>126</v>
      </c>
      <c r="E152" s="12" t="n">
        <f aca="false">D152*$J$5</f>
        <v>159.157894736842</v>
      </c>
      <c r="F152" s="12" t="n">
        <f aca="false">E152-C152</f>
        <v>-57.8421052631579</v>
      </c>
      <c r="G152" s="21" t="n">
        <f aca="false">IF(AND(C152=0,E152=0),0,IF(C152=0,"New",(E152-C152)/C152))</f>
        <v>-0.266553480475382</v>
      </c>
      <c r="H152" s="12" t="n">
        <f aca="false">SUMIFS('מאוחדת Raw'!$E$7:$E$625,'מאוחדת Raw'!$F$7:$F$625,$A152,'מאוחדת Raw'!$C$7:$C$625,2025)</f>
        <v>3689</v>
      </c>
      <c r="I152" s="12" t="n">
        <f aca="false">SUMIFS('מאוחדת Raw'!$E$7:$E$625,'מאוחדת Raw'!$F$7:$F$625,$A152,'מאוחדת Raw'!$C$7:$C$625,2026)</f>
        <v>2112.3</v>
      </c>
      <c r="J152" s="12" t="n">
        <f aca="false">I152*$J$5</f>
        <v>2668.16842105263</v>
      </c>
    </row>
    <row r="153" customFormat="false" ht="15" hidden="false" customHeight="true" outlineLevel="0" collapsed="false">
      <c r="A153" s="12" t="n">
        <v>4413140</v>
      </c>
      <c r="B153" s="12" t="str">
        <f aca="false">IFERROR(INDEX('מאוחדת Raw'!$B:$B,MATCH($A153,'מאוחדת Raw'!$F:$F,0)),"")</f>
        <v>95 M מגן מרפק רגיל לבן</v>
      </c>
      <c r="C153" s="12" t="n">
        <f aca="false">SUMIFS('מאוחדת Raw'!$D$7:$D$625,'מאוחדת Raw'!$F$7:$F$625,$A153,'מאוחדת Raw'!$C$7:$C$625,2025)</f>
        <v>244</v>
      </c>
      <c r="D153" s="12" t="n">
        <f aca="false">SUMIFS('מאוחדת Raw'!$D$7:$D$625,'מאוחדת Raw'!$F$7:$F$625,$A153,'מאוחדת Raw'!$C$7:$C$625,2026)</f>
        <v>155</v>
      </c>
      <c r="E153" s="12" t="n">
        <f aca="false">D153*$J$5</f>
        <v>195.789473684211</v>
      </c>
      <c r="F153" s="12" t="n">
        <f aca="false">E153-C153</f>
        <v>-48.2105263157895</v>
      </c>
      <c r="G153" s="21" t="n">
        <f aca="false">IF(AND(C153=0,E153=0),0,IF(C153=0,"New",(E153-C153)/C153))</f>
        <v>-0.197584124245039</v>
      </c>
      <c r="H153" s="12" t="n">
        <f aca="false">SUMIFS('מאוחדת Raw'!$E$7:$E$625,'מאוחדת Raw'!$F$7:$F$625,$A153,'מאוחדת Raw'!$C$7:$C$625,2025)</f>
        <v>4148</v>
      </c>
      <c r="I153" s="12" t="n">
        <f aca="false">SUMIFS('מאוחדת Raw'!$E$7:$E$625,'מאוחדת Raw'!$F$7:$F$625,$A153,'מאוחדת Raw'!$C$7:$C$625,2026)</f>
        <v>2571.3</v>
      </c>
      <c r="J153" s="12" t="n">
        <f aca="false">I153*$J$5</f>
        <v>3247.95789473684</v>
      </c>
    </row>
    <row r="154" customFormat="false" ht="15" hidden="false" customHeight="true" outlineLevel="0" collapsed="false">
      <c r="A154" s="12" t="n">
        <v>4413141</v>
      </c>
      <c r="B154" s="12" t="str">
        <f aca="false">IFERROR(INDEX('מאוחדת Raw'!$B:$B,MATCH($A154,'מאוחדת Raw'!$F:$F,0)),"")</f>
        <v>95 S מגן מרפק רגיל לבן</v>
      </c>
      <c r="C154" s="12" t="n">
        <f aca="false">SUMIFS('מאוחדת Raw'!$D$7:$D$625,'מאוחדת Raw'!$F$7:$F$625,$A154,'מאוחדת Raw'!$C$7:$C$625,2025)</f>
        <v>186</v>
      </c>
      <c r="D154" s="12" t="n">
        <f aca="false">SUMIFS('מאוחדת Raw'!$D$7:$D$625,'מאוחדת Raw'!$F$7:$F$625,$A154,'מאוחדת Raw'!$C$7:$C$625,2026)</f>
        <v>155</v>
      </c>
      <c r="E154" s="12" t="n">
        <f aca="false">D154*$J$5</f>
        <v>195.789473684211</v>
      </c>
      <c r="F154" s="12" t="n">
        <f aca="false">E154-C154</f>
        <v>9.78947368421052</v>
      </c>
      <c r="G154" s="21" t="n">
        <f aca="false">IF(AND(C154=0,E154=0),0,IF(C154=0,"New",(E154-C154)/C154))</f>
        <v>0.0526315789473684</v>
      </c>
      <c r="H154" s="12" t="n">
        <f aca="false">SUMIFS('מאוחדת Raw'!$E$7:$E$625,'מאוחדת Raw'!$F$7:$F$625,$A154,'מאוחדת Raw'!$C$7:$C$625,2025)</f>
        <v>3162</v>
      </c>
      <c r="I154" s="12" t="n">
        <f aca="false">SUMIFS('מאוחדת Raw'!$E$7:$E$625,'מאוחדת Raw'!$F$7:$F$625,$A154,'מאוחדת Raw'!$C$7:$C$625,2026)</f>
        <v>2562.8</v>
      </c>
      <c r="J154" s="12" t="n">
        <f aca="false">I154*$J$5</f>
        <v>3237.22105263158</v>
      </c>
    </row>
    <row r="155" customFormat="false" ht="15" hidden="false" customHeight="true" outlineLevel="0" collapsed="false">
      <c r="A155" s="12" t="n">
        <v>4413142</v>
      </c>
      <c r="B155" s="12" t="str">
        <f aca="false">IFERROR(INDEX('מאוחדת Raw'!$B:$B,MATCH($A155,'מאוחדת Raw'!$F:$F,0)),"")</f>
        <v>95 XL מגן מרפק רגיל לבן</v>
      </c>
      <c r="C155" s="12" t="n">
        <f aca="false">SUMIFS('מאוחדת Raw'!$D$7:$D$625,'מאוחדת Raw'!$F$7:$F$625,$A155,'מאוחדת Raw'!$C$7:$C$625,2025)</f>
        <v>85</v>
      </c>
      <c r="D155" s="12" t="n">
        <f aca="false">SUMIFS('מאוחדת Raw'!$D$7:$D$625,'מאוחדת Raw'!$F$7:$F$625,$A155,'מאוחדת Raw'!$C$7:$C$625,2026)</f>
        <v>65</v>
      </c>
      <c r="E155" s="12" t="n">
        <f aca="false">D155*$J$5</f>
        <v>82.1052631578947</v>
      </c>
      <c r="F155" s="12" t="n">
        <f aca="false">E155-C155</f>
        <v>-2.89473684210527</v>
      </c>
      <c r="G155" s="21" t="n">
        <f aca="false">IF(AND(C155=0,E155=0),0,IF(C155=0,"New",(E155-C155)/C155))</f>
        <v>-0.0340557275541797</v>
      </c>
      <c r="H155" s="12" t="n">
        <f aca="false">SUMIFS('מאוחדת Raw'!$E$7:$E$625,'מאוחדת Raw'!$F$7:$F$625,$A155,'מאוחדת Raw'!$C$7:$C$625,2025)</f>
        <v>1445</v>
      </c>
      <c r="I155" s="12" t="n">
        <f aca="false">SUMIFS('מאוחדת Raw'!$E$7:$E$625,'מאוחדת Raw'!$F$7:$F$625,$A155,'מאוחדת Raw'!$C$7:$C$625,2026)</f>
        <v>1092.3</v>
      </c>
      <c r="J155" s="12" t="n">
        <f aca="false">I155*$J$5</f>
        <v>1379.74736842105</v>
      </c>
    </row>
    <row r="156" customFormat="false" ht="15" hidden="false" customHeight="true" outlineLevel="0" collapsed="false">
      <c r="A156" s="12" t="n">
        <v>4413143</v>
      </c>
      <c r="B156" s="12" t="str">
        <f aca="false">IFERROR(INDEX('מאוחדת Raw'!$B:$B,MATCH($A156,'מאוחדת Raw'!$F:$F,0)),"")</f>
        <v>95 XS מגן מרפק רגיל לבן</v>
      </c>
      <c r="C156" s="12" t="n">
        <f aca="false">SUMIFS('מאוחדת Raw'!$D$7:$D$625,'מאוחדת Raw'!$F$7:$F$625,$A156,'מאוחדת Raw'!$C$7:$C$625,2025)</f>
        <v>40</v>
      </c>
      <c r="D156" s="12" t="n">
        <f aca="false">SUMIFS('מאוחדת Raw'!$D$7:$D$625,'מאוחדת Raw'!$F$7:$F$625,$A156,'מאוחדת Raw'!$C$7:$C$625,2026)</f>
        <v>13</v>
      </c>
      <c r="E156" s="12" t="n">
        <f aca="false">D156*$J$5</f>
        <v>16.4210526315789</v>
      </c>
      <c r="F156" s="12" t="n">
        <f aca="false">E156-C156</f>
        <v>-23.5789473684211</v>
      </c>
      <c r="G156" s="21" t="n">
        <f aca="false">IF(AND(C156=0,E156=0),0,IF(C156=0,"New",(E156-C156)/C156))</f>
        <v>-0.589473684210526</v>
      </c>
      <c r="H156" s="12" t="n">
        <f aca="false">SUMIFS('מאוחדת Raw'!$E$7:$E$625,'מאוחדת Raw'!$F$7:$F$625,$A156,'מאוחדת Raw'!$C$7:$C$625,2025)</f>
        <v>680</v>
      </c>
      <c r="I156" s="12" t="n">
        <f aca="false">SUMIFS('מאוחדת Raw'!$E$7:$E$625,'מאוחדת Raw'!$F$7:$F$625,$A156,'מאוחדת Raw'!$C$7:$C$625,2026)</f>
        <v>221</v>
      </c>
      <c r="J156" s="12" t="n">
        <f aca="false">I156*$J$5</f>
        <v>279.157894736842</v>
      </c>
    </row>
    <row r="157" customFormat="false" ht="15" hidden="false" customHeight="true" outlineLevel="0" collapsed="false">
      <c r="A157" s="12" t="n">
        <v>4413144</v>
      </c>
      <c r="B157" s="12" t="str">
        <f aca="false">IFERROR(INDEX('מאוחדת Raw'!$B:$B,MATCH($A157,'מאוחדת Raw'!$F:$F,0)),"")</f>
        <v>95 XXL מגן מרפק רגיל לבן</v>
      </c>
      <c r="C157" s="12" t="n">
        <f aca="false">SUMIFS('מאוחדת Raw'!$D$7:$D$625,'מאוחדת Raw'!$F$7:$F$625,$A157,'מאוחדת Raw'!$C$7:$C$625,2025)</f>
        <v>13</v>
      </c>
      <c r="D157" s="12" t="n">
        <f aca="false">SUMIFS('מאוחדת Raw'!$D$7:$D$625,'מאוחדת Raw'!$F$7:$F$625,$A157,'מאוחדת Raw'!$C$7:$C$625,2026)</f>
        <v>9</v>
      </c>
      <c r="E157" s="12" t="n">
        <f aca="false">D157*$J$5</f>
        <v>11.3684210526316</v>
      </c>
      <c r="F157" s="12" t="n">
        <f aca="false">E157-C157</f>
        <v>-1.63157894736842</v>
      </c>
      <c r="G157" s="21" t="n">
        <f aca="false">IF(AND(C157=0,E157=0),0,IF(C157=0,"New",(E157-C157)/C157))</f>
        <v>-0.125506072874494</v>
      </c>
      <c r="H157" s="12" t="n">
        <f aca="false">SUMIFS('מאוחדת Raw'!$E$7:$E$625,'מאוחדת Raw'!$F$7:$F$625,$A157,'מאוחדת Raw'!$C$7:$C$625,2025)</f>
        <v>221</v>
      </c>
      <c r="I157" s="12" t="n">
        <f aca="false">SUMIFS('מאוחדת Raw'!$E$7:$E$625,'מאוחדת Raw'!$F$7:$F$625,$A157,'מאוחדת Raw'!$C$7:$C$625,2026)</f>
        <v>153</v>
      </c>
      <c r="J157" s="12" t="n">
        <f aca="false">I157*$J$5</f>
        <v>193.263157894737</v>
      </c>
    </row>
    <row r="158" customFormat="false" ht="15" hidden="false" customHeight="true" outlineLevel="0" collapsed="false">
      <c r="A158" s="12" t="n">
        <v>4413149</v>
      </c>
      <c r="B158" s="12" t="str">
        <f aca="false">IFERROR(INDEX('מאוחדת Raw'!$B:$B,MATCH($A158,'מאוחדת Raw'!$F:$F,0)),"")</f>
        <v>FC321-מלח אמבט לכף הרגל</v>
      </c>
      <c r="C158" s="12" t="n">
        <f aca="false">SUMIFS('מאוחדת Raw'!$D$7:$D$625,'מאוחדת Raw'!$F$7:$F$625,$A158,'מאוחדת Raw'!$C$7:$C$625,2025)</f>
        <v>225</v>
      </c>
      <c r="D158" s="12" t="n">
        <f aca="false">SUMIFS('מאוחדת Raw'!$D$7:$D$625,'מאוחדת Raw'!$F$7:$F$625,$A158,'מאוחדת Raw'!$C$7:$C$625,2026)</f>
        <v>100</v>
      </c>
      <c r="E158" s="12" t="n">
        <f aca="false">D158*$J$5</f>
        <v>126.315789473684</v>
      </c>
      <c r="F158" s="12" t="n">
        <f aca="false">E158-C158</f>
        <v>-98.6842105263158</v>
      </c>
      <c r="G158" s="21" t="n">
        <f aca="false">IF(AND(C158=0,E158=0),0,IF(C158=0,"New",(E158-C158)/C158))</f>
        <v>-0.43859649122807</v>
      </c>
      <c r="H158" s="12" t="n">
        <f aca="false">SUMIFS('מאוחדת Raw'!$E$7:$E$625,'מאוחדת Raw'!$F$7:$F$625,$A158,'מאוחדת Raw'!$C$7:$C$625,2025)</f>
        <v>1964.25</v>
      </c>
      <c r="I158" s="12" t="n">
        <f aca="false">SUMIFS('מאוחדת Raw'!$E$7:$E$625,'מאוחדת Raw'!$F$7:$F$625,$A158,'מאוחדת Raw'!$C$7:$C$625,2026)</f>
        <v>855.51</v>
      </c>
      <c r="J158" s="12" t="n">
        <f aca="false">I158*$J$5</f>
        <v>1080.64421052632</v>
      </c>
    </row>
    <row r="159" customFormat="false" ht="15" hidden="false" customHeight="true" outlineLevel="0" collapsed="false">
      <c r="A159" s="12" t="n">
        <v>4413150</v>
      </c>
      <c r="B159" s="12" t="str">
        <f aca="false">IFERROR(INDEX('מאוחדת Raw'!$B:$B,MATCH($A159,'מאוחדת Raw'!$F:$F,0)),"")</f>
        <v>PD341-מקצוע להסרת עור קשה</v>
      </c>
      <c r="C159" s="12" t="n">
        <f aca="false">SUMIFS('מאוחדת Raw'!$D$7:$D$625,'מאוחדת Raw'!$F$7:$F$625,$A159,'מאוחדת Raw'!$C$7:$C$625,2025)</f>
        <v>101</v>
      </c>
      <c r="D159" s="12" t="n">
        <f aca="false">SUMIFS('מאוחדת Raw'!$D$7:$D$625,'מאוחדת Raw'!$F$7:$F$625,$A159,'מאוחדת Raw'!$C$7:$C$625,2026)</f>
        <v>90</v>
      </c>
      <c r="E159" s="12" t="n">
        <f aca="false">D159*$J$5</f>
        <v>113.684210526316</v>
      </c>
      <c r="F159" s="12" t="n">
        <f aca="false">E159-C159</f>
        <v>12.6842105263158</v>
      </c>
      <c r="G159" s="21" t="n">
        <f aca="false">IF(AND(C159=0,E159=0),0,IF(C159=0,"New",(E159-C159)/C159))</f>
        <v>0.12558624283481</v>
      </c>
      <c r="H159" s="12" t="n">
        <f aca="false">SUMIFS('מאוחדת Raw'!$E$7:$E$625,'מאוחדת Raw'!$F$7:$F$625,$A159,'מאוחדת Raw'!$C$7:$C$625,2025)</f>
        <v>2181.6</v>
      </c>
      <c r="I159" s="12" t="n">
        <f aca="false">SUMIFS('מאוחדת Raw'!$E$7:$E$625,'מאוחדת Raw'!$F$7:$F$625,$A159,'מאוחדת Raw'!$C$7:$C$625,2026)</f>
        <v>1911.6</v>
      </c>
      <c r="J159" s="12" t="n">
        <f aca="false">I159*$J$5</f>
        <v>2414.65263157895</v>
      </c>
    </row>
    <row r="160" customFormat="false" ht="15" hidden="false" customHeight="true" outlineLevel="0" collapsed="false">
      <c r="A160" s="12" t="n">
        <v>4413158</v>
      </c>
      <c r="B160" s="12" t="str">
        <f aca="false">IFERROR(INDEX('מאוחדת Raw'!$B:$B,MATCH($A160,'מאוחדת Raw'!$F:$F,0)),"")</f>
        <v>305GA-45-46</v>
      </c>
      <c r="C160" s="12" t="n">
        <f aca="false">SUMIFS('מאוחדת Raw'!$D$7:$D$625,'מאוחדת Raw'!$F$7:$F$625,$A160,'מאוחדת Raw'!$C$7:$C$625,2025)</f>
        <v>-1</v>
      </c>
      <c r="D160" s="12" t="n">
        <f aca="false">SUMIFS('מאוחדת Raw'!$D$7:$D$625,'מאוחדת Raw'!$F$7:$F$625,$A160,'מאוחדת Raw'!$C$7:$C$625,2026)</f>
        <v>0</v>
      </c>
      <c r="E160" s="12" t="n">
        <f aca="false">D160*$J$5</f>
        <v>0</v>
      </c>
      <c r="F160" s="12" t="n">
        <f aca="false">E160-C160</f>
        <v>1</v>
      </c>
      <c r="G160" s="21" t="n">
        <f aca="false">IF(AND(C160=0,E160=0),0,IF(C160=0,"New",(E160-C160)/C160))</f>
        <v>-1</v>
      </c>
      <c r="H160" s="12" t="n">
        <f aca="false">SUMIFS('מאוחדת Raw'!$E$7:$E$625,'מאוחדת Raw'!$F$7:$F$625,$A160,'מאוחדת Raw'!$C$7:$C$625,2025)</f>
        <v>0</v>
      </c>
      <c r="I160" s="12" t="n">
        <f aca="false">SUMIFS('מאוחדת Raw'!$E$7:$E$625,'מאוחדת Raw'!$F$7:$F$625,$A160,'מאוחדת Raw'!$C$7:$C$625,2026)</f>
        <v>0</v>
      </c>
      <c r="J160" s="12" t="n">
        <f aca="false">I160*$J$5</f>
        <v>0</v>
      </c>
    </row>
    <row r="161" customFormat="false" ht="15" hidden="false" customHeight="true" outlineLevel="0" collapsed="false">
      <c r="A161" s="12" t="n">
        <v>4413159</v>
      </c>
      <c r="B161" s="12" t="str">
        <f aca="false">IFERROR(INDEX('מאוחדת Raw'!$B:$B,MATCH($A161,'מאוחדת Raw'!$F:$F,0)),"")</f>
        <v>34+ S מגן קרסול עקב סגור+רצוע</v>
      </c>
      <c r="C161" s="12" t="n">
        <f aca="false">SUMIFS('מאוחדת Raw'!$D$7:$D$625,'מאוחדת Raw'!$F$7:$F$625,$A161,'מאוחדת Raw'!$C$7:$C$625,2025)</f>
        <v>31</v>
      </c>
      <c r="D161" s="12" t="n">
        <f aca="false">SUMIFS('מאוחדת Raw'!$D$7:$D$625,'מאוחדת Raw'!$F$7:$F$625,$A161,'מאוחדת Raw'!$C$7:$C$625,2026)</f>
        <v>37</v>
      </c>
      <c r="E161" s="12" t="n">
        <f aca="false">D161*$J$5</f>
        <v>46.7368421052632</v>
      </c>
      <c r="F161" s="12" t="n">
        <f aca="false">E161-C161</f>
        <v>15.7368421052632</v>
      </c>
      <c r="G161" s="21" t="n">
        <f aca="false">IF(AND(C161=0,E161=0),0,IF(C161=0,"New",(E161-C161)/C161))</f>
        <v>0.507640067911715</v>
      </c>
      <c r="H161" s="12" t="n">
        <f aca="false">SUMIFS('מאוחדת Raw'!$E$7:$E$625,'מאוחדת Raw'!$F$7:$F$625,$A161,'מאוחדת Raw'!$C$7:$C$625,2025)</f>
        <v>1307.27</v>
      </c>
      <c r="I161" s="12" t="n">
        <f aca="false">SUMIFS('מאוחדת Raw'!$E$7:$E$625,'מאוחדת Raw'!$F$7:$F$625,$A161,'מאוחדת Raw'!$C$7:$C$625,2026)</f>
        <v>1465.38</v>
      </c>
      <c r="J161" s="12" t="n">
        <f aca="false">I161*$J$5</f>
        <v>1851.00631578947</v>
      </c>
    </row>
    <row r="162" customFormat="false" ht="15" hidden="false" customHeight="true" outlineLevel="0" collapsed="false">
      <c r="A162" s="12" t="n">
        <v>4413160</v>
      </c>
      <c r="B162" s="12" t="str">
        <f aca="false">IFERROR(INDEX('מאוחדת Raw'!$B:$B,MATCH($A162,'מאוחדת Raw'!$F:$F,0)),"")</f>
        <v>34+ M מגן קרסול עקב סגור+רצוע</v>
      </c>
      <c r="C162" s="12" t="n">
        <f aca="false">SUMIFS('מאוחדת Raw'!$D$7:$D$625,'מאוחדת Raw'!$F$7:$F$625,$A162,'מאוחדת Raw'!$C$7:$C$625,2025)</f>
        <v>132</v>
      </c>
      <c r="D162" s="12" t="n">
        <f aca="false">SUMIFS('מאוחדת Raw'!$D$7:$D$625,'מאוחדת Raw'!$F$7:$F$625,$A162,'מאוחדת Raw'!$C$7:$C$625,2026)</f>
        <v>61</v>
      </c>
      <c r="E162" s="12" t="n">
        <f aca="false">D162*$J$5</f>
        <v>77.0526315789474</v>
      </c>
      <c r="F162" s="12" t="n">
        <f aca="false">E162-C162</f>
        <v>-54.9473684210526</v>
      </c>
      <c r="G162" s="21" t="n">
        <f aca="false">IF(AND(C162=0,E162=0),0,IF(C162=0,"New",(E162-C162)/C162))</f>
        <v>-0.416267942583732</v>
      </c>
      <c r="H162" s="12" t="n">
        <f aca="false">SUMIFS('מאוחדת Raw'!$E$7:$E$625,'מאוחדת Raw'!$F$7:$F$625,$A162,'מאוחדת Raw'!$C$7:$C$625,2025)</f>
        <v>5566.44</v>
      </c>
      <c r="I162" s="12" t="n">
        <f aca="false">SUMIFS('מאוחדת Raw'!$E$7:$E$625,'מאוחדת Raw'!$F$7:$F$625,$A162,'מאוחדת Raw'!$C$7:$C$625,2026)</f>
        <v>2445.86</v>
      </c>
      <c r="J162" s="12" t="n">
        <f aca="false">I162*$J$5</f>
        <v>3089.50736842105</v>
      </c>
    </row>
    <row r="163" customFormat="false" ht="15" hidden="false" customHeight="true" outlineLevel="0" collapsed="false">
      <c r="A163" s="12" t="n">
        <v>4413161</v>
      </c>
      <c r="B163" s="12" t="str">
        <f aca="false">IFERROR(INDEX('מאוחדת Raw'!$B:$B,MATCH($A163,'מאוחדת Raw'!$F:$F,0)),"")</f>
        <v>34+ L מגן קרסול עקב סגור+רצוע</v>
      </c>
      <c r="C163" s="12" t="n">
        <f aca="false">SUMIFS('מאוחדת Raw'!$D$7:$D$625,'מאוחדת Raw'!$F$7:$F$625,$A163,'מאוחדת Raw'!$C$7:$C$625,2025)</f>
        <v>105</v>
      </c>
      <c r="D163" s="12" t="n">
        <f aca="false">SUMIFS('מאוחדת Raw'!$D$7:$D$625,'מאוחדת Raw'!$F$7:$F$625,$A163,'מאוחדת Raw'!$C$7:$C$625,2026)</f>
        <v>95</v>
      </c>
      <c r="E163" s="12" t="n">
        <f aca="false">D163*$J$5</f>
        <v>120</v>
      </c>
      <c r="F163" s="12" t="n">
        <f aca="false">E163-C163</f>
        <v>15</v>
      </c>
      <c r="G163" s="21" t="n">
        <f aca="false">IF(AND(C163=0,E163=0),0,IF(C163=0,"New",(E163-C163)/C163))</f>
        <v>0.142857142857143</v>
      </c>
      <c r="H163" s="12" t="n">
        <f aca="false">SUMIFS('מאוחדת Raw'!$E$7:$E$625,'מאוחדת Raw'!$F$7:$F$625,$A163,'מאוחדת Raw'!$C$7:$C$625,2025)</f>
        <v>4427.85</v>
      </c>
      <c r="I163" s="12" t="n">
        <f aca="false">SUMIFS('מאוחדת Raw'!$E$7:$E$625,'מאוחדת Raw'!$F$7:$F$625,$A163,'מאוחדת Raw'!$C$7:$C$625,2026)</f>
        <v>3932.34</v>
      </c>
      <c r="J163" s="12" t="n">
        <f aca="false">I163*$J$5</f>
        <v>4967.16631578947</v>
      </c>
    </row>
    <row r="164" customFormat="false" ht="15" hidden="false" customHeight="true" outlineLevel="0" collapsed="false">
      <c r="A164" s="12" t="n">
        <v>4413162</v>
      </c>
      <c r="B164" s="12" t="str">
        <f aca="false">IFERROR(INDEX('מאוחדת Raw'!$B:$B,MATCH($A164,'מאוחדת Raw'!$F:$F,0)),"")</f>
        <v>34+XL מגן קרסול עקב סגור+רצוע</v>
      </c>
      <c r="C164" s="12" t="n">
        <f aca="false">SUMIFS('מאוחדת Raw'!$D$7:$D$625,'מאוחדת Raw'!$F$7:$F$625,$A164,'מאוחדת Raw'!$C$7:$C$625,2025)</f>
        <v>100</v>
      </c>
      <c r="D164" s="12" t="n">
        <f aca="false">SUMIFS('מאוחדת Raw'!$D$7:$D$625,'מאוחדת Raw'!$F$7:$F$625,$A164,'מאוחדת Raw'!$C$7:$C$625,2026)</f>
        <v>40</v>
      </c>
      <c r="E164" s="12" t="n">
        <f aca="false">D164*$J$5</f>
        <v>50.5263157894737</v>
      </c>
      <c r="F164" s="12" t="n">
        <f aca="false">E164-C164</f>
        <v>-49.4736842105263</v>
      </c>
      <c r="G164" s="21" t="n">
        <f aca="false">IF(AND(C164=0,E164=0),0,IF(C164=0,"New",(E164-C164)/C164))</f>
        <v>-0.494736842105263</v>
      </c>
      <c r="H164" s="12" t="n">
        <f aca="false">SUMIFS('מאוחדת Raw'!$E$7:$E$625,'מאוחדת Raw'!$F$7:$F$625,$A164,'מאוחדת Raw'!$C$7:$C$625,2025)</f>
        <v>4217</v>
      </c>
      <c r="I164" s="12" t="n">
        <f aca="false">SUMIFS('מאוחדת Raw'!$E$7:$E$625,'מאוחדת Raw'!$F$7:$F$625,$A164,'מאוחדת Raw'!$C$7:$C$625,2026)</f>
        <v>1623.49</v>
      </c>
      <c r="J164" s="12" t="n">
        <f aca="false">I164*$J$5</f>
        <v>2050.72421052632</v>
      </c>
    </row>
    <row r="165" customFormat="false" ht="15" hidden="false" customHeight="true" outlineLevel="0" collapsed="false">
      <c r="A165" s="12" t="n">
        <v>4413165</v>
      </c>
      <c r="B165" s="12" t="str">
        <f aca="false">IFERROR(INDEX('מאוחדת Raw'!$B:$B,MATCH($A165,'מאוחדת Raw'!$F:$F,0)),"")</f>
        <v>74-L-XL</v>
      </c>
      <c r="C165" s="12" t="n">
        <f aca="false">SUMIFS('מאוחדת Raw'!$D$7:$D$625,'מאוחדת Raw'!$F$7:$F$625,$A165,'מאוחדת Raw'!$C$7:$C$625,2025)</f>
        <v>4</v>
      </c>
      <c r="D165" s="12" t="n">
        <f aca="false">SUMIFS('מאוחדת Raw'!$D$7:$D$625,'מאוחדת Raw'!$F$7:$F$625,$A165,'מאוחדת Raw'!$C$7:$C$625,2026)</f>
        <v>0</v>
      </c>
      <c r="E165" s="12" t="n">
        <f aca="false">D165*$J$5</f>
        <v>0</v>
      </c>
      <c r="F165" s="12" t="n">
        <f aca="false">E165-C165</f>
        <v>-4</v>
      </c>
      <c r="G165" s="21" t="n">
        <f aca="false">IF(AND(C165=0,E165=0),0,IF(C165=0,"New",(E165-C165)/C165))</f>
        <v>-1</v>
      </c>
      <c r="H165" s="12" t="n">
        <f aca="false">SUMIFS('מאוחדת Raw'!$E$7:$E$625,'מאוחדת Raw'!$F$7:$F$625,$A165,'מאוחדת Raw'!$C$7:$C$625,2025)</f>
        <v>519.24</v>
      </c>
      <c r="I165" s="12" t="n">
        <f aca="false">SUMIFS('מאוחדת Raw'!$E$7:$E$625,'מאוחדת Raw'!$F$7:$F$625,$A165,'מאוחדת Raw'!$C$7:$C$625,2026)</f>
        <v>0</v>
      </c>
      <c r="J165" s="12" t="n">
        <f aca="false">I165*$J$5</f>
        <v>0</v>
      </c>
    </row>
    <row r="166" customFormat="false" ht="15" hidden="false" customHeight="true" outlineLevel="0" collapsed="false">
      <c r="A166" s="12" t="n">
        <v>4413195</v>
      </c>
      <c r="B166" s="12" t="str">
        <f aca="false">IFERROR(INDEX('מאוחדת Raw'!$B:$B,MATCH($A166,'מאוחדת Raw'!$F:$F,0)),"")</f>
        <v>87 S מקבע כתף ויד</v>
      </c>
      <c r="C166" s="12" t="n">
        <f aca="false">SUMIFS('מאוחדת Raw'!$D$7:$D$625,'מאוחדת Raw'!$F$7:$F$625,$A166,'מאוחדת Raw'!$C$7:$C$625,2025)</f>
        <v>2</v>
      </c>
      <c r="D166" s="12" t="n">
        <f aca="false">SUMIFS('מאוחדת Raw'!$D$7:$D$625,'מאוחדת Raw'!$F$7:$F$625,$A166,'מאוחדת Raw'!$C$7:$C$625,2026)</f>
        <v>5</v>
      </c>
      <c r="E166" s="12" t="n">
        <f aca="false">D166*$J$5</f>
        <v>6.31578947368421</v>
      </c>
      <c r="F166" s="12" t="n">
        <f aca="false">E166-C166</f>
        <v>4.31578947368421</v>
      </c>
      <c r="G166" s="21" t="n">
        <f aca="false">IF(AND(C166=0,E166=0),0,IF(C166=0,"New",(E166-C166)/C166))</f>
        <v>2.15789473684211</v>
      </c>
      <c r="H166" s="12" t="n">
        <f aca="false">SUMIFS('מאוחדת Raw'!$E$7:$E$625,'מאוחדת Raw'!$F$7:$F$625,$A166,'מאוחדת Raw'!$C$7:$C$625,2025)</f>
        <v>253</v>
      </c>
      <c r="I166" s="12" t="n">
        <f aca="false">SUMIFS('מאוחדת Raw'!$E$7:$E$625,'מאוחדת Raw'!$F$7:$F$625,$A166,'מאוחדת Raw'!$C$7:$C$625,2026)</f>
        <v>632.5</v>
      </c>
      <c r="J166" s="12" t="n">
        <f aca="false">I166*$J$5</f>
        <v>798.947368421053</v>
      </c>
    </row>
    <row r="167" customFormat="false" ht="15" hidden="false" customHeight="true" outlineLevel="0" collapsed="false">
      <c r="A167" s="12" t="n">
        <v>4413196</v>
      </c>
      <c r="B167" s="12" t="str">
        <f aca="false">IFERROR(INDEX('מאוחדת Raw'!$B:$B,MATCH($A167,'מאוחדת Raw'!$F:$F,0)),"")</f>
        <v>87 M מקבע כתף ויד</v>
      </c>
      <c r="C167" s="12" t="n">
        <f aca="false">SUMIFS('מאוחדת Raw'!$D$7:$D$625,'מאוחדת Raw'!$F$7:$F$625,$A167,'מאוחדת Raw'!$C$7:$C$625,2025)</f>
        <v>61</v>
      </c>
      <c r="D167" s="12" t="n">
        <f aca="false">SUMIFS('מאוחדת Raw'!$D$7:$D$625,'מאוחדת Raw'!$F$7:$F$625,$A167,'מאוחדת Raw'!$C$7:$C$625,2026)</f>
        <v>30</v>
      </c>
      <c r="E167" s="12" t="n">
        <f aca="false">D167*$J$5</f>
        <v>37.8947368421053</v>
      </c>
      <c r="F167" s="12" t="n">
        <f aca="false">E167-C167</f>
        <v>-23.1052631578947</v>
      </c>
      <c r="G167" s="21" t="n">
        <f aca="false">IF(AND(C167=0,E167=0),0,IF(C167=0,"New",(E167-C167)/C167))</f>
        <v>-0.378774805867127</v>
      </c>
      <c r="H167" s="12" t="n">
        <f aca="false">SUMIFS('מאוחדת Raw'!$E$7:$E$625,'מאוחדת Raw'!$F$7:$F$625,$A167,'מאוחדת Raw'!$C$7:$C$625,2025)</f>
        <v>7716.5</v>
      </c>
      <c r="I167" s="12" t="n">
        <f aca="false">SUMIFS('מאוחדת Raw'!$E$7:$E$625,'מאוחדת Raw'!$F$7:$F$625,$A167,'מאוחדת Raw'!$C$7:$C$625,2026)</f>
        <v>3636.9</v>
      </c>
      <c r="J167" s="12" t="n">
        <f aca="false">I167*$J$5</f>
        <v>4593.97894736842</v>
      </c>
    </row>
    <row r="168" customFormat="false" ht="15" hidden="false" customHeight="true" outlineLevel="0" collapsed="false">
      <c r="A168" s="12" t="n">
        <v>4413197</v>
      </c>
      <c r="B168" s="12" t="str">
        <f aca="false">IFERROR(INDEX('מאוחדת Raw'!$B:$B,MATCH($A168,'מאוחדת Raw'!$F:$F,0)),"")</f>
        <v>87 L מקבע כתף ויד</v>
      </c>
      <c r="C168" s="12" t="n">
        <f aca="false">SUMIFS('מאוחדת Raw'!$D$7:$D$625,'מאוחדת Raw'!$F$7:$F$625,$A168,'מאוחדת Raw'!$C$7:$C$625,2025)</f>
        <v>83</v>
      </c>
      <c r="D168" s="12" t="n">
        <f aca="false">SUMIFS('מאוחדת Raw'!$D$7:$D$625,'מאוחדת Raw'!$F$7:$F$625,$A168,'מאוחדת Raw'!$C$7:$C$625,2026)</f>
        <v>37</v>
      </c>
      <c r="E168" s="12" t="n">
        <f aca="false">D168*$J$5</f>
        <v>46.7368421052632</v>
      </c>
      <c r="F168" s="12" t="n">
        <f aca="false">E168-C168</f>
        <v>-36.2631578947368</v>
      </c>
      <c r="G168" s="21" t="n">
        <f aca="false">IF(AND(C168=0,E168=0),0,IF(C168=0,"New",(E168-C168)/C168))</f>
        <v>-0.436905516804058</v>
      </c>
      <c r="H168" s="12" t="n">
        <f aca="false">SUMIFS('מאוחדת Raw'!$E$7:$E$625,'מאוחדת Raw'!$F$7:$F$625,$A168,'מאוחדת Raw'!$C$7:$C$625,2025)</f>
        <v>10499.5</v>
      </c>
      <c r="I168" s="12" t="n">
        <f aca="false">SUMIFS('מאוחדת Raw'!$E$7:$E$625,'מאוחדת Raw'!$F$7:$F$625,$A168,'מאוחדת Raw'!$C$7:$C$625,2026)</f>
        <v>4617.3</v>
      </c>
      <c r="J168" s="12" t="n">
        <f aca="false">I168*$J$5</f>
        <v>5832.37894736842</v>
      </c>
    </row>
    <row r="169" customFormat="false" ht="15" hidden="false" customHeight="true" outlineLevel="0" collapsed="false">
      <c r="A169" s="12" t="n">
        <v>4413198</v>
      </c>
      <c r="B169" s="12" t="str">
        <f aca="false">IFERROR(INDEX('מאוחדת Raw'!$B:$B,MATCH($A169,'מאוחדת Raw'!$F:$F,0)),"")</f>
        <v>87 XL מקבע כתף ויד</v>
      </c>
      <c r="C169" s="12" t="n">
        <f aca="false">SUMIFS('מאוחדת Raw'!$D$7:$D$625,'מאוחדת Raw'!$F$7:$F$625,$A169,'מאוחדת Raw'!$C$7:$C$625,2025)</f>
        <v>55</v>
      </c>
      <c r="D169" s="12" t="n">
        <f aca="false">SUMIFS('מאוחדת Raw'!$D$7:$D$625,'מאוחדת Raw'!$F$7:$F$625,$A169,'מאוחדת Raw'!$C$7:$C$625,2026)</f>
        <v>28</v>
      </c>
      <c r="E169" s="12" t="n">
        <f aca="false">D169*$J$5</f>
        <v>35.3684210526316</v>
      </c>
      <c r="F169" s="12" t="n">
        <f aca="false">E169-C169</f>
        <v>-19.6315789473684</v>
      </c>
      <c r="G169" s="21" t="n">
        <f aca="false">IF(AND(C169=0,E169=0),0,IF(C169=0,"New",(E169-C169)/C169))</f>
        <v>-0.356937799043062</v>
      </c>
      <c r="H169" s="12" t="n">
        <f aca="false">SUMIFS('מאוחדת Raw'!$E$7:$E$625,'מאוחדת Raw'!$F$7:$F$625,$A169,'מאוחדת Raw'!$C$7:$C$625,2025)</f>
        <v>6957.5</v>
      </c>
      <c r="I169" s="12" t="n">
        <f aca="false">SUMIFS('מאוחדת Raw'!$E$7:$E$625,'מאוחדת Raw'!$F$7:$F$625,$A169,'מאוחדת Raw'!$C$7:$C$625,2026)</f>
        <v>3542</v>
      </c>
      <c r="J169" s="12" t="n">
        <f aca="false">I169*$J$5</f>
        <v>4474.10526315789</v>
      </c>
    </row>
    <row r="170" customFormat="false" ht="15" hidden="false" customHeight="true" outlineLevel="0" collapsed="false">
      <c r="A170" s="12" t="n">
        <v>4413204</v>
      </c>
      <c r="B170" s="12" t="str">
        <f aca="false">IFERROR(INDEX('מאוחדת Raw'!$B:$B,MATCH($A170,'מאוחדת Raw'!$F:$F,0)),"")</f>
        <v>87 XXL מקבע כתף ויד</v>
      </c>
      <c r="C170" s="12" t="n">
        <f aca="false">SUMIFS('מאוחדת Raw'!$D$7:$D$625,'מאוחדת Raw'!$F$7:$F$625,$A170,'מאוחדת Raw'!$C$7:$C$625,2025)</f>
        <v>18</v>
      </c>
      <c r="D170" s="12" t="n">
        <f aca="false">SUMIFS('מאוחדת Raw'!$D$7:$D$625,'מאוחדת Raw'!$F$7:$F$625,$A170,'מאוחדת Raw'!$C$7:$C$625,2026)</f>
        <v>14</v>
      </c>
      <c r="E170" s="12" t="n">
        <f aca="false">D170*$J$5</f>
        <v>17.6842105263158</v>
      </c>
      <c r="F170" s="12" t="n">
        <f aca="false">E170-C170</f>
        <v>-0.315789473684212</v>
      </c>
      <c r="G170" s="21" t="n">
        <f aca="false">IF(AND(C170=0,E170=0),0,IF(C170=0,"New",(E170-C170)/C170))</f>
        <v>-0.0175438596491229</v>
      </c>
      <c r="H170" s="12" t="n">
        <f aca="false">SUMIFS('מאוחדת Raw'!$E$7:$E$625,'מאוחדת Raw'!$F$7:$F$625,$A170,'מאוחדת Raw'!$C$7:$C$625,2025)</f>
        <v>2277</v>
      </c>
      <c r="I170" s="12" t="n">
        <f aca="false">SUMIFS('מאוחדת Raw'!$E$7:$E$625,'מאוחדת Raw'!$F$7:$F$625,$A170,'מאוחדת Raw'!$C$7:$C$625,2026)</f>
        <v>1771</v>
      </c>
      <c r="J170" s="12" t="n">
        <f aca="false">I170*$J$5</f>
        <v>2237.05263157895</v>
      </c>
    </row>
    <row r="171" customFormat="false" ht="15" hidden="false" customHeight="true" outlineLevel="0" collapsed="false">
      <c r="A171" s="12" t="n">
        <v>4413276</v>
      </c>
      <c r="B171" s="12" t="str">
        <f aca="false">IFERROR(INDEX('מאוחדת Raw'!$B:$B,MATCH($A171,'מאוחדת Raw'!$F:$F,0)),"")</f>
        <v>LF377 L</v>
      </c>
      <c r="C171" s="12" t="n">
        <f aca="false">SUMIFS('מאוחדת Raw'!$D$7:$D$625,'מאוחדת Raw'!$F$7:$F$625,$A171,'מאוחדת Raw'!$C$7:$C$625,2025)</f>
        <v>2</v>
      </c>
      <c r="D171" s="12" t="n">
        <f aca="false">SUMIFS('מאוחדת Raw'!$D$7:$D$625,'מאוחדת Raw'!$F$7:$F$625,$A171,'מאוחדת Raw'!$C$7:$C$625,2026)</f>
        <v>0</v>
      </c>
      <c r="E171" s="12" t="n">
        <f aca="false">D171*$J$5</f>
        <v>0</v>
      </c>
      <c r="F171" s="12" t="n">
        <f aca="false">E171-C171</f>
        <v>-2</v>
      </c>
      <c r="G171" s="21" t="n">
        <f aca="false">IF(AND(C171=0,E171=0),0,IF(C171=0,"New",(E171-C171)/C171))</f>
        <v>-1</v>
      </c>
      <c r="H171" s="12" t="n">
        <f aca="false">SUMIFS('מאוחדת Raw'!$E$7:$E$625,'מאוחדת Raw'!$F$7:$F$625,$A171,'מאוחדת Raw'!$C$7:$C$625,2025)</f>
        <v>64.28</v>
      </c>
      <c r="I171" s="12" t="n">
        <f aca="false">SUMIFS('מאוחדת Raw'!$E$7:$E$625,'מאוחדת Raw'!$F$7:$F$625,$A171,'מאוחדת Raw'!$C$7:$C$625,2026)</f>
        <v>0</v>
      </c>
      <c r="J171" s="12" t="n">
        <f aca="false">I171*$J$5</f>
        <v>0</v>
      </c>
    </row>
    <row r="172" customFormat="false" ht="15" hidden="false" customHeight="true" outlineLevel="0" collapsed="false">
      <c r="A172" s="12" t="n">
        <v>4413277</v>
      </c>
      <c r="B172" s="12" t="str">
        <f aca="false">IFERROR(INDEX('מאוחדת Raw'!$B:$B,MATCH($A172,'מאוחדת Raw'!$F:$F,0)),"")</f>
        <v>LF377 M-מדרס סיליקון לנעלי עקב</v>
      </c>
      <c r="C172" s="12" t="n">
        <f aca="false">SUMIFS('מאוחדת Raw'!$D$7:$D$625,'מאוחדת Raw'!$F$7:$F$625,$A172,'מאוחדת Raw'!$C$7:$C$625,2025)</f>
        <v>0</v>
      </c>
      <c r="D172" s="12" t="n">
        <f aca="false">SUMIFS('מאוחדת Raw'!$D$7:$D$625,'מאוחדת Raw'!$F$7:$F$625,$A172,'מאוחדת Raw'!$C$7:$C$625,2026)</f>
        <v>1</v>
      </c>
      <c r="E172" s="12" t="n">
        <f aca="false">D172*$J$5</f>
        <v>1.26315789473684</v>
      </c>
      <c r="F172" s="12" t="n">
        <f aca="false">E172-C172</f>
        <v>1.26315789473684</v>
      </c>
      <c r="G172" s="21" t="str">
        <f aca="false">IF(AND(C172=0,E172=0),0,IF(C172=0,"New",(E172-C172)/C172))</f>
        <v>New</v>
      </c>
      <c r="H172" s="12" t="n">
        <f aca="false">SUMIFS('מאוחדת Raw'!$E$7:$E$625,'מאוחדת Raw'!$F$7:$F$625,$A172,'מאוחדת Raw'!$C$7:$C$625,2025)</f>
        <v>0</v>
      </c>
      <c r="I172" s="12" t="n">
        <f aca="false">SUMIFS('מאוחדת Raw'!$E$7:$E$625,'מאוחדת Raw'!$F$7:$F$625,$A172,'מאוחדת Raw'!$C$7:$C$625,2026)</f>
        <v>32.1</v>
      </c>
      <c r="J172" s="12" t="n">
        <f aca="false">I172*$J$5</f>
        <v>40.5473684210526</v>
      </c>
    </row>
    <row r="173" customFormat="false" ht="15" hidden="false" customHeight="true" outlineLevel="0" collapsed="false">
      <c r="A173" s="12" t="n">
        <v>4413278</v>
      </c>
      <c r="B173" s="12" t="str">
        <f aca="false">IFERROR(INDEX('מאוחדת Raw'!$B:$B,MATCH($A173,'מאוחדת Raw'!$F:$F,0)),"")</f>
        <v>LF377 S</v>
      </c>
      <c r="C173" s="12" t="n">
        <f aca="false">SUMIFS('מאוחדת Raw'!$D$7:$D$625,'מאוחדת Raw'!$F$7:$F$625,$A173,'מאוחדת Raw'!$C$7:$C$625,2025)</f>
        <v>4</v>
      </c>
      <c r="D173" s="12" t="n">
        <f aca="false">SUMIFS('מאוחדת Raw'!$D$7:$D$625,'מאוחדת Raw'!$F$7:$F$625,$A173,'מאוחדת Raw'!$C$7:$C$625,2026)</f>
        <v>0</v>
      </c>
      <c r="E173" s="12" t="n">
        <f aca="false">D173*$J$5</f>
        <v>0</v>
      </c>
      <c r="F173" s="12" t="n">
        <f aca="false">E173-C173</f>
        <v>-4</v>
      </c>
      <c r="G173" s="21" t="n">
        <f aca="false">IF(AND(C173=0,E173=0),0,IF(C173=0,"New",(E173-C173)/C173))</f>
        <v>-1</v>
      </c>
      <c r="H173" s="12" t="n">
        <f aca="false">SUMIFS('מאוחדת Raw'!$E$7:$E$625,'מאוחדת Raw'!$F$7:$F$625,$A173,'מאוחדת Raw'!$C$7:$C$625,2025)</f>
        <v>128.56</v>
      </c>
      <c r="I173" s="12" t="n">
        <f aca="false">SUMIFS('מאוחדת Raw'!$E$7:$E$625,'מאוחדת Raw'!$F$7:$F$625,$A173,'מאוחדת Raw'!$C$7:$C$625,2026)</f>
        <v>0</v>
      </c>
      <c r="J173" s="12" t="n">
        <f aca="false">I173*$J$5</f>
        <v>0</v>
      </c>
    </row>
    <row r="174" customFormat="false" ht="15" hidden="false" customHeight="true" outlineLevel="0" collapsed="false">
      <c r="A174" s="12" t="n">
        <v>4413303</v>
      </c>
      <c r="B174" s="12" t="str">
        <f aca="false">IFERROR(INDEX('מאוחדת Raw'!$B:$B,MATCH($A174,'מאוחדת Raw'!$F:$F,0)),"")</f>
        <v>34+XXL מ.קרסול+עכב סגור+רצועות</v>
      </c>
      <c r="C174" s="12" t="n">
        <f aca="false">SUMIFS('מאוחדת Raw'!$D$7:$D$625,'מאוחדת Raw'!$F$7:$F$625,$A174,'מאוחדת Raw'!$C$7:$C$625,2025)</f>
        <v>22</v>
      </c>
      <c r="D174" s="12" t="n">
        <f aca="false">SUMIFS('מאוחדת Raw'!$D$7:$D$625,'מאוחדת Raw'!$F$7:$F$625,$A174,'מאוחדת Raw'!$C$7:$C$625,2026)</f>
        <v>8</v>
      </c>
      <c r="E174" s="12" t="n">
        <f aca="false">D174*$J$5</f>
        <v>10.1052631578947</v>
      </c>
      <c r="F174" s="12" t="n">
        <f aca="false">E174-C174</f>
        <v>-11.8947368421053</v>
      </c>
      <c r="G174" s="21" t="n">
        <f aca="false">IF(AND(C174=0,E174=0),0,IF(C174=0,"New",(E174-C174)/C174))</f>
        <v>-0.54066985645933</v>
      </c>
      <c r="H174" s="12" t="n">
        <f aca="false">SUMIFS('מאוחדת Raw'!$E$7:$E$625,'מאוחדת Raw'!$F$7:$F$625,$A174,'מאוחדת Raw'!$C$7:$C$625,2025)</f>
        <v>927.74</v>
      </c>
      <c r="I174" s="12" t="n">
        <f aca="false">SUMIFS('מאוחדת Raw'!$E$7:$E$625,'מאוחדת Raw'!$F$7:$F$625,$A174,'מאוחדת Raw'!$C$7:$C$625,2026)</f>
        <v>326.78</v>
      </c>
      <c r="J174" s="12" t="n">
        <f aca="false">I174*$J$5</f>
        <v>412.774736842105</v>
      </c>
    </row>
    <row r="175" customFormat="false" ht="15" hidden="false" customHeight="true" outlineLevel="0" collapsed="false">
      <c r="A175" s="12" t="n">
        <v>4413307</v>
      </c>
      <c r="B175" s="12" t="str">
        <f aca="false">IFERROR(INDEX('מאוחדת Raw'!$B:$B,MATCH($A175,'מאוחדת Raw'!$F:$F,0)),"")</f>
        <v>URI 3667 מגן בוניון</v>
      </c>
      <c r="C175" s="12" t="n">
        <f aca="false">SUMIFS('מאוחדת Raw'!$D$7:$D$625,'מאוחדת Raw'!$F$7:$F$625,$A175,'מאוחדת Raw'!$C$7:$C$625,2025)</f>
        <v>127</v>
      </c>
      <c r="D175" s="12" t="n">
        <f aca="false">SUMIFS('מאוחדת Raw'!$D$7:$D$625,'מאוחדת Raw'!$F$7:$F$625,$A175,'מאוחדת Raw'!$C$7:$C$625,2026)</f>
        <v>106</v>
      </c>
      <c r="E175" s="12" t="n">
        <f aca="false">D175*$J$5</f>
        <v>133.894736842105</v>
      </c>
      <c r="F175" s="12" t="n">
        <f aca="false">E175-C175</f>
        <v>6.89473684210526</v>
      </c>
      <c r="G175" s="21" t="n">
        <f aca="false">IF(AND(C175=0,E175=0),0,IF(C175=0,"New",(E175-C175)/C175))</f>
        <v>0.0542892664732698</v>
      </c>
      <c r="H175" s="12" t="n">
        <f aca="false">SUMIFS('מאוחדת Raw'!$E$7:$E$625,'מאוחדת Raw'!$F$7:$F$625,$A175,'מאוחדת Raw'!$C$7:$C$625,2025)</f>
        <v>2693.67</v>
      </c>
      <c r="I175" s="12" t="n">
        <f aca="false">SUMIFS('מאוחדת Raw'!$E$7:$E$625,'מאוחדת Raw'!$F$7:$F$625,$A175,'מאוחדת Raw'!$C$7:$C$625,2026)</f>
        <v>2195.24</v>
      </c>
      <c r="J175" s="12" t="n">
        <f aca="false">I175*$J$5</f>
        <v>2772.93473684211</v>
      </c>
    </row>
    <row r="176" customFormat="false" ht="15" hidden="false" customHeight="true" outlineLevel="0" collapsed="false">
      <c r="A176" s="12" t="n">
        <v>4413340</v>
      </c>
      <c r="B176" s="12" t="str">
        <f aca="false">IFERROR(INDEX('מאוחדת Raw'!$B:$B,MATCH($A176,'מאוחדת Raw'!$F:$F,0)),"")</f>
        <v>3666 מפריד הלוקס</v>
      </c>
      <c r="C176" s="12" t="n">
        <f aca="false">SUMIFS('מאוחדת Raw'!$D$7:$D$625,'מאוחדת Raw'!$F$7:$F$625,$A176,'מאוחדת Raw'!$C$7:$C$625,2025)</f>
        <v>76</v>
      </c>
      <c r="D176" s="12" t="n">
        <f aca="false">SUMIFS('מאוחדת Raw'!$D$7:$D$625,'מאוחדת Raw'!$F$7:$F$625,$A176,'מאוחדת Raw'!$C$7:$C$625,2026)</f>
        <v>33</v>
      </c>
      <c r="E176" s="12" t="n">
        <f aca="false">D176*$J$5</f>
        <v>41.6842105263158</v>
      </c>
      <c r="F176" s="12" t="n">
        <f aca="false">E176-C176</f>
        <v>-34.3157894736842</v>
      </c>
      <c r="G176" s="21" t="n">
        <f aca="false">IF(AND(C176=0,E176=0),0,IF(C176=0,"New",(E176-C176)/C176))</f>
        <v>-0.451523545706371</v>
      </c>
      <c r="H176" s="12" t="n">
        <f aca="false">SUMIFS('מאוחדת Raw'!$E$7:$E$625,'מאוחדת Raw'!$F$7:$F$625,$A176,'מאוחדת Raw'!$C$7:$C$625,2025)</f>
        <v>2941.2</v>
      </c>
      <c r="I176" s="12" t="n">
        <f aca="false">SUMIFS('מאוחדת Raw'!$E$7:$E$625,'מאוחדת Raw'!$F$7:$F$625,$A176,'מאוחדת Raw'!$C$7:$C$625,2026)</f>
        <v>1277.1</v>
      </c>
      <c r="J176" s="12" t="n">
        <f aca="false">I176*$J$5</f>
        <v>1613.17894736842</v>
      </c>
    </row>
    <row r="177" customFormat="false" ht="15" hidden="false" customHeight="true" outlineLevel="0" collapsed="false">
      <c r="A177" s="12" t="n">
        <v>4413348</v>
      </c>
      <c r="B177" s="12" t="str">
        <f aca="false">IFERROR(INDEX('מאוחדת Raw'!$B:$B,MATCH($A177,'מאוחדת Raw'!$F:$F,0)),"")</f>
        <v>302 מדרס ג'ל לגבר</v>
      </c>
      <c r="C177" s="12" t="n">
        <f aca="false">SUMIFS('מאוחדת Raw'!$D$7:$D$625,'מאוחדת Raw'!$F$7:$F$625,$A177,'מאוחדת Raw'!$C$7:$C$625,2025)</f>
        <v>306</v>
      </c>
      <c r="D177" s="12" t="n">
        <f aca="false">SUMIFS('מאוחדת Raw'!$D$7:$D$625,'מאוחדת Raw'!$F$7:$F$625,$A177,'מאוחדת Raw'!$C$7:$C$625,2026)</f>
        <v>153</v>
      </c>
      <c r="E177" s="12" t="n">
        <f aca="false">D177*$J$5</f>
        <v>193.263157894737</v>
      </c>
      <c r="F177" s="12" t="n">
        <f aca="false">E177-C177</f>
        <v>-112.736842105263</v>
      </c>
      <c r="G177" s="21" t="n">
        <f aca="false">IF(AND(C177=0,E177=0),0,IF(C177=0,"New",(E177-C177)/C177))</f>
        <v>-0.368421052631579</v>
      </c>
      <c r="H177" s="12" t="n">
        <f aca="false">SUMIFS('מאוחדת Raw'!$E$7:$E$625,'מאוחדת Raw'!$F$7:$F$625,$A177,'מאוחדת Raw'!$C$7:$C$625,2025)</f>
        <v>14452.38</v>
      </c>
      <c r="I177" s="12" t="n">
        <f aca="false">SUMIFS('מאוחדת Raw'!$E$7:$E$625,'מאוחדת Raw'!$F$7:$F$625,$A177,'מאוחדת Raw'!$C$7:$C$625,2026)</f>
        <v>7226.18</v>
      </c>
      <c r="J177" s="12" t="n">
        <f aca="false">I177*$J$5</f>
        <v>9127.80631578947</v>
      </c>
    </row>
    <row r="178" customFormat="false" ht="15" hidden="false" customHeight="true" outlineLevel="0" collapsed="false">
      <c r="A178" s="12" t="n">
        <v>4413370</v>
      </c>
      <c r="B178" s="12" t="str">
        <f aca="false">IFERROR(INDEX('מאוחדת Raw'!$B:$B,MATCH($A178,'מאוחדת Raw'!$F:$F,0)),"")</f>
        <v>3674 0 מ.בוניון+מפריד אצבע</v>
      </c>
      <c r="C178" s="12" t="n">
        <f aca="false">SUMIFS('מאוחדת Raw'!$D$7:$D$625,'מאוחדת Raw'!$F$7:$F$625,$A178,'מאוחדת Raw'!$C$7:$C$625,2025)</f>
        <v>168</v>
      </c>
      <c r="D178" s="12" t="n">
        <f aca="false">SUMIFS('מאוחדת Raw'!$D$7:$D$625,'מאוחדת Raw'!$F$7:$F$625,$A178,'מאוחדת Raw'!$C$7:$C$625,2026)</f>
        <v>116</v>
      </c>
      <c r="E178" s="12" t="n">
        <f aca="false">D178*$J$5</f>
        <v>146.526315789474</v>
      </c>
      <c r="F178" s="12" t="n">
        <f aca="false">E178-C178</f>
        <v>-21.4736842105263</v>
      </c>
      <c r="G178" s="21" t="n">
        <f aca="false">IF(AND(C178=0,E178=0),0,IF(C178=0,"New",(E178-C178)/C178))</f>
        <v>-0.127819548872181</v>
      </c>
      <c r="H178" s="12" t="n">
        <f aca="false">SUMIFS('מאוחדת Raw'!$E$7:$E$625,'מאוחדת Raw'!$F$7:$F$625,$A178,'מאוחדת Raw'!$C$7:$C$625,2025)</f>
        <v>4628.4</v>
      </c>
      <c r="I178" s="12" t="n">
        <f aca="false">SUMIFS('מאוחדת Raw'!$E$7:$E$625,'מאוחדת Raw'!$F$7:$F$625,$A178,'מאוחדת Raw'!$C$7:$C$625,2026)</f>
        <v>3195.85</v>
      </c>
      <c r="J178" s="12" t="n">
        <f aca="false">I178*$J$5</f>
        <v>4036.86315789474</v>
      </c>
    </row>
    <row r="179" customFormat="false" ht="15" hidden="false" customHeight="true" outlineLevel="0" collapsed="false">
      <c r="A179" s="12" t="n">
        <v>4413371</v>
      </c>
      <c r="B179" s="12" t="str">
        <f aca="false">IFERROR(INDEX('מאוחדת Raw'!$B:$B,MATCH($A179,'מאוחדת Raw'!$F:$F,0)),"")</f>
        <v>3675    מגן זרת מסיליקון</v>
      </c>
      <c r="C179" s="12" t="n">
        <f aca="false">SUMIFS('מאוחדת Raw'!$D$7:$D$625,'מאוחדת Raw'!$F$7:$F$625,$A179,'מאוחדת Raw'!$C$7:$C$625,2025)</f>
        <v>75</v>
      </c>
      <c r="D179" s="12" t="n">
        <f aca="false">SUMIFS('מאוחדת Raw'!$D$7:$D$625,'מאוחדת Raw'!$F$7:$F$625,$A179,'מאוחדת Raw'!$C$7:$C$625,2026)</f>
        <v>64</v>
      </c>
      <c r="E179" s="12" t="n">
        <f aca="false">D179*$J$5</f>
        <v>80.8421052631579</v>
      </c>
      <c r="F179" s="12" t="n">
        <f aca="false">E179-C179</f>
        <v>5.84210526315789</v>
      </c>
      <c r="G179" s="21" t="n">
        <f aca="false">IF(AND(C179=0,E179=0),0,IF(C179=0,"New",(E179-C179)/C179))</f>
        <v>0.0778947368421052</v>
      </c>
      <c r="H179" s="12" t="n">
        <f aca="false">SUMIFS('מאוחדת Raw'!$E$7:$E$625,'מאוחדת Raw'!$F$7:$F$625,$A179,'מאוחדת Raw'!$C$7:$C$625,2025)</f>
        <v>1518</v>
      </c>
      <c r="I179" s="12" t="n">
        <f aca="false">SUMIFS('מאוחדת Raw'!$E$7:$E$625,'מאוחדת Raw'!$F$7:$F$625,$A179,'מאוחדת Raw'!$C$7:$C$625,2026)</f>
        <v>1295.32</v>
      </c>
      <c r="J179" s="12" t="n">
        <f aca="false">I179*$J$5</f>
        <v>1636.19368421053</v>
      </c>
    </row>
    <row r="180" customFormat="false" ht="15" hidden="false" customHeight="true" outlineLevel="0" collapsed="false">
      <c r="A180" s="12" t="n">
        <v>4413372</v>
      </c>
      <c r="B180" s="12" t="str">
        <f aca="false">IFERROR(INDEX('מאוחדת Raw'!$B:$B,MATCH($A180,'מאוחדת Raw'!$F:$F,0)),"")</f>
        <v>302 W מדרס לאישה</v>
      </c>
      <c r="C180" s="12" t="n">
        <f aca="false">SUMIFS('מאוחדת Raw'!$D$7:$D$625,'מאוחדת Raw'!$F$7:$F$625,$A180,'מאוחדת Raw'!$C$7:$C$625,2025)</f>
        <v>229</v>
      </c>
      <c r="D180" s="12" t="n">
        <f aca="false">SUMIFS('מאוחדת Raw'!$D$7:$D$625,'מאוחדת Raw'!$F$7:$F$625,$A180,'מאוחדת Raw'!$C$7:$C$625,2026)</f>
        <v>98</v>
      </c>
      <c r="E180" s="12" t="n">
        <f aca="false">D180*$J$5</f>
        <v>123.789473684211</v>
      </c>
      <c r="F180" s="12" t="n">
        <f aca="false">E180-C180</f>
        <v>-105.210526315789</v>
      </c>
      <c r="G180" s="21" t="n">
        <f aca="false">IF(AND(C180=0,E180=0),0,IF(C180=0,"New",(E180-C180)/C180))</f>
        <v>-0.459434612732705</v>
      </c>
      <c r="H180" s="12" t="n">
        <f aca="false">SUMIFS('מאוחדת Raw'!$E$7:$E$625,'מאוחדת Raw'!$F$7:$F$625,$A180,'מאוחדת Raw'!$C$7:$C$625,2025)</f>
        <v>10815.67</v>
      </c>
      <c r="I180" s="12" t="n">
        <f aca="false">SUMIFS('מאוחדת Raw'!$E$7:$E$625,'מאוחדת Raw'!$F$7:$F$625,$A180,'מאוחדת Raw'!$C$7:$C$625,2026)</f>
        <v>4628.59</v>
      </c>
      <c r="J180" s="12" t="n">
        <f aca="false">I180*$J$5</f>
        <v>5846.64</v>
      </c>
    </row>
    <row r="181" customFormat="false" ht="15" hidden="false" customHeight="true" outlineLevel="0" collapsed="false">
      <c r="A181" s="12" t="n">
        <v>4413531</v>
      </c>
      <c r="B181" s="12" t="str">
        <f aca="false">IFERROR(INDEX('מאוחדת Raw'!$B:$B,MATCH($A181,'מאוחדת Raw'!$F:$F,0)),"")</f>
        <v>ST91 מגן מרפק לטניס</v>
      </c>
      <c r="C181" s="12" t="n">
        <f aca="false">SUMIFS('מאוחדת Raw'!$D$7:$D$625,'מאוחדת Raw'!$F$7:$F$625,$A181,'מאוחדת Raw'!$C$7:$C$625,2025)</f>
        <v>210</v>
      </c>
      <c r="D181" s="12" t="n">
        <f aca="false">SUMIFS('מאוחדת Raw'!$D$7:$D$625,'מאוחדת Raw'!$F$7:$F$625,$A181,'מאוחדת Raw'!$C$7:$C$625,2026)</f>
        <v>191</v>
      </c>
      <c r="E181" s="12" t="n">
        <f aca="false">D181*$J$5</f>
        <v>241.263157894737</v>
      </c>
      <c r="F181" s="12" t="n">
        <f aca="false">E181-C181</f>
        <v>31.2631578947368</v>
      </c>
      <c r="G181" s="21" t="n">
        <f aca="false">IF(AND(C181=0,E181=0),0,IF(C181=0,"New",(E181-C181)/C181))</f>
        <v>0.148872180451128</v>
      </c>
      <c r="H181" s="12" t="n">
        <f aca="false">SUMIFS('מאוחדת Raw'!$E$7:$E$625,'מאוחדת Raw'!$F$7:$F$625,$A181,'מאוחדת Raw'!$C$7:$C$625,2025)</f>
        <v>4368</v>
      </c>
      <c r="I181" s="12" t="n">
        <f aca="false">SUMIFS('מאוחדת Raw'!$E$7:$E$625,'מאוחדת Raw'!$F$7:$F$625,$A181,'מאוחדת Raw'!$C$7:$C$625,2026)</f>
        <v>3811.6</v>
      </c>
      <c r="J181" s="12" t="n">
        <f aca="false">I181*$J$5</f>
        <v>4814.65263157895</v>
      </c>
    </row>
    <row r="182" customFormat="false" ht="15" hidden="false" customHeight="true" outlineLevel="0" collapsed="false">
      <c r="A182" s="12" t="n">
        <v>4413532</v>
      </c>
      <c r="B182" s="12" t="str">
        <f aca="false">IFERROR(INDEX('מאוחדת Raw'!$B:$B,MATCH($A182,'מאוחדת Raw'!$F:$F,0)),"")</f>
        <v>ST433 H מגן ברך עם ציר</v>
      </c>
      <c r="C182" s="12" t="n">
        <f aca="false">SUMIFS('מאוחדת Raw'!$D$7:$D$625,'מאוחדת Raw'!$F$7:$F$625,$A182,'מאוחדת Raw'!$C$7:$C$625,2025)</f>
        <v>48</v>
      </c>
      <c r="D182" s="12" t="n">
        <f aca="false">SUMIFS('מאוחדת Raw'!$D$7:$D$625,'מאוחדת Raw'!$F$7:$F$625,$A182,'מאוחדת Raw'!$C$7:$C$625,2026)</f>
        <v>24</v>
      </c>
      <c r="E182" s="12" t="n">
        <f aca="false">D182*$J$5</f>
        <v>30.3157894736842</v>
      </c>
      <c r="F182" s="12" t="n">
        <f aca="false">E182-C182</f>
        <v>-17.6842105263158</v>
      </c>
      <c r="G182" s="21" t="n">
        <f aca="false">IF(AND(C182=0,E182=0),0,IF(C182=0,"New",(E182-C182)/C182))</f>
        <v>-0.368421052631579</v>
      </c>
      <c r="H182" s="12" t="n">
        <f aca="false">SUMIFS('מאוחדת Raw'!$E$7:$E$625,'מאוחדת Raw'!$F$7:$F$625,$A182,'מאוחדת Raw'!$C$7:$C$625,2025)</f>
        <v>4488</v>
      </c>
      <c r="I182" s="12" t="n">
        <f aca="false">SUMIFS('מאוחדת Raw'!$E$7:$E$625,'מאוחדת Raw'!$F$7:$F$625,$A182,'מאוחדת Raw'!$C$7:$C$625,2026)</f>
        <v>2244</v>
      </c>
      <c r="J182" s="12" t="n">
        <f aca="false">I182*$J$5</f>
        <v>2834.52631578947</v>
      </c>
    </row>
    <row r="183" customFormat="false" ht="15" hidden="false" customHeight="true" outlineLevel="0" collapsed="false">
      <c r="A183" s="12" t="n">
        <v>4413533</v>
      </c>
      <c r="B183" s="12" t="str">
        <f aca="false">IFERROR(INDEX('מאוחדת Raw'!$B:$B,MATCH($A183,'מאוחדת Raw'!$F:$F,0)),"")</f>
        <v>ST49 מגן ירך</v>
      </c>
      <c r="C183" s="12" t="n">
        <f aca="false">SUMIFS('מאוחדת Raw'!$D$7:$D$625,'מאוחדת Raw'!$F$7:$F$625,$A183,'מאוחדת Raw'!$C$7:$C$625,2025)</f>
        <v>36</v>
      </c>
      <c r="D183" s="12" t="n">
        <f aca="false">SUMIFS('מאוחדת Raw'!$D$7:$D$625,'מאוחדת Raw'!$F$7:$F$625,$A183,'מאוחדת Raw'!$C$7:$C$625,2026)</f>
        <v>3</v>
      </c>
      <c r="E183" s="12" t="n">
        <f aca="false">D183*$J$5</f>
        <v>3.78947368421053</v>
      </c>
      <c r="F183" s="12" t="n">
        <f aca="false">E183-C183</f>
        <v>-32.2105263157895</v>
      </c>
      <c r="G183" s="21" t="n">
        <f aca="false">IF(AND(C183=0,E183=0),0,IF(C183=0,"New",(E183-C183)/C183))</f>
        <v>-0.894736842105263</v>
      </c>
      <c r="H183" s="12" t="n">
        <f aca="false">SUMIFS('מאוחדת Raw'!$E$7:$E$625,'מאוחדת Raw'!$F$7:$F$625,$A183,'מאוחדת Raw'!$C$7:$C$625,2025)</f>
        <v>738</v>
      </c>
      <c r="I183" s="12" t="n">
        <f aca="false">SUMIFS('מאוחדת Raw'!$E$7:$E$625,'מאוחדת Raw'!$F$7:$F$625,$A183,'מאוחדת Raw'!$C$7:$C$625,2026)</f>
        <v>61.5</v>
      </c>
      <c r="J183" s="12" t="n">
        <f aca="false">I183*$J$5</f>
        <v>77.6842105263158</v>
      </c>
    </row>
    <row r="184" customFormat="false" ht="15" hidden="false" customHeight="true" outlineLevel="0" collapsed="false">
      <c r="A184" s="12" t="n">
        <v>4413534</v>
      </c>
      <c r="B184" s="12" t="str">
        <f aca="false">IFERROR(INDEX('מאוחדת Raw'!$B:$B,MATCH($A184,'מאוחדת Raw'!$F:$F,0)),"")</f>
        <v>SH333 מקבע קרסול</v>
      </c>
      <c r="C184" s="12" t="n">
        <f aca="false">SUMIFS('מאוחדת Raw'!$D$7:$D$625,'מאוחדת Raw'!$F$7:$F$625,$A184,'מאוחדת Raw'!$C$7:$C$625,2025)</f>
        <v>0</v>
      </c>
      <c r="D184" s="12" t="n">
        <f aca="false">SUMIFS('מאוחדת Raw'!$D$7:$D$625,'מאוחדת Raw'!$F$7:$F$625,$A184,'מאוחדת Raw'!$C$7:$C$625,2026)</f>
        <v>21</v>
      </c>
      <c r="E184" s="12" t="n">
        <f aca="false">D184*$J$5</f>
        <v>26.5263157894737</v>
      </c>
      <c r="F184" s="12" t="n">
        <f aca="false">E184-C184</f>
        <v>26.5263157894737</v>
      </c>
      <c r="G184" s="21" t="str">
        <f aca="false">IF(AND(C184=0,E184=0),0,IF(C184=0,"New",(E184-C184)/C184))</f>
        <v>New</v>
      </c>
      <c r="H184" s="12" t="n">
        <f aca="false">SUMIFS('מאוחדת Raw'!$E$7:$E$625,'מאוחדת Raw'!$F$7:$F$625,$A184,'מאוחדת Raw'!$C$7:$C$625,2025)</f>
        <v>0</v>
      </c>
      <c r="I184" s="12" t="n">
        <f aca="false">SUMIFS('מאוחדת Raw'!$E$7:$E$625,'מאוחדת Raw'!$F$7:$F$625,$A184,'מאוחדת Raw'!$C$7:$C$625,2026)</f>
        <v>1932</v>
      </c>
      <c r="J184" s="12" t="n">
        <f aca="false">I184*$J$5</f>
        <v>2440.42105263158</v>
      </c>
    </row>
    <row r="185" customFormat="false" ht="15" hidden="false" customHeight="true" outlineLevel="0" collapsed="false">
      <c r="A185" s="12" t="n">
        <v>4415019</v>
      </c>
      <c r="B185" s="12" t="str">
        <f aca="false">IFERROR(INDEX('מאוחדת Raw'!$B:$B,MATCH($A185,'מאוחדת Raw'!$F:$F,0)),"")</f>
        <v>333 סד לקרסול עם כריות אויר</v>
      </c>
      <c r="C185" s="12" t="n">
        <f aca="false">SUMIFS('מאוחדת Raw'!$D$7:$D$625,'מאוחדת Raw'!$F$7:$F$625,$A185,'מאוחדת Raw'!$C$7:$C$625,2025)</f>
        <v>44</v>
      </c>
      <c r="D185" s="12" t="n">
        <f aca="false">SUMIFS('מאוחדת Raw'!$D$7:$D$625,'מאוחדת Raw'!$F$7:$F$625,$A185,'מאוחדת Raw'!$C$7:$C$625,2026)</f>
        <v>6</v>
      </c>
      <c r="E185" s="12" t="n">
        <f aca="false">D185*$J$5</f>
        <v>7.57894736842105</v>
      </c>
      <c r="F185" s="12" t="n">
        <f aca="false">E185-C185</f>
        <v>-36.4210526315789</v>
      </c>
      <c r="G185" s="21" t="n">
        <f aca="false">IF(AND(C185=0,E185=0),0,IF(C185=0,"New",(E185-C185)/C185))</f>
        <v>-0.827751196172249</v>
      </c>
      <c r="H185" s="12" t="n">
        <f aca="false">SUMIFS('מאוחדת Raw'!$E$7:$E$625,'מאוחדת Raw'!$F$7:$F$625,$A185,'מאוחדת Raw'!$C$7:$C$625,2025)</f>
        <v>4283.4</v>
      </c>
      <c r="I185" s="12" t="n">
        <f aca="false">SUMIFS('מאוחדת Raw'!$E$7:$E$625,'מאוחדת Raw'!$F$7:$F$625,$A185,'מאוחדת Raw'!$C$7:$C$625,2026)</f>
        <v>535.45</v>
      </c>
      <c r="J185" s="12" t="n">
        <f aca="false">I185*$J$5</f>
        <v>676.357894736842</v>
      </c>
    </row>
    <row r="186" customFormat="false" ht="15" hidden="false" customHeight="true" outlineLevel="0" collapsed="false">
      <c r="A186" s="12" t="n">
        <v>4415028</v>
      </c>
      <c r="B186" s="12" t="str">
        <f aca="false">IFERROR(INDEX('מאוחדת Raw'!$B:$B,MATCH($A186,'מאוחדת Raw'!$F:$F,0)),"")</f>
        <v>AC-28 סד לאגודל</v>
      </c>
      <c r="C186" s="12" t="n">
        <f aca="false">SUMIFS('מאוחדת Raw'!$D$7:$D$625,'מאוחדת Raw'!$F$7:$F$625,$A186,'מאוחדת Raw'!$C$7:$C$625,2025)</f>
        <v>527</v>
      </c>
      <c r="D186" s="12" t="n">
        <f aca="false">SUMIFS('מאוחדת Raw'!$D$7:$D$625,'מאוחדת Raw'!$F$7:$F$625,$A186,'מאוחדת Raw'!$C$7:$C$625,2026)</f>
        <v>295</v>
      </c>
      <c r="E186" s="12" t="n">
        <f aca="false">D186*$J$5</f>
        <v>372.631578947368</v>
      </c>
      <c r="F186" s="12" t="n">
        <f aca="false">E186-C186</f>
        <v>-154.368421052632</v>
      </c>
      <c r="G186" s="21" t="n">
        <f aca="false">IF(AND(C186=0,E186=0),0,IF(C186=0,"New",(E186-C186)/C186))</f>
        <v>-0.292919205033457</v>
      </c>
      <c r="H186" s="12" t="n">
        <f aca="false">SUMIFS('מאוחדת Raw'!$E$7:$E$625,'מאוחדת Raw'!$F$7:$F$625,$A186,'מאוחדת Raw'!$C$7:$C$625,2025)</f>
        <v>10540</v>
      </c>
      <c r="I186" s="12" t="n">
        <f aca="false">SUMIFS('מאוחדת Raw'!$E$7:$E$625,'מאוחדת Raw'!$F$7:$F$625,$A186,'מאוחדת Raw'!$C$7:$C$625,2026)</f>
        <v>6008.54</v>
      </c>
      <c r="J186" s="12" t="n">
        <f aca="false">I186*$J$5</f>
        <v>7589.73473684211</v>
      </c>
    </row>
    <row r="187" customFormat="false" ht="15" hidden="false" customHeight="true" outlineLevel="0" collapsed="false">
      <c r="A187" s="12" t="n">
        <v>4415080</v>
      </c>
      <c r="B187" s="12" t="str">
        <f aca="false">IFERROR(INDEX('מאוחדת Raw'!$B:$B,MATCH($A187,'מאוחדת Raw'!$F:$F,0)),"")</f>
        <v>PD346-10 סכינים למקצוע</v>
      </c>
      <c r="C187" s="12" t="n">
        <f aca="false">SUMIFS('מאוחדת Raw'!$D$7:$D$625,'מאוחדת Raw'!$F$7:$F$625,$A187,'מאוחדת Raw'!$C$7:$C$625,2025)</f>
        <v>58</v>
      </c>
      <c r="D187" s="12" t="n">
        <f aca="false">SUMIFS('מאוחדת Raw'!$D$7:$D$625,'מאוחדת Raw'!$F$7:$F$625,$A187,'מאוחדת Raw'!$C$7:$C$625,2026)</f>
        <v>36</v>
      </c>
      <c r="E187" s="12" t="n">
        <f aca="false">D187*$J$5</f>
        <v>45.4736842105263</v>
      </c>
      <c r="F187" s="12" t="n">
        <f aca="false">E187-C187</f>
        <v>-12.5263157894737</v>
      </c>
      <c r="G187" s="21" t="n">
        <f aca="false">IF(AND(C187=0,E187=0),0,IF(C187=0,"New",(E187-C187)/C187))</f>
        <v>-0.215970961887477</v>
      </c>
      <c r="H187" s="12" t="n">
        <f aca="false">SUMIFS('מאוחדת Raw'!$E$7:$E$625,'מאוחדת Raw'!$F$7:$F$625,$A187,'מאוחדת Raw'!$C$7:$C$625,2025)</f>
        <v>394.4</v>
      </c>
      <c r="I187" s="12" t="n">
        <f aca="false">SUMIFS('מאוחדת Raw'!$E$7:$E$625,'מאוחדת Raw'!$F$7:$F$625,$A187,'מאוחדת Raw'!$C$7:$C$625,2026)</f>
        <v>244.8</v>
      </c>
      <c r="J187" s="12" t="n">
        <f aca="false">I187*$J$5</f>
        <v>309.221052631579</v>
      </c>
    </row>
    <row r="188" customFormat="false" ht="15" hidden="false" customHeight="true" outlineLevel="0" collapsed="false">
      <c r="A188" s="12" t="n">
        <v>4415158</v>
      </c>
      <c r="B188" s="12" t="str">
        <f aca="false">IFERROR(INDEX('מאוחדת Raw'!$B:$B,MATCH($A188,'מאוחדת Raw'!$F:$F,0)),"")</f>
        <v>266 סד ליד דו צדדי</v>
      </c>
      <c r="C188" s="12" t="n">
        <f aca="false">SUMIFS('מאוחדת Raw'!$D$7:$D$625,'מאוחדת Raw'!$F$7:$F$625,$A188,'מאוחדת Raw'!$C$7:$C$625,2025)</f>
        <v>1741</v>
      </c>
      <c r="D188" s="12" t="n">
        <f aca="false">SUMIFS('מאוחדת Raw'!$D$7:$D$625,'מאוחדת Raw'!$F$7:$F$625,$A188,'מאוחדת Raw'!$C$7:$C$625,2026)</f>
        <v>1119</v>
      </c>
      <c r="E188" s="12" t="n">
        <f aca="false">D188*$J$5</f>
        <v>1413.47368421053</v>
      </c>
      <c r="F188" s="12" t="n">
        <f aca="false">E188-C188</f>
        <v>-327.526315789474</v>
      </c>
      <c r="G188" s="21" t="n">
        <f aca="false">IF(AND(C188=0,E188=0),0,IF(C188=0,"New",(E188-C188)/C188))</f>
        <v>-0.188125396777412</v>
      </c>
      <c r="H188" s="12" t="n">
        <f aca="false">SUMIFS('מאוחדת Raw'!$E$7:$E$625,'מאוחדת Raw'!$F$7:$F$625,$A188,'מאוחדת Raw'!$C$7:$C$625,2025)</f>
        <v>79215.5</v>
      </c>
      <c r="I188" s="12" t="n">
        <f aca="false">SUMIFS('מאוחדת Raw'!$E$7:$E$625,'מאוחדת Raw'!$F$7:$F$625,$A188,'מאוחדת Raw'!$C$7:$C$625,2026)</f>
        <v>50914.5</v>
      </c>
      <c r="J188" s="12" t="n">
        <f aca="false">I188*$J$5</f>
        <v>64313.052631579</v>
      </c>
    </row>
    <row r="189" customFormat="false" ht="15" hidden="false" customHeight="true" outlineLevel="0" collapsed="false">
      <c r="A189" s="12" t="n">
        <v>4415159</v>
      </c>
      <c r="B189" s="12" t="str">
        <f aca="false">IFERROR(INDEX('מאוחדת Raw'!$B:$B,MATCH($A189,'מאוחדת Raw'!$F:$F,0)),"")</f>
        <v>268 סד לאגודל</v>
      </c>
      <c r="C189" s="12" t="n">
        <f aca="false">SUMIFS('מאוחדת Raw'!$D$7:$D$625,'מאוחדת Raw'!$F$7:$F$625,$A189,'מאוחדת Raw'!$C$7:$C$625,2025)</f>
        <v>671</v>
      </c>
      <c r="D189" s="12" t="n">
        <f aca="false">SUMIFS('מאוחדת Raw'!$D$7:$D$625,'מאוחדת Raw'!$F$7:$F$625,$A189,'מאוחדת Raw'!$C$7:$C$625,2026)</f>
        <v>492</v>
      </c>
      <c r="E189" s="12" t="n">
        <f aca="false">D189*$J$5</f>
        <v>621.473684210526</v>
      </c>
      <c r="F189" s="12" t="n">
        <f aca="false">E189-C189</f>
        <v>-49.5263157894738</v>
      </c>
      <c r="G189" s="21" t="n">
        <f aca="false">IF(AND(C189=0,E189=0),0,IF(C189=0,"New",(E189-C189)/C189))</f>
        <v>-0.0738097105655347</v>
      </c>
      <c r="H189" s="12" t="n">
        <f aca="false">SUMIFS('מאוחדת Raw'!$E$7:$E$625,'מאוחדת Raw'!$F$7:$F$625,$A189,'מאוחדת Raw'!$C$7:$C$625,2025)</f>
        <v>52203.8</v>
      </c>
      <c r="I189" s="12" t="n">
        <f aca="false">SUMIFS('מאוחדת Raw'!$E$7:$E$625,'מאוחדת Raw'!$F$7:$F$625,$A189,'מאוחדת Raw'!$C$7:$C$625,2026)</f>
        <v>38277.6</v>
      </c>
      <c r="J189" s="12" t="n">
        <f aca="false">I189*$J$5</f>
        <v>48350.652631579</v>
      </c>
    </row>
    <row r="190" customFormat="false" ht="15" hidden="false" customHeight="true" outlineLevel="0" collapsed="false">
      <c r="A190" s="12" t="n">
        <v>4415177</v>
      </c>
      <c r="B190" s="12" t="str">
        <f aca="false">IFERROR(INDEX('מאוחדת Raw'!$B:$B,MATCH($A190,'מאוחדת Raw'!$F:$F,0)),"")</f>
        <v>ST28 סד אגודלי עם מוט תמיכה</v>
      </c>
      <c r="C190" s="12" t="n">
        <f aca="false">SUMIFS('מאוחדת Raw'!$D$7:$D$625,'מאוחדת Raw'!$F$7:$F$625,$A190,'מאוחדת Raw'!$C$7:$C$625,2025)</f>
        <v>223</v>
      </c>
      <c r="D190" s="12" t="n">
        <f aca="false">SUMIFS('מאוחדת Raw'!$D$7:$D$625,'מאוחדת Raw'!$F$7:$F$625,$A190,'מאוחדת Raw'!$C$7:$C$625,2026)</f>
        <v>102</v>
      </c>
      <c r="E190" s="12" t="n">
        <f aca="false">D190*$J$5</f>
        <v>128.842105263158</v>
      </c>
      <c r="F190" s="12" t="n">
        <f aca="false">E190-C190</f>
        <v>-94.1578947368421</v>
      </c>
      <c r="G190" s="21" t="n">
        <f aca="false">IF(AND(C190=0,E190=0),0,IF(C190=0,"New",(E190-C190)/C190))</f>
        <v>-0.422232711824404</v>
      </c>
      <c r="H190" s="12" t="n">
        <f aca="false">SUMIFS('מאוחדת Raw'!$E$7:$E$625,'מאוחדת Raw'!$F$7:$F$625,$A190,'מאוחדת Raw'!$C$7:$C$625,2025)</f>
        <v>5575</v>
      </c>
      <c r="I190" s="12" t="n">
        <f aca="false">SUMIFS('מאוחדת Raw'!$E$7:$E$625,'מאוחדת Raw'!$F$7:$F$625,$A190,'מאוחדת Raw'!$C$7:$C$625,2026)</f>
        <v>2550</v>
      </c>
      <c r="J190" s="12" t="n">
        <f aca="false">I190*$J$5</f>
        <v>3221.05263157895</v>
      </c>
    </row>
    <row r="191" customFormat="false" ht="15" hidden="false" customHeight="true" outlineLevel="0" collapsed="false">
      <c r="A191" s="12" t="n">
        <v>4415298</v>
      </c>
      <c r="B191" s="12" t="str">
        <f aca="false">IFERROR(INDEX('מאוחדת Raw'!$B:$B,MATCH($A191,'מאוחדת Raw'!$F:$F,0)),"")</f>
        <v>388B L סד לילה שחור לבוהן שמאל</v>
      </c>
      <c r="C191" s="12" t="n">
        <f aca="false">SUMIFS('מאוחדת Raw'!$D$7:$D$625,'מאוחדת Raw'!$F$7:$F$625,$A191,'מאוחדת Raw'!$C$7:$C$625,2025)</f>
        <v>43</v>
      </c>
      <c r="D191" s="12" t="n">
        <f aca="false">SUMIFS('מאוחדת Raw'!$D$7:$D$625,'מאוחדת Raw'!$F$7:$F$625,$A191,'מאוחדת Raw'!$C$7:$C$625,2026)</f>
        <v>23</v>
      </c>
      <c r="E191" s="12" t="n">
        <f aca="false">D191*$J$5</f>
        <v>29.0526315789474</v>
      </c>
      <c r="F191" s="12" t="n">
        <f aca="false">E191-C191</f>
        <v>-13.9473684210526</v>
      </c>
      <c r="G191" s="21" t="n">
        <f aca="false">IF(AND(C191=0,E191=0),0,IF(C191=0,"New",(E191-C191)/C191))</f>
        <v>-0.324357405140759</v>
      </c>
      <c r="H191" s="12" t="n">
        <f aca="false">SUMIFS('מאוחדת Raw'!$E$7:$E$625,'מאוחדת Raw'!$F$7:$F$625,$A191,'מאוחדת Raw'!$C$7:$C$625,2025)</f>
        <v>1806</v>
      </c>
      <c r="I191" s="12" t="n">
        <f aca="false">SUMIFS('מאוחדת Raw'!$E$7:$E$625,'מאוחדת Raw'!$F$7:$F$625,$A191,'מאוחדת Raw'!$C$7:$C$625,2026)</f>
        <v>966</v>
      </c>
      <c r="J191" s="12" t="n">
        <f aca="false">I191*$J$5</f>
        <v>1220.21052631579</v>
      </c>
    </row>
    <row r="192" customFormat="false" ht="15" hidden="false" customHeight="true" outlineLevel="0" collapsed="false">
      <c r="A192" s="12" t="n">
        <v>4415299</v>
      </c>
      <c r="B192" s="12" t="str">
        <f aca="false">IFERROR(INDEX('מאוחדת Raw'!$B:$B,MATCH($A192,'מאוחדת Raw'!$F:$F,0)),"")</f>
        <v>388B L סד לילה שחור לבוהן ימין</v>
      </c>
      <c r="C192" s="12" t="n">
        <f aca="false">SUMIFS('מאוחדת Raw'!$D$7:$D$625,'מאוחדת Raw'!$F$7:$F$625,$A192,'מאוחדת Raw'!$C$7:$C$625,2025)</f>
        <v>38</v>
      </c>
      <c r="D192" s="12" t="n">
        <f aca="false">SUMIFS('מאוחדת Raw'!$D$7:$D$625,'מאוחדת Raw'!$F$7:$F$625,$A192,'מאוחדת Raw'!$C$7:$C$625,2026)</f>
        <v>35</v>
      </c>
      <c r="E192" s="12" t="n">
        <f aca="false">D192*$J$5</f>
        <v>44.2105263157895</v>
      </c>
      <c r="F192" s="12" t="n">
        <f aca="false">E192-C192</f>
        <v>6.21052631578947</v>
      </c>
      <c r="G192" s="21" t="n">
        <f aca="false">IF(AND(C192=0,E192=0),0,IF(C192=0,"New",(E192-C192)/C192))</f>
        <v>0.163434903047091</v>
      </c>
      <c r="H192" s="12" t="n">
        <f aca="false">SUMIFS('מאוחדת Raw'!$E$7:$E$625,'מאוחדת Raw'!$F$7:$F$625,$A192,'מאוחדת Raw'!$C$7:$C$625,2025)</f>
        <v>1596</v>
      </c>
      <c r="I192" s="12" t="n">
        <f aca="false">SUMIFS('מאוחדת Raw'!$E$7:$E$625,'מאוחדת Raw'!$F$7:$F$625,$A192,'מאוחדת Raw'!$C$7:$C$625,2026)</f>
        <v>1470</v>
      </c>
      <c r="J192" s="12" t="n">
        <f aca="false">I192*$J$5</f>
        <v>1856.84210526316</v>
      </c>
    </row>
    <row r="193" customFormat="false" ht="15" hidden="false" customHeight="true" outlineLevel="0" collapsed="false">
      <c r="A193" s="12" t="n">
        <v>4416000</v>
      </c>
      <c r="B193" s="12" t="str">
        <f aca="false">IFERROR(INDEX('מאוחדת Raw'!$B:$B,MATCH($A193,'מאוחדת Raw'!$F:$F,0)),"")</f>
        <v>307 L עקבים לדורבן-זוג כריות</v>
      </c>
      <c r="C193" s="12" t="n">
        <f aca="false">SUMIFS('מאוחדת Raw'!$D$7:$D$625,'מאוחדת Raw'!$F$7:$F$625,$A193,'מאוחדת Raw'!$C$7:$C$625,2025)</f>
        <v>294</v>
      </c>
      <c r="D193" s="12" t="n">
        <f aca="false">SUMIFS('מאוחדת Raw'!$D$7:$D$625,'מאוחדת Raw'!$F$7:$F$625,$A193,'מאוחדת Raw'!$C$7:$C$625,2026)</f>
        <v>153</v>
      </c>
      <c r="E193" s="12" t="n">
        <f aca="false">D193*$J$5</f>
        <v>193.263157894737</v>
      </c>
      <c r="F193" s="12" t="n">
        <f aca="false">E193-C193</f>
        <v>-100.736842105263</v>
      </c>
      <c r="G193" s="21" t="n">
        <f aca="false">IF(AND(C193=0,E193=0),0,IF(C193=0,"New",(E193-C193)/C193))</f>
        <v>-0.342642320085929</v>
      </c>
      <c r="H193" s="12" t="n">
        <f aca="false">SUMIFS('מאוחדת Raw'!$E$7:$E$625,'מאוחדת Raw'!$F$7:$F$625,$A193,'מאוחדת Raw'!$C$7:$C$625,2025)</f>
        <v>18601.38</v>
      </c>
      <c r="I193" s="12" t="n">
        <f aca="false">SUMIFS('מאוחדת Raw'!$E$7:$E$625,'מאוחדת Raw'!$F$7:$F$625,$A193,'מאוחדת Raw'!$C$7:$C$625,2026)</f>
        <v>9673.34</v>
      </c>
      <c r="J193" s="12" t="n">
        <f aca="false">I193*$J$5</f>
        <v>12218.9557894737</v>
      </c>
    </row>
    <row r="194" customFormat="false" ht="15" hidden="false" customHeight="true" outlineLevel="0" collapsed="false">
      <c r="A194" s="12" t="n">
        <v>4416001</v>
      </c>
      <c r="B194" s="12" t="str">
        <f aca="false">IFERROR(INDEX('מאוחדת Raw'!$B:$B,MATCH($A194,'מאוחדת Raw'!$F:$F,0)),"")</f>
        <v>307 M עקבים לדורבן-זוג כריות</v>
      </c>
      <c r="C194" s="12" t="n">
        <f aca="false">SUMIFS('מאוחדת Raw'!$D$7:$D$625,'מאוחדת Raw'!$F$7:$F$625,$A194,'מאוחדת Raw'!$C$7:$C$625,2025)</f>
        <v>293</v>
      </c>
      <c r="D194" s="12" t="n">
        <f aca="false">SUMIFS('מאוחדת Raw'!$D$7:$D$625,'מאוחדת Raw'!$F$7:$F$625,$A194,'מאוחדת Raw'!$C$7:$C$625,2026)</f>
        <v>149</v>
      </c>
      <c r="E194" s="12" t="n">
        <f aca="false">D194*$J$5</f>
        <v>188.210526315789</v>
      </c>
      <c r="F194" s="12" t="n">
        <f aca="false">E194-C194</f>
        <v>-104.789473684211</v>
      </c>
      <c r="G194" s="21" t="n">
        <f aca="false">IF(AND(C194=0,E194=0),0,IF(C194=0,"New",(E194-C194)/C194))</f>
        <v>-0.357643254894917</v>
      </c>
      <c r="H194" s="12" t="n">
        <f aca="false">SUMIFS('מאוחדת Raw'!$E$7:$E$625,'מאוחדת Raw'!$F$7:$F$625,$A194,'מאוחדת Raw'!$C$7:$C$625,2025)</f>
        <v>18538.11</v>
      </c>
      <c r="I194" s="12" t="n">
        <f aca="false">SUMIFS('מאוחדת Raw'!$E$7:$E$625,'מאוחדת Raw'!$F$7:$F$625,$A194,'מאוחדת Raw'!$C$7:$C$625,2026)</f>
        <v>9436.12</v>
      </c>
      <c r="J194" s="12" t="n">
        <f aca="false">I194*$J$5</f>
        <v>11919.3094736842</v>
      </c>
    </row>
    <row r="195" customFormat="false" ht="15" hidden="false" customHeight="true" outlineLevel="0" collapsed="false">
      <c r="A195" s="12" t="n">
        <v>4416002</v>
      </c>
      <c r="B195" s="12" t="str">
        <f aca="false">IFERROR(INDEX('מאוחדת Raw'!$B:$B,MATCH($A195,'מאוחדת Raw'!$F:$F,0)),"")</f>
        <v>307 S עקבים לדורבן-זוג כריות</v>
      </c>
      <c r="C195" s="12" t="n">
        <f aca="false">SUMIFS('מאוחדת Raw'!$D$7:$D$625,'מאוחדת Raw'!$F$7:$F$625,$A195,'מאוחדת Raw'!$C$7:$C$625,2025)</f>
        <v>65</v>
      </c>
      <c r="D195" s="12" t="n">
        <f aca="false">SUMIFS('מאוחדת Raw'!$D$7:$D$625,'מאוחדת Raw'!$F$7:$F$625,$A195,'מאוחדת Raw'!$C$7:$C$625,2026)</f>
        <v>35</v>
      </c>
      <c r="E195" s="12" t="n">
        <f aca="false">D195*$J$5</f>
        <v>44.2105263157895</v>
      </c>
      <c r="F195" s="12" t="n">
        <f aca="false">E195-C195</f>
        <v>-20.7894736842105</v>
      </c>
      <c r="G195" s="21" t="n">
        <f aca="false">IF(AND(C195=0,E195=0),0,IF(C195=0,"New",(E195-C195)/C195))</f>
        <v>-0.319838056680162</v>
      </c>
      <c r="H195" s="12" t="n">
        <f aca="false">SUMIFS('מאוחדת Raw'!$E$7:$E$625,'מאוחדת Raw'!$F$7:$F$625,$A195,'מאוחדת Raw'!$C$7:$C$625,2025)</f>
        <v>4112.55</v>
      </c>
      <c r="I195" s="12" t="n">
        <f aca="false">SUMIFS('מאוחדת Raw'!$E$7:$E$625,'מאוחדת Raw'!$F$7:$F$625,$A195,'מאוחדת Raw'!$C$7:$C$625,2026)</f>
        <v>2334.02</v>
      </c>
      <c r="J195" s="12" t="n">
        <f aca="false">I195*$J$5</f>
        <v>2948.23578947368</v>
      </c>
    </row>
    <row r="196" customFormat="false" ht="15" hidden="false" customHeight="true" outlineLevel="0" collapsed="false">
      <c r="A196" s="12" t="n">
        <v>4417000</v>
      </c>
      <c r="B196" s="12" t="str">
        <f aca="false">IFERROR(INDEX('מאוחדת Raw'!$B:$B,MATCH($A196,'מאוחדת Raw'!$F:$F,0)),"")</f>
        <v>PD342-פומפיה להסרת עור קשה</v>
      </c>
      <c r="C196" s="12" t="n">
        <f aca="false">SUMIFS('מאוחדת Raw'!$D$7:$D$625,'מאוחדת Raw'!$F$7:$F$625,$A196,'מאוחדת Raw'!$C$7:$C$625,2025)</f>
        <v>205</v>
      </c>
      <c r="D196" s="12" t="n">
        <f aca="false">SUMIFS('מאוחדת Raw'!$D$7:$D$625,'מאוחדת Raw'!$F$7:$F$625,$A196,'מאוחדת Raw'!$C$7:$C$625,2026)</f>
        <v>88</v>
      </c>
      <c r="E196" s="12" t="n">
        <f aca="false">D196*$J$5</f>
        <v>111.157894736842</v>
      </c>
      <c r="F196" s="12" t="n">
        <f aca="false">E196-C196</f>
        <v>-93.8421052631579</v>
      </c>
      <c r="G196" s="21" t="n">
        <f aca="false">IF(AND(C196=0,E196=0),0,IF(C196=0,"New",(E196-C196)/C196))</f>
        <v>-0.457766367137356</v>
      </c>
      <c r="H196" s="12" t="n">
        <f aca="false">SUMIFS('מאוחדת Raw'!$E$7:$E$625,'מאוחדת Raw'!$F$7:$F$625,$A196,'מאוחדת Raw'!$C$7:$C$625,2025)</f>
        <v>3679.75</v>
      </c>
      <c r="I196" s="12" t="n">
        <f aca="false">SUMIFS('מאוחדת Raw'!$E$7:$E$625,'מאוחדת Raw'!$F$7:$F$625,$A196,'מאוחדת Raw'!$C$7:$C$625,2026)</f>
        <v>1575.1</v>
      </c>
      <c r="J196" s="12" t="n">
        <f aca="false">I196*$J$5</f>
        <v>1989.6</v>
      </c>
    </row>
    <row r="197" customFormat="false" ht="15" hidden="false" customHeight="true" outlineLevel="0" collapsed="false">
      <c r="A197" s="12" t="n">
        <v>4419006</v>
      </c>
      <c r="B197" s="12" t="str">
        <f aca="false">IFERROR(INDEX('מאוחדת Raw'!$B:$B,MATCH($A197,'מאוחדת Raw'!$F:$F,0)),"")</f>
        <v>PD340-קוצץ ציפורניים</v>
      </c>
      <c r="C197" s="12" t="n">
        <f aca="false">SUMIFS('מאוחדת Raw'!$D$7:$D$625,'מאוחדת Raw'!$F$7:$F$625,$A197,'מאוחדת Raw'!$C$7:$C$625,2025)</f>
        <v>442</v>
      </c>
      <c r="D197" s="12" t="n">
        <f aca="false">SUMIFS('מאוחדת Raw'!$D$7:$D$625,'מאוחדת Raw'!$F$7:$F$625,$A197,'מאוחדת Raw'!$C$7:$C$625,2026)</f>
        <v>413</v>
      </c>
      <c r="E197" s="12" t="n">
        <f aca="false">D197*$J$5</f>
        <v>521.684210526316</v>
      </c>
      <c r="F197" s="12" t="n">
        <f aca="false">E197-C197</f>
        <v>79.6842105263157</v>
      </c>
      <c r="G197" s="21" t="n">
        <f aca="false">IF(AND(C197=0,E197=0),0,IF(C197=0,"New",(E197-C197)/C197))</f>
        <v>0.180281019290307</v>
      </c>
      <c r="H197" s="12" t="n">
        <f aca="false">SUMIFS('מאוחדת Raw'!$E$7:$E$625,'מאוחדת Raw'!$F$7:$F$625,$A197,'מאוחדת Raw'!$C$7:$C$625,2025)</f>
        <v>4596.8</v>
      </c>
      <c r="I197" s="12" t="n">
        <f aca="false">SUMIFS('מאוחדת Raw'!$E$7:$E$625,'מאוחדת Raw'!$F$7:$F$625,$A197,'מאוחדת Raw'!$C$7:$C$625,2026)</f>
        <v>4204.2</v>
      </c>
      <c r="J197" s="12" t="n">
        <f aca="false">I197*$J$5</f>
        <v>5310.56842105263</v>
      </c>
    </row>
    <row r="198" customFormat="false" ht="15" hidden="false" customHeight="true" outlineLevel="0" collapsed="false">
      <c r="A198" s="12" t="n">
        <v>4419011</v>
      </c>
      <c r="B198" s="12" t="str">
        <f aca="false">IFERROR(INDEX('מאוחדת Raw'!$B:$B,MATCH($A198,'מאוחדת Raw'!$F:$F,0)),"")</f>
        <v>239B-S-M</v>
      </c>
      <c r="C198" s="12" t="n">
        <f aca="false">SUMIFS('מאוחדת Raw'!$D$7:$D$625,'מאוחדת Raw'!$F$7:$F$625,$A198,'מאוחדת Raw'!$C$7:$C$625,2025)</f>
        <v>90</v>
      </c>
      <c r="D198" s="12" t="n">
        <f aca="false">SUMIFS('מאוחדת Raw'!$D$7:$D$625,'מאוחדת Raw'!$F$7:$F$625,$A198,'מאוחדת Raw'!$C$7:$C$625,2026)</f>
        <v>0</v>
      </c>
      <c r="E198" s="12" t="n">
        <f aca="false">D198*$J$5</f>
        <v>0</v>
      </c>
      <c r="F198" s="12" t="n">
        <f aca="false">E198-C198</f>
        <v>-90</v>
      </c>
      <c r="G198" s="21" t="n">
        <f aca="false">IF(AND(C198=0,E198=0),0,IF(C198=0,"New",(E198-C198)/C198))</f>
        <v>-1</v>
      </c>
      <c r="H198" s="12" t="n">
        <f aca="false">SUMIFS('מאוחדת Raw'!$E$7:$E$625,'מאוחדת Raw'!$F$7:$F$625,$A198,'מאוחדת Raw'!$C$7:$C$625,2025)</f>
        <v>990</v>
      </c>
      <c r="I198" s="12" t="n">
        <f aca="false">SUMIFS('מאוחדת Raw'!$E$7:$E$625,'מאוחדת Raw'!$F$7:$F$625,$A198,'מאוחדת Raw'!$C$7:$C$625,2026)</f>
        <v>0</v>
      </c>
      <c r="J198" s="12" t="n">
        <f aca="false">I198*$J$5</f>
        <v>0</v>
      </c>
    </row>
    <row r="199" customFormat="false" ht="15" hidden="false" customHeight="true" outlineLevel="0" collapsed="false">
      <c r="A199" s="12" t="n">
        <v>4419013</v>
      </c>
      <c r="B199" s="12" t="str">
        <f aca="false">IFERROR(INDEX('מאוחדת Raw'!$B:$B,MATCH($A199,'מאוחדת Raw'!$F:$F,0)),"")</f>
        <v>239B-L-XL</v>
      </c>
      <c r="C199" s="12" t="n">
        <f aca="false">SUMIFS('מאוחדת Raw'!$D$7:$D$625,'מאוחדת Raw'!$F$7:$F$625,$A199,'מאוחדת Raw'!$C$7:$C$625,2025)</f>
        <v>96</v>
      </c>
      <c r="D199" s="12" t="n">
        <f aca="false">SUMIFS('מאוחדת Raw'!$D$7:$D$625,'מאוחדת Raw'!$F$7:$F$625,$A199,'מאוחדת Raw'!$C$7:$C$625,2026)</f>
        <v>-3</v>
      </c>
      <c r="E199" s="12" t="n">
        <f aca="false">D199*$J$5</f>
        <v>-3.78947368421053</v>
      </c>
      <c r="F199" s="12" t="n">
        <f aca="false">E199-C199</f>
        <v>-99.7894736842105</v>
      </c>
      <c r="G199" s="21" t="n">
        <f aca="false">IF(AND(C199=0,E199=0),0,IF(C199=0,"New",(E199-C199)/C199))</f>
        <v>-1.03947368421053</v>
      </c>
      <c r="H199" s="12" t="n">
        <f aca="false">SUMIFS('מאוחדת Raw'!$E$7:$E$625,'מאוחדת Raw'!$F$7:$F$625,$A199,'מאוחדת Raw'!$C$7:$C$625,2025)</f>
        <v>1056</v>
      </c>
      <c r="I199" s="12" t="n">
        <f aca="false">SUMIFS('מאוחדת Raw'!$E$7:$E$625,'מאוחדת Raw'!$F$7:$F$625,$A199,'מאוחדת Raw'!$C$7:$C$625,2026)</f>
        <v>-33</v>
      </c>
      <c r="J199" s="12" t="n">
        <f aca="false">I199*$J$5</f>
        <v>-41.6842105263158</v>
      </c>
    </row>
    <row r="200" customFormat="false" ht="15" hidden="false" customHeight="true" outlineLevel="0" collapsed="false">
      <c r="A200" s="12" t="n">
        <v>4419014</v>
      </c>
      <c r="B200" s="12" t="str">
        <f aca="false">IFERROR(INDEX('מאוחדת Raw'!$B:$B,MATCH($A200,'מאוחדת Raw'!$F:$F,0)),"")</f>
        <v>239TR L-XL STRAP4U</v>
      </c>
      <c r="C200" s="12" t="n">
        <f aca="false">SUMIFS('מאוחדת Raw'!$D$7:$D$625,'מאוחדת Raw'!$F$7:$F$625,$A200,'מאוחדת Raw'!$C$7:$C$625,2025)</f>
        <v>36</v>
      </c>
      <c r="D200" s="12" t="n">
        <f aca="false">SUMIFS('מאוחדת Raw'!$D$7:$D$625,'מאוחדת Raw'!$F$7:$F$625,$A200,'מאוחדת Raw'!$C$7:$C$625,2026)</f>
        <v>3</v>
      </c>
      <c r="E200" s="12" t="n">
        <f aca="false">D200*$J$5</f>
        <v>3.78947368421053</v>
      </c>
      <c r="F200" s="12" t="n">
        <f aca="false">E200-C200</f>
        <v>-32.2105263157895</v>
      </c>
      <c r="G200" s="21" t="n">
        <f aca="false">IF(AND(C200=0,E200=0),0,IF(C200=0,"New",(E200-C200)/C200))</f>
        <v>-0.894736842105263</v>
      </c>
      <c r="H200" s="12" t="n">
        <f aca="false">SUMIFS('מאוחדת Raw'!$E$7:$E$625,'מאוחדת Raw'!$F$7:$F$625,$A200,'מאוחדת Raw'!$C$7:$C$625,2025)</f>
        <v>396</v>
      </c>
      <c r="I200" s="12" t="n">
        <f aca="false">SUMIFS('מאוחדת Raw'!$E$7:$E$625,'מאוחדת Raw'!$F$7:$F$625,$A200,'מאוחדת Raw'!$C$7:$C$625,2026)</f>
        <v>33</v>
      </c>
      <c r="J200" s="12" t="n">
        <f aca="false">I200*$J$5</f>
        <v>41.6842105263158</v>
      </c>
    </row>
    <row r="201" customFormat="false" ht="15" hidden="false" customHeight="true" outlineLevel="0" collapsed="false">
      <c r="A201" s="12" t="n">
        <v>4420000</v>
      </c>
      <c r="B201" s="12" t="str">
        <f aca="false">IFERROR(INDEX('מאוחדת Raw'!$B:$B,MATCH($A201,'מאוחדת Raw'!$F:$F,0)),"")</f>
        <v>370  רפידת נוחות-זוג</v>
      </c>
      <c r="C201" s="12" t="n">
        <f aca="false">SUMIFS('מאוחדת Raw'!$D$7:$D$625,'מאוחדת Raw'!$F$7:$F$625,$A201,'מאוחדת Raw'!$C$7:$C$625,2025)</f>
        <v>359</v>
      </c>
      <c r="D201" s="12" t="n">
        <f aca="false">SUMIFS('מאוחדת Raw'!$D$7:$D$625,'מאוחדת Raw'!$F$7:$F$625,$A201,'מאוחדת Raw'!$C$7:$C$625,2026)</f>
        <v>219</v>
      </c>
      <c r="E201" s="12" t="n">
        <f aca="false">D201*$J$5</f>
        <v>276.631578947368</v>
      </c>
      <c r="F201" s="12" t="n">
        <f aca="false">E201-C201</f>
        <v>-82.3684210526316</v>
      </c>
      <c r="G201" s="21" t="n">
        <f aca="false">IF(AND(C201=0,E201=0),0,IF(C201=0,"New",(E201-C201)/C201))</f>
        <v>-0.229438498753849</v>
      </c>
      <c r="H201" s="12" t="n">
        <f aca="false">SUMIFS('מאוחדת Raw'!$E$7:$E$625,'מאוחדת Raw'!$F$7:$F$625,$A201,'מאוחדת Raw'!$C$7:$C$625,2025)</f>
        <v>2943.8</v>
      </c>
      <c r="I201" s="12" t="n">
        <f aca="false">SUMIFS('מאוחדת Raw'!$E$7:$E$625,'מאוחדת Raw'!$F$7:$F$625,$A201,'מאוחדת Raw'!$C$7:$C$625,2026)</f>
        <v>1728.2</v>
      </c>
      <c r="J201" s="12" t="n">
        <f aca="false">I201*$J$5</f>
        <v>2182.98947368421</v>
      </c>
    </row>
    <row r="202" customFormat="false" ht="15" hidden="false" customHeight="true" outlineLevel="0" collapsed="false">
      <c r="A202" s="12" t="n">
        <v>4420002</v>
      </c>
      <c r="B202" s="12" t="str">
        <f aca="false">IFERROR(INDEX('מאוחדת Raw'!$B:$B,MATCH($A202,'מאוחדת Raw'!$F:$F,0)),"")</f>
        <v>372 רפידת אנטי ריח -זוג</v>
      </c>
      <c r="C202" s="12" t="n">
        <f aca="false">SUMIFS('מאוחדת Raw'!$D$7:$D$625,'מאוחדת Raw'!$F$7:$F$625,$A202,'מאוחדת Raw'!$C$7:$C$625,2025)</f>
        <v>646</v>
      </c>
      <c r="D202" s="12" t="n">
        <f aca="false">SUMIFS('מאוחדת Raw'!$D$7:$D$625,'מאוחדת Raw'!$F$7:$F$625,$A202,'מאוחדת Raw'!$C$7:$C$625,2026)</f>
        <v>298</v>
      </c>
      <c r="E202" s="12" t="n">
        <f aca="false">D202*$J$5</f>
        <v>376.421052631579</v>
      </c>
      <c r="F202" s="12" t="n">
        <f aca="false">E202-C202</f>
        <v>-269.578947368421</v>
      </c>
      <c r="G202" s="21" t="n">
        <f aca="false">IF(AND(C202=0,E202=0),0,IF(C202=0,"New",(E202-C202)/C202))</f>
        <v>-0.417304872087339</v>
      </c>
      <c r="H202" s="12" t="n">
        <f aca="false">SUMIFS('מאוחדת Raw'!$E$7:$E$625,'מאוחדת Raw'!$F$7:$F$625,$A202,'מאוחדת Raw'!$C$7:$C$625,2025)</f>
        <v>6343.72</v>
      </c>
      <c r="I202" s="12" t="n">
        <f aca="false">SUMIFS('מאוחדת Raw'!$E$7:$E$625,'מאוחדת Raw'!$F$7:$F$625,$A202,'מאוחדת Raw'!$C$7:$C$625,2026)</f>
        <v>2835.5</v>
      </c>
      <c r="J202" s="12" t="n">
        <f aca="false">I202*$J$5</f>
        <v>3581.68421052632</v>
      </c>
    </row>
    <row r="203" customFormat="false" ht="15" hidden="false" customHeight="true" outlineLevel="0" collapsed="false">
      <c r="A203" s="12" t="n">
        <v>4420003</v>
      </c>
      <c r="B203" s="12" t="str">
        <f aca="false">IFERROR(INDEX('מאוחדת Raw'!$B:$B,MATCH($A203,'מאוחדת Raw'!$F:$F,0)),"")</f>
        <v>374 רפידת בולמת זעזועים -זוג</v>
      </c>
      <c r="C203" s="12" t="n">
        <f aca="false">SUMIFS('מאוחדת Raw'!$D$7:$D$625,'מאוחדת Raw'!$F$7:$F$625,$A203,'מאוחדת Raw'!$C$7:$C$625,2025)</f>
        <v>170</v>
      </c>
      <c r="D203" s="12" t="n">
        <f aca="false">SUMIFS('מאוחדת Raw'!$D$7:$D$625,'מאוחדת Raw'!$F$7:$F$625,$A203,'מאוחדת Raw'!$C$7:$C$625,2026)</f>
        <v>92</v>
      </c>
      <c r="E203" s="12" t="n">
        <f aca="false">D203*$J$5</f>
        <v>116.210526315789</v>
      </c>
      <c r="F203" s="12" t="n">
        <f aca="false">E203-C203</f>
        <v>-53.7894736842105</v>
      </c>
      <c r="G203" s="21" t="n">
        <f aca="false">IF(AND(C203=0,E203=0),0,IF(C203=0,"New",(E203-C203)/C203))</f>
        <v>-0.31640866873065</v>
      </c>
      <c r="H203" s="12" t="n">
        <f aca="false">SUMIFS('מאוחדת Raw'!$E$7:$E$625,'מאוחדת Raw'!$F$7:$F$625,$A203,'מאוחדת Raw'!$C$7:$C$625,2025)</f>
        <v>1669.4</v>
      </c>
      <c r="I203" s="12" t="n">
        <f aca="false">SUMIFS('מאוחדת Raw'!$E$7:$E$625,'מאוחדת Raw'!$F$7:$F$625,$A203,'מאוחדת Raw'!$C$7:$C$625,2026)</f>
        <v>871.56</v>
      </c>
      <c r="J203" s="12" t="n">
        <f aca="false">I203*$J$5</f>
        <v>1100.91789473684</v>
      </c>
    </row>
    <row r="204" customFormat="false" ht="15" hidden="false" customHeight="true" outlineLevel="0" collapsed="false">
      <c r="A204" s="12" t="n">
        <v>4420016</v>
      </c>
      <c r="B204" s="12" t="str">
        <f aca="false">IFERROR(INDEX('מאוחדת Raw'!$B:$B,MATCH($A204,'מאוחדת Raw'!$F:$F,0)),"")</f>
        <v>40-רצועת פיקה לברך</v>
      </c>
      <c r="C204" s="12" t="n">
        <f aca="false">SUMIFS('מאוחדת Raw'!$D$7:$D$625,'מאוחדת Raw'!$F$7:$F$625,$A204,'מאוחדת Raw'!$C$7:$C$625,2025)</f>
        <v>52</v>
      </c>
      <c r="D204" s="12" t="n">
        <f aca="false">SUMIFS('מאוחדת Raw'!$D$7:$D$625,'מאוחדת Raw'!$F$7:$F$625,$A204,'מאוחדת Raw'!$C$7:$C$625,2026)</f>
        <v>32</v>
      </c>
      <c r="E204" s="12" t="n">
        <f aca="false">D204*$J$5</f>
        <v>40.4210526315789</v>
      </c>
      <c r="F204" s="12" t="n">
        <f aca="false">E204-C204</f>
        <v>-11.5789473684211</v>
      </c>
      <c r="G204" s="21" t="n">
        <f aca="false">IF(AND(C204=0,E204=0),0,IF(C204=0,"New",(E204-C204)/C204))</f>
        <v>-0.222672064777328</v>
      </c>
      <c r="H204" s="12" t="n">
        <f aca="false">SUMIFS('מאוחדת Raw'!$E$7:$E$625,'מאוחדת Raw'!$F$7:$F$625,$A204,'מאוחדת Raw'!$C$7:$C$625,2025)</f>
        <v>1854.84</v>
      </c>
      <c r="I204" s="12" t="n">
        <f aca="false">SUMIFS('מאוחדת Raw'!$E$7:$E$625,'מאוחדת Raw'!$F$7:$F$625,$A204,'מאוחדת Raw'!$C$7:$C$625,2026)</f>
        <v>1141.47</v>
      </c>
      <c r="J204" s="12" t="n">
        <f aca="false">I204*$J$5</f>
        <v>1441.85684210526</v>
      </c>
    </row>
    <row r="205" customFormat="false" ht="15" hidden="false" customHeight="true" outlineLevel="0" collapsed="false">
      <c r="A205" s="12" t="n">
        <v>4420017</v>
      </c>
      <c r="B205" s="12" t="str">
        <f aca="false">IFERROR(INDEX('מאוחדת Raw'!$B:$B,MATCH($A205,'מאוחדת Raw'!$F:$F,0)),"")</f>
        <v>4022 0</v>
      </c>
      <c r="C205" s="12" t="n">
        <f aca="false">SUMIFS('מאוחדת Raw'!$D$7:$D$625,'מאוחדת Raw'!$F$7:$F$625,$A205,'מאוחדת Raw'!$C$7:$C$625,2025)</f>
        <v>76</v>
      </c>
      <c r="D205" s="12" t="n">
        <f aca="false">SUMIFS('מאוחדת Raw'!$D$7:$D$625,'מאוחדת Raw'!$F$7:$F$625,$A205,'מאוחדת Raw'!$C$7:$C$625,2026)</f>
        <v>14</v>
      </c>
      <c r="E205" s="12" t="n">
        <f aca="false">D205*$J$5</f>
        <v>17.6842105263158</v>
      </c>
      <c r="F205" s="12" t="n">
        <f aca="false">E205-C205</f>
        <v>-58.3157894736842</v>
      </c>
      <c r="G205" s="21" t="n">
        <f aca="false">IF(AND(C205=0,E205=0),0,IF(C205=0,"New",(E205-C205)/C205))</f>
        <v>-0.767313019390582</v>
      </c>
      <c r="H205" s="12" t="n">
        <f aca="false">SUMIFS('מאוחדת Raw'!$E$7:$E$625,'מאוחדת Raw'!$F$7:$F$625,$A205,'מאוחדת Raw'!$C$7:$C$625,2025)</f>
        <v>4931.64</v>
      </c>
      <c r="I205" s="12" t="n">
        <f aca="false">SUMIFS('מאוחדת Raw'!$E$7:$E$625,'מאוחדת Raw'!$F$7:$F$625,$A205,'מאוחדת Raw'!$C$7:$C$625,2026)</f>
        <v>908.46</v>
      </c>
      <c r="J205" s="12" t="n">
        <f aca="false">I205*$J$5</f>
        <v>1147.52842105263</v>
      </c>
    </row>
    <row r="206" customFormat="false" ht="15" hidden="false" customHeight="true" outlineLevel="0" collapsed="false">
      <c r="A206" s="12" t="n">
        <v>4420018</v>
      </c>
      <c r="B206" s="12" t="str">
        <f aca="false">IFERROR(INDEX('מאוחדת Raw'!$B:$B,MATCH($A206,'מאוחדת Raw'!$F:$F,0)),"")</f>
        <v>T90 רצועת טניס אלבו עם פלסטיק</v>
      </c>
      <c r="C206" s="12" t="n">
        <f aca="false">SUMIFS('מאוחדת Raw'!$D$7:$D$625,'מאוחדת Raw'!$F$7:$F$625,$A206,'מאוחדת Raw'!$C$7:$C$625,2025)</f>
        <v>63</v>
      </c>
      <c r="D206" s="12" t="n">
        <f aca="false">SUMIFS('מאוחדת Raw'!$D$7:$D$625,'מאוחדת Raw'!$F$7:$F$625,$A206,'מאוחדת Raw'!$C$7:$C$625,2026)</f>
        <v>2</v>
      </c>
      <c r="E206" s="12" t="n">
        <f aca="false">D206*$J$5</f>
        <v>2.52631578947368</v>
      </c>
      <c r="F206" s="12" t="n">
        <f aca="false">E206-C206</f>
        <v>-60.4736842105263</v>
      </c>
      <c r="G206" s="21" t="n">
        <f aca="false">IF(AND(C206=0,E206=0),0,IF(C206=0,"New",(E206-C206)/C206))</f>
        <v>-0.959899749373434</v>
      </c>
      <c r="H206" s="12" t="n">
        <f aca="false">SUMIFS('מאוחדת Raw'!$E$7:$E$625,'מאוחדת Raw'!$F$7:$F$625,$A206,'מאוחדת Raw'!$C$7:$C$625,2025)</f>
        <v>4866.12</v>
      </c>
      <c r="I206" s="12" t="n">
        <f aca="false">SUMIFS('מאוחדת Raw'!$E$7:$E$625,'מאוחדת Raw'!$F$7:$F$625,$A206,'מאוחדת Raw'!$C$7:$C$625,2026)</f>
        <v>115.9</v>
      </c>
      <c r="J206" s="12" t="n">
        <f aca="false">I206*$J$5</f>
        <v>146.4</v>
      </c>
    </row>
    <row r="207" customFormat="false" ht="15" hidden="false" customHeight="true" outlineLevel="0" collapsed="false">
      <c r="A207" s="12" t="n">
        <v>4420022</v>
      </c>
      <c r="B207" s="12" t="str">
        <f aca="false">IFERROR(INDEX('מאוחדת Raw'!$B:$B,MATCH($A207,'מאוחדת Raw'!$F:$F,0)),"")</f>
        <v>LF370 ריפוד סיליקון לעקב אחורי</v>
      </c>
      <c r="C207" s="12" t="n">
        <f aca="false">SUMIFS('מאוחדת Raw'!$D$7:$D$625,'מאוחדת Raw'!$F$7:$F$625,$A207,'מאוחדת Raw'!$C$7:$C$625,2025)</f>
        <v>59</v>
      </c>
      <c r="D207" s="12" t="n">
        <f aca="false">SUMIFS('מאוחדת Raw'!$D$7:$D$625,'מאוחדת Raw'!$F$7:$F$625,$A207,'מאוחדת Raw'!$C$7:$C$625,2026)</f>
        <v>28</v>
      </c>
      <c r="E207" s="12" t="n">
        <f aca="false">D207*$J$5</f>
        <v>35.3684210526316</v>
      </c>
      <c r="F207" s="12" t="n">
        <f aca="false">E207-C207</f>
        <v>-23.6315789473684</v>
      </c>
      <c r="G207" s="21" t="n">
        <f aca="false">IF(AND(C207=0,E207=0),0,IF(C207=0,"New",(E207-C207)/C207))</f>
        <v>-0.400535236396075</v>
      </c>
      <c r="H207" s="12" t="n">
        <f aca="false">SUMIFS('מאוחדת Raw'!$E$7:$E$625,'מאוחדת Raw'!$F$7:$F$625,$A207,'מאוחדת Raw'!$C$7:$C$625,2025)</f>
        <v>938.69</v>
      </c>
      <c r="I207" s="12" t="n">
        <f aca="false">SUMIFS('מאוחדת Raw'!$E$7:$E$625,'מאוחדת Raw'!$F$7:$F$625,$A207,'מאוחדת Raw'!$C$7:$C$625,2026)</f>
        <v>437.49</v>
      </c>
      <c r="J207" s="12" t="n">
        <f aca="false">I207*$J$5</f>
        <v>552.618947368421</v>
      </c>
    </row>
    <row r="208" customFormat="false" ht="15" hidden="false" customHeight="true" outlineLevel="0" collapsed="false">
      <c r="A208" s="12" t="n">
        <v>4420023</v>
      </c>
      <c r="B208" s="12" t="str">
        <f aca="false">IFERROR(INDEX('מאוחדת Raw'!$B:$B,MATCH($A208,'מאוחדת Raw'!$F:$F,0)),"")</f>
        <v>LF371 0</v>
      </c>
      <c r="C208" s="12" t="n">
        <f aca="false">SUMIFS('מאוחדת Raw'!$D$7:$D$625,'מאוחדת Raw'!$F$7:$F$625,$A208,'מאוחדת Raw'!$C$7:$C$625,2025)</f>
        <v>2</v>
      </c>
      <c r="D208" s="12" t="n">
        <f aca="false">SUMIFS('מאוחדת Raw'!$D$7:$D$625,'מאוחדת Raw'!$F$7:$F$625,$A208,'מאוחדת Raw'!$C$7:$C$625,2026)</f>
        <v>1</v>
      </c>
      <c r="E208" s="12" t="n">
        <f aca="false">D208*$J$5</f>
        <v>1.26315789473684</v>
      </c>
      <c r="F208" s="12" t="n">
        <f aca="false">E208-C208</f>
        <v>-0.736842105263158</v>
      </c>
      <c r="G208" s="21" t="n">
        <f aca="false">IF(AND(C208=0,E208=0),0,IF(C208=0,"New",(E208-C208)/C208))</f>
        <v>-0.368421052631579</v>
      </c>
      <c r="H208" s="12" t="n">
        <f aca="false">SUMIFS('מאוחדת Raw'!$E$7:$E$625,'מאוחדת Raw'!$F$7:$F$625,$A208,'מאוחדת Raw'!$C$7:$C$625,2025)</f>
        <v>31.82</v>
      </c>
      <c r="I208" s="12" t="n">
        <f aca="false">SUMIFS('מאוחדת Raw'!$E$7:$E$625,'מאוחדת Raw'!$F$7:$F$625,$A208,'מאוחדת Raw'!$C$7:$C$625,2026)</f>
        <v>15.91</v>
      </c>
      <c r="J208" s="12" t="n">
        <f aca="false">I208*$J$5</f>
        <v>20.0968421052632</v>
      </c>
    </row>
    <row r="209" customFormat="false" ht="15" hidden="false" customHeight="true" outlineLevel="0" collapsed="false">
      <c r="A209" s="12" t="n">
        <v>4420024</v>
      </c>
      <c r="B209" s="12" t="str">
        <f aca="false">IFERROR(INDEX('מאוחדת Raw'!$B:$B,MATCH($A209,'מאוחדת Raw'!$F:$F,0)),"")</f>
        <v>LFריפוד סיליק.לכרית כף הרגל373</v>
      </c>
      <c r="C209" s="12" t="n">
        <f aca="false">SUMIFS('מאוחדת Raw'!$D$7:$D$625,'מאוחדת Raw'!$F$7:$F$625,$A209,'מאוחדת Raw'!$C$7:$C$625,2025)</f>
        <v>69</v>
      </c>
      <c r="D209" s="12" t="n">
        <f aca="false">SUMIFS('מאוחדת Raw'!$D$7:$D$625,'מאוחדת Raw'!$F$7:$F$625,$A209,'מאוחדת Raw'!$C$7:$C$625,2026)</f>
        <v>18</v>
      </c>
      <c r="E209" s="12" t="n">
        <f aca="false">D209*$J$5</f>
        <v>22.7368421052632</v>
      </c>
      <c r="F209" s="12" t="n">
        <f aca="false">E209-C209</f>
        <v>-46.2631578947368</v>
      </c>
      <c r="G209" s="21" t="n">
        <f aca="false">IF(AND(C209=0,E209=0),0,IF(C209=0,"New",(E209-C209)/C209))</f>
        <v>-0.670480549199085</v>
      </c>
      <c r="H209" s="12" t="n">
        <f aca="false">SUMIFS('מאוחדת Raw'!$E$7:$E$625,'מאוחדת Raw'!$F$7:$F$625,$A209,'מאוחדת Raw'!$C$7:$C$625,2025)</f>
        <v>997.05</v>
      </c>
      <c r="I209" s="12" t="n">
        <f aca="false">SUMIFS('מאוחדת Raw'!$E$7:$E$625,'מאוחדת Raw'!$F$7:$F$625,$A209,'מאוחדת Raw'!$C$7:$C$625,2026)</f>
        <v>249.25</v>
      </c>
      <c r="J209" s="12" t="n">
        <f aca="false">I209*$J$5</f>
        <v>314.842105263158</v>
      </c>
    </row>
    <row r="210" customFormat="false" ht="15" hidden="false" customHeight="true" outlineLevel="0" collapsed="false">
      <c r="A210" s="12" t="n">
        <v>4420025</v>
      </c>
      <c r="B210" s="12" t="str">
        <f aca="false">IFERROR(INDEX('מאוחדת Raw'!$B:$B,MATCH($A210,'מאוחדת Raw'!$F:$F,0)),"")</f>
        <v>LF374 ריפוד סיליק.לעקב תחתון</v>
      </c>
      <c r="C210" s="12" t="n">
        <f aca="false">SUMIFS('מאוחדת Raw'!$D$7:$D$625,'מאוחדת Raw'!$F$7:$F$625,$A210,'מאוחדת Raw'!$C$7:$C$625,2025)</f>
        <v>55</v>
      </c>
      <c r="D210" s="12" t="n">
        <f aca="false">SUMIFS('מאוחדת Raw'!$D$7:$D$625,'מאוחדת Raw'!$F$7:$F$625,$A210,'מאוחדת Raw'!$C$7:$C$625,2026)</f>
        <v>22</v>
      </c>
      <c r="E210" s="12" t="n">
        <f aca="false">D210*$J$5</f>
        <v>27.7894736842105</v>
      </c>
      <c r="F210" s="12" t="n">
        <f aca="false">E210-C210</f>
        <v>-27.2105263157895</v>
      </c>
      <c r="G210" s="21" t="n">
        <f aca="false">IF(AND(C210=0,E210=0),0,IF(C210=0,"New",(E210-C210)/C210))</f>
        <v>-0.494736842105263</v>
      </c>
      <c r="H210" s="12" t="n">
        <f aca="false">SUMIFS('מאוחדת Raw'!$E$7:$E$625,'מאוחדת Raw'!$F$7:$F$625,$A210,'מאוחדת Raw'!$C$7:$C$625,2025)</f>
        <v>875.05</v>
      </c>
      <c r="I210" s="12" t="n">
        <f aca="false">SUMIFS('מאוחדת Raw'!$E$7:$E$625,'מאוחדת Raw'!$F$7:$F$625,$A210,'מאוחדת Raw'!$C$7:$C$625,2026)</f>
        <v>346.01</v>
      </c>
      <c r="J210" s="12" t="n">
        <f aca="false">I210*$J$5</f>
        <v>437.065263157895</v>
      </c>
    </row>
    <row r="211" customFormat="false" ht="15" hidden="false" customHeight="true" outlineLevel="0" collapsed="false">
      <c r="A211" s="12" t="n">
        <v>4421000</v>
      </c>
      <c r="B211" s="12" t="str">
        <f aca="false">IFERROR(INDEX('מאוחדת Raw'!$B:$B,MATCH($A211,'מאוחדת Raw'!$F:$F,0)),"")</f>
        <v>3655 שרוול מסיליקון לאצבע</v>
      </c>
      <c r="C211" s="12" t="n">
        <f aca="false">SUMIFS('מאוחדת Raw'!$D$7:$D$625,'מאוחדת Raw'!$F$7:$F$625,$A211,'מאוחדת Raw'!$C$7:$C$625,2025)</f>
        <v>1110</v>
      </c>
      <c r="D211" s="12" t="n">
        <f aca="false">SUMIFS('מאוחדת Raw'!$D$7:$D$625,'מאוחדת Raw'!$F$7:$F$625,$A211,'מאוחדת Raw'!$C$7:$C$625,2026)</f>
        <v>555</v>
      </c>
      <c r="E211" s="12" t="n">
        <f aca="false">D211*$J$5</f>
        <v>701.052631578947</v>
      </c>
      <c r="F211" s="12" t="n">
        <f aca="false">E211-C211</f>
        <v>-408.947368421053</v>
      </c>
      <c r="G211" s="21" t="n">
        <f aca="false">IF(AND(C211=0,E211=0),0,IF(C211=0,"New",(E211-C211)/C211))</f>
        <v>-0.368421052631579</v>
      </c>
      <c r="H211" s="12" t="n">
        <f aca="false">SUMIFS('מאוחדת Raw'!$E$7:$E$625,'מאוחדת Raw'!$F$7:$F$625,$A211,'מאוחדת Raw'!$C$7:$C$625,2025)</f>
        <v>13519.8</v>
      </c>
      <c r="I211" s="12" t="n">
        <f aca="false">SUMIFS('מאוחדת Raw'!$E$7:$E$625,'מאוחדת Raw'!$F$7:$F$625,$A211,'מאוחדת Raw'!$C$7:$C$625,2026)</f>
        <v>6651.94</v>
      </c>
      <c r="J211" s="12" t="n">
        <f aca="false">I211*$J$5</f>
        <v>8402.45052631579</v>
      </c>
    </row>
    <row r="212" customFormat="false" ht="15" hidden="false" customHeight="true" outlineLevel="0" collapsed="false">
      <c r="A212" s="12" t="n">
        <v>4421001</v>
      </c>
      <c r="B212" s="12" t="str">
        <f aca="false">IFERROR(INDEX('מאוחדת Raw'!$B:$B,MATCH($A212,'מאוחדת Raw'!$F:$F,0)),"")</f>
        <v>3611 שרוול מטטרזלי מסיליקון</v>
      </c>
      <c r="C212" s="12" t="n">
        <f aca="false">SUMIFS('מאוחדת Raw'!$D$7:$D$625,'מאוחדת Raw'!$F$7:$F$625,$A212,'מאוחדת Raw'!$C$7:$C$625,2025)</f>
        <v>109</v>
      </c>
      <c r="D212" s="12" t="n">
        <f aca="false">SUMIFS('מאוחדת Raw'!$D$7:$D$625,'מאוחדת Raw'!$F$7:$F$625,$A212,'מאוחדת Raw'!$C$7:$C$625,2026)</f>
        <v>82</v>
      </c>
      <c r="E212" s="12" t="n">
        <f aca="false">D212*$J$5</f>
        <v>103.578947368421</v>
      </c>
      <c r="F212" s="12" t="n">
        <f aca="false">E212-C212</f>
        <v>-5.42105263157896</v>
      </c>
      <c r="G212" s="21" t="n">
        <f aca="false">IF(AND(C212=0,E212=0),0,IF(C212=0,"New",(E212-C212)/C212))</f>
        <v>-0.049734427812651</v>
      </c>
      <c r="H212" s="12" t="n">
        <f aca="false">SUMIFS('מאוחדת Raw'!$E$7:$E$625,'מאוחדת Raw'!$F$7:$F$625,$A212,'מאוחדת Raw'!$C$7:$C$625,2025)</f>
        <v>4490.8</v>
      </c>
      <c r="I212" s="12" t="n">
        <f aca="false">SUMIFS('מאוחדת Raw'!$E$7:$E$625,'מאוחדת Raw'!$F$7:$F$625,$A212,'מאוחדת Raw'!$C$7:$C$625,2026)</f>
        <v>3265.1</v>
      </c>
      <c r="J212" s="12" t="n">
        <f aca="false">I212*$J$5</f>
        <v>4124.33684210526</v>
      </c>
    </row>
    <row r="213" customFormat="false" ht="15" hidden="false" customHeight="true" outlineLevel="0" collapsed="false">
      <c r="A213" s="12" t="n">
        <v>4422000</v>
      </c>
      <c r="B213" s="12" t="str">
        <f aca="false">IFERROR(INDEX('מאוחדת Raw'!$B:$B,MATCH($A213,'מאוחדת Raw'!$F:$F,0)),"")</f>
        <v>801  תחבושת אלסטית מקררת</v>
      </c>
      <c r="C213" s="12" t="n">
        <f aca="false">SUMIFS('מאוחדת Raw'!$D$7:$D$625,'מאוחדת Raw'!$F$7:$F$625,$A213,'מאוחדת Raw'!$C$7:$C$625,2025)</f>
        <v>237</v>
      </c>
      <c r="D213" s="12" t="n">
        <f aca="false">SUMIFS('מאוחדת Raw'!$D$7:$D$625,'מאוחדת Raw'!$F$7:$F$625,$A213,'מאוחדת Raw'!$C$7:$C$625,2026)</f>
        <v>88</v>
      </c>
      <c r="E213" s="12" t="n">
        <f aca="false">D213*$J$5</f>
        <v>111.157894736842</v>
      </c>
      <c r="F213" s="12" t="n">
        <f aca="false">E213-C213</f>
        <v>-125.842105263158</v>
      </c>
      <c r="G213" s="21" t="n">
        <f aca="false">IF(AND(C213=0,E213=0),0,IF(C213=0,"New",(E213-C213)/C213))</f>
        <v>-0.530979347101932</v>
      </c>
      <c r="H213" s="12" t="n">
        <f aca="false">SUMIFS('מאוחדת Raw'!$E$7:$E$625,'מאוחדת Raw'!$F$7:$F$625,$A213,'מאוחדת Raw'!$C$7:$C$625,2025)</f>
        <v>3377.25</v>
      </c>
      <c r="I213" s="12" t="n">
        <f aca="false">SUMIFS('מאוחדת Raw'!$E$7:$E$625,'מאוחדת Raw'!$F$7:$F$625,$A213,'מאוחדת Raw'!$C$7:$C$625,2026)</f>
        <v>1207.65</v>
      </c>
      <c r="J213" s="12" t="n">
        <f aca="false">I213*$J$5</f>
        <v>1525.45263157895</v>
      </c>
    </row>
    <row r="214" customFormat="false" ht="15" hidden="false" customHeight="true" outlineLevel="0" collapsed="false">
      <c r="A214" s="12" t="n">
        <v>4422004</v>
      </c>
      <c r="B214" s="12" t="str">
        <f aca="false">IFERROR(INDEX('מאוחדת Raw'!$B:$B,MATCH($A214,'מאוחדת Raw'!$F:$F,0)),"")</f>
        <v>T78 S</v>
      </c>
      <c r="C214" s="12" t="n">
        <f aca="false">SUMIFS('מאוחדת Raw'!$D$7:$D$625,'מאוחדת Raw'!$F$7:$F$625,$A214,'מאוחדת Raw'!$C$7:$C$625,2025)</f>
        <v>2</v>
      </c>
      <c r="D214" s="12" t="n">
        <f aca="false">SUMIFS('מאוחדת Raw'!$D$7:$D$625,'מאוחדת Raw'!$F$7:$F$625,$A214,'מאוחדת Raw'!$C$7:$C$625,2026)</f>
        <v>2</v>
      </c>
      <c r="E214" s="12" t="n">
        <f aca="false">D214*$J$5</f>
        <v>2.52631578947368</v>
      </c>
      <c r="F214" s="12" t="n">
        <f aca="false">E214-C214</f>
        <v>0.526315789473684</v>
      </c>
      <c r="G214" s="21" t="n">
        <f aca="false">IF(AND(C214=0,E214=0),0,IF(C214=0,"New",(E214-C214)/C214))</f>
        <v>0.263157894736842</v>
      </c>
      <c r="H214" s="12" t="n">
        <f aca="false">SUMIFS('מאוחדת Raw'!$E$7:$E$625,'מאוחדת Raw'!$F$7:$F$625,$A214,'מאוחדת Raw'!$C$7:$C$625,2025)</f>
        <v>257.42</v>
      </c>
      <c r="I214" s="12" t="n">
        <f aca="false">SUMIFS('מאוחדת Raw'!$E$7:$E$625,'מאוחדת Raw'!$F$7:$F$625,$A214,'מאוחדת Raw'!$C$7:$C$625,2026)</f>
        <v>257.42</v>
      </c>
      <c r="J214" s="12" t="n">
        <f aca="false">I214*$J$5</f>
        <v>325.162105263158</v>
      </c>
    </row>
    <row r="215" customFormat="false" ht="15" hidden="false" customHeight="true" outlineLevel="0" collapsed="false">
      <c r="A215" s="12" t="n">
        <v>4422005</v>
      </c>
      <c r="B215" s="12" t="str">
        <f aca="false">IFERROR(INDEX('מאוחדת Raw'!$B:$B,MATCH($A215,'מאוחדת Raw'!$F:$F,0)),"")</f>
        <v>T78 M תומך זרוע וכתף</v>
      </c>
      <c r="C215" s="12" t="n">
        <f aca="false">SUMIFS('מאוחדת Raw'!$D$7:$D$625,'מאוחדת Raw'!$F$7:$F$625,$A215,'מאוחדת Raw'!$C$7:$C$625,2025)</f>
        <v>16</v>
      </c>
      <c r="D215" s="12" t="n">
        <f aca="false">SUMIFS('מאוחדת Raw'!$D$7:$D$625,'מאוחדת Raw'!$F$7:$F$625,$A215,'מאוחדת Raw'!$C$7:$C$625,2026)</f>
        <v>9</v>
      </c>
      <c r="E215" s="12" t="n">
        <f aca="false">D215*$J$5</f>
        <v>11.3684210526316</v>
      </c>
      <c r="F215" s="12" t="n">
        <f aca="false">E215-C215</f>
        <v>-4.63157894736842</v>
      </c>
      <c r="G215" s="21" t="n">
        <f aca="false">IF(AND(C215=0,E215=0),0,IF(C215=0,"New",(E215-C215)/C215))</f>
        <v>-0.289473684210526</v>
      </c>
      <c r="H215" s="12" t="n">
        <f aca="false">SUMIFS('מאוחדת Raw'!$E$7:$E$625,'מאוחדת Raw'!$F$7:$F$625,$A215,'מאוחדת Raw'!$C$7:$C$625,2025)</f>
        <v>2059.36</v>
      </c>
      <c r="I215" s="12" t="n">
        <f aca="false">SUMIFS('מאוחדת Raw'!$E$7:$E$625,'מאוחדת Raw'!$F$7:$F$625,$A215,'מאוחדת Raw'!$C$7:$C$625,2026)</f>
        <v>1126.23</v>
      </c>
      <c r="J215" s="12" t="n">
        <f aca="false">I215*$J$5</f>
        <v>1422.60631578947</v>
      </c>
    </row>
    <row r="216" customFormat="false" ht="15" hidden="false" customHeight="true" outlineLevel="0" collapsed="false">
      <c r="A216" s="12" t="n">
        <v>4422006</v>
      </c>
      <c r="B216" s="12" t="str">
        <f aca="false">IFERROR(INDEX('מאוחדת Raw'!$B:$B,MATCH($A216,'מאוחדת Raw'!$F:$F,0)),"")</f>
        <v>T78 L תומך זרוע וכתף</v>
      </c>
      <c r="C216" s="12" t="n">
        <f aca="false">SUMIFS('מאוחדת Raw'!$D$7:$D$625,'מאוחדת Raw'!$F$7:$F$625,$A216,'מאוחדת Raw'!$C$7:$C$625,2025)</f>
        <v>9</v>
      </c>
      <c r="D216" s="12" t="n">
        <f aca="false">SUMIFS('מאוחדת Raw'!$D$7:$D$625,'מאוחדת Raw'!$F$7:$F$625,$A216,'מאוחדת Raw'!$C$7:$C$625,2026)</f>
        <v>14</v>
      </c>
      <c r="E216" s="12" t="n">
        <f aca="false">D216*$J$5</f>
        <v>17.6842105263158</v>
      </c>
      <c r="F216" s="12" t="n">
        <f aca="false">E216-C216</f>
        <v>8.68421052631579</v>
      </c>
      <c r="G216" s="21" t="n">
        <f aca="false">IF(AND(C216=0,E216=0),0,IF(C216=0,"New",(E216-C216)/C216))</f>
        <v>0.964912280701754</v>
      </c>
      <c r="H216" s="12" t="n">
        <f aca="false">SUMIFS('מאוחדת Raw'!$E$7:$E$625,'מאוחדת Raw'!$F$7:$F$625,$A216,'מאוחדת Raw'!$C$7:$C$625,2025)</f>
        <v>1158.39</v>
      </c>
      <c r="I216" s="12" t="n">
        <f aca="false">SUMIFS('מאוחדת Raw'!$E$7:$E$625,'מאוחדת Raw'!$F$7:$F$625,$A216,'מאוחדת Raw'!$C$7:$C$625,2026)</f>
        <v>1801.96</v>
      </c>
      <c r="J216" s="12" t="n">
        <f aca="false">I216*$J$5</f>
        <v>2276.16</v>
      </c>
    </row>
    <row r="217" customFormat="false" ht="15" hidden="false" customHeight="true" outlineLevel="0" collapsed="false">
      <c r="A217" s="12" t="n">
        <v>4422007</v>
      </c>
      <c r="B217" s="12" t="str">
        <f aca="false">IFERROR(INDEX('מאוחדת Raw'!$B:$B,MATCH($A217,'מאוחדת Raw'!$F:$F,0)),"")</f>
        <v>T78 XLתומך זרוע וכתף</v>
      </c>
      <c r="C217" s="12" t="n">
        <f aca="false">SUMIFS('מאוחדת Raw'!$D$7:$D$625,'מאוחדת Raw'!$F$7:$F$625,$A217,'מאוחדת Raw'!$C$7:$C$625,2025)</f>
        <v>10</v>
      </c>
      <c r="D217" s="12" t="n">
        <f aca="false">SUMIFS('מאוחדת Raw'!$D$7:$D$625,'מאוחדת Raw'!$F$7:$F$625,$A217,'מאוחדת Raw'!$C$7:$C$625,2026)</f>
        <v>3</v>
      </c>
      <c r="E217" s="12" t="n">
        <f aca="false">D217*$J$5</f>
        <v>3.78947368421053</v>
      </c>
      <c r="F217" s="12" t="n">
        <f aca="false">E217-C217</f>
        <v>-6.21052631578947</v>
      </c>
      <c r="G217" s="21" t="n">
        <f aca="false">IF(AND(C217=0,E217=0),0,IF(C217=0,"New",(E217-C217)/C217))</f>
        <v>-0.621052631578947</v>
      </c>
      <c r="H217" s="12" t="n">
        <f aca="false">SUMIFS('מאוחדת Raw'!$E$7:$E$625,'מאוחדת Raw'!$F$7:$F$625,$A217,'מאוחדת Raw'!$C$7:$C$625,2025)</f>
        <v>1287.1</v>
      </c>
      <c r="I217" s="12" t="n">
        <f aca="false">SUMIFS('מאוחדת Raw'!$E$7:$E$625,'מאוחדת Raw'!$F$7:$F$625,$A217,'מאוחדת Raw'!$C$7:$C$625,2026)</f>
        <v>386.11</v>
      </c>
      <c r="J217" s="12" t="n">
        <f aca="false">I217*$J$5</f>
        <v>487.717894736842</v>
      </c>
    </row>
    <row r="218" customFormat="false" ht="15" hidden="false" customHeight="true" outlineLevel="0" collapsed="false">
      <c r="A218" s="12" t="n">
        <v>4422009</v>
      </c>
      <c r="B218" s="12" t="str">
        <f aca="false">IFERROR(INDEX('מאוחדת Raw'!$B:$B,MATCH($A218,'מאוחדת Raw'!$F:$F,0)),"")</f>
        <v>T78 XXL</v>
      </c>
      <c r="C218" s="12" t="n">
        <f aca="false">SUMIFS('מאוחדת Raw'!$D$7:$D$625,'מאוחדת Raw'!$F$7:$F$625,$A218,'מאוחדת Raw'!$C$7:$C$625,2025)</f>
        <v>1</v>
      </c>
      <c r="D218" s="12" t="n">
        <f aca="false">SUMIFS('מאוחדת Raw'!$D$7:$D$625,'מאוחדת Raw'!$F$7:$F$625,$A218,'מאוחדת Raw'!$C$7:$C$625,2026)</f>
        <v>3</v>
      </c>
      <c r="E218" s="12" t="n">
        <f aca="false">D218*$J$5</f>
        <v>3.78947368421053</v>
      </c>
      <c r="F218" s="12" t="n">
        <f aca="false">E218-C218</f>
        <v>2.78947368421053</v>
      </c>
      <c r="G218" s="21" t="n">
        <f aca="false">IF(AND(C218=0,E218=0),0,IF(C218=0,"New",(E218-C218)/C218))</f>
        <v>2.78947368421053</v>
      </c>
      <c r="H218" s="12" t="n">
        <f aca="false">SUMIFS('מאוחדת Raw'!$E$7:$E$625,'מאוחדת Raw'!$F$7:$F$625,$A218,'מאוחדת Raw'!$C$7:$C$625,2025)</f>
        <v>128.71</v>
      </c>
      <c r="I218" s="12" t="n">
        <f aca="false">SUMIFS('מאוחדת Raw'!$E$7:$E$625,'מאוחדת Raw'!$F$7:$F$625,$A218,'מאוחדת Raw'!$C$7:$C$625,2026)</f>
        <v>386.13</v>
      </c>
      <c r="J218" s="12" t="n">
        <f aca="false">I218*$J$5</f>
        <v>487.743157894737</v>
      </c>
    </row>
    <row r="219" customFormat="false" ht="15" hidden="false" customHeight="true" outlineLevel="0" collapsed="false">
      <c r="A219" s="12" t="n">
        <v>4422035</v>
      </c>
      <c r="B219" s="12" t="str">
        <f aca="false">IFERROR(INDEX('מאוחדת Raw'!$B:$B,MATCH($A219,'מאוחדת Raw'!$F:$F,0)),"")</f>
        <v>FCתרסיס דאודורנט אנטיבק.נעל333</v>
      </c>
      <c r="C219" s="12" t="n">
        <f aca="false">SUMIFS('מאוחדת Raw'!$D$7:$D$625,'מאוחדת Raw'!$F$7:$F$625,$A219,'מאוחדת Raw'!$C$7:$C$625,2025)</f>
        <v>978</v>
      </c>
      <c r="D219" s="12" t="n">
        <f aca="false">SUMIFS('מאוחדת Raw'!$D$7:$D$625,'מאוחדת Raw'!$F$7:$F$625,$A219,'מאוחדת Raw'!$C$7:$C$625,2026)</f>
        <v>324</v>
      </c>
      <c r="E219" s="12" t="n">
        <f aca="false">D219*$J$5</f>
        <v>409.263157894737</v>
      </c>
      <c r="F219" s="12" t="n">
        <f aca="false">E219-C219</f>
        <v>-568.736842105263</v>
      </c>
      <c r="G219" s="21" t="n">
        <f aca="false">IF(AND(C219=0,E219=0),0,IF(C219=0,"New",(E219-C219)/C219))</f>
        <v>-0.581530513400065</v>
      </c>
      <c r="H219" s="12" t="n">
        <f aca="false">SUMIFS('מאוחדת Raw'!$E$7:$E$625,'מאוחדת Raw'!$F$7:$F$625,$A219,'מאוחדת Raw'!$C$7:$C$625,2025)</f>
        <v>14474.4</v>
      </c>
      <c r="I219" s="12" t="n">
        <f aca="false">SUMIFS('מאוחדת Raw'!$E$7:$E$625,'מאוחדת Raw'!$F$7:$F$625,$A219,'מאוחדת Raw'!$C$7:$C$625,2026)</f>
        <v>4878.54</v>
      </c>
      <c r="J219" s="12" t="n">
        <f aca="false">I219*$J$5</f>
        <v>6162.36631578947</v>
      </c>
    </row>
    <row r="220" customFormat="false" ht="15" hidden="false" customHeight="true" outlineLevel="0" collapsed="false">
      <c r="A220" s="12" t="n">
        <v>4422036</v>
      </c>
      <c r="B220" s="12" t="str">
        <f aca="false">IFERROR(INDEX('מאוחדת Raw'!$B:$B,MATCH($A220,'מאוחדת Raw'!$F:$F,0)),"")</f>
        <v>FC334  תרסיס דאודורנט לכף הרגל</v>
      </c>
      <c r="C220" s="12" t="n">
        <f aca="false">SUMIFS('מאוחדת Raw'!$D$7:$D$625,'מאוחדת Raw'!$F$7:$F$625,$A220,'מאוחדת Raw'!$C$7:$C$625,2025)</f>
        <v>0</v>
      </c>
      <c r="D220" s="12" t="n">
        <f aca="false">SUMIFS('מאוחדת Raw'!$D$7:$D$625,'מאוחדת Raw'!$F$7:$F$625,$A220,'מאוחדת Raw'!$C$7:$C$625,2026)</f>
        <v>29</v>
      </c>
      <c r="E220" s="12" t="n">
        <f aca="false">D220*$J$5</f>
        <v>36.6315789473684</v>
      </c>
      <c r="F220" s="12" t="n">
        <f aca="false">E220-C220</f>
        <v>36.6315789473684</v>
      </c>
      <c r="G220" s="21" t="str">
        <f aca="false">IF(AND(C220=0,E220=0),0,IF(C220=0,"New",(E220-C220)/C220))</f>
        <v>New</v>
      </c>
      <c r="H220" s="12" t="n">
        <f aca="false">SUMIFS('מאוחדת Raw'!$E$7:$E$625,'מאוחדת Raw'!$F$7:$F$625,$A220,'מאוחדת Raw'!$C$7:$C$625,2025)</f>
        <v>0</v>
      </c>
      <c r="I220" s="12" t="n">
        <f aca="false">SUMIFS('מאוחדת Raw'!$E$7:$E$625,'מאוחדת Raw'!$F$7:$F$625,$A220,'מאוחדת Raw'!$C$7:$C$625,2026)</f>
        <v>429.2</v>
      </c>
      <c r="J220" s="12" t="n">
        <f aca="false">I220*$J$5</f>
        <v>542.147368421053</v>
      </c>
    </row>
    <row r="221" customFormat="false" ht="15" hidden="false" customHeight="true" outlineLevel="0" collapsed="false">
      <c r="A221" s="12" t="n">
        <v>4422037</v>
      </c>
      <c r="B221" s="12" t="str">
        <f aca="false">IFERROR(INDEX('מאוחדת Raw'!$B:$B,MATCH($A221,'מאוחדת Raw'!$F:$F,0)),"")</f>
        <v>SH422 1 תומך ברך גנושילד</v>
      </c>
      <c r="C221" s="12" t="n">
        <f aca="false">SUMIFS('מאוחדת Raw'!$D$7:$D$625,'מאוחדת Raw'!$F$7:$F$625,$A221,'מאוחדת Raw'!$C$7:$C$625,2025)</f>
        <v>0</v>
      </c>
      <c r="D221" s="12" t="n">
        <f aca="false">SUMIFS('מאוחדת Raw'!$D$7:$D$625,'מאוחדת Raw'!$F$7:$F$625,$A221,'מאוחדת Raw'!$C$7:$C$625,2026)</f>
        <v>12</v>
      </c>
      <c r="E221" s="12" t="n">
        <f aca="false">D221*$J$5</f>
        <v>15.1578947368421</v>
      </c>
      <c r="F221" s="12" t="n">
        <f aca="false">E221-C221</f>
        <v>15.1578947368421</v>
      </c>
      <c r="G221" s="21" t="str">
        <f aca="false">IF(AND(C221=0,E221=0),0,IF(C221=0,"New",(E221-C221)/C221))</f>
        <v>New</v>
      </c>
      <c r="H221" s="12" t="n">
        <f aca="false">SUMIFS('מאוחדת Raw'!$E$7:$E$625,'מאוחדת Raw'!$F$7:$F$625,$A221,'מאוחדת Raw'!$C$7:$C$625,2025)</f>
        <v>0</v>
      </c>
      <c r="I221" s="12" t="n">
        <f aca="false">SUMIFS('מאוחדת Raw'!$E$7:$E$625,'מאוחדת Raw'!$F$7:$F$625,$A221,'מאוחדת Raw'!$C$7:$C$625,2026)</f>
        <v>1500</v>
      </c>
      <c r="J221" s="12" t="n">
        <f aca="false">I221*$J$5</f>
        <v>1894.73684210526</v>
      </c>
    </row>
    <row r="222" customFormat="false" ht="15" hidden="false" customHeight="true" outlineLevel="0" collapsed="false">
      <c r="A222" s="12" t="n">
        <v>4422039</v>
      </c>
      <c r="B222" s="12" t="str">
        <f aca="false">IFERROR(INDEX('מאוחדת Raw'!$B:$B,MATCH($A222,'מאוחדת Raw'!$F:$F,0)),"")</f>
        <v>SH422 3 תומך ברך גנושילד</v>
      </c>
      <c r="C222" s="12" t="n">
        <f aca="false">SUMIFS('מאוחדת Raw'!$D$7:$D$625,'מאוחדת Raw'!$F$7:$F$625,$A222,'מאוחדת Raw'!$C$7:$C$625,2025)</f>
        <v>0</v>
      </c>
      <c r="D222" s="12" t="n">
        <f aca="false">SUMIFS('מאוחדת Raw'!$D$7:$D$625,'מאוחדת Raw'!$F$7:$F$625,$A222,'מאוחדת Raw'!$C$7:$C$625,2026)</f>
        <v>17</v>
      </c>
      <c r="E222" s="12" t="n">
        <f aca="false">D222*$J$5</f>
        <v>21.4736842105263</v>
      </c>
      <c r="F222" s="12" t="n">
        <f aca="false">E222-C222</f>
        <v>21.4736842105263</v>
      </c>
      <c r="G222" s="21" t="str">
        <f aca="false">IF(AND(C222=0,E222=0),0,IF(C222=0,"New",(E222-C222)/C222))</f>
        <v>New</v>
      </c>
      <c r="H222" s="12" t="n">
        <f aca="false">SUMIFS('מאוחדת Raw'!$E$7:$E$625,'מאוחדת Raw'!$F$7:$F$625,$A222,'מאוחדת Raw'!$C$7:$C$625,2025)</f>
        <v>0</v>
      </c>
      <c r="I222" s="12" t="n">
        <f aca="false">SUMIFS('מאוחדת Raw'!$E$7:$E$625,'מאוחדת Raw'!$F$7:$F$625,$A222,'מאוחדת Raw'!$C$7:$C$625,2026)</f>
        <v>2125</v>
      </c>
      <c r="J222" s="12" t="n">
        <f aca="false">I222*$J$5</f>
        <v>2684.21052631579</v>
      </c>
    </row>
    <row r="223" customFormat="false" ht="15" hidden="false" customHeight="true" outlineLevel="0" collapsed="false">
      <c r="A223" s="12" t="n">
        <v>4422040</v>
      </c>
      <c r="B223" s="12" t="str">
        <f aca="false">IFERROR(INDEX('מאוחדת Raw'!$B:$B,MATCH($A223,'מאוחדת Raw'!$F:$F,0)),"")</f>
        <v>SH422 4 תומך ברך גנושילד</v>
      </c>
      <c r="C223" s="12" t="n">
        <f aca="false">SUMIFS('מאוחדת Raw'!$D$7:$D$625,'מאוחדת Raw'!$F$7:$F$625,$A223,'מאוחדת Raw'!$C$7:$C$625,2025)</f>
        <v>0</v>
      </c>
      <c r="D223" s="12" t="n">
        <f aca="false">SUMIFS('מאוחדת Raw'!$D$7:$D$625,'מאוחדת Raw'!$F$7:$F$625,$A223,'מאוחדת Raw'!$C$7:$C$625,2026)</f>
        <v>25</v>
      </c>
      <c r="E223" s="12" t="n">
        <f aca="false">D223*$J$5</f>
        <v>31.5789473684211</v>
      </c>
      <c r="F223" s="12" t="n">
        <f aca="false">E223-C223</f>
        <v>31.5789473684211</v>
      </c>
      <c r="G223" s="21" t="str">
        <f aca="false">IF(AND(C223=0,E223=0),0,IF(C223=0,"New",(E223-C223)/C223))</f>
        <v>New</v>
      </c>
      <c r="H223" s="12" t="n">
        <f aca="false">SUMIFS('מאוחדת Raw'!$E$7:$E$625,'מאוחדת Raw'!$F$7:$F$625,$A223,'מאוחדת Raw'!$C$7:$C$625,2025)</f>
        <v>0</v>
      </c>
      <c r="I223" s="12" t="n">
        <f aca="false">SUMIFS('מאוחדת Raw'!$E$7:$E$625,'מאוחדת Raw'!$F$7:$F$625,$A223,'מאוחדת Raw'!$C$7:$C$625,2026)</f>
        <v>3125</v>
      </c>
      <c r="J223" s="12" t="n">
        <f aca="false">I223*$J$5</f>
        <v>3947.36842105263</v>
      </c>
    </row>
    <row r="224" customFormat="false" ht="15" hidden="false" customHeight="true" outlineLevel="0" collapsed="false">
      <c r="A224" s="12" t="n">
        <v>4422041</v>
      </c>
      <c r="B224" s="12" t="str">
        <f aca="false">IFERROR(INDEX('מאוחדת Raw'!$B:$B,MATCH($A224,'מאוחדת Raw'!$F:$F,0)),"")</f>
        <v>SH422 5 תומך ברך גנושילד</v>
      </c>
      <c r="C224" s="12" t="n">
        <f aca="false">SUMIFS('מאוחדת Raw'!$D$7:$D$625,'מאוחדת Raw'!$F$7:$F$625,$A224,'מאוחדת Raw'!$C$7:$C$625,2025)</f>
        <v>0</v>
      </c>
      <c r="D224" s="12" t="n">
        <f aca="false">SUMIFS('מאוחדת Raw'!$D$7:$D$625,'מאוחדת Raw'!$F$7:$F$625,$A224,'מאוחדת Raw'!$C$7:$C$625,2026)</f>
        <v>26</v>
      </c>
      <c r="E224" s="12" t="n">
        <f aca="false">D224*$J$5</f>
        <v>32.8421052631579</v>
      </c>
      <c r="F224" s="12" t="n">
        <f aca="false">E224-C224</f>
        <v>32.8421052631579</v>
      </c>
      <c r="G224" s="21" t="str">
        <f aca="false">IF(AND(C224=0,E224=0),0,IF(C224=0,"New",(E224-C224)/C224))</f>
        <v>New</v>
      </c>
      <c r="H224" s="12" t="n">
        <f aca="false">SUMIFS('מאוחדת Raw'!$E$7:$E$625,'מאוחדת Raw'!$F$7:$F$625,$A224,'מאוחדת Raw'!$C$7:$C$625,2025)</f>
        <v>0</v>
      </c>
      <c r="I224" s="12" t="n">
        <f aca="false">SUMIFS('מאוחדת Raw'!$E$7:$E$625,'מאוחדת Raw'!$F$7:$F$625,$A224,'מאוחדת Raw'!$C$7:$C$625,2026)</f>
        <v>3250</v>
      </c>
      <c r="J224" s="12" t="n">
        <f aca="false">I224*$J$5</f>
        <v>4105.26315789474</v>
      </c>
    </row>
    <row r="225" customFormat="false" ht="15" hidden="false" customHeight="true" outlineLevel="0" collapsed="false">
      <c r="A225" s="12" t="n">
        <v>4422042</v>
      </c>
      <c r="B225" s="12" t="str">
        <f aca="false">IFERROR(INDEX('מאוחדת Raw'!$B:$B,MATCH($A225,'מאוחדת Raw'!$F:$F,0)),"")</f>
        <v>SH422 6 תומך ברך גנושילד</v>
      </c>
      <c r="C225" s="12" t="n">
        <f aca="false">SUMIFS('מאוחדת Raw'!$D$7:$D$625,'מאוחדת Raw'!$F$7:$F$625,$A225,'מאוחדת Raw'!$C$7:$C$625,2025)</f>
        <v>0</v>
      </c>
      <c r="D225" s="12" t="n">
        <f aca="false">SUMIFS('מאוחדת Raw'!$D$7:$D$625,'מאוחדת Raw'!$F$7:$F$625,$A225,'מאוחדת Raw'!$C$7:$C$625,2026)</f>
        <v>17</v>
      </c>
      <c r="E225" s="12" t="n">
        <f aca="false">D225*$J$5</f>
        <v>21.4736842105263</v>
      </c>
      <c r="F225" s="12" t="n">
        <f aca="false">E225-C225</f>
        <v>21.4736842105263</v>
      </c>
      <c r="G225" s="21" t="str">
        <f aca="false">IF(AND(C225=0,E225=0),0,IF(C225=0,"New",(E225-C225)/C225))</f>
        <v>New</v>
      </c>
      <c r="H225" s="12" t="n">
        <f aca="false">SUMIFS('מאוחדת Raw'!$E$7:$E$625,'מאוחדת Raw'!$F$7:$F$625,$A225,'מאוחדת Raw'!$C$7:$C$625,2025)</f>
        <v>0</v>
      </c>
      <c r="I225" s="12" t="n">
        <f aca="false">SUMIFS('מאוחדת Raw'!$E$7:$E$625,'מאוחדת Raw'!$F$7:$F$625,$A225,'מאוחדת Raw'!$C$7:$C$625,2026)</f>
        <v>2125</v>
      </c>
      <c r="J225" s="12" t="n">
        <f aca="false">I225*$J$5</f>
        <v>2684.21052631579</v>
      </c>
    </row>
    <row r="226" customFormat="false" ht="15" hidden="false" customHeight="true" outlineLevel="0" collapsed="false">
      <c r="A226" s="12" t="s">
        <v>1284</v>
      </c>
      <c r="B226" s="12" t="str">
        <f aca="false">IFERROR(INDEX('מאוחדת Raw'!$B:$B,MATCH($A226,'מאוחדת Raw'!$F:$F,0)),"")</f>
        <v>078C L</v>
      </c>
      <c r="C226" s="12" t="n">
        <f aca="false">SUMIFS('מאוחדת Raw'!$D$7:$D$625,'מאוחדת Raw'!$F$7:$F$625,$A226,'מאוחדת Raw'!$C$7:$C$625,2025)</f>
        <v>2</v>
      </c>
      <c r="D226" s="12" t="n">
        <f aca="false">SUMIFS('מאוחדת Raw'!$D$7:$D$625,'מאוחדת Raw'!$F$7:$F$625,$A226,'מאוחדת Raw'!$C$7:$C$625,2026)</f>
        <v>0</v>
      </c>
      <c r="E226" s="12" t="n">
        <f aca="false">D226*$J$5</f>
        <v>0</v>
      </c>
      <c r="F226" s="12" t="n">
        <f aca="false">E226-C226</f>
        <v>-2</v>
      </c>
      <c r="G226" s="21" t="n">
        <f aca="false">IF(AND(C226=0,E226=0),0,IF(C226=0,"New",(E226-C226)/C226))</f>
        <v>-1</v>
      </c>
      <c r="H226" s="12" t="n">
        <f aca="false">SUMIFS('מאוחדת Raw'!$E$7:$E$625,'מאוחדת Raw'!$F$7:$F$625,$A226,'מאוחדת Raw'!$C$7:$C$625,2025)</f>
        <v>130</v>
      </c>
      <c r="I226" s="12" t="n">
        <f aca="false">SUMIFS('מאוחדת Raw'!$E$7:$E$625,'מאוחדת Raw'!$F$7:$F$625,$A226,'מאוחדת Raw'!$C$7:$C$625,2026)</f>
        <v>0</v>
      </c>
      <c r="J226" s="12" t="n">
        <f aca="false">I226*$J$5</f>
        <v>0</v>
      </c>
    </row>
    <row r="227" customFormat="false" ht="15" hidden="false" customHeight="true" outlineLevel="0" collapsed="false">
      <c r="A227" s="12" t="s">
        <v>1285</v>
      </c>
      <c r="B227" s="12" t="str">
        <f aca="false">IFERROR(INDEX('מאוחדת Raw'!$B:$B,MATCH($A227,'מאוחדת Raw'!$F:$F,0)),"")</f>
        <v>078C M</v>
      </c>
      <c r="C227" s="12" t="n">
        <f aca="false">SUMIFS('מאוחדת Raw'!$D$7:$D$625,'מאוחדת Raw'!$F$7:$F$625,$A227,'מאוחדת Raw'!$C$7:$C$625,2025)</f>
        <v>2</v>
      </c>
      <c r="D227" s="12" t="n">
        <f aca="false">SUMIFS('מאוחדת Raw'!$D$7:$D$625,'מאוחדת Raw'!$F$7:$F$625,$A227,'מאוחדת Raw'!$C$7:$C$625,2026)</f>
        <v>0</v>
      </c>
      <c r="E227" s="12" t="n">
        <f aca="false">D227*$J$5</f>
        <v>0</v>
      </c>
      <c r="F227" s="12" t="n">
        <f aca="false">E227-C227</f>
        <v>-2</v>
      </c>
      <c r="G227" s="21" t="n">
        <f aca="false">IF(AND(C227=0,E227=0),0,IF(C227=0,"New",(E227-C227)/C227))</f>
        <v>-1</v>
      </c>
      <c r="H227" s="12" t="n">
        <f aca="false">SUMIFS('מאוחדת Raw'!$E$7:$E$625,'מאוחדת Raw'!$F$7:$F$625,$A227,'מאוחדת Raw'!$C$7:$C$625,2025)</f>
        <v>130</v>
      </c>
      <c r="I227" s="12" t="n">
        <f aca="false">SUMIFS('מאוחדת Raw'!$E$7:$E$625,'מאוחדת Raw'!$F$7:$F$625,$A227,'מאוחדת Raw'!$C$7:$C$625,2026)</f>
        <v>0</v>
      </c>
      <c r="J227" s="12" t="n">
        <f aca="false">I227*$J$5</f>
        <v>0</v>
      </c>
    </row>
    <row r="228" customFormat="false" ht="15" hidden="false" customHeight="true" outlineLevel="0" collapsed="false">
      <c r="A228" s="12" t="s">
        <v>1286</v>
      </c>
      <c r="B228" s="12" t="str">
        <f aca="false">IFERROR(INDEX('מאוחדת Raw'!$B:$B,MATCH($A228,'מאוחדת Raw'!$F:$F,0)),"")</f>
        <v>078C XL</v>
      </c>
      <c r="C228" s="12" t="n">
        <f aca="false">SUMIFS('מאוחדת Raw'!$D$7:$D$625,'מאוחדת Raw'!$F$7:$F$625,$A228,'מאוחדת Raw'!$C$7:$C$625,2025)</f>
        <v>0</v>
      </c>
      <c r="D228" s="12" t="n">
        <f aca="false">SUMIFS('מאוחדת Raw'!$D$7:$D$625,'מאוחדת Raw'!$F$7:$F$625,$A228,'מאוחדת Raw'!$C$7:$C$625,2026)</f>
        <v>1</v>
      </c>
      <c r="E228" s="12" t="n">
        <f aca="false">D228*$J$5</f>
        <v>1.26315789473684</v>
      </c>
      <c r="F228" s="12" t="n">
        <f aca="false">E228-C228</f>
        <v>1.26315789473684</v>
      </c>
      <c r="G228" s="21" t="str">
        <f aca="false">IF(AND(C228=0,E228=0),0,IF(C228=0,"New",(E228-C228)/C228))</f>
        <v>New</v>
      </c>
      <c r="H228" s="12" t="n">
        <f aca="false">SUMIFS('מאוחדת Raw'!$E$7:$E$625,'מאוחדת Raw'!$F$7:$F$625,$A228,'מאוחדת Raw'!$C$7:$C$625,2025)</f>
        <v>0</v>
      </c>
      <c r="I228" s="12" t="n">
        <f aca="false">SUMIFS('מאוחדת Raw'!$E$7:$E$625,'מאוחדת Raw'!$F$7:$F$625,$A228,'מאוחדת Raw'!$C$7:$C$625,2026)</f>
        <v>65</v>
      </c>
      <c r="J228" s="12" t="n">
        <f aca="false">I228*$J$5</f>
        <v>82.1052631578947</v>
      </c>
    </row>
    <row r="229" customFormat="false" ht="15" hidden="false" customHeight="true" outlineLevel="0" collapsed="false">
      <c r="A229" s="12" t="s">
        <v>247</v>
      </c>
      <c r="B229" s="12" t="str">
        <f aca="false">IFERROR(INDEX('מאוחדת Raw'!$B:$B,MATCH($A229,'מאוחדת Raw'!$F:$F,0)),"")</f>
        <v>07AU L ח.גב ""איטלקית"" אורירית</v>
      </c>
      <c r="C229" s="12" t="n">
        <f aca="false">SUMIFS('מאוחדת Raw'!$D$7:$D$625,'מאוחדת Raw'!$F$7:$F$625,$A229,'מאוחדת Raw'!$C$7:$C$625,2025)</f>
        <v>0</v>
      </c>
      <c r="D229" s="12" t="n">
        <f aca="false">SUMIFS('מאוחדת Raw'!$D$7:$D$625,'מאוחדת Raw'!$F$7:$F$625,$A229,'מאוחדת Raw'!$C$7:$C$625,2026)</f>
        <v>7</v>
      </c>
      <c r="E229" s="12" t="n">
        <f aca="false">D229*$J$5</f>
        <v>8.84210526315789</v>
      </c>
      <c r="F229" s="12" t="n">
        <f aca="false">E229-C229</f>
        <v>8.84210526315789</v>
      </c>
      <c r="G229" s="21" t="str">
        <f aca="false">IF(AND(C229=0,E229=0),0,IF(C229=0,"New",(E229-C229)/C229))</f>
        <v>New</v>
      </c>
      <c r="H229" s="12" t="n">
        <f aca="false">SUMIFS('מאוחדת Raw'!$E$7:$E$625,'מאוחדת Raw'!$F$7:$F$625,$A229,'מאוחדת Raw'!$C$7:$C$625,2025)</f>
        <v>0</v>
      </c>
      <c r="I229" s="12" t="n">
        <f aca="false">SUMIFS('מאוחדת Raw'!$E$7:$E$625,'מאוחדת Raw'!$F$7:$F$625,$A229,'מאוחדת Raw'!$C$7:$C$625,2026)</f>
        <v>1096.9</v>
      </c>
      <c r="J229" s="12" t="n">
        <f aca="false">I229*$J$5</f>
        <v>1385.55789473684</v>
      </c>
    </row>
    <row r="230" customFormat="false" ht="15" hidden="false" customHeight="true" outlineLevel="0" collapsed="false">
      <c r="A230" s="12" t="s">
        <v>248</v>
      </c>
      <c r="B230" s="12" t="str">
        <f aca="false">IFERROR(INDEX('מאוחדת Raw'!$B:$B,MATCH($A230,'מאוחדת Raw'!$F:$F,0)),"")</f>
        <v>07AU M ח.גב ""איטלקית"" אורירית</v>
      </c>
      <c r="C230" s="12" t="n">
        <f aca="false">SUMIFS('מאוחדת Raw'!$D$7:$D$625,'מאוחדת Raw'!$F$7:$F$625,$A230,'מאוחדת Raw'!$C$7:$C$625,2025)</f>
        <v>0</v>
      </c>
      <c r="D230" s="12" t="n">
        <f aca="false">SUMIFS('מאוחדת Raw'!$D$7:$D$625,'מאוחדת Raw'!$F$7:$F$625,$A230,'מאוחדת Raw'!$C$7:$C$625,2026)</f>
        <v>2</v>
      </c>
      <c r="E230" s="12" t="n">
        <f aca="false">D230*$J$5</f>
        <v>2.52631578947368</v>
      </c>
      <c r="F230" s="12" t="n">
        <f aca="false">E230-C230</f>
        <v>2.52631578947368</v>
      </c>
      <c r="G230" s="21" t="str">
        <f aca="false">IF(AND(C230=0,E230=0),0,IF(C230=0,"New",(E230-C230)/C230))</f>
        <v>New</v>
      </c>
      <c r="H230" s="12" t="n">
        <f aca="false">SUMIFS('מאוחדת Raw'!$E$7:$E$625,'מאוחדת Raw'!$F$7:$F$625,$A230,'מאוחדת Raw'!$C$7:$C$625,2025)</f>
        <v>0</v>
      </c>
      <c r="I230" s="12" t="n">
        <f aca="false">SUMIFS('מאוחדת Raw'!$E$7:$E$625,'מאוחדת Raw'!$F$7:$F$625,$A230,'מאוחדת Raw'!$C$7:$C$625,2026)</f>
        <v>351</v>
      </c>
      <c r="J230" s="12" t="n">
        <f aca="false">I230*$J$5</f>
        <v>443.368421052632</v>
      </c>
    </row>
    <row r="231" customFormat="false" ht="15" hidden="false" customHeight="true" outlineLevel="0" collapsed="false">
      <c r="A231" s="12" t="s">
        <v>250</v>
      </c>
      <c r="B231" s="12" t="str">
        <f aca="false">IFERROR(INDEX('מאוחדת Raw'!$B:$B,MATCH($A231,'מאוחדת Raw'!$F:$F,0)),"")</f>
        <v>07AU XL ח.גב ""איטלקית"" אורירית</v>
      </c>
      <c r="C231" s="12" t="n">
        <f aca="false">SUMIFS('מאוחדת Raw'!$D$7:$D$625,'מאוחדת Raw'!$F$7:$F$625,$A231,'מאוחדת Raw'!$C$7:$C$625,2025)</f>
        <v>0</v>
      </c>
      <c r="D231" s="12" t="n">
        <f aca="false">SUMIFS('מאוחדת Raw'!$D$7:$D$625,'מאוחדת Raw'!$F$7:$F$625,$A231,'מאוחדת Raw'!$C$7:$C$625,2026)</f>
        <v>5</v>
      </c>
      <c r="E231" s="12" t="n">
        <f aca="false">D231*$J$5</f>
        <v>6.31578947368421</v>
      </c>
      <c r="F231" s="12" t="n">
        <f aca="false">E231-C231</f>
        <v>6.31578947368421</v>
      </c>
      <c r="G231" s="21" t="str">
        <f aca="false">IF(AND(C231=0,E231=0),0,IF(C231=0,"New",(E231-C231)/C231))</f>
        <v>New</v>
      </c>
      <c r="H231" s="12" t="n">
        <f aca="false">SUMIFS('מאוחדת Raw'!$E$7:$E$625,'מאוחדת Raw'!$F$7:$F$625,$A231,'מאוחדת Raw'!$C$7:$C$625,2025)</f>
        <v>0</v>
      </c>
      <c r="I231" s="12" t="n">
        <f aca="false">SUMIFS('מאוחדת Raw'!$E$7:$E$625,'מאוחדת Raw'!$F$7:$F$625,$A231,'מאוחדת Raw'!$C$7:$C$625,2026)</f>
        <v>745.9</v>
      </c>
      <c r="J231" s="12" t="n">
        <f aca="false">I231*$J$5</f>
        <v>942.189473684211</v>
      </c>
    </row>
    <row r="232" customFormat="false" ht="15" hidden="false" customHeight="true" outlineLevel="0" collapsed="false">
      <c r="A232" s="12" t="s">
        <v>251</v>
      </c>
      <c r="B232" s="12" t="str">
        <f aca="false">IFERROR(INDEX('מאוחדת Raw'!$B:$B,MATCH($A232,'מאוחדת Raw'!$F:$F,0)),"")</f>
        <v>07AU XXL.ח.גב ""איטלקית"" אוריר</v>
      </c>
      <c r="C232" s="12" t="n">
        <f aca="false">SUMIFS('מאוחדת Raw'!$D$7:$D$625,'מאוחדת Raw'!$F$7:$F$625,$A232,'מאוחדת Raw'!$C$7:$C$625,2025)</f>
        <v>0</v>
      </c>
      <c r="D232" s="12" t="n">
        <f aca="false">SUMIFS('מאוחדת Raw'!$D$7:$D$625,'מאוחדת Raw'!$F$7:$F$625,$A232,'מאוחדת Raw'!$C$7:$C$625,2026)</f>
        <v>7</v>
      </c>
      <c r="E232" s="12" t="n">
        <f aca="false">D232*$J$5</f>
        <v>8.84210526315789</v>
      </c>
      <c r="F232" s="12" t="n">
        <f aca="false">E232-C232</f>
        <v>8.84210526315789</v>
      </c>
      <c r="G232" s="21" t="str">
        <f aca="false">IF(AND(C232=0,E232=0),0,IF(C232=0,"New",(E232-C232)/C232))</f>
        <v>New</v>
      </c>
      <c r="H232" s="12" t="n">
        <f aca="false">SUMIFS('מאוחדת Raw'!$E$7:$E$625,'מאוחדת Raw'!$F$7:$F$625,$A232,'מאוחדת Raw'!$C$7:$C$625,2025)</f>
        <v>0</v>
      </c>
      <c r="I232" s="12" t="n">
        <f aca="false">SUMIFS('מאוחדת Raw'!$E$7:$E$625,'מאוחדת Raw'!$F$7:$F$625,$A232,'מאוחדת Raw'!$C$7:$C$625,2026)</f>
        <v>1009.1</v>
      </c>
      <c r="J232" s="12" t="n">
        <f aca="false">I232*$J$5</f>
        <v>1274.65263157895</v>
      </c>
    </row>
    <row r="233" customFormat="false" ht="15" hidden="false" customHeight="true" outlineLevel="0" collapsed="false">
      <c r="A233" s="12" t="s">
        <v>258</v>
      </c>
      <c r="B233" s="12" t="str">
        <f aca="false">IFERROR(INDEX('מאוחדת Raw'!$B:$B,MATCH($A233,'מאוחדת Raw'!$F:$F,0)),"")</f>
        <v>11 L""חגורת בטן""אורירית</v>
      </c>
      <c r="C233" s="12" t="n">
        <f aca="false">SUMIFS('מאוחדת Raw'!$D$7:$D$625,'מאוחדת Raw'!$F$7:$F$625,$A233,'מאוחדת Raw'!$C$7:$C$625,2025)</f>
        <v>0</v>
      </c>
      <c r="D233" s="12" t="n">
        <f aca="false">SUMIFS('מאוחדת Raw'!$D$7:$D$625,'מאוחדת Raw'!$F$7:$F$625,$A233,'מאוחדת Raw'!$C$7:$C$625,2026)</f>
        <v>29</v>
      </c>
      <c r="E233" s="12" t="n">
        <f aca="false">D233*$J$5</f>
        <v>36.6315789473684</v>
      </c>
      <c r="F233" s="12" t="n">
        <f aca="false">E233-C233</f>
        <v>36.6315789473684</v>
      </c>
      <c r="G233" s="21" t="str">
        <f aca="false">IF(AND(C233=0,E233=0),0,IF(C233=0,"New",(E233-C233)/C233))</f>
        <v>New</v>
      </c>
      <c r="H233" s="12" t="n">
        <f aca="false">SUMIFS('מאוחדת Raw'!$E$7:$E$625,'מאוחדת Raw'!$F$7:$F$625,$A233,'מאוחדת Raw'!$C$7:$C$625,2025)</f>
        <v>0</v>
      </c>
      <c r="I233" s="12" t="n">
        <f aca="false">SUMIFS('מאוחדת Raw'!$E$7:$E$625,'מאוחדת Raw'!$F$7:$F$625,$A233,'מאוחדת Raw'!$C$7:$C$625,2026)</f>
        <v>2043.6</v>
      </c>
      <c r="J233" s="12" t="n">
        <f aca="false">I233*$J$5</f>
        <v>2581.38947368421</v>
      </c>
    </row>
    <row r="234" customFormat="false" ht="15" hidden="false" customHeight="true" outlineLevel="0" collapsed="false">
      <c r="A234" s="12" t="s">
        <v>259</v>
      </c>
      <c r="B234" s="12" t="str">
        <f aca="false">IFERROR(INDEX('מאוחדת Raw'!$B:$B,MATCH($A234,'מאוחדת Raw'!$F:$F,0)),"")</f>
        <v>11 M""חגורת בטן""אורירית</v>
      </c>
      <c r="C234" s="12" t="n">
        <f aca="false">SUMIFS('מאוחדת Raw'!$D$7:$D$625,'מאוחדת Raw'!$F$7:$F$625,$A234,'מאוחדת Raw'!$C$7:$C$625,2025)</f>
        <v>0</v>
      </c>
      <c r="D234" s="12" t="n">
        <f aca="false">SUMIFS('מאוחדת Raw'!$D$7:$D$625,'מאוחדת Raw'!$F$7:$F$625,$A234,'מאוחדת Raw'!$C$7:$C$625,2026)</f>
        <v>20</v>
      </c>
      <c r="E234" s="12" t="n">
        <f aca="false">D234*$J$5</f>
        <v>25.2631578947368</v>
      </c>
      <c r="F234" s="12" t="n">
        <f aca="false">E234-C234</f>
        <v>25.2631578947368</v>
      </c>
      <c r="G234" s="21" t="str">
        <f aca="false">IF(AND(C234=0,E234=0),0,IF(C234=0,"New",(E234-C234)/C234))</f>
        <v>New</v>
      </c>
      <c r="H234" s="12" t="n">
        <f aca="false">SUMIFS('מאוחדת Raw'!$E$7:$E$625,'מאוחדת Raw'!$F$7:$F$625,$A234,'מאוחדת Raw'!$C$7:$C$625,2025)</f>
        <v>0</v>
      </c>
      <c r="I234" s="12" t="n">
        <f aca="false">SUMIFS('מאוחדת Raw'!$E$7:$E$625,'מאוחדת Raw'!$F$7:$F$625,$A234,'מאוחדת Raw'!$C$7:$C$625,2026)</f>
        <v>1446.8</v>
      </c>
      <c r="J234" s="12" t="n">
        <f aca="false">I234*$J$5</f>
        <v>1827.53684210526</v>
      </c>
    </row>
    <row r="235" customFormat="false" ht="15" hidden="false" customHeight="true" outlineLevel="0" collapsed="false">
      <c r="A235" s="12" t="s">
        <v>260</v>
      </c>
      <c r="B235" s="12" t="str">
        <f aca="false">IFERROR(INDEX('מאוחדת Raw'!$B:$B,MATCH($A235,'מאוחדת Raw'!$F:$F,0)),"")</f>
        <v>11 S""חגורת בטן""אורירית</v>
      </c>
      <c r="C235" s="12" t="n">
        <f aca="false">SUMIFS('מאוחדת Raw'!$D$7:$D$625,'מאוחדת Raw'!$F$7:$F$625,$A235,'מאוחדת Raw'!$C$7:$C$625,2025)</f>
        <v>0</v>
      </c>
      <c r="D235" s="12" t="n">
        <f aca="false">SUMIFS('מאוחדת Raw'!$D$7:$D$625,'מאוחדת Raw'!$F$7:$F$625,$A235,'מאוחדת Raw'!$C$7:$C$625,2026)</f>
        <v>2</v>
      </c>
      <c r="E235" s="12" t="n">
        <f aca="false">D235*$J$5</f>
        <v>2.52631578947368</v>
      </c>
      <c r="F235" s="12" t="n">
        <f aca="false">E235-C235</f>
        <v>2.52631578947368</v>
      </c>
      <c r="G235" s="21" t="str">
        <f aca="false">IF(AND(C235=0,E235=0),0,IF(C235=0,"New",(E235-C235)/C235))</f>
        <v>New</v>
      </c>
      <c r="H235" s="12" t="n">
        <f aca="false">SUMIFS('מאוחדת Raw'!$E$7:$E$625,'מאוחדת Raw'!$F$7:$F$625,$A235,'מאוחדת Raw'!$C$7:$C$625,2025)</f>
        <v>0</v>
      </c>
      <c r="I235" s="12" t="n">
        <f aca="false">SUMIFS('מאוחדת Raw'!$E$7:$E$625,'מאוחדת Raw'!$F$7:$F$625,$A235,'מאוחדת Raw'!$C$7:$C$625,2026)</f>
        <v>144.7</v>
      </c>
      <c r="J235" s="12" t="n">
        <f aca="false">I235*$J$5</f>
        <v>182.778947368421</v>
      </c>
    </row>
    <row r="236" customFormat="false" ht="15" hidden="false" customHeight="true" outlineLevel="0" collapsed="false">
      <c r="A236" s="12" t="s">
        <v>261</v>
      </c>
      <c r="B236" s="12" t="str">
        <f aca="false">IFERROR(INDEX('מאוחדת Raw'!$B:$B,MATCH($A236,'מאוחדת Raw'!$F:$F,0)),"")</f>
        <v>11 XL""חגורת בטן""אורירית</v>
      </c>
      <c r="C236" s="12" t="n">
        <f aca="false">SUMIFS('מאוחדת Raw'!$D$7:$D$625,'מאוחדת Raw'!$F$7:$F$625,$A236,'מאוחדת Raw'!$C$7:$C$625,2025)</f>
        <v>0</v>
      </c>
      <c r="D236" s="12" t="n">
        <f aca="false">SUMIFS('מאוחדת Raw'!$D$7:$D$625,'מאוחדת Raw'!$F$7:$F$625,$A236,'מאוחדת Raw'!$C$7:$C$625,2026)</f>
        <v>36</v>
      </c>
      <c r="E236" s="12" t="n">
        <f aca="false">D236*$J$5</f>
        <v>45.4736842105263</v>
      </c>
      <c r="F236" s="12" t="n">
        <f aca="false">E236-C236</f>
        <v>45.4736842105263</v>
      </c>
      <c r="G236" s="21" t="str">
        <f aca="false">IF(AND(C236=0,E236=0),0,IF(C236=0,"New",(E236-C236)/C236))</f>
        <v>New</v>
      </c>
      <c r="H236" s="12" t="n">
        <f aca="false">SUMIFS('מאוחדת Raw'!$E$7:$E$625,'מאוחדת Raw'!$F$7:$F$625,$A236,'מאוחדת Raw'!$C$7:$C$625,2025)</f>
        <v>0</v>
      </c>
      <c r="I236" s="12" t="n">
        <f aca="false">SUMIFS('מאוחדת Raw'!$E$7:$E$625,'מאוחדת Raw'!$F$7:$F$625,$A236,'מאוחדת Raw'!$C$7:$C$625,2026)</f>
        <v>2531.9</v>
      </c>
      <c r="J236" s="12" t="n">
        <f aca="false">I236*$J$5</f>
        <v>3198.18947368421</v>
      </c>
    </row>
    <row r="237" customFormat="false" ht="15" hidden="false" customHeight="true" outlineLevel="0" collapsed="false">
      <c r="A237" s="12" t="s">
        <v>263</v>
      </c>
      <c r="B237" s="12" t="str">
        <f aca="false">IFERROR(INDEX('מאוחדת Raw'!$B:$B,MATCH($A237,'מאוחדת Raw'!$F:$F,0)),"")</f>
        <v>11 XXL""חגורת בטן""אורירית</v>
      </c>
      <c r="C237" s="12" t="n">
        <f aca="false">SUMIFS('מאוחדת Raw'!$D$7:$D$625,'מאוחדת Raw'!$F$7:$F$625,$A237,'מאוחדת Raw'!$C$7:$C$625,2025)</f>
        <v>0</v>
      </c>
      <c r="D237" s="12" t="n">
        <f aca="false">SUMIFS('מאוחדת Raw'!$D$7:$D$625,'מאוחדת Raw'!$F$7:$F$625,$A237,'מאוחדת Raw'!$C$7:$C$625,2026)</f>
        <v>20</v>
      </c>
      <c r="E237" s="12" t="n">
        <f aca="false">D237*$J$5</f>
        <v>25.2631578947368</v>
      </c>
      <c r="F237" s="12" t="n">
        <f aca="false">E237-C237</f>
        <v>25.2631578947368</v>
      </c>
      <c r="G237" s="21" t="str">
        <f aca="false">IF(AND(C237=0,E237=0),0,IF(C237=0,"New",(E237-C237)/C237))</f>
        <v>New</v>
      </c>
      <c r="H237" s="12" t="n">
        <f aca="false">SUMIFS('מאוחדת Raw'!$E$7:$E$625,'מאוחדת Raw'!$F$7:$F$625,$A237,'מאוחדת Raw'!$C$7:$C$625,2025)</f>
        <v>0</v>
      </c>
      <c r="I237" s="12" t="n">
        <f aca="false">SUMIFS('מאוחדת Raw'!$E$7:$E$625,'מאוחדת Raw'!$F$7:$F$625,$A237,'מאוחדת Raw'!$C$7:$C$625,2026)</f>
        <v>1410.6</v>
      </c>
      <c r="J237" s="12" t="n">
        <f aca="false">I237*$J$5</f>
        <v>1781.81052631579</v>
      </c>
    </row>
    <row r="238" customFormat="false" ht="15" hidden="false" customHeight="true" outlineLevel="0" collapsed="false">
      <c r="A238" s="12" t="s">
        <v>1287</v>
      </c>
      <c r="B238" s="12" t="str">
        <f aca="false">IFERROR(INDEX('מאוחדת Raw'!$B:$B,MATCH($A238,'מאוחדת Raw'!$F:$F,0)),"")</f>
        <v>11U L</v>
      </c>
      <c r="C238" s="12" t="n">
        <f aca="false">SUMIFS('מאוחדת Raw'!$D$7:$D$625,'מאוחדת Raw'!$F$7:$F$625,$A238,'מאוחדת Raw'!$C$7:$C$625,2025)</f>
        <v>16</v>
      </c>
      <c r="D238" s="12" t="n">
        <f aca="false">SUMIFS('מאוחדת Raw'!$D$7:$D$625,'מאוחדת Raw'!$F$7:$F$625,$A238,'מאוחדת Raw'!$C$7:$C$625,2026)</f>
        <v>1</v>
      </c>
      <c r="E238" s="12" t="n">
        <f aca="false">D238*$J$5</f>
        <v>1.26315789473684</v>
      </c>
      <c r="F238" s="12" t="n">
        <f aca="false">E238-C238</f>
        <v>-14.7368421052632</v>
      </c>
      <c r="G238" s="21" t="n">
        <f aca="false">IF(AND(C238=0,E238=0),0,IF(C238=0,"New",(E238-C238)/C238))</f>
        <v>-0.921052631578947</v>
      </c>
      <c r="H238" s="12" t="n">
        <f aca="false">SUMIFS('מאוחדת Raw'!$E$7:$E$625,'מאוחדת Raw'!$F$7:$F$625,$A238,'מאוחדת Raw'!$C$7:$C$625,2025)</f>
        <v>1038.24</v>
      </c>
      <c r="I238" s="12" t="n">
        <f aca="false">SUMIFS('מאוחדת Raw'!$E$7:$E$625,'מאוחדת Raw'!$F$7:$F$625,$A238,'מאוחדת Raw'!$C$7:$C$625,2026)</f>
        <v>64.89</v>
      </c>
      <c r="J238" s="12" t="n">
        <f aca="false">I238*$J$5</f>
        <v>81.9663157894737</v>
      </c>
    </row>
    <row r="239" customFormat="false" ht="15" hidden="false" customHeight="true" outlineLevel="0" collapsed="false">
      <c r="A239" s="12" t="s">
        <v>1288</v>
      </c>
      <c r="B239" s="12" t="str">
        <f aca="false">IFERROR(INDEX('מאוחדת Raw'!$B:$B,MATCH($A239,'מאוחדת Raw'!$F:$F,0)),"")</f>
        <v>11U M</v>
      </c>
      <c r="C239" s="12" t="n">
        <f aca="false">SUMIFS('מאוחדת Raw'!$D$7:$D$625,'מאוחדת Raw'!$F$7:$F$625,$A239,'מאוחדת Raw'!$C$7:$C$625,2025)</f>
        <v>6</v>
      </c>
      <c r="D239" s="12" t="n">
        <f aca="false">SUMIFS('מאוחדת Raw'!$D$7:$D$625,'מאוחדת Raw'!$F$7:$F$625,$A239,'מאוחדת Raw'!$C$7:$C$625,2026)</f>
        <v>0</v>
      </c>
      <c r="E239" s="12" t="n">
        <f aca="false">D239*$J$5</f>
        <v>0</v>
      </c>
      <c r="F239" s="12" t="n">
        <f aca="false">E239-C239</f>
        <v>-6</v>
      </c>
      <c r="G239" s="21" t="n">
        <f aca="false">IF(AND(C239=0,E239=0),0,IF(C239=0,"New",(E239-C239)/C239))</f>
        <v>-1</v>
      </c>
      <c r="H239" s="12" t="n">
        <f aca="false">SUMIFS('מאוחדת Raw'!$E$7:$E$625,'מאוחדת Raw'!$F$7:$F$625,$A239,'מאוחדת Raw'!$C$7:$C$625,2025)</f>
        <v>389.34</v>
      </c>
      <c r="I239" s="12" t="n">
        <f aca="false">SUMIFS('מאוחדת Raw'!$E$7:$E$625,'מאוחדת Raw'!$F$7:$F$625,$A239,'מאוחדת Raw'!$C$7:$C$625,2026)</f>
        <v>0</v>
      </c>
      <c r="J239" s="12" t="n">
        <f aca="false">I239*$J$5</f>
        <v>0</v>
      </c>
    </row>
    <row r="240" customFormat="false" ht="15" hidden="false" customHeight="true" outlineLevel="0" collapsed="false">
      <c r="A240" s="12" t="s">
        <v>1289</v>
      </c>
      <c r="B240" s="12" t="str">
        <f aca="false">IFERROR(INDEX('מאוחדת Raw'!$B:$B,MATCH($A240,'מאוחדת Raw'!$F:$F,0)),"")</f>
        <v>11U XL</v>
      </c>
      <c r="C240" s="12" t="n">
        <f aca="false">SUMIFS('מאוחדת Raw'!$D$7:$D$625,'מאוחדת Raw'!$F$7:$F$625,$A240,'מאוחדת Raw'!$C$7:$C$625,2025)</f>
        <v>5</v>
      </c>
      <c r="D240" s="12" t="n">
        <f aca="false">SUMIFS('מאוחדת Raw'!$D$7:$D$625,'מאוחדת Raw'!$F$7:$F$625,$A240,'מאוחדת Raw'!$C$7:$C$625,2026)</f>
        <v>4</v>
      </c>
      <c r="E240" s="12" t="n">
        <f aca="false">D240*$J$5</f>
        <v>5.05263157894737</v>
      </c>
      <c r="F240" s="12" t="n">
        <f aca="false">E240-C240</f>
        <v>0.0526315789473681</v>
      </c>
      <c r="G240" s="21" t="n">
        <f aca="false">IF(AND(C240=0,E240=0),0,IF(C240=0,"New",(E240-C240)/C240))</f>
        <v>0.0105263157894736</v>
      </c>
      <c r="H240" s="12" t="n">
        <f aca="false">SUMIFS('מאוחדת Raw'!$E$7:$E$625,'מאוחדת Raw'!$F$7:$F$625,$A240,'מאוחדת Raw'!$C$7:$C$625,2025)</f>
        <v>324.45</v>
      </c>
      <c r="I240" s="12" t="n">
        <f aca="false">SUMIFS('מאוחדת Raw'!$E$7:$E$625,'מאוחדת Raw'!$F$7:$F$625,$A240,'מאוחדת Raw'!$C$7:$C$625,2026)</f>
        <v>259.56</v>
      </c>
      <c r="J240" s="12" t="n">
        <f aca="false">I240*$J$5</f>
        <v>327.865263157895</v>
      </c>
    </row>
    <row r="241" customFormat="false" ht="15" hidden="false" customHeight="true" outlineLevel="0" collapsed="false">
      <c r="A241" s="12" t="s">
        <v>880</v>
      </c>
      <c r="B241" s="12" t="str">
        <f aca="false">IFERROR(INDEX('מאוחדת Raw'!$B:$B,MATCH($A241,'מאוחדת Raw'!$F:$F,0)),"")</f>
        <v>13 L</v>
      </c>
      <c r="C241" s="12" t="n">
        <f aca="false">SUMIFS('מאוחדת Raw'!$D$7:$D$625,'מאוחדת Raw'!$F$7:$F$625,$A241,'מאוחדת Raw'!$C$7:$C$625,2025)</f>
        <v>1</v>
      </c>
      <c r="D241" s="12" t="n">
        <f aca="false">SUMIFS('מאוחדת Raw'!$D$7:$D$625,'מאוחדת Raw'!$F$7:$F$625,$A241,'מאוחדת Raw'!$C$7:$C$625,2026)</f>
        <v>0</v>
      </c>
      <c r="E241" s="12" t="n">
        <f aca="false">D241*$J$5</f>
        <v>0</v>
      </c>
      <c r="F241" s="12" t="n">
        <f aca="false">E241-C241</f>
        <v>-1</v>
      </c>
      <c r="G241" s="21" t="n">
        <f aca="false">IF(AND(C241=0,E241=0),0,IF(C241=0,"New",(E241-C241)/C241))</f>
        <v>-1</v>
      </c>
      <c r="H241" s="12" t="n">
        <f aca="false">SUMIFS('מאוחדת Raw'!$E$7:$E$625,'מאוחדת Raw'!$F$7:$F$625,$A241,'מאוחדת Raw'!$C$7:$C$625,2025)</f>
        <v>107.09</v>
      </c>
      <c r="I241" s="12" t="n">
        <f aca="false">SUMIFS('מאוחדת Raw'!$E$7:$E$625,'מאוחדת Raw'!$F$7:$F$625,$A241,'מאוחדת Raw'!$C$7:$C$625,2026)</f>
        <v>0</v>
      </c>
      <c r="J241" s="12" t="n">
        <f aca="false">I241*$J$5</f>
        <v>0</v>
      </c>
    </row>
    <row r="242" customFormat="false" ht="15" hidden="false" customHeight="true" outlineLevel="0" collapsed="false">
      <c r="A242" s="12" t="s">
        <v>891</v>
      </c>
      <c r="B242" s="12" t="str">
        <f aca="false">IFERROR(INDEX('מאוחדת Raw'!$B:$B,MATCH($A242,'מאוחדת Raw'!$F:$F,0)),"")</f>
        <v>239P-S-M</v>
      </c>
      <c r="C242" s="12" t="n">
        <f aca="false">SUMIFS('מאוחדת Raw'!$D$7:$D$625,'מאוחדת Raw'!$F$7:$F$625,$A242,'מאוחדת Raw'!$C$7:$C$625,2025)</f>
        <v>54</v>
      </c>
      <c r="D242" s="12" t="n">
        <f aca="false">SUMIFS('מאוחדת Raw'!$D$7:$D$625,'מאוחדת Raw'!$F$7:$F$625,$A242,'מאוחדת Raw'!$C$7:$C$625,2026)</f>
        <v>-3</v>
      </c>
      <c r="E242" s="12" t="n">
        <f aca="false">D242*$J$5</f>
        <v>-3.78947368421053</v>
      </c>
      <c r="F242" s="12" t="n">
        <f aca="false">E242-C242</f>
        <v>-57.7894736842105</v>
      </c>
      <c r="G242" s="21" t="n">
        <f aca="false">IF(AND(C242=0,E242=0),0,IF(C242=0,"New",(E242-C242)/C242))</f>
        <v>-1.07017543859649</v>
      </c>
      <c r="H242" s="12" t="n">
        <f aca="false">SUMIFS('מאוחדת Raw'!$E$7:$E$625,'מאוחדת Raw'!$F$7:$F$625,$A242,'מאוחדת Raw'!$C$7:$C$625,2025)</f>
        <v>594</v>
      </c>
      <c r="I242" s="12" t="n">
        <f aca="false">SUMIFS('מאוחדת Raw'!$E$7:$E$625,'מאוחדת Raw'!$F$7:$F$625,$A242,'מאוחדת Raw'!$C$7:$C$625,2026)</f>
        <v>-33</v>
      </c>
      <c r="J242" s="12" t="n">
        <f aca="false">I242*$J$5</f>
        <v>-41.6842105263158</v>
      </c>
    </row>
    <row r="243" customFormat="false" ht="15" hidden="false" customHeight="true" outlineLevel="0" collapsed="false">
      <c r="A243" s="12" t="s">
        <v>544</v>
      </c>
      <c r="B243" s="12" t="str">
        <f aca="false">IFERROR(INDEX('מאוחדת Raw'!$B:$B,MATCH($A243,'מאוחדת Raw'!$F:$F,0)),"")</f>
        <v>312 9 מ""ס להתאמהX5 מדבקה גדולה</v>
      </c>
      <c r="C243" s="12" t="n">
        <f aca="false">SUMIFS('מאוחדת Raw'!$D$7:$D$625,'מאוחדת Raw'!$F$7:$F$625,$A243,'מאוחדת Raw'!$C$7:$C$625,2025)</f>
        <v>0</v>
      </c>
      <c r="D243" s="12" t="n">
        <f aca="false">SUMIFS('מאוחדת Raw'!$D$7:$D$625,'מאוחדת Raw'!$F$7:$F$625,$A243,'מאוחדת Raw'!$C$7:$C$625,2026)</f>
        <v>43</v>
      </c>
      <c r="E243" s="12" t="n">
        <f aca="false">D243*$J$5</f>
        <v>54.3157894736842</v>
      </c>
      <c r="F243" s="12" t="n">
        <f aca="false">E243-C243</f>
        <v>54.3157894736842</v>
      </c>
      <c r="G243" s="21" t="str">
        <f aca="false">IF(AND(C243=0,E243=0),0,IF(C243=0,"New",(E243-C243)/C243))</f>
        <v>New</v>
      </c>
      <c r="H243" s="12" t="n">
        <f aca="false">SUMIFS('מאוחדת Raw'!$E$7:$E$625,'מאוחדת Raw'!$F$7:$F$625,$A243,'מאוחדת Raw'!$C$7:$C$625,2025)</f>
        <v>0</v>
      </c>
      <c r="I243" s="12" t="n">
        <f aca="false">SUMIFS('מאוחדת Raw'!$E$7:$E$625,'מאוחדת Raw'!$F$7:$F$625,$A243,'מאוחדת Raw'!$C$7:$C$625,2026)</f>
        <v>556.9</v>
      </c>
      <c r="J243" s="12" t="n">
        <f aca="false">I243*$J$5</f>
        <v>703.452631578947</v>
      </c>
    </row>
    <row r="244" customFormat="false" ht="15" hidden="false" customHeight="true" outlineLevel="0" collapsed="false">
      <c r="A244" s="12" t="s">
        <v>1290</v>
      </c>
      <c r="B244" s="12" t="str">
        <f aca="false">IFERROR(INDEX('מאוחדת Raw'!$B:$B,MATCH($A244,'מאוחדת Raw'!$F:$F,0)),"")</f>
        <v>34 XS</v>
      </c>
      <c r="C244" s="12" t="n">
        <f aca="false">SUMIFS('מאוחדת Raw'!$D$7:$D$625,'מאוחדת Raw'!$F$7:$F$625,$A244,'מאוחדת Raw'!$C$7:$C$625,2025)</f>
        <v>25</v>
      </c>
      <c r="D244" s="12" t="n">
        <f aca="false">SUMIFS('מאוחדת Raw'!$D$7:$D$625,'מאוחדת Raw'!$F$7:$F$625,$A244,'מאוחדת Raw'!$C$7:$C$625,2026)</f>
        <v>2</v>
      </c>
      <c r="E244" s="12" t="n">
        <f aca="false">D244*$J$5</f>
        <v>2.52631578947368</v>
      </c>
      <c r="F244" s="12" t="n">
        <f aca="false">E244-C244</f>
        <v>-22.4736842105263</v>
      </c>
      <c r="G244" s="21" t="n">
        <f aca="false">IF(AND(C244=0,E244=0),0,IF(C244=0,"New",(E244-C244)/C244))</f>
        <v>-0.898947368421053</v>
      </c>
      <c r="H244" s="12" t="n">
        <f aca="false">SUMIFS('מאוחדת Raw'!$E$7:$E$625,'מאוחדת Raw'!$F$7:$F$625,$A244,'מאוחדת Raw'!$C$7:$C$625,2025)</f>
        <v>723.25</v>
      </c>
      <c r="I244" s="12" t="n">
        <f aca="false">SUMIFS('מאוחדת Raw'!$E$7:$E$625,'מאוחדת Raw'!$F$7:$F$625,$A244,'מאוחדת Raw'!$C$7:$C$625,2026)</f>
        <v>57.86</v>
      </c>
      <c r="J244" s="12" t="n">
        <f aca="false">I244*$J$5</f>
        <v>73.0863157894737</v>
      </c>
    </row>
    <row r="245" customFormat="false" ht="15" hidden="false" customHeight="true" outlineLevel="0" collapsed="false">
      <c r="A245" s="12" t="s">
        <v>899</v>
      </c>
      <c r="B245" s="12" t="str">
        <f aca="false">IFERROR(INDEX('מאוחדת Raw'!$B:$B,MATCH($A245,'מאוחדת Raw'!$F:$F,0)),"")</f>
        <v>35 XS</v>
      </c>
      <c r="C245" s="12" t="n">
        <f aca="false">SUMIFS('מאוחדת Raw'!$D$7:$D$625,'מאוחדת Raw'!$F$7:$F$625,$A245,'מאוחדת Raw'!$C$7:$C$625,2025)</f>
        <v>8</v>
      </c>
      <c r="D245" s="12" t="n">
        <f aca="false">SUMIFS('מאוחדת Raw'!$D$7:$D$625,'מאוחדת Raw'!$F$7:$F$625,$A245,'מאוחדת Raw'!$C$7:$C$625,2026)</f>
        <v>3</v>
      </c>
      <c r="E245" s="12" t="n">
        <f aca="false">D245*$J$5</f>
        <v>3.78947368421053</v>
      </c>
      <c r="F245" s="12" t="n">
        <f aca="false">E245-C245</f>
        <v>-4.21052631578947</v>
      </c>
      <c r="G245" s="21" t="n">
        <f aca="false">IF(AND(C245=0,E245=0),0,IF(C245=0,"New",(E245-C245)/C245))</f>
        <v>-0.526315789473684</v>
      </c>
      <c r="H245" s="12" t="n">
        <f aca="false">SUMIFS('מאוחדת Raw'!$E$7:$E$625,'מאוחדת Raw'!$F$7:$F$625,$A245,'מאוחדת Raw'!$C$7:$C$625,2025)</f>
        <v>136</v>
      </c>
      <c r="I245" s="12" t="n">
        <f aca="false">SUMIFS('מאוחדת Raw'!$E$7:$E$625,'מאוחדת Raw'!$F$7:$F$625,$A245,'מאוחדת Raw'!$C$7:$C$625,2026)</f>
        <v>51</v>
      </c>
      <c r="J245" s="12" t="n">
        <f aca="false">I245*$J$5</f>
        <v>64.421052631579</v>
      </c>
    </row>
    <row r="246" customFormat="false" ht="15" hidden="false" customHeight="true" outlineLevel="0" collapsed="false">
      <c r="A246" s="12" t="s">
        <v>1291</v>
      </c>
      <c r="B246" s="12" t="str">
        <f aca="false">IFERROR(INDEX('מאוחדת Raw'!$B:$B,MATCH($A246,'מאוחדת Raw'!$F:$F,0)),"")</f>
        <v>388L 0</v>
      </c>
      <c r="C246" s="12" t="n">
        <f aca="false">SUMIFS('מאוחדת Raw'!$D$7:$D$625,'מאוחדת Raw'!$F$7:$F$625,$A246,'מאוחדת Raw'!$C$7:$C$625,2025)</f>
        <v>14</v>
      </c>
      <c r="D246" s="12" t="n">
        <f aca="false">SUMIFS('מאוחדת Raw'!$D$7:$D$625,'מאוחדת Raw'!$F$7:$F$625,$A246,'מאוחדת Raw'!$C$7:$C$625,2026)</f>
        <v>0</v>
      </c>
      <c r="E246" s="12" t="n">
        <f aca="false">D246*$J$5</f>
        <v>0</v>
      </c>
      <c r="F246" s="12" t="n">
        <f aca="false">E246-C246</f>
        <v>-14</v>
      </c>
      <c r="G246" s="21" t="n">
        <f aca="false">IF(AND(C246=0,E246=0),0,IF(C246=0,"New",(E246-C246)/C246))</f>
        <v>-1</v>
      </c>
      <c r="H246" s="12" t="n">
        <f aca="false">SUMIFS('מאוחדת Raw'!$E$7:$E$625,'מאוחדת Raw'!$F$7:$F$625,$A246,'מאוחדת Raw'!$C$7:$C$625,2025)</f>
        <v>690.2</v>
      </c>
      <c r="I246" s="12" t="n">
        <f aca="false">SUMIFS('מאוחדת Raw'!$E$7:$E$625,'מאוחדת Raw'!$F$7:$F$625,$A246,'מאוחדת Raw'!$C$7:$C$625,2026)</f>
        <v>0</v>
      </c>
      <c r="J246" s="12" t="n">
        <f aca="false">I246*$J$5</f>
        <v>0</v>
      </c>
    </row>
    <row r="247" customFormat="false" ht="15" hidden="false" customHeight="true" outlineLevel="0" collapsed="false">
      <c r="A247" s="12" t="s">
        <v>902</v>
      </c>
      <c r="B247" s="12" t="str">
        <f aca="false">IFERROR(INDEX('מאוחדת Raw'!$B:$B,MATCH($A247,'מאוחדת Raw'!$F:$F,0)),"")</f>
        <v>390G-39-42</v>
      </c>
      <c r="C247" s="12" t="n">
        <f aca="false">SUMIFS('מאוחדת Raw'!$D$7:$D$625,'מאוחדת Raw'!$F$7:$F$625,$A247,'מאוחדת Raw'!$C$7:$C$625,2025)</f>
        <v>31</v>
      </c>
      <c r="D247" s="12" t="n">
        <f aca="false">SUMIFS('מאוחדת Raw'!$D$7:$D$625,'מאוחדת Raw'!$F$7:$F$625,$A247,'מאוחדת Raw'!$C$7:$C$625,2026)</f>
        <v>9</v>
      </c>
      <c r="E247" s="12" t="n">
        <f aca="false">D247*$J$5</f>
        <v>11.3684210526316</v>
      </c>
      <c r="F247" s="12" t="n">
        <f aca="false">E247-C247</f>
        <v>-19.6315789473684</v>
      </c>
      <c r="G247" s="21" t="n">
        <f aca="false">IF(AND(C247=0,E247=0),0,IF(C247=0,"New",(E247-C247)/C247))</f>
        <v>-0.633276740237691</v>
      </c>
      <c r="H247" s="12" t="n">
        <f aca="false">SUMIFS('מאוחדת Raw'!$E$7:$E$625,'מאוחדת Raw'!$F$7:$F$625,$A247,'מאוחדת Raw'!$C$7:$C$625,2025)</f>
        <v>731.6</v>
      </c>
      <c r="I247" s="12" t="n">
        <f aca="false">SUMIFS('מאוחדת Raw'!$E$7:$E$625,'מאוחדת Raw'!$F$7:$F$625,$A247,'מאוחדת Raw'!$C$7:$C$625,2026)</f>
        <v>212.4</v>
      </c>
      <c r="J247" s="12" t="n">
        <f aca="false">I247*$J$5</f>
        <v>268.294736842105</v>
      </c>
    </row>
    <row r="248" customFormat="false" ht="15" hidden="false" customHeight="true" outlineLevel="0" collapsed="false">
      <c r="A248" s="12" t="s">
        <v>965</v>
      </c>
      <c r="B248" s="12" t="str">
        <f aca="false">IFERROR(INDEX('מאוחדת Raw'!$B:$B,MATCH($A248,'מאוחדת Raw'!$F:$F,0)),"")</f>
        <v>394G-35-38</v>
      </c>
      <c r="C248" s="12" t="n">
        <f aca="false">SUMIFS('מאוחדת Raw'!$D$7:$D$625,'מאוחדת Raw'!$F$7:$F$625,$A248,'מאוחדת Raw'!$C$7:$C$625,2025)</f>
        <v>39</v>
      </c>
      <c r="D248" s="12" t="n">
        <f aca="false">SUMIFS('מאוחדת Raw'!$D$7:$D$625,'מאוחדת Raw'!$F$7:$F$625,$A248,'מאוחדת Raw'!$C$7:$C$625,2026)</f>
        <v>0</v>
      </c>
      <c r="E248" s="12" t="n">
        <f aca="false">D248*$J$5</f>
        <v>0</v>
      </c>
      <c r="F248" s="12" t="n">
        <f aca="false">E248-C248</f>
        <v>-39</v>
      </c>
      <c r="G248" s="21" t="n">
        <f aca="false">IF(AND(C248=0,E248=0),0,IF(C248=0,"New",(E248-C248)/C248))</f>
        <v>-1</v>
      </c>
      <c r="H248" s="12" t="n">
        <f aca="false">SUMIFS('מאוחדת Raw'!$E$7:$E$625,'מאוחדת Raw'!$F$7:$F$625,$A248,'מאוחדת Raw'!$C$7:$C$625,2025)</f>
        <v>717.6</v>
      </c>
      <c r="I248" s="12" t="n">
        <f aca="false">SUMIFS('מאוחדת Raw'!$E$7:$E$625,'מאוחדת Raw'!$F$7:$F$625,$A248,'מאוחדת Raw'!$C$7:$C$625,2026)</f>
        <v>0</v>
      </c>
      <c r="J248" s="12" t="n">
        <f aca="false">I248*$J$5</f>
        <v>0</v>
      </c>
    </row>
    <row r="249" customFormat="false" ht="15" hidden="false" customHeight="true" outlineLevel="0" collapsed="false">
      <c r="A249" s="12" t="s">
        <v>966</v>
      </c>
      <c r="B249" s="12" t="str">
        <f aca="false">IFERROR(INDEX('מאוחדת Raw'!$B:$B,MATCH($A249,'מאוחדת Raw'!$F:$F,0)),"")</f>
        <v>394G-39-42</v>
      </c>
      <c r="C249" s="12" t="n">
        <f aca="false">SUMIFS('מאוחדת Raw'!$D$7:$D$625,'מאוחדת Raw'!$F$7:$F$625,$A249,'מאוחדת Raw'!$C$7:$C$625,2025)</f>
        <v>45</v>
      </c>
      <c r="D249" s="12" t="n">
        <f aca="false">SUMIFS('מאוחדת Raw'!$D$7:$D$625,'מאוחדת Raw'!$F$7:$F$625,$A249,'מאוחדת Raw'!$C$7:$C$625,2026)</f>
        <v>7</v>
      </c>
      <c r="E249" s="12" t="n">
        <f aca="false">D249*$J$5</f>
        <v>8.84210526315789</v>
      </c>
      <c r="F249" s="12" t="n">
        <f aca="false">E249-C249</f>
        <v>-36.1578947368421</v>
      </c>
      <c r="G249" s="21" t="n">
        <f aca="false">IF(AND(C249=0,E249=0),0,IF(C249=0,"New",(E249-C249)/C249))</f>
        <v>-0.803508771929825</v>
      </c>
      <c r="H249" s="12" t="n">
        <f aca="false">SUMIFS('מאוחדת Raw'!$E$7:$E$625,'מאוחדת Raw'!$F$7:$F$625,$A249,'מאוחדת Raw'!$C$7:$C$625,2025)</f>
        <v>828</v>
      </c>
      <c r="I249" s="12" t="n">
        <f aca="false">SUMIFS('מאוחדת Raw'!$E$7:$E$625,'מאוחדת Raw'!$F$7:$F$625,$A249,'מאוחדת Raw'!$C$7:$C$625,2026)</f>
        <v>128.8</v>
      </c>
      <c r="J249" s="12" t="n">
        <f aca="false">I249*$J$5</f>
        <v>162.694736842105</v>
      </c>
    </row>
    <row r="250" customFormat="false" ht="15" hidden="false" customHeight="true" outlineLevel="0" collapsed="false">
      <c r="A250" s="12" t="s">
        <v>967</v>
      </c>
      <c r="B250" s="12" t="str">
        <f aca="false">IFERROR(INDEX('מאוחדת Raw'!$B:$B,MATCH($A250,'מאוחדת Raw'!$F:$F,0)),"")</f>
        <v>394G-43-46</v>
      </c>
      <c r="C250" s="12" t="n">
        <f aca="false">SUMIFS('מאוחדת Raw'!$D$7:$D$625,'מאוחדת Raw'!$F$7:$F$625,$A250,'מאוחדת Raw'!$C$7:$C$625,2025)</f>
        <v>28</v>
      </c>
      <c r="D250" s="12" t="n">
        <f aca="false">SUMIFS('מאוחדת Raw'!$D$7:$D$625,'מאוחדת Raw'!$F$7:$F$625,$A250,'מאוחדת Raw'!$C$7:$C$625,2026)</f>
        <v>4</v>
      </c>
      <c r="E250" s="12" t="n">
        <f aca="false">D250*$J$5</f>
        <v>5.05263157894737</v>
      </c>
      <c r="F250" s="12" t="n">
        <f aca="false">E250-C250</f>
        <v>-22.9473684210526</v>
      </c>
      <c r="G250" s="21" t="n">
        <f aca="false">IF(AND(C250=0,E250=0),0,IF(C250=0,"New",(E250-C250)/C250))</f>
        <v>-0.819548872180451</v>
      </c>
      <c r="H250" s="12" t="n">
        <f aca="false">SUMIFS('מאוחדת Raw'!$E$7:$E$625,'מאוחדת Raw'!$F$7:$F$625,$A250,'מאוחדת Raw'!$C$7:$C$625,2025)</f>
        <v>515.2</v>
      </c>
      <c r="I250" s="12" t="n">
        <f aca="false">SUMIFS('מאוחדת Raw'!$E$7:$E$625,'מאוחדת Raw'!$F$7:$F$625,$A250,'מאוחדת Raw'!$C$7:$C$625,2026)</f>
        <v>73.6</v>
      </c>
      <c r="J250" s="12" t="n">
        <f aca="false">I250*$J$5</f>
        <v>92.9684210526316</v>
      </c>
    </row>
    <row r="251" customFormat="false" ht="15" hidden="false" customHeight="true" outlineLevel="0" collapsed="false">
      <c r="A251" s="12" t="s">
        <v>85</v>
      </c>
      <c r="B251" s="12" t="str">
        <f aca="false">IFERROR(INDEX('מאוחדת Raw'!$B:$B,MATCH($A251,'מאוחדת Raw'!$F:$F,0)),"")</f>
        <v>4022 רצועת ""פיקה""+כרית</v>
      </c>
      <c r="C251" s="12" t="n">
        <f aca="false">SUMIFS('מאוחדת Raw'!$D$7:$D$625,'מאוחדת Raw'!$F$7:$F$625,$A251,'מאוחדת Raw'!$C$7:$C$625,2025)</f>
        <v>0</v>
      </c>
      <c r="D251" s="12" t="n">
        <f aca="false">SUMIFS('מאוחדת Raw'!$D$7:$D$625,'מאוחדת Raw'!$F$7:$F$625,$A251,'מאוחדת Raw'!$C$7:$C$625,2026)</f>
        <v>16</v>
      </c>
      <c r="E251" s="12" t="n">
        <f aca="false">D251*$J$5</f>
        <v>20.2105263157895</v>
      </c>
      <c r="F251" s="12" t="n">
        <f aca="false">E251-C251</f>
        <v>20.2105263157895</v>
      </c>
      <c r="G251" s="21" t="str">
        <f aca="false">IF(AND(C251=0,E251=0),0,IF(C251=0,"New",(E251-C251)/C251))</f>
        <v>New</v>
      </c>
      <c r="H251" s="12" t="n">
        <f aca="false">SUMIFS('מאוחדת Raw'!$E$7:$E$625,'מאוחדת Raw'!$F$7:$F$625,$A251,'מאוחדת Raw'!$C$7:$C$625,2025)</f>
        <v>0</v>
      </c>
      <c r="I251" s="12" t="n">
        <f aca="false">SUMIFS('מאוחדת Raw'!$E$7:$E$625,'מאוחדת Raw'!$F$7:$F$625,$A251,'מאוחדת Raw'!$C$7:$C$625,2026)</f>
        <v>957.1</v>
      </c>
      <c r="J251" s="12" t="n">
        <f aca="false">I251*$J$5</f>
        <v>1208.96842105263</v>
      </c>
    </row>
    <row r="252" customFormat="false" ht="15" hidden="false" customHeight="true" outlineLevel="0" collapsed="false">
      <c r="A252" s="12" t="s">
        <v>1292</v>
      </c>
      <c r="B252" s="12" t="str">
        <f aca="false">IFERROR(INDEX('מאוחדת Raw'!$B:$B,MATCH($A252,'מאוחדת Raw'!$F:$F,0)),"")</f>
        <v>422ED XXL</v>
      </c>
      <c r="C252" s="12" t="n">
        <f aca="false">SUMIFS('מאוחדת Raw'!$D$7:$D$625,'מאוחדת Raw'!$F$7:$F$625,$A252,'מאוחדת Raw'!$C$7:$C$625,2025)</f>
        <v>-1</v>
      </c>
      <c r="D252" s="12" t="n">
        <f aca="false">SUMIFS('מאוחדת Raw'!$D$7:$D$625,'מאוחדת Raw'!$F$7:$F$625,$A252,'מאוחדת Raw'!$C$7:$C$625,2026)</f>
        <v>0</v>
      </c>
      <c r="E252" s="12" t="n">
        <f aca="false">D252*$J$5</f>
        <v>0</v>
      </c>
      <c r="F252" s="12" t="n">
        <f aca="false">E252-C252</f>
        <v>1</v>
      </c>
      <c r="G252" s="21" t="n">
        <f aca="false">IF(AND(C252=0,E252=0),0,IF(C252=0,"New",(E252-C252)/C252))</f>
        <v>-1</v>
      </c>
      <c r="H252" s="12" t="n">
        <f aca="false">SUMIFS('מאוחדת Raw'!$E$7:$E$625,'מאוחדת Raw'!$F$7:$F$625,$A252,'מאוחדת Raw'!$C$7:$C$625,2025)</f>
        <v>-441.17</v>
      </c>
      <c r="I252" s="12" t="n">
        <f aca="false">SUMIFS('מאוחדת Raw'!$E$7:$E$625,'מאוחדת Raw'!$F$7:$F$625,$A252,'מאוחדת Raw'!$C$7:$C$625,2026)</f>
        <v>0</v>
      </c>
      <c r="J252" s="12" t="n">
        <f aca="false">I252*$J$5</f>
        <v>0</v>
      </c>
    </row>
    <row r="253" customFormat="false" ht="15" hidden="false" customHeight="true" outlineLevel="0" collapsed="false">
      <c r="A253" s="12" t="s">
        <v>1293</v>
      </c>
      <c r="B253" s="12" t="str">
        <f aca="false">IFERROR(INDEX('מאוחדת Raw'!$B:$B,MATCH($A253,'מאוחדת Raw'!$F:$F,0)),"")</f>
        <v>67800020</v>
      </c>
      <c r="C253" s="12" t="n">
        <f aca="false">SUMIFS('מאוחדת Raw'!$D$7:$D$625,'מאוחדת Raw'!$F$7:$F$625,$A253,'מאוחדת Raw'!$C$7:$C$625,2025)</f>
        <v>0</v>
      </c>
      <c r="D253" s="12" t="n">
        <f aca="false">SUMIFS('מאוחדת Raw'!$D$7:$D$625,'מאוחדת Raw'!$F$7:$F$625,$A253,'מאוחדת Raw'!$C$7:$C$625,2026)</f>
        <v>1</v>
      </c>
      <c r="E253" s="12" t="n">
        <f aca="false">D253*$J$5</f>
        <v>1.26315789473684</v>
      </c>
      <c r="F253" s="12" t="n">
        <f aca="false">E253-C253</f>
        <v>1.26315789473684</v>
      </c>
      <c r="G253" s="21" t="str">
        <f aca="false">IF(AND(C253=0,E253=0),0,IF(C253=0,"New",(E253-C253)/C253))</f>
        <v>New</v>
      </c>
      <c r="H253" s="12" t="n">
        <f aca="false">SUMIFS('מאוחדת Raw'!$E$7:$E$625,'מאוחדת Raw'!$F$7:$F$625,$A253,'מאוחדת Raw'!$C$7:$C$625,2025)</f>
        <v>0</v>
      </c>
      <c r="I253" s="12" t="n">
        <f aca="false">SUMIFS('מאוחדת Raw'!$E$7:$E$625,'מאוחדת Raw'!$F$7:$F$625,$A253,'מאוחדת Raw'!$C$7:$C$625,2026)</f>
        <v>0</v>
      </c>
      <c r="J253" s="12" t="n">
        <f aca="false">I253*$J$5</f>
        <v>0</v>
      </c>
    </row>
    <row r="254" customFormat="false" ht="15" hidden="false" customHeight="true" outlineLevel="0" collapsed="false">
      <c r="A254" s="12" t="s">
        <v>1294</v>
      </c>
      <c r="B254" s="12" t="str">
        <f aca="false">IFERROR(INDEX('מאוחדת Raw'!$B:$B,MATCH($A254,'מאוחדת Raw'!$F:$F,0)),"")</f>
        <v>67813000</v>
      </c>
      <c r="C254" s="12" t="n">
        <f aca="false">SUMIFS('מאוחדת Raw'!$D$7:$D$625,'מאוחדת Raw'!$F$7:$F$625,$A254,'מאוחדת Raw'!$C$7:$C$625,2025)</f>
        <v>0</v>
      </c>
      <c r="D254" s="12" t="n">
        <f aca="false">SUMIFS('מאוחדת Raw'!$D$7:$D$625,'מאוחדת Raw'!$F$7:$F$625,$A254,'מאוחדת Raw'!$C$7:$C$625,2026)</f>
        <v>2</v>
      </c>
      <c r="E254" s="12" t="n">
        <f aca="false">D254*$J$5</f>
        <v>2.52631578947368</v>
      </c>
      <c r="F254" s="12" t="n">
        <f aca="false">E254-C254</f>
        <v>2.52631578947368</v>
      </c>
      <c r="G254" s="21" t="str">
        <f aca="false">IF(AND(C254=0,E254=0),0,IF(C254=0,"New",(E254-C254)/C254))</f>
        <v>New</v>
      </c>
      <c r="H254" s="12" t="n">
        <f aca="false">SUMIFS('מאוחדת Raw'!$E$7:$E$625,'מאוחדת Raw'!$F$7:$F$625,$A254,'מאוחדת Raw'!$C$7:$C$625,2025)</f>
        <v>0</v>
      </c>
      <c r="I254" s="12" t="n">
        <f aca="false">SUMIFS('מאוחדת Raw'!$E$7:$E$625,'מאוחדת Raw'!$F$7:$F$625,$A254,'מאוחדת Raw'!$C$7:$C$625,2026)</f>
        <v>0</v>
      </c>
      <c r="J254" s="12" t="n">
        <f aca="false">I254*$J$5</f>
        <v>0</v>
      </c>
    </row>
    <row r="255" customFormat="false" ht="15" hidden="false" customHeight="true" outlineLevel="0" collapsed="false">
      <c r="A255" s="12" t="s">
        <v>1295</v>
      </c>
      <c r="B255" s="12" t="str">
        <f aca="false">IFERROR(INDEX('מאוחדת Raw'!$B:$B,MATCH($A255,'מאוחדת Raw'!$F:$F,0)),"")</f>
        <v>74-S-M</v>
      </c>
      <c r="C255" s="12" t="n">
        <f aca="false">SUMIFS('מאוחדת Raw'!$D$7:$D$625,'מאוחדת Raw'!$F$7:$F$625,$A255,'מאוחדת Raw'!$C$7:$C$625,2025)</f>
        <v>8</v>
      </c>
      <c r="D255" s="12" t="n">
        <f aca="false">SUMIFS('מאוחדת Raw'!$D$7:$D$625,'מאוחדת Raw'!$F$7:$F$625,$A255,'מאוחדת Raw'!$C$7:$C$625,2026)</f>
        <v>1</v>
      </c>
      <c r="E255" s="12" t="n">
        <f aca="false">D255*$J$5</f>
        <v>1.26315789473684</v>
      </c>
      <c r="F255" s="12" t="n">
        <f aca="false">E255-C255</f>
        <v>-6.73684210526316</v>
      </c>
      <c r="G255" s="21" t="n">
        <f aca="false">IF(AND(C255=0,E255=0),0,IF(C255=0,"New",(E255-C255)/C255))</f>
        <v>-0.842105263157895</v>
      </c>
      <c r="H255" s="12" t="n">
        <f aca="false">SUMIFS('מאוחדת Raw'!$E$7:$E$625,'מאוחדת Raw'!$F$7:$F$625,$A255,'מאוחדת Raw'!$C$7:$C$625,2025)</f>
        <v>1038.48</v>
      </c>
      <c r="I255" s="12" t="n">
        <f aca="false">SUMIFS('מאוחדת Raw'!$E$7:$E$625,'מאוחדת Raw'!$F$7:$F$625,$A255,'מאוחדת Raw'!$C$7:$C$625,2026)</f>
        <v>129.81</v>
      </c>
      <c r="J255" s="12" t="n">
        <f aca="false">I255*$J$5</f>
        <v>163.970526315789</v>
      </c>
    </row>
    <row r="256" customFormat="false" ht="15" hidden="false" customHeight="true" outlineLevel="0" collapsed="false">
      <c r="A256" s="12" t="s">
        <v>1296</v>
      </c>
      <c r="B256" s="12" t="str">
        <f aca="false">IFERROR(INDEX('מאוחדת Raw'!$B:$B,MATCH($A256,'מאוחדת Raw'!$F:$F,0)),"")</f>
        <v>808KTP-B</v>
      </c>
      <c r="C256" s="12" t="n">
        <f aca="false">SUMIFS('מאוחדת Raw'!$D$7:$D$625,'מאוחדת Raw'!$F$7:$F$625,$A256,'מאוחדת Raw'!$C$7:$C$625,2025)</f>
        <v>13</v>
      </c>
      <c r="D256" s="12" t="n">
        <f aca="false">SUMIFS('מאוחדת Raw'!$D$7:$D$625,'מאוחדת Raw'!$F$7:$F$625,$A256,'מאוחדת Raw'!$C$7:$C$625,2026)</f>
        <v>0</v>
      </c>
      <c r="E256" s="12" t="n">
        <f aca="false">D256*$J$5</f>
        <v>0</v>
      </c>
      <c r="F256" s="12" t="n">
        <f aca="false">E256-C256</f>
        <v>-13</v>
      </c>
      <c r="G256" s="21" t="n">
        <f aca="false">IF(AND(C256=0,E256=0),0,IF(C256=0,"New",(E256-C256)/C256))</f>
        <v>-1</v>
      </c>
      <c r="H256" s="12" t="n">
        <f aca="false">SUMIFS('מאוחדת Raw'!$E$7:$E$625,'מאוחדת Raw'!$F$7:$F$625,$A256,'מאוחדת Raw'!$C$7:$C$625,2025)</f>
        <v>818.61</v>
      </c>
      <c r="I256" s="12" t="n">
        <f aca="false">SUMIFS('מאוחדת Raw'!$E$7:$E$625,'מאוחדת Raw'!$F$7:$F$625,$A256,'מאוחדת Raw'!$C$7:$C$625,2026)</f>
        <v>0</v>
      </c>
      <c r="J256" s="12" t="n">
        <f aca="false">I256*$J$5</f>
        <v>0</v>
      </c>
    </row>
    <row r="257" customFormat="false" ht="15" hidden="false" customHeight="true" outlineLevel="0" collapsed="false">
      <c r="A257" s="12" t="s">
        <v>1297</v>
      </c>
      <c r="B257" s="12" t="str">
        <f aca="false">IFERROR(INDEX('מאוחדת Raw'!$B:$B,MATCH($A257,'מאוחדת Raw'!$F:$F,0)),"")</f>
        <v>808KTP-BL</v>
      </c>
      <c r="C257" s="12" t="n">
        <f aca="false">SUMIFS('מאוחדת Raw'!$D$7:$D$625,'מאוחדת Raw'!$F$7:$F$625,$A257,'מאוחדת Raw'!$C$7:$C$625,2025)</f>
        <v>6</v>
      </c>
      <c r="D257" s="12" t="n">
        <f aca="false">SUMIFS('מאוחדת Raw'!$D$7:$D$625,'מאוחדת Raw'!$F$7:$F$625,$A257,'מאוחדת Raw'!$C$7:$C$625,2026)</f>
        <v>4</v>
      </c>
      <c r="E257" s="12" t="n">
        <f aca="false">D257*$J$5</f>
        <v>5.05263157894737</v>
      </c>
      <c r="F257" s="12" t="n">
        <f aca="false">E257-C257</f>
        <v>-0.947368421052632</v>
      </c>
      <c r="G257" s="21" t="n">
        <f aca="false">IF(AND(C257=0,E257=0),0,IF(C257=0,"New",(E257-C257)/C257))</f>
        <v>-0.157894736842105</v>
      </c>
      <c r="H257" s="12" t="n">
        <f aca="false">SUMIFS('מאוחדת Raw'!$E$7:$E$625,'מאוחדת Raw'!$F$7:$F$625,$A257,'מאוחדת Raw'!$C$7:$C$625,2025)</f>
        <v>377.82</v>
      </c>
      <c r="I257" s="12" t="n">
        <f aca="false">SUMIFS('מאוחדת Raw'!$E$7:$E$625,'מאוחדת Raw'!$F$7:$F$625,$A257,'מאוחדת Raw'!$C$7:$C$625,2026)</f>
        <v>251.88</v>
      </c>
      <c r="J257" s="12" t="n">
        <f aca="false">I257*$J$5</f>
        <v>318.164210526316</v>
      </c>
    </row>
    <row r="258" customFormat="false" ht="15" hidden="false" customHeight="true" outlineLevel="0" collapsed="false">
      <c r="A258" s="12" t="s">
        <v>1298</v>
      </c>
      <c r="B258" s="12" t="str">
        <f aca="false">IFERROR(INDEX('מאוחדת Raw'!$B:$B,MATCH($A258,'מאוחדת Raw'!$F:$F,0)),"")</f>
        <v>87 XS</v>
      </c>
      <c r="C258" s="12" t="n">
        <f aca="false">SUMIFS('מאוחדת Raw'!$D$7:$D$625,'מאוחדת Raw'!$F$7:$F$625,$A258,'מאוחדת Raw'!$C$7:$C$625,2025)</f>
        <v>0</v>
      </c>
      <c r="D258" s="12" t="n">
        <f aca="false">SUMIFS('מאוחדת Raw'!$D$7:$D$625,'מאוחדת Raw'!$F$7:$F$625,$A258,'מאוחדת Raw'!$C$7:$C$625,2026)</f>
        <v>1</v>
      </c>
      <c r="E258" s="12" t="n">
        <f aca="false">D258*$J$5</f>
        <v>1.26315789473684</v>
      </c>
      <c r="F258" s="12" t="n">
        <f aca="false">E258-C258</f>
        <v>1.26315789473684</v>
      </c>
      <c r="G258" s="21" t="str">
        <f aca="false">IF(AND(C258=0,E258=0),0,IF(C258=0,"New",(E258-C258)/C258))</f>
        <v>New</v>
      </c>
      <c r="H258" s="12" t="n">
        <f aca="false">SUMIFS('מאוחדת Raw'!$E$7:$E$625,'מאוחדת Raw'!$F$7:$F$625,$A258,'מאוחדת Raw'!$C$7:$C$625,2025)</f>
        <v>0</v>
      </c>
      <c r="I258" s="12" t="n">
        <f aca="false">SUMIFS('מאוחדת Raw'!$E$7:$E$625,'מאוחדת Raw'!$F$7:$F$625,$A258,'מאוחדת Raw'!$C$7:$C$625,2026)</f>
        <v>0</v>
      </c>
      <c r="J258" s="12" t="n">
        <f aca="false">I258*$J$5</f>
        <v>0</v>
      </c>
    </row>
    <row r="259" customFormat="false" ht="15" hidden="false" customHeight="true" outlineLevel="0" collapsed="false">
      <c r="A259" s="12" t="s">
        <v>1299</v>
      </c>
      <c r="B259" s="12" t="str">
        <f aca="false">IFERROR(INDEX('מאוחדת Raw'!$B:$B,MATCH($A259,'מאוחדת Raw'!$F:$F,0)),"")</f>
        <v>LUPD340 0</v>
      </c>
      <c r="C259" s="12" t="n">
        <f aca="false">SUMIFS('מאוחדת Raw'!$D$7:$D$625,'מאוחדת Raw'!$F$7:$F$625,$A259,'מאוחדת Raw'!$C$7:$C$625,2025)</f>
        <v>0</v>
      </c>
      <c r="D259" s="12" t="n">
        <f aca="false">SUMIFS('מאוחדת Raw'!$D$7:$D$625,'מאוחדת Raw'!$F$7:$F$625,$A259,'מאוחדת Raw'!$C$7:$C$625,2026)</f>
        <v>6</v>
      </c>
      <c r="E259" s="12" t="n">
        <f aca="false">D259*$J$5</f>
        <v>7.57894736842105</v>
      </c>
      <c r="F259" s="12" t="n">
        <f aca="false">E259-C259</f>
        <v>7.57894736842105</v>
      </c>
      <c r="G259" s="21" t="str">
        <f aca="false">IF(AND(C259=0,E259=0),0,IF(C259=0,"New",(E259-C259)/C259))</f>
        <v>New</v>
      </c>
      <c r="H259" s="12" t="n">
        <f aca="false">SUMIFS('מאוחדת Raw'!$E$7:$E$625,'מאוחדת Raw'!$F$7:$F$625,$A259,'מאוחדת Raw'!$C$7:$C$625,2025)</f>
        <v>0</v>
      </c>
      <c r="I259" s="12" t="n">
        <f aca="false">SUMIFS('מאוחדת Raw'!$E$7:$E$625,'מאוחדת Raw'!$F$7:$F$625,$A259,'מאוחדת Raw'!$C$7:$C$625,2026)</f>
        <v>0</v>
      </c>
      <c r="J259" s="12" t="n">
        <f aca="false">I259*$J$5</f>
        <v>0</v>
      </c>
    </row>
    <row r="260" customFormat="false" ht="15" hidden="false" customHeight="true" outlineLevel="0" collapsed="false">
      <c r="A260" s="12" t="s">
        <v>1300</v>
      </c>
      <c r="B260" s="12" t="str">
        <f aca="false">IFERROR(INDEX('מאוחדת Raw'!$B:$B,MATCH($A260,'מאוחדת Raw'!$F:$F,0)),"")</f>
        <v>T33 L</v>
      </c>
      <c r="C260" s="12" t="n">
        <f aca="false">SUMIFS('מאוחדת Raw'!$D$7:$D$625,'מאוחדת Raw'!$F$7:$F$625,$A260,'מאוחדת Raw'!$C$7:$C$625,2025)</f>
        <v>10</v>
      </c>
      <c r="D260" s="12" t="n">
        <f aca="false">SUMIFS('מאוחדת Raw'!$D$7:$D$625,'מאוחדת Raw'!$F$7:$F$625,$A260,'מאוחדת Raw'!$C$7:$C$625,2026)</f>
        <v>1</v>
      </c>
      <c r="E260" s="12" t="n">
        <f aca="false">D260*$J$5</f>
        <v>1.26315789473684</v>
      </c>
      <c r="F260" s="12" t="n">
        <f aca="false">E260-C260</f>
        <v>-8.73684210526316</v>
      </c>
      <c r="G260" s="21" t="n">
        <f aca="false">IF(AND(C260=0,E260=0),0,IF(C260=0,"New",(E260-C260)/C260))</f>
        <v>-0.873684210526316</v>
      </c>
      <c r="H260" s="12" t="n">
        <f aca="false">SUMIFS('מאוחדת Raw'!$E$7:$E$625,'מאוחדת Raw'!$F$7:$F$625,$A260,'מאוחדת Raw'!$C$7:$C$625,2025)</f>
        <v>941</v>
      </c>
      <c r="I260" s="12" t="n">
        <f aca="false">SUMIFS('מאוחדת Raw'!$E$7:$E$625,'מאוחדת Raw'!$F$7:$F$625,$A260,'מאוחדת Raw'!$C$7:$C$625,2026)</f>
        <v>94.1</v>
      </c>
      <c r="J260" s="12" t="n">
        <f aca="false">I260*$J$5</f>
        <v>118.863157894737</v>
      </c>
    </row>
    <row r="261" customFormat="false" ht="15" hidden="false" customHeight="true" outlineLevel="0" collapsed="false">
      <c r="A261" s="12" t="s">
        <v>1301</v>
      </c>
      <c r="B261" s="12" t="str">
        <f aca="false">IFERROR(INDEX('מאוחדת Raw'!$B:$B,MATCH($A261,'מאוחדת Raw'!$F:$F,0)),"")</f>
        <v>T33 M</v>
      </c>
      <c r="C261" s="12" t="n">
        <f aca="false">SUMIFS('מאוחדת Raw'!$D$7:$D$625,'מאוחדת Raw'!$F$7:$F$625,$A261,'מאוחדת Raw'!$C$7:$C$625,2025)</f>
        <v>10</v>
      </c>
      <c r="D261" s="12" t="n">
        <f aca="false">SUMIFS('מאוחדת Raw'!$D$7:$D$625,'מאוחדת Raw'!$F$7:$F$625,$A261,'מאוחדת Raw'!$C$7:$C$625,2026)</f>
        <v>2</v>
      </c>
      <c r="E261" s="12" t="n">
        <f aca="false">D261*$J$5</f>
        <v>2.52631578947368</v>
      </c>
      <c r="F261" s="12" t="n">
        <f aca="false">E261-C261</f>
        <v>-7.47368421052632</v>
      </c>
      <c r="G261" s="21" t="n">
        <f aca="false">IF(AND(C261=0,E261=0),0,IF(C261=0,"New",(E261-C261)/C261))</f>
        <v>-0.747368421052632</v>
      </c>
      <c r="H261" s="12" t="n">
        <f aca="false">SUMIFS('מאוחדת Raw'!$E$7:$E$625,'מאוחדת Raw'!$F$7:$F$625,$A261,'מאוחדת Raw'!$C$7:$C$625,2025)</f>
        <v>941</v>
      </c>
      <c r="I261" s="12" t="n">
        <f aca="false">SUMIFS('מאוחדת Raw'!$E$7:$E$625,'מאוחדת Raw'!$F$7:$F$625,$A261,'מאוחדת Raw'!$C$7:$C$625,2026)</f>
        <v>188.2</v>
      </c>
      <c r="J261" s="12" t="n">
        <f aca="false">I261*$J$5</f>
        <v>237.726315789474</v>
      </c>
    </row>
    <row r="262" customFormat="false" ht="15" hidden="false" customHeight="true" outlineLevel="0" collapsed="false">
      <c r="A262" s="12" t="s">
        <v>1302</v>
      </c>
      <c r="B262" s="12" t="str">
        <f aca="false">IFERROR(INDEX('מאוחדת Raw'!$B:$B,MATCH($A262,'מאוחדת Raw'!$F:$F,0)),"")</f>
        <v>T33 XL</v>
      </c>
      <c r="C262" s="12" t="n">
        <f aca="false">SUMIFS('מאוחדת Raw'!$D$7:$D$625,'מאוחדת Raw'!$F$7:$F$625,$A262,'מאוחדת Raw'!$C$7:$C$625,2025)</f>
        <v>11</v>
      </c>
      <c r="D262" s="12" t="n">
        <f aca="false">SUMIFS('מאוחדת Raw'!$D$7:$D$625,'מאוחדת Raw'!$F$7:$F$625,$A262,'מאוחדת Raw'!$C$7:$C$625,2026)</f>
        <v>7</v>
      </c>
      <c r="E262" s="12" t="n">
        <f aca="false">D262*$J$5</f>
        <v>8.84210526315789</v>
      </c>
      <c r="F262" s="12" t="n">
        <f aca="false">E262-C262</f>
        <v>-2.15789473684211</v>
      </c>
      <c r="G262" s="21" t="n">
        <f aca="false">IF(AND(C262=0,E262=0),0,IF(C262=0,"New",(E262-C262)/C262))</f>
        <v>-0.196172248803828</v>
      </c>
      <c r="H262" s="12" t="n">
        <f aca="false">SUMIFS('מאוחדת Raw'!$E$7:$E$625,'מאוחדת Raw'!$F$7:$F$625,$A262,'מאוחדת Raw'!$C$7:$C$625,2025)</f>
        <v>1035.1</v>
      </c>
      <c r="I262" s="12" t="n">
        <f aca="false">SUMIFS('מאוחדת Raw'!$E$7:$E$625,'מאוחדת Raw'!$F$7:$F$625,$A262,'מאוחדת Raw'!$C$7:$C$625,2026)</f>
        <v>658.7</v>
      </c>
      <c r="J262" s="12" t="n">
        <f aca="false">I262*$J$5</f>
        <v>832.042105263158</v>
      </c>
    </row>
    <row r="263" customFormat="false" ht="15" hidden="false" customHeight="true" outlineLevel="0" collapsed="false">
      <c r="A263" s="12" t="s">
        <v>1303</v>
      </c>
      <c r="B263" s="12" t="str">
        <f aca="false">IFERROR(INDEX('מאוחדת Raw'!$B:$B,MATCH($A263,'מאוחדת Raw'!$F:$F,0)),"")</f>
        <v>T33 XXL</v>
      </c>
      <c r="C263" s="12" t="n">
        <f aca="false">SUMIFS('מאוחדת Raw'!$D$7:$D$625,'מאוחדת Raw'!$F$7:$F$625,$A263,'מאוחדת Raw'!$C$7:$C$625,2025)</f>
        <v>1</v>
      </c>
      <c r="D263" s="12" t="n">
        <f aca="false">SUMIFS('מאוחדת Raw'!$D$7:$D$625,'מאוחדת Raw'!$F$7:$F$625,$A263,'מאוחדת Raw'!$C$7:$C$625,2026)</f>
        <v>2</v>
      </c>
      <c r="E263" s="12" t="n">
        <f aca="false">D263*$J$5</f>
        <v>2.52631578947368</v>
      </c>
      <c r="F263" s="12" t="n">
        <f aca="false">E263-C263</f>
        <v>1.52631578947368</v>
      </c>
      <c r="G263" s="21" t="n">
        <f aca="false">IF(AND(C263=0,E263=0),0,IF(C263=0,"New",(E263-C263)/C263))</f>
        <v>1.52631578947368</v>
      </c>
      <c r="H263" s="12" t="n">
        <f aca="false">SUMIFS('מאוחדת Raw'!$E$7:$E$625,'מאוחדת Raw'!$F$7:$F$625,$A263,'מאוחדת Raw'!$C$7:$C$625,2025)</f>
        <v>94.1</v>
      </c>
      <c r="I263" s="12" t="n">
        <f aca="false">SUMIFS('מאוחדת Raw'!$E$7:$E$625,'מאוחדת Raw'!$F$7:$F$625,$A263,'מאוחדת Raw'!$C$7:$C$625,2026)</f>
        <v>188.2</v>
      </c>
      <c r="J263" s="12" t="n">
        <f aca="false">I263*$J$5</f>
        <v>237.726315789474</v>
      </c>
    </row>
    <row r="264" customFormat="false" ht="15" hidden="false" customHeight="true" outlineLevel="0" collapsed="false">
      <c r="A264" s="12" t="s">
        <v>934</v>
      </c>
      <c r="B264" s="12" t="str">
        <f aca="false">IFERROR(INDEX('מאוחדת Raw'!$B:$B,MATCH($A264,'מאוחדת Raw'!$F:$F,0)),"")</f>
        <v>T39 L</v>
      </c>
      <c r="C264" s="12" t="n">
        <f aca="false">SUMIFS('מאוחדת Raw'!$D$7:$D$625,'מאוחדת Raw'!$F$7:$F$625,$A264,'מאוחדת Raw'!$C$7:$C$625,2025)</f>
        <v>2</v>
      </c>
      <c r="D264" s="12" t="n">
        <f aca="false">SUMIFS('מאוחדת Raw'!$D$7:$D$625,'מאוחדת Raw'!$F$7:$F$625,$A264,'מאוחדת Raw'!$C$7:$C$625,2026)</f>
        <v>2</v>
      </c>
      <c r="E264" s="12" t="n">
        <f aca="false">D264*$J$5</f>
        <v>2.52631578947368</v>
      </c>
      <c r="F264" s="12" t="n">
        <f aca="false">E264-C264</f>
        <v>0.526315789473684</v>
      </c>
      <c r="G264" s="21" t="n">
        <f aca="false">IF(AND(C264=0,E264=0),0,IF(C264=0,"New",(E264-C264)/C264))</f>
        <v>0.263157894736842</v>
      </c>
      <c r="H264" s="12" t="n">
        <f aca="false">SUMIFS('מאוחדת Raw'!$E$7:$E$625,'מאוחדת Raw'!$F$7:$F$625,$A264,'מאוחדת Raw'!$C$7:$C$625,2025)</f>
        <v>147.6</v>
      </c>
      <c r="I264" s="12" t="n">
        <f aca="false">SUMIFS('מאוחדת Raw'!$E$7:$E$625,'מאוחדת Raw'!$F$7:$F$625,$A264,'מאוחדת Raw'!$C$7:$C$625,2026)</f>
        <v>147.6</v>
      </c>
      <c r="J264" s="12" t="n">
        <f aca="false">I264*$J$5</f>
        <v>186.442105263158</v>
      </c>
    </row>
    <row r="265" customFormat="false" ht="15" hidden="false" customHeight="true" outlineLevel="0" collapsed="false">
      <c r="A265" s="12" t="s">
        <v>935</v>
      </c>
      <c r="B265" s="12" t="str">
        <f aca="false">IFERROR(INDEX('מאוחדת Raw'!$B:$B,MATCH($A265,'מאוחדת Raw'!$F:$F,0)),"")</f>
        <v>T39 M</v>
      </c>
      <c r="C265" s="12" t="n">
        <f aca="false">SUMIFS('מאוחדת Raw'!$D$7:$D$625,'מאוחדת Raw'!$F$7:$F$625,$A265,'מאוחדת Raw'!$C$7:$C$625,2025)</f>
        <v>1</v>
      </c>
      <c r="D265" s="12" t="n">
        <f aca="false">SUMIFS('מאוחדת Raw'!$D$7:$D$625,'מאוחדת Raw'!$F$7:$F$625,$A265,'מאוחדת Raw'!$C$7:$C$625,2026)</f>
        <v>6</v>
      </c>
      <c r="E265" s="12" t="n">
        <f aca="false">D265*$J$5</f>
        <v>7.57894736842105</v>
      </c>
      <c r="F265" s="12" t="n">
        <f aca="false">E265-C265</f>
        <v>6.57894736842105</v>
      </c>
      <c r="G265" s="21" t="n">
        <f aca="false">IF(AND(C265=0,E265=0),0,IF(C265=0,"New",(E265-C265)/C265))</f>
        <v>6.57894736842105</v>
      </c>
      <c r="H265" s="12" t="n">
        <f aca="false">SUMIFS('מאוחדת Raw'!$E$7:$E$625,'מאוחדת Raw'!$F$7:$F$625,$A265,'מאוחדת Raw'!$C$7:$C$625,2025)</f>
        <v>73.8</v>
      </c>
      <c r="I265" s="12" t="n">
        <f aca="false">SUMIFS('מאוחדת Raw'!$E$7:$E$625,'מאוחדת Raw'!$F$7:$F$625,$A265,'מאוחדת Raw'!$C$7:$C$625,2026)</f>
        <v>442.8</v>
      </c>
      <c r="J265" s="12" t="n">
        <f aca="false">I265*$J$5</f>
        <v>559.326315789474</v>
      </c>
    </row>
    <row r="266" customFormat="false" ht="15" hidden="false" customHeight="true" outlineLevel="0" collapsed="false">
      <c r="A266" s="12" t="s">
        <v>1304</v>
      </c>
      <c r="B266" s="12" t="str">
        <f aca="false">IFERROR(INDEX('מאוחדת Raw'!$B:$B,MATCH($A266,'מאוחדת Raw'!$F:$F,0)),"")</f>
        <v>T39 XL</v>
      </c>
      <c r="C266" s="12" t="n">
        <f aca="false">SUMIFS('מאוחדת Raw'!$D$7:$D$625,'מאוחדת Raw'!$F$7:$F$625,$A266,'מאוחדת Raw'!$C$7:$C$625,2025)</f>
        <v>0</v>
      </c>
      <c r="D266" s="12" t="n">
        <f aca="false">SUMIFS('מאוחדת Raw'!$D$7:$D$625,'מאוחדת Raw'!$F$7:$F$625,$A266,'מאוחדת Raw'!$C$7:$C$625,2026)</f>
        <v>4</v>
      </c>
      <c r="E266" s="12" t="n">
        <f aca="false">D266*$J$5</f>
        <v>5.05263157894737</v>
      </c>
      <c r="F266" s="12" t="n">
        <f aca="false">E266-C266</f>
        <v>5.05263157894737</v>
      </c>
      <c r="G266" s="21" t="str">
        <f aca="false">IF(AND(C266=0,E266=0),0,IF(C266=0,"New",(E266-C266)/C266))</f>
        <v>New</v>
      </c>
      <c r="H266" s="12" t="n">
        <f aca="false">SUMIFS('מאוחדת Raw'!$E$7:$E$625,'מאוחדת Raw'!$F$7:$F$625,$A266,'מאוחדת Raw'!$C$7:$C$625,2025)</f>
        <v>0</v>
      </c>
      <c r="I266" s="12" t="n">
        <f aca="false">SUMIFS('מאוחדת Raw'!$E$7:$E$625,'מאוחדת Raw'!$F$7:$F$625,$A266,'מאוחדת Raw'!$C$7:$C$625,2026)</f>
        <v>295.2</v>
      </c>
      <c r="J266" s="12" t="n">
        <f aca="false">I266*$J$5</f>
        <v>372.884210526316</v>
      </c>
    </row>
    <row r="267" customFormat="false" ht="15" hidden="false" customHeight="true" outlineLevel="0" collapsed="false">
      <c r="A267" s="12" t="s">
        <v>936</v>
      </c>
      <c r="B267" s="12" t="str">
        <f aca="false">IFERROR(INDEX('מאוחדת Raw'!$B:$B,MATCH($A267,'מאוחדת Raw'!$F:$F,0)),"")</f>
        <v>T402 L</v>
      </c>
      <c r="C267" s="12" t="n">
        <f aca="false">SUMIFS('מאוחדת Raw'!$D$7:$D$625,'מאוחדת Raw'!$F$7:$F$625,$A267,'מאוחדת Raw'!$C$7:$C$625,2025)</f>
        <v>-4</v>
      </c>
      <c r="D267" s="12" t="n">
        <f aca="false">SUMIFS('מאוחדת Raw'!$D$7:$D$625,'מאוחדת Raw'!$F$7:$F$625,$A267,'מאוחדת Raw'!$C$7:$C$625,2026)</f>
        <v>0</v>
      </c>
      <c r="E267" s="12" t="n">
        <f aca="false">D267*$J$5</f>
        <v>0</v>
      </c>
      <c r="F267" s="12" t="n">
        <f aca="false">E267-C267</f>
        <v>4</v>
      </c>
      <c r="G267" s="21" t="n">
        <f aca="false">IF(AND(C267=0,E267=0),0,IF(C267=0,"New",(E267-C267)/C267))</f>
        <v>-1</v>
      </c>
      <c r="H267" s="12" t="n">
        <f aca="false">SUMIFS('מאוחדת Raw'!$E$7:$E$625,'מאוחדת Raw'!$F$7:$F$625,$A267,'מאוחדת Raw'!$C$7:$C$625,2025)</f>
        <v>-329.92</v>
      </c>
      <c r="I267" s="12" t="n">
        <f aca="false">SUMIFS('מאוחדת Raw'!$E$7:$E$625,'מאוחדת Raw'!$F$7:$F$625,$A267,'מאוחדת Raw'!$C$7:$C$625,2026)</f>
        <v>0</v>
      </c>
      <c r="J267" s="12" t="n">
        <f aca="false">I267*$J$5</f>
        <v>0</v>
      </c>
    </row>
    <row r="268" customFormat="false" ht="15" hidden="false" customHeight="true" outlineLevel="0" collapsed="false">
      <c r="A268" s="12" t="s">
        <v>937</v>
      </c>
      <c r="B268" s="12" t="str">
        <f aca="false">IFERROR(INDEX('מאוחדת Raw'!$B:$B,MATCH($A268,'מאוחדת Raw'!$F:$F,0)),"")</f>
        <v>T402 M</v>
      </c>
      <c r="C268" s="12" t="n">
        <f aca="false">SUMIFS('מאוחדת Raw'!$D$7:$D$625,'מאוחדת Raw'!$F$7:$F$625,$A268,'מאוחדת Raw'!$C$7:$C$625,2025)</f>
        <v>-3</v>
      </c>
      <c r="D268" s="12" t="n">
        <f aca="false">SUMIFS('מאוחדת Raw'!$D$7:$D$625,'מאוחדת Raw'!$F$7:$F$625,$A268,'מאוחדת Raw'!$C$7:$C$625,2026)</f>
        <v>0</v>
      </c>
      <c r="E268" s="12" t="n">
        <f aca="false">D268*$J$5</f>
        <v>0</v>
      </c>
      <c r="F268" s="12" t="n">
        <f aca="false">E268-C268</f>
        <v>3</v>
      </c>
      <c r="G268" s="21" t="n">
        <f aca="false">IF(AND(C268=0,E268=0),0,IF(C268=0,"New",(E268-C268)/C268))</f>
        <v>-1</v>
      </c>
      <c r="H268" s="12" t="n">
        <f aca="false">SUMIFS('מאוחדת Raw'!$E$7:$E$625,'מאוחדת Raw'!$F$7:$F$625,$A268,'מאוחדת Raw'!$C$7:$C$625,2025)</f>
        <v>-247.44</v>
      </c>
      <c r="I268" s="12" t="n">
        <f aca="false">SUMIFS('מאוחדת Raw'!$E$7:$E$625,'מאוחדת Raw'!$F$7:$F$625,$A268,'מאוחדת Raw'!$C$7:$C$625,2026)</f>
        <v>0</v>
      </c>
      <c r="J268" s="12" t="n">
        <f aca="false">I268*$J$5</f>
        <v>0</v>
      </c>
    </row>
    <row r="270" customFormat="false" ht="15" hidden="false" customHeight="true" outlineLevel="0" collapsed="false">
      <c r="A270" s="27"/>
      <c r="B270" s="25" t="s">
        <v>942</v>
      </c>
      <c r="C270" s="25" t="n">
        <f aca="false">SUM(C9:C268)</f>
        <v>29602</v>
      </c>
      <c r="D270" s="25" t="n">
        <f aca="false">SUM(D9:D268)</f>
        <v>17423</v>
      </c>
      <c r="E270" s="25" t="n">
        <f aca="false">SUM(E9:E268)</f>
        <v>22008</v>
      </c>
      <c r="F270" s="25" t="n">
        <f aca="false">SUM(F9:F268)</f>
        <v>-7594</v>
      </c>
      <c r="G270" s="28" t="n">
        <f aca="false">IF(C270=0,"N/A",F270/C270)</f>
        <v>-0.256536720491859</v>
      </c>
      <c r="H270" s="25" t="n">
        <f aca="false">SUM(H9:H268)</f>
        <v>893547.75</v>
      </c>
      <c r="I270" s="25" t="n">
        <f aca="false">SUM(I9:I268)</f>
        <v>529257.42</v>
      </c>
      <c r="J270" s="25" t="n">
        <f aca="false">SUM(J9:J268)</f>
        <v>668535.688421053</v>
      </c>
    </row>
  </sheetData>
  <mergeCells count="2">
    <mergeCell ref="A3:J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0"/>
    <col collapsed="false" customWidth="true" hidden="false" outlineLevel="0" max="2" min="2" style="1" width="42"/>
    <col collapsed="false" customWidth="true" hidden="false" outlineLevel="0" max="3" min="3" style="1" width="8"/>
    <col collapsed="false" customWidth="true" hidden="false" outlineLevel="0" max="4" min="4" style="1" width="12"/>
    <col collapsed="false" customWidth="true" hidden="false" outlineLevel="0" max="5" min="5" style="1" width="14"/>
    <col collapsed="false" customWidth="true" hidden="false" outlineLevel="0" max="6" min="6" style="1" width="22"/>
    <col collapsed="false" customWidth="true" hidden="false" outlineLevel="0" max="7" min="7" style="1" width="16"/>
  </cols>
  <sheetData>
    <row r="1" customFormat="false" ht="15" hidden="false" customHeight="true" outlineLevel="0" collapsed="false">
      <c r="A1" s="11" t="s">
        <v>1305</v>
      </c>
    </row>
    <row r="2" customFormat="false" ht="15" hidden="false" customHeight="true" outlineLevel="0" collapsed="false">
      <c r="A2" s="3" t="s">
        <v>1</v>
      </c>
      <c r="B2" s="4" t="n">
        <v>46290</v>
      </c>
    </row>
    <row r="3" customFormat="false" ht="42.75" hidden="false" customHeight="true" outlineLevel="0" collapsed="false">
      <c r="A3" s="5" t="s">
        <v>1306</v>
      </c>
      <c r="B3" s="5"/>
      <c r="C3" s="5"/>
      <c r="D3" s="5"/>
      <c r="E3" s="5"/>
      <c r="F3" s="5"/>
      <c r="G3" s="5"/>
    </row>
    <row r="4" customFormat="false" ht="42.75" hidden="false" customHeight="true" outlineLevel="0" collapsed="false">
      <c r="A4" s="5" t="s">
        <v>1307</v>
      </c>
      <c r="B4" s="5"/>
      <c r="C4" s="5"/>
      <c r="D4" s="5"/>
      <c r="E4" s="5"/>
      <c r="F4" s="5"/>
      <c r="G4" s="5"/>
    </row>
    <row r="6" customFormat="false" ht="26.25" hidden="false" customHeight="true" outlineLevel="0" collapsed="false">
      <c r="A6" s="19" t="s">
        <v>945</v>
      </c>
      <c r="B6" s="19" t="s">
        <v>946</v>
      </c>
      <c r="C6" s="19" t="s">
        <v>947</v>
      </c>
      <c r="D6" s="19" t="s">
        <v>948</v>
      </c>
      <c r="E6" s="19" t="s">
        <v>949</v>
      </c>
      <c r="F6" s="19" t="s">
        <v>1308</v>
      </c>
      <c r="G6" s="19" t="s">
        <v>1309</v>
      </c>
    </row>
    <row r="7" customFormat="false" ht="15" hidden="false" customHeight="true" outlineLevel="0" collapsed="false">
      <c r="A7" s="12" t="s">
        <v>951</v>
      </c>
      <c r="B7" s="12" t="s">
        <v>564</v>
      </c>
      <c r="C7" s="12" t="n">
        <v>2026</v>
      </c>
      <c r="D7" s="12" t="n">
        <v>61</v>
      </c>
      <c r="E7" s="12" t="n">
        <v>870.8</v>
      </c>
      <c r="F7" s="12" t="n">
        <v>4401000</v>
      </c>
      <c r="G7" s="12" t="s">
        <v>1310</v>
      </c>
    </row>
    <row r="8" customFormat="false" ht="15" hidden="false" customHeight="true" outlineLevel="0" collapsed="false">
      <c r="A8" s="12" t="s">
        <v>951</v>
      </c>
      <c r="B8" s="12" t="s">
        <v>563</v>
      </c>
      <c r="C8" s="12" t="n">
        <v>2026</v>
      </c>
      <c r="D8" s="12" t="n">
        <v>86</v>
      </c>
      <c r="E8" s="12" t="n">
        <v>1492.4</v>
      </c>
      <c r="F8" s="12" t="n">
        <v>4401001</v>
      </c>
      <c r="G8" s="12" t="s">
        <v>1310</v>
      </c>
    </row>
    <row r="9" customFormat="false" ht="15" hidden="false" customHeight="true" outlineLevel="0" collapsed="false">
      <c r="A9" s="12" t="s">
        <v>951</v>
      </c>
      <c r="B9" s="12" t="s">
        <v>572</v>
      </c>
      <c r="C9" s="12" t="n">
        <v>2026</v>
      </c>
      <c r="D9" s="12" t="n">
        <v>138</v>
      </c>
      <c r="E9" s="12" t="n">
        <v>771.2</v>
      </c>
      <c r="F9" s="12" t="n">
        <v>4401002</v>
      </c>
      <c r="G9" s="12" t="s">
        <v>1310</v>
      </c>
    </row>
    <row r="10" customFormat="false" ht="15" hidden="false" customHeight="true" outlineLevel="0" collapsed="false">
      <c r="A10" s="12" t="s">
        <v>951</v>
      </c>
      <c r="B10" s="12" t="s">
        <v>550</v>
      </c>
      <c r="C10" s="12" t="n">
        <v>2026</v>
      </c>
      <c r="D10" s="12" t="n">
        <v>41</v>
      </c>
      <c r="E10" s="12" t="n">
        <v>668</v>
      </c>
      <c r="F10" s="12" t="n">
        <v>4402000</v>
      </c>
      <c r="G10" s="12" t="s">
        <v>1310</v>
      </c>
    </row>
    <row r="11" customFormat="false" ht="15" hidden="false" customHeight="true" outlineLevel="0" collapsed="false">
      <c r="A11" s="12" t="s">
        <v>951</v>
      </c>
      <c r="B11" s="12" t="s">
        <v>546</v>
      </c>
      <c r="C11" s="12" t="n">
        <v>2026</v>
      </c>
      <c r="D11" s="12" t="n">
        <v>78</v>
      </c>
      <c r="E11" s="12" t="n">
        <v>939.1</v>
      </c>
      <c r="F11" s="12" t="n">
        <v>4402007</v>
      </c>
      <c r="G11" s="12" t="s">
        <v>1310</v>
      </c>
    </row>
    <row r="12" customFormat="false" ht="15" hidden="false" customHeight="true" outlineLevel="0" collapsed="false">
      <c r="A12" s="12" t="s">
        <v>951</v>
      </c>
      <c r="B12" s="12" t="s">
        <v>151</v>
      </c>
      <c r="C12" s="12" t="n">
        <v>2026</v>
      </c>
      <c r="D12" s="12" t="n">
        <v>56</v>
      </c>
      <c r="E12" s="12" t="n">
        <v>2875.6</v>
      </c>
      <c r="F12" s="12" t="n">
        <v>4402011</v>
      </c>
      <c r="G12" s="12" t="s">
        <v>1310</v>
      </c>
    </row>
    <row r="13" customFormat="false" ht="15" hidden="false" customHeight="true" outlineLevel="0" collapsed="false">
      <c r="A13" s="12" t="s">
        <v>951</v>
      </c>
      <c r="B13" s="12" t="s">
        <v>188</v>
      </c>
      <c r="C13" s="12" t="n">
        <v>2026</v>
      </c>
      <c r="D13" s="12" t="n">
        <v>2</v>
      </c>
      <c r="E13" s="12" t="n">
        <v>41.3</v>
      </c>
      <c r="F13" s="12" t="n">
        <v>4403000</v>
      </c>
      <c r="G13" s="12" t="s">
        <v>1310</v>
      </c>
    </row>
    <row r="14" customFormat="false" ht="15" hidden="false" customHeight="true" outlineLevel="0" collapsed="false">
      <c r="A14" s="12" t="s">
        <v>951</v>
      </c>
      <c r="B14" s="12" t="s">
        <v>186</v>
      </c>
      <c r="C14" s="12" t="n">
        <v>2026</v>
      </c>
      <c r="D14" s="12" t="n">
        <v>6</v>
      </c>
      <c r="E14" s="12" t="n">
        <v>112.1</v>
      </c>
      <c r="F14" s="12" t="n">
        <v>4403001</v>
      </c>
      <c r="G14" s="12" t="s">
        <v>1310</v>
      </c>
    </row>
    <row r="15" customFormat="false" ht="15" hidden="false" customHeight="true" outlineLevel="0" collapsed="false">
      <c r="A15" s="12" t="s">
        <v>951</v>
      </c>
      <c r="B15" s="12" t="s">
        <v>187</v>
      </c>
      <c r="C15" s="12" t="n">
        <v>2026</v>
      </c>
      <c r="D15" s="12" t="n">
        <v>18</v>
      </c>
      <c r="E15" s="12" t="n">
        <v>424.8</v>
      </c>
      <c r="F15" s="12" t="n">
        <v>4403002</v>
      </c>
      <c r="G15" s="12" t="s">
        <v>1310</v>
      </c>
    </row>
    <row r="16" customFormat="false" ht="15" hidden="false" customHeight="true" outlineLevel="0" collapsed="false">
      <c r="A16" s="12" t="s">
        <v>951</v>
      </c>
      <c r="B16" s="12" t="s">
        <v>190</v>
      </c>
      <c r="C16" s="12" t="n">
        <v>2026</v>
      </c>
      <c r="D16" s="12" t="n">
        <v>5</v>
      </c>
      <c r="E16" s="12" t="n">
        <v>118</v>
      </c>
      <c r="F16" s="12" t="n">
        <v>4403003</v>
      </c>
      <c r="G16" s="12" t="s">
        <v>1310</v>
      </c>
    </row>
    <row r="17" customFormat="false" ht="15" hidden="false" customHeight="true" outlineLevel="0" collapsed="false">
      <c r="A17" s="12" t="s">
        <v>951</v>
      </c>
      <c r="B17" s="12" t="s">
        <v>213</v>
      </c>
      <c r="C17" s="12" t="n">
        <v>2026</v>
      </c>
      <c r="D17" s="12" t="n">
        <v>3</v>
      </c>
      <c r="E17" s="12" t="n">
        <v>53.1</v>
      </c>
      <c r="F17" s="12" t="n">
        <v>4403005</v>
      </c>
      <c r="G17" s="12" t="s">
        <v>1310</v>
      </c>
    </row>
    <row r="18" customFormat="false" ht="15" hidden="false" customHeight="true" outlineLevel="0" collapsed="false">
      <c r="A18" s="12" t="s">
        <v>951</v>
      </c>
      <c r="B18" s="12" t="s">
        <v>194</v>
      </c>
      <c r="C18" s="12" t="n">
        <v>2026</v>
      </c>
      <c r="D18" s="12" t="n">
        <v>7</v>
      </c>
      <c r="E18" s="12" t="n">
        <v>128.8</v>
      </c>
      <c r="F18" s="12" t="n">
        <v>4403017</v>
      </c>
      <c r="G18" s="12" t="s">
        <v>1310</v>
      </c>
    </row>
    <row r="19" customFormat="false" ht="15" hidden="false" customHeight="true" outlineLevel="0" collapsed="false">
      <c r="A19" s="12" t="s">
        <v>951</v>
      </c>
      <c r="B19" s="12" t="s">
        <v>196</v>
      </c>
      <c r="C19" s="12" t="n">
        <v>2026</v>
      </c>
      <c r="D19" s="12" t="n">
        <v>18</v>
      </c>
      <c r="E19" s="12" t="n">
        <v>331.2</v>
      </c>
      <c r="F19" s="12" t="n">
        <v>4403019</v>
      </c>
      <c r="G19" s="12" t="s">
        <v>1310</v>
      </c>
    </row>
    <row r="20" customFormat="false" ht="15" hidden="false" customHeight="true" outlineLevel="0" collapsed="false">
      <c r="A20" s="12" t="s">
        <v>951</v>
      </c>
      <c r="B20" s="12" t="s">
        <v>200</v>
      </c>
      <c r="C20" s="12" t="n">
        <v>2026</v>
      </c>
      <c r="D20" s="12" t="n">
        <v>7</v>
      </c>
      <c r="E20" s="12" t="n">
        <v>128.8</v>
      </c>
      <c r="F20" s="12" t="n">
        <v>4403023</v>
      </c>
      <c r="G20" s="12" t="s">
        <v>1310</v>
      </c>
    </row>
    <row r="21" customFormat="false" ht="15" hidden="false" customHeight="true" outlineLevel="0" collapsed="false">
      <c r="A21" s="12" t="s">
        <v>951</v>
      </c>
      <c r="B21" s="12" t="s">
        <v>201</v>
      </c>
      <c r="C21" s="12" t="n">
        <v>2026</v>
      </c>
      <c r="D21" s="12" t="n">
        <v>15</v>
      </c>
      <c r="E21" s="12" t="n">
        <v>276</v>
      </c>
      <c r="F21" s="12" t="n">
        <v>4403024</v>
      </c>
      <c r="G21" s="12" t="s">
        <v>1310</v>
      </c>
    </row>
    <row r="22" customFormat="false" ht="15" hidden="false" customHeight="true" outlineLevel="0" collapsed="false">
      <c r="A22" s="12" t="s">
        <v>951</v>
      </c>
      <c r="B22" s="12" t="s">
        <v>202</v>
      </c>
      <c r="C22" s="12" t="n">
        <v>2026</v>
      </c>
      <c r="D22" s="12" t="n">
        <v>19</v>
      </c>
      <c r="E22" s="12" t="n">
        <v>349.6</v>
      </c>
      <c r="F22" s="12" t="n">
        <v>4403025</v>
      </c>
      <c r="G22" s="12" t="s">
        <v>1310</v>
      </c>
    </row>
    <row r="23" customFormat="false" ht="15" hidden="false" customHeight="true" outlineLevel="0" collapsed="false">
      <c r="A23" s="12" t="s">
        <v>951</v>
      </c>
      <c r="B23" s="12" t="s">
        <v>210</v>
      </c>
      <c r="C23" s="12" t="n">
        <v>2026</v>
      </c>
      <c r="D23" s="12" t="n">
        <v>102</v>
      </c>
      <c r="E23" s="12" t="n">
        <v>4264.6</v>
      </c>
      <c r="F23" s="12" t="n">
        <v>4403041</v>
      </c>
      <c r="G23" s="12" t="s">
        <v>1310</v>
      </c>
    </row>
    <row r="24" customFormat="false" ht="15" hidden="false" customHeight="true" outlineLevel="0" collapsed="false">
      <c r="A24" s="12" t="s">
        <v>951</v>
      </c>
      <c r="B24" s="12" t="s">
        <v>211</v>
      </c>
      <c r="C24" s="12" t="n">
        <v>2026</v>
      </c>
      <c r="D24" s="12" t="n">
        <v>147</v>
      </c>
      <c r="E24" s="12" t="n">
        <v>6146.1</v>
      </c>
      <c r="F24" s="12" t="n">
        <v>4403042</v>
      </c>
      <c r="G24" s="12" t="s">
        <v>1310</v>
      </c>
    </row>
    <row r="25" customFormat="false" ht="15" hidden="false" customHeight="true" outlineLevel="0" collapsed="false">
      <c r="A25" s="12" t="s">
        <v>951</v>
      </c>
      <c r="B25" s="12" t="s">
        <v>212</v>
      </c>
      <c r="C25" s="12" t="n">
        <v>2026</v>
      </c>
      <c r="D25" s="12" t="n">
        <v>167</v>
      </c>
      <c r="E25" s="12" t="n">
        <v>6605.9</v>
      </c>
      <c r="F25" s="12" t="n">
        <v>4403043</v>
      </c>
      <c r="G25" s="12" t="s">
        <v>1310</v>
      </c>
    </row>
    <row r="26" customFormat="false" ht="15" hidden="false" customHeight="true" outlineLevel="0" collapsed="false">
      <c r="A26" s="12" t="s">
        <v>951</v>
      </c>
      <c r="B26" s="12" t="s">
        <v>588</v>
      </c>
      <c r="C26" s="12" t="n">
        <v>2026</v>
      </c>
      <c r="D26" s="12" t="n">
        <v>62</v>
      </c>
      <c r="E26" s="12" t="n">
        <v>1447.5</v>
      </c>
      <c r="F26" s="12" t="n">
        <v>4408051</v>
      </c>
      <c r="G26" s="12" t="s">
        <v>1310</v>
      </c>
    </row>
    <row r="27" customFormat="false" ht="15" hidden="false" customHeight="true" outlineLevel="0" collapsed="false">
      <c r="A27" s="12" t="s">
        <v>951</v>
      </c>
      <c r="B27" s="12" t="s">
        <v>586</v>
      </c>
      <c r="C27" s="12" t="n">
        <v>2026</v>
      </c>
      <c r="D27" s="12" t="n">
        <v>120</v>
      </c>
      <c r="E27" s="12" t="n">
        <v>2766.6</v>
      </c>
      <c r="F27" s="12" t="n">
        <v>4408052</v>
      </c>
      <c r="G27" s="12" t="s">
        <v>1310</v>
      </c>
    </row>
    <row r="28" customFormat="false" ht="15" hidden="false" customHeight="true" outlineLevel="0" collapsed="false">
      <c r="A28" s="12" t="s">
        <v>951</v>
      </c>
      <c r="B28" s="12" t="s">
        <v>587</v>
      </c>
      <c r="C28" s="12" t="n">
        <v>2026</v>
      </c>
      <c r="D28" s="12" t="n">
        <v>154</v>
      </c>
      <c r="E28" s="12" t="n">
        <v>3505.6</v>
      </c>
      <c r="F28" s="12" t="n">
        <v>4408053</v>
      </c>
      <c r="G28" s="12" t="s">
        <v>1310</v>
      </c>
    </row>
    <row r="29" customFormat="false" ht="15" hidden="false" customHeight="true" outlineLevel="0" collapsed="false">
      <c r="A29" s="12" t="s">
        <v>951</v>
      </c>
      <c r="B29" s="12" t="s">
        <v>589</v>
      </c>
      <c r="C29" s="12" t="n">
        <v>2026</v>
      </c>
      <c r="D29" s="12" t="n">
        <v>46</v>
      </c>
      <c r="E29" s="12" t="n">
        <v>1093.2</v>
      </c>
      <c r="F29" s="12" t="n">
        <v>4408054</v>
      </c>
      <c r="G29" s="12" t="s">
        <v>1310</v>
      </c>
    </row>
    <row r="30" customFormat="false" ht="15" hidden="false" customHeight="true" outlineLevel="0" collapsed="false">
      <c r="A30" s="12" t="s">
        <v>951</v>
      </c>
      <c r="B30" s="12" t="s">
        <v>454</v>
      </c>
      <c r="C30" s="12" t="n">
        <v>2026</v>
      </c>
      <c r="D30" s="12" t="n">
        <v>2</v>
      </c>
      <c r="E30" s="12" t="n">
        <v>342.5</v>
      </c>
      <c r="F30" s="12" t="n">
        <v>4408071</v>
      </c>
      <c r="G30" s="12" t="s">
        <v>1310</v>
      </c>
    </row>
    <row r="31" customFormat="false" ht="15" hidden="false" customHeight="true" outlineLevel="0" collapsed="false">
      <c r="A31" s="12" t="s">
        <v>951</v>
      </c>
      <c r="B31" s="12" t="s">
        <v>455</v>
      </c>
      <c r="C31" s="12" t="n">
        <v>2026</v>
      </c>
      <c r="D31" s="12" t="n">
        <v>3</v>
      </c>
      <c r="E31" s="12" t="n">
        <v>587.2</v>
      </c>
      <c r="F31" s="12" t="n">
        <v>4408072</v>
      </c>
      <c r="G31" s="12" t="s">
        <v>1310</v>
      </c>
    </row>
    <row r="32" customFormat="false" ht="15" hidden="false" customHeight="true" outlineLevel="0" collapsed="false">
      <c r="A32" s="12" t="s">
        <v>951</v>
      </c>
      <c r="B32" s="12" t="s">
        <v>457</v>
      </c>
      <c r="C32" s="12" t="n">
        <v>2026</v>
      </c>
      <c r="D32" s="12" t="n">
        <v>2</v>
      </c>
      <c r="E32" s="12" t="n">
        <v>342.5</v>
      </c>
      <c r="F32" s="12" t="n">
        <v>4408073</v>
      </c>
      <c r="G32" s="12" t="s">
        <v>1310</v>
      </c>
    </row>
    <row r="33" customFormat="false" ht="15" hidden="false" customHeight="true" outlineLevel="0" collapsed="false">
      <c r="A33" s="12" t="s">
        <v>951</v>
      </c>
      <c r="B33" s="12" t="s">
        <v>461</v>
      </c>
      <c r="C33" s="12" t="n">
        <v>2026</v>
      </c>
      <c r="D33" s="12" t="n">
        <v>2</v>
      </c>
      <c r="E33" s="12" t="n">
        <v>253.1</v>
      </c>
      <c r="F33" s="12" t="n">
        <v>4408075</v>
      </c>
      <c r="G33" s="12" t="s">
        <v>1310</v>
      </c>
    </row>
    <row r="34" customFormat="false" ht="15" hidden="false" customHeight="true" outlineLevel="0" collapsed="false">
      <c r="A34" s="12" t="s">
        <v>951</v>
      </c>
      <c r="B34" s="12" t="s">
        <v>459</v>
      </c>
      <c r="C34" s="12" t="n">
        <v>2026</v>
      </c>
      <c r="D34" s="12" t="n">
        <v>7</v>
      </c>
      <c r="E34" s="12" t="n">
        <v>822.7</v>
      </c>
      <c r="F34" s="12" t="n">
        <v>4408076</v>
      </c>
      <c r="G34" s="12" t="s">
        <v>1310</v>
      </c>
    </row>
    <row r="35" customFormat="false" ht="15" hidden="false" customHeight="true" outlineLevel="0" collapsed="false">
      <c r="A35" s="12" t="s">
        <v>951</v>
      </c>
      <c r="B35" s="12" t="s">
        <v>460</v>
      </c>
      <c r="C35" s="12" t="n">
        <v>2026</v>
      </c>
      <c r="D35" s="12" t="n">
        <v>1</v>
      </c>
      <c r="E35" s="12" t="n">
        <v>126.6</v>
      </c>
      <c r="F35" s="12" t="n">
        <v>4408077</v>
      </c>
      <c r="G35" s="12" t="s">
        <v>1310</v>
      </c>
    </row>
    <row r="36" customFormat="false" ht="15" hidden="false" customHeight="true" outlineLevel="0" collapsed="false">
      <c r="A36" s="12" t="s">
        <v>951</v>
      </c>
      <c r="B36" s="12" t="s">
        <v>463</v>
      </c>
      <c r="C36" s="12" t="n">
        <v>2026</v>
      </c>
      <c r="D36" s="12" t="n">
        <v>3</v>
      </c>
      <c r="E36" s="12" t="n">
        <v>348.1</v>
      </c>
      <c r="F36" s="12" t="n">
        <v>4408080</v>
      </c>
      <c r="G36" s="12" t="s">
        <v>1310</v>
      </c>
    </row>
    <row r="37" customFormat="false" ht="15" hidden="false" customHeight="true" outlineLevel="0" collapsed="false">
      <c r="A37" s="12" t="s">
        <v>951</v>
      </c>
      <c r="B37" s="12" t="s">
        <v>464</v>
      </c>
      <c r="C37" s="12" t="n">
        <v>2026</v>
      </c>
      <c r="D37" s="12" t="n">
        <v>10</v>
      </c>
      <c r="E37" s="12" t="n">
        <v>1139.1</v>
      </c>
      <c r="F37" s="12" t="n">
        <v>4408081</v>
      </c>
      <c r="G37" s="12" t="s">
        <v>1310</v>
      </c>
    </row>
    <row r="38" customFormat="false" ht="15" hidden="false" customHeight="true" outlineLevel="0" collapsed="false">
      <c r="A38" s="12" t="s">
        <v>951</v>
      </c>
      <c r="B38" s="12" t="s">
        <v>280</v>
      </c>
      <c r="C38" s="12" t="n">
        <v>2026</v>
      </c>
      <c r="D38" s="12" t="n">
        <v>1</v>
      </c>
      <c r="E38" s="12" t="n">
        <v>107.1</v>
      </c>
      <c r="F38" s="12" t="n">
        <v>4408151</v>
      </c>
      <c r="G38" s="12" t="s">
        <v>1310</v>
      </c>
    </row>
    <row r="39" customFormat="false" ht="15" hidden="false" customHeight="true" outlineLevel="0" collapsed="false">
      <c r="A39" s="12" t="s">
        <v>951</v>
      </c>
      <c r="B39" s="12" t="s">
        <v>279</v>
      </c>
      <c r="C39" s="12" t="n">
        <v>2026</v>
      </c>
      <c r="D39" s="12" t="n">
        <v>10</v>
      </c>
      <c r="E39" s="12" t="n">
        <v>1017.3</v>
      </c>
      <c r="F39" s="12" t="n">
        <v>4408152</v>
      </c>
      <c r="G39" s="12" t="s">
        <v>1310</v>
      </c>
    </row>
    <row r="40" customFormat="false" ht="15" hidden="false" customHeight="true" outlineLevel="0" collapsed="false">
      <c r="A40" s="12" t="s">
        <v>951</v>
      </c>
      <c r="B40" s="12" t="s">
        <v>282</v>
      </c>
      <c r="C40" s="12" t="n">
        <v>2026</v>
      </c>
      <c r="D40" s="12" t="n">
        <v>4</v>
      </c>
      <c r="E40" s="12" t="n">
        <v>401.6</v>
      </c>
      <c r="F40" s="12" t="n">
        <v>4408153</v>
      </c>
      <c r="G40" s="12" t="s">
        <v>1310</v>
      </c>
    </row>
    <row r="41" customFormat="false" ht="15" hidden="false" customHeight="true" outlineLevel="0" collapsed="false">
      <c r="A41" s="12" t="s">
        <v>951</v>
      </c>
      <c r="B41" s="12" t="s">
        <v>283</v>
      </c>
      <c r="C41" s="12" t="n">
        <v>2026</v>
      </c>
      <c r="D41" s="12" t="n">
        <v>7</v>
      </c>
      <c r="E41" s="12" t="n">
        <v>642.5</v>
      </c>
      <c r="F41" s="12" t="n">
        <v>4408154</v>
      </c>
      <c r="G41" s="12" t="s">
        <v>1310</v>
      </c>
    </row>
    <row r="42" customFormat="false" ht="15" hidden="false" customHeight="true" outlineLevel="0" collapsed="false">
      <c r="A42" s="12" t="s">
        <v>951</v>
      </c>
      <c r="B42" s="12" t="s">
        <v>331</v>
      </c>
      <c r="C42" s="12" t="n">
        <v>2026</v>
      </c>
      <c r="D42" s="12" t="n">
        <v>35</v>
      </c>
      <c r="E42" s="12" t="n">
        <v>2193.8</v>
      </c>
      <c r="F42" s="12" t="n">
        <v>4408190</v>
      </c>
      <c r="G42" s="12" t="s">
        <v>1310</v>
      </c>
    </row>
    <row r="43" customFormat="false" ht="15" hidden="false" customHeight="true" outlineLevel="0" collapsed="false">
      <c r="A43" s="12" t="s">
        <v>951</v>
      </c>
      <c r="B43" s="12" t="s">
        <v>229</v>
      </c>
      <c r="C43" s="12" t="n">
        <v>2026</v>
      </c>
      <c r="D43" s="12" t="n">
        <v>69</v>
      </c>
      <c r="E43" s="12" t="n">
        <v>4241.3</v>
      </c>
      <c r="F43" s="12" t="n">
        <v>4408192</v>
      </c>
      <c r="G43" s="12" t="s">
        <v>1310</v>
      </c>
    </row>
    <row r="44" customFormat="false" ht="15" hidden="false" customHeight="true" outlineLevel="0" collapsed="false">
      <c r="A44" s="12" t="s">
        <v>951</v>
      </c>
      <c r="B44" s="12" t="s">
        <v>299</v>
      </c>
      <c r="C44" s="12" t="n">
        <v>2026</v>
      </c>
      <c r="D44" s="12" t="n">
        <v>3</v>
      </c>
      <c r="E44" s="12" t="n">
        <v>480</v>
      </c>
      <c r="F44" s="12" t="n">
        <v>4408203</v>
      </c>
      <c r="G44" s="12" t="s">
        <v>1310</v>
      </c>
    </row>
    <row r="45" customFormat="false" ht="15" hidden="false" customHeight="true" outlineLevel="0" collapsed="false">
      <c r="A45" s="12" t="s">
        <v>951</v>
      </c>
      <c r="B45" s="12" t="s">
        <v>334</v>
      </c>
      <c r="C45" s="12" t="n">
        <v>2026</v>
      </c>
      <c r="D45" s="12" t="n">
        <v>4</v>
      </c>
      <c r="E45" s="12" t="n">
        <v>260</v>
      </c>
      <c r="F45" s="12" t="n">
        <v>4408217</v>
      </c>
      <c r="G45" s="12" t="s">
        <v>1310</v>
      </c>
    </row>
    <row r="46" customFormat="false" ht="15" hidden="false" customHeight="true" outlineLevel="0" collapsed="false">
      <c r="A46" s="12" t="s">
        <v>951</v>
      </c>
      <c r="B46" s="12" t="s">
        <v>240</v>
      </c>
      <c r="C46" s="12" t="n">
        <v>2026</v>
      </c>
      <c r="D46" s="12" t="n">
        <v>54</v>
      </c>
      <c r="E46" s="12" t="n">
        <v>3510</v>
      </c>
      <c r="F46" s="12" t="n">
        <v>4408218</v>
      </c>
      <c r="G46" s="12" t="s">
        <v>1310</v>
      </c>
    </row>
    <row r="47" customFormat="false" ht="15" hidden="false" customHeight="true" outlineLevel="0" collapsed="false">
      <c r="A47" s="12" t="s">
        <v>951</v>
      </c>
      <c r="B47" s="12" t="s">
        <v>237</v>
      </c>
      <c r="C47" s="12" t="n">
        <v>2026</v>
      </c>
      <c r="D47" s="12" t="n">
        <v>5</v>
      </c>
      <c r="E47" s="12" t="n">
        <v>325</v>
      </c>
      <c r="F47" s="12" t="n">
        <v>4408219</v>
      </c>
      <c r="G47" s="12" t="s">
        <v>1310</v>
      </c>
    </row>
    <row r="48" customFormat="false" ht="15" hidden="false" customHeight="true" outlineLevel="0" collapsed="false">
      <c r="A48" s="12" t="s">
        <v>951</v>
      </c>
      <c r="B48" s="12" t="s">
        <v>236</v>
      </c>
      <c r="C48" s="12" t="n">
        <v>2026</v>
      </c>
      <c r="D48" s="12" t="n">
        <v>30</v>
      </c>
      <c r="E48" s="12" t="n">
        <v>1950</v>
      </c>
      <c r="F48" s="12" t="n">
        <v>4408220</v>
      </c>
      <c r="G48" s="12" t="s">
        <v>1310</v>
      </c>
    </row>
    <row r="49" customFormat="false" ht="15" hidden="false" customHeight="true" outlineLevel="0" collapsed="false">
      <c r="A49" s="12" t="s">
        <v>951</v>
      </c>
      <c r="B49" s="12" t="s">
        <v>235</v>
      </c>
      <c r="C49" s="12" t="n">
        <v>2026</v>
      </c>
      <c r="D49" s="12" t="n">
        <v>102</v>
      </c>
      <c r="E49" s="12" t="n">
        <v>6630</v>
      </c>
      <c r="F49" s="12" t="n">
        <v>4408221</v>
      </c>
      <c r="G49" s="12" t="s">
        <v>1310</v>
      </c>
    </row>
    <row r="50" customFormat="false" ht="15" hidden="false" customHeight="true" outlineLevel="0" collapsed="false">
      <c r="A50" s="12" t="s">
        <v>951</v>
      </c>
      <c r="B50" s="12" t="s">
        <v>238</v>
      </c>
      <c r="C50" s="12" t="n">
        <v>2026</v>
      </c>
      <c r="D50" s="12" t="n">
        <v>54</v>
      </c>
      <c r="E50" s="12" t="n">
        <v>3510</v>
      </c>
      <c r="F50" s="12" t="n">
        <v>4408222</v>
      </c>
      <c r="G50" s="12" t="s">
        <v>1310</v>
      </c>
    </row>
    <row r="51" customFormat="false" ht="15" hidden="false" customHeight="true" outlineLevel="0" collapsed="false">
      <c r="A51" s="12" t="s">
        <v>951</v>
      </c>
      <c r="B51" s="12" t="s">
        <v>239</v>
      </c>
      <c r="C51" s="12" t="n">
        <v>2026</v>
      </c>
      <c r="D51" s="12" t="n">
        <v>39</v>
      </c>
      <c r="E51" s="12" t="n">
        <v>2535</v>
      </c>
      <c r="F51" s="12" t="n">
        <v>4408223</v>
      </c>
      <c r="G51" s="12" t="s">
        <v>1310</v>
      </c>
    </row>
    <row r="52" customFormat="false" ht="15" hidden="false" customHeight="true" outlineLevel="0" collapsed="false">
      <c r="A52" s="12" t="s">
        <v>951</v>
      </c>
      <c r="B52" s="12" t="s">
        <v>307</v>
      </c>
      <c r="C52" s="12" t="n">
        <v>2026</v>
      </c>
      <c r="D52" s="12" t="n">
        <v>31</v>
      </c>
      <c r="E52" s="12" t="n">
        <v>2411.8</v>
      </c>
      <c r="F52" s="12" t="n">
        <v>4408230</v>
      </c>
      <c r="G52" s="12" t="s">
        <v>1310</v>
      </c>
    </row>
    <row r="53" customFormat="false" ht="15" hidden="false" customHeight="true" outlineLevel="0" collapsed="false">
      <c r="A53" s="12" t="s">
        <v>951</v>
      </c>
      <c r="B53" s="12" t="s">
        <v>308</v>
      </c>
      <c r="C53" s="12" t="n">
        <v>2026</v>
      </c>
      <c r="D53" s="12" t="n">
        <v>17</v>
      </c>
      <c r="E53" s="12" t="n">
        <v>1322.6</v>
      </c>
      <c r="F53" s="12" t="n">
        <v>4408231</v>
      </c>
      <c r="G53" s="12" t="s">
        <v>1310</v>
      </c>
    </row>
    <row r="54" customFormat="false" ht="15" hidden="false" customHeight="true" outlineLevel="0" collapsed="false">
      <c r="A54" s="12" t="s">
        <v>951</v>
      </c>
      <c r="B54" s="12" t="s">
        <v>309</v>
      </c>
      <c r="C54" s="12" t="n">
        <v>2026</v>
      </c>
      <c r="D54" s="12" t="n">
        <v>2</v>
      </c>
      <c r="E54" s="12" t="n">
        <v>155.6</v>
      </c>
      <c r="F54" s="12" t="n">
        <v>4408232</v>
      </c>
      <c r="G54" s="12" t="s">
        <v>1310</v>
      </c>
    </row>
    <row r="55" customFormat="false" ht="15" hidden="false" customHeight="true" outlineLevel="0" collapsed="false">
      <c r="A55" s="12" t="s">
        <v>951</v>
      </c>
      <c r="B55" s="12" t="s">
        <v>276</v>
      </c>
      <c r="C55" s="12" t="n">
        <v>2026</v>
      </c>
      <c r="D55" s="12" t="n">
        <v>2</v>
      </c>
      <c r="E55" s="12" t="n">
        <v>227.2</v>
      </c>
      <c r="F55" s="12" t="n">
        <v>4408259</v>
      </c>
      <c r="G55" s="12" t="s">
        <v>1310</v>
      </c>
    </row>
    <row r="56" customFormat="false" ht="15" hidden="false" customHeight="true" outlineLevel="0" collapsed="false">
      <c r="A56" s="12" t="s">
        <v>951</v>
      </c>
      <c r="B56" s="12" t="s">
        <v>275</v>
      </c>
      <c r="C56" s="12" t="n">
        <v>2026</v>
      </c>
      <c r="D56" s="12" t="n">
        <v>1</v>
      </c>
      <c r="E56" s="12" t="n">
        <v>113.6</v>
      </c>
      <c r="F56" s="12" t="n">
        <v>4408260</v>
      </c>
      <c r="G56" s="12" t="s">
        <v>1310</v>
      </c>
    </row>
    <row r="57" customFormat="false" ht="15" hidden="false" customHeight="true" outlineLevel="0" collapsed="false">
      <c r="A57" s="12" t="s">
        <v>951</v>
      </c>
      <c r="B57" s="12" t="s">
        <v>274</v>
      </c>
      <c r="C57" s="12" t="n">
        <v>2026</v>
      </c>
      <c r="D57" s="12" t="n">
        <v>1</v>
      </c>
      <c r="E57" s="12" t="n">
        <v>113.6</v>
      </c>
      <c r="F57" s="12" t="n">
        <v>4408261</v>
      </c>
      <c r="G57" s="12" t="s">
        <v>1310</v>
      </c>
    </row>
    <row r="58" customFormat="false" ht="15" hidden="false" customHeight="true" outlineLevel="0" collapsed="false">
      <c r="A58" s="12" t="s">
        <v>951</v>
      </c>
      <c r="B58" s="12" t="s">
        <v>277</v>
      </c>
      <c r="C58" s="12" t="n">
        <v>2026</v>
      </c>
      <c r="D58" s="12" t="n">
        <v>4</v>
      </c>
      <c r="E58" s="12" t="n">
        <v>454.3</v>
      </c>
      <c r="F58" s="12" t="n">
        <v>4408262</v>
      </c>
      <c r="G58" s="12" t="s">
        <v>1310</v>
      </c>
    </row>
    <row r="59" customFormat="false" ht="15" hidden="false" customHeight="true" outlineLevel="0" collapsed="false">
      <c r="A59" s="12" t="s">
        <v>951</v>
      </c>
      <c r="B59" s="12" t="s">
        <v>278</v>
      </c>
      <c r="C59" s="12" t="n">
        <v>2026</v>
      </c>
      <c r="D59" s="12" t="n">
        <v>1</v>
      </c>
      <c r="E59" s="12" t="n">
        <v>113.6</v>
      </c>
      <c r="F59" s="12" t="n">
        <v>4408263</v>
      </c>
      <c r="G59" s="12" t="s">
        <v>1310</v>
      </c>
    </row>
    <row r="60" customFormat="false" ht="15" hidden="false" customHeight="true" outlineLevel="0" collapsed="false">
      <c r="A60" s="12" t="s">
        <v>951</v>
      </c>
      <c r="B60" s="12" t="s">
        <v>650</v>
      </c>
      <c r="C60" s="12" t="n">
        <v>2026</v>
      </c>
      <c r="D60" s="12" t="n">
        <v>327</v>
      </c>
      <c r="E60" s="12" t="n">
        <v>5739.6</v>
      </c>
      <c r="F60" s="12" t="n">
        <v>4408267</v>
      </c>
      <c r="G60" s="12" t="s">
        <v>1310</v>
      </c>
    </row>
    <row r="61" customFormat="false" ht="15" hidden="false" customHeight="true" outlineLevel="0" collapsed="false">
      <c r="A61" s="12" t="s">
        <v>951</v>
      </c>
      <c r="B61" s="12" t="s">
        <v>649</v>
      </c>
      <c r="C61" s="12" t="n">
        <v>2026</v>
      </c>
      <c r="D61" s="12" t="n">
        <v>72</v>
      </c>
      <c r="E61" s="12" t="n">
        <v>1133</v>
      </c>
      <c r="F61" s="12" t="n">
        <v>4408268</v>
      </c>
      <c r="G61" s="12" t="s">
        <v>1310</v>
      </c>
    </row>
    <row r="62" customFormat="false" ht="15" hidden="false" customHeight="true" outlineLevel="0" collapsed="false">
      <c r="A62" s="12" t="s">
        <v>951</v>
      </c>
      <c r="B62" s="12" t="s">
        <v>760</v>
      </c>
      <c r="C62" s="12" t="n">
        <v>2026</v>
      </c>
      <c r="D62" s="12" t="n">
        <v>97</v>
      </c>
      <c r="E62" s="12" t="n">
        <v>1989.8</v>
      </c>
      <c r="F62" s="12" t="n">
        <v>4408269</v>
      </c>
      <c r="G62" s="12" t="s">
        <v>1310</v>
      </c>
    </row>
    <row r="63" customFormat="false" ht="15" hidden="false" customHeight="true" outlineLevel="0" collapsed="false">
      <c r="A63" s="12" t="s">
        <v>951</v>
      </c>
      <c r="B63" s="12" t="s">
        <v>335</v>
      </c>
      <c r="C63" s="12" t="n">
        <v>2026</v>
      </c>
      <c r="D63" s="12" t="n">
        <v>5</v>
      </c>
      <c r="E63" s="12" t="n">
        <v>171</v>
      </c>
      <c r="F63" s="12" t="n">
        <v>4408270</v>
      </c>
      <c r="G63" s="12" t="s">
        <v>1310</v>
      </c>
    </row>
    <row r="64" customFormat="false" ht="15" hidden="false" customHeight="true" outlineLevel="0" collapsed="false">
      <c r="A64" s="12" t="s">
        <v>951</v>
      </c>
      <c r="B64" s="12" t="s">
        <v>322</v>
      </c>
      <c r="C64" s="12" t="n">
        <v>2026</v>
      </c>
      <c r="D64" s="12" t="n">
        <v>8</v>
      </c>
      <c r="E64" s="12" t="n">
        <v>1672</v>
      </c>
      <c r="F64" s="12" t="n">
        <v>4408271</v>
      </c>
      <c r="G64" s="12" t="s">
        <v>1310</v>
      </c>
    </row>
    <row r="65" customFormat="false" ht="15" hidden="false" customHeight="true" outlineLevel="0" collapsed="false">
      <c r="A65" s="12" t="s">
        <v>951</v>
      </c>
      <c r="B65" s="12" t="s">
        <v>321</v>
      </c>
      <c r="C65" s="12" t="n">
        <v>2026</v>
      </c>
      <c r="D65" s="12" t="n">
        <v>2</v>
      </c>
      <c r="E65" s="12" t="n">
        <v>431</v>
      </c>
      <c r="F65" s="12" t="n">
        <v>4408272</v>
      </c>
      <c r="G65" s="12" t="s">
        <v>1310</v>
      </c>
    </row>
    <row r="66" customFormat="false" ht="15" hidden="false" customHeight="true" outlineLevel="0" collapsed="false">
      <c r="A66" s="12" t="s">
        <v>951</v>
      </c>
      <c r="B66" s="12" t="s">
        <v>320</v>
      </c>
      <c r="C66" s="12" t="n">
        <v>2026</v>
      </c>
      <c r="D66" s="12" t="n">
        <v>1</v>
      </c>
      <c r="E66" s="12" t="n">
        <v>222</v>
      </c>
      <c r="F66" s="12" t="n">
        <v>4408273</v>
      </c>
      <c r="G66" s="12" t="s">
        <v>1310</v>
      </c>
    </row>
    <row r="67" customFormat="false" ht="15" hidden="false" customHeight="true" outlineLevel="0" collapsed="false">
      <c r="A67" s="12" t="s">
        <v>951</v>
      </c>
      <c r="B67" s="12" t="s">
        <v>319</v>
      </c>
      <c r="C67" s="12" t="n">
        <v>2026</v>
      </c>
      <c r="D67" s="12" t="n">
        <v>1</v>
      </c>
      <c r="E67" s="12" t="n">
        <v>222</v>
      </c>
      <c r="F67" s="12" t="n">
        <v>4408274</v>
      </c>
      <c r="G67" s="12" t="s">
        <v>1310</v>
      </c>
    </row>
    <row r="68" customFormat="false" ht="15" hidden="false" customHeight="true" outlineLevel="0" collapsed="false">
      <c r="A68" s="12" t="s">
        <v>951</v>
      </c>
      <c r="B68" s="12" t="s">
        <v>555</v>
      </c>
      <c r="C68" s="12" t="n">
        <v>2026</v>
      </c>
      <c r="D68" s="12" t="n">
        <v>138</v>
      </c>
      <c r="E68" s="12" t="n">
        <v>1250.1</v>
      </c>
      <c r="F68" s="12" t="n">
        <v>4409000</v>
      </c>
      <c r="G68" s="12" t="s">
        <v>1310</v>
      </c>
    </row>
    <row r="69" customFormat="false" ht="15" hidden="false" customHeight="true" outlineLevel="0" collapsed="false">
      <c r="A69" s="12" t="s">
        <v>951</v>
      </c>
      <c r="B69" s="12" t="s">
        <v>554</v>
      </c>
      <c r="C69" s="12" t="n">
        <v>2026</v>
      </c>
      <c r="D69" s="12" t="n">
        <v>26</v>
      </c>
      <c r="E69" s="12" t="n">
        <v>200</v>
      </c>
      <c r="F69" s="12" t="n">
        <v>4409001</v>
      </c>
      <c r="G69" s="12" t="s">
        <v>1310</v>
      </c>
    </row>
    <row r="70" customFormat="false" ht="15" hidden="false" customHeight="true" outlineLevel="0" collapsed="false">
      <c r="A70" s="12" t="s">
        <v>951</v>
      </c>
      <c r="B70" s="12" t="s">
        <v>367</v>
      </c>
      <c r="C70" s="12" t="n">
        <v>2026</v>
      </c>
      <c r="D70" s="12" t="n">
        <v>276</v>
      </c>
      <c r="E70" s="12" t="n">
        <v>3534.3</v>
      </c>
      <c r="F70" s="12" t="n">
        <v>4409004</v>
      </c>
      <c r="G70" s="12" t="s">
        <v>1310</v>
      </c>
    </row>
    <row r="71" customFormat="false" ht="15" hidden="false" customHeight="true" outlineLevel="0" collapsed="false">
      <c r="A71" s="12" t="s">
        <v>951</v>
      </c>
      <c r="B71" s="12" t="s">
        <v>354</v>
      </c>
      <c r="C71" s="12" t="n">
        <v>2026</v>
      </c>
      <c r="D71" s="12" t="n">
        <v>31</v>
      </c>
      <c r="E71" s="12" t="n">
        <v>775</v>
      </c>
      <c r="F71" s="12" t="n">
        <v>4409014</v>
      </c>
      <c r="G71" s="12" t="s">
        <v>1310</v>
      </c>
    </row>
    <row r="72" customFormat="false" ht="15" hidden="false" customHeight="true" outlineLevel="0" collapsed="false">
      <c r="A72" s="12" t="s">
        <v>951</v>
      </c>
      <c r="B72" s="12" t="s">
        <v>352</v>
      </c>
      <c r="C72" s="12" t="n">
        <v>2026</v>
      </c>
      <c r="D72" s="12" t="n">
        <v>35</v>
      </c>
      <c r="E72" s="12" t="n">
        <v>875</v>
      </c>
      <c r="F72" s="12" t="n">
        <v>4409015</v>
      </c>
      <c r="G72" s="12" t="s">
        <v>1310</v>
      </c>
    </row>
    <row r="73" customFormat="false" ht="15" hidden="false" customHeight="true" outlineLevel="0" collapsed="false">
      <c r="A73" s="12" t="s">
        <v>951</v>
      </c>
      <c r="B73" s="12" t="s">
        <v>353</v>
      </c>
      <c r="C73" s="12" t="n">
        <v>2026</v>
      </c>
      <c r="D73" s="12" t="n">
        <v>57</v>
      </c>
      <c r="E73" s="12" t="n">
        <v>1425</v>
      </c>
      <c r="F73" s="12" t="n">
        <v>4409016</v>
      </c>
      <c r="G73" s="12" t="s">
        <v>1310</v>
      </c>
    </row>
    <row r="74" customFormat="false" ht="15" hidden="false" customHeight="true" outlineLevel="0" collapsed="false">
      <c r="A74" s="12" t="s">
        <v>951</v>
      </c>
      <c r="B74" s="12" t="s">
        <v>351</v>
      </c>
      <c r="C74" s="12" t="n">
        <v>2026</v>
      </c>
      <c r="D74" s="12" t="n">
        <v>60</v>
      </c>
      <c r="E74" s="12" t="n">
        <v>1500</v>
      </c>
      <c r="F74" s="12" t="n">
        <v>4409017</v>
      </c>
      <c r="G74" s="12" t="s">
        <v>1310</v>
      </c>
    </row>
    <row r="75" customFormat="false" ht="15" hidden="false" customHeight="true" outlineLevel="0" collapsed="false">
      <c r="A75" s="12" t="s">
        <v>951</v>
      </c>
      <c r="B75" s="12" t="s">
        <v>571</v>
      </c>
      <c r="C75" s="12" t="n">
        <v>2026</v>
      </c>
      <c r="D75" s="12" t="n">
        <v>76</v>
      </c>
      <c r="E75" s="12" t="n">
        <v>1300.7</v>
      </c>
      <c r="F75" s="12" t="n">
        <v>4411000</v>
      </c>
      <c r="G75" s="12" t="s">
        <v>1310</v>
      </c>
    </row>
    <row r="76" customFormat="false" ht="15" hidden="false" customHeight="true" outlineLevel="0" collapsed="false">
      <c r="A76" s="12" t="s">
        <v>951</v>
      </c>
      <c r="B76" s="12" t="s">
        <v>549</v>
      </c>
      <c r="C76" s="12" t="n">
        <v>2026</v>
      </c>
      <c r="D76" s="12" t="n">
        <v>57</v>
      </c>
      <c r="E76" s="12" t="n">
        <v>1095.6</v>
      </c>
      <c r="F76" s="12" t="n">
        <v>4411001</v>
      </c>
      <c r="G76" s="12" t="s">
        <v>1310</v>
      </c>
    </row>
    <row r="77" customFormat="false" ht="15" hidden="false" customHeight="true" outlineLevel="0" collapsed="false">
      <c r="A77" s="12" t="s">
        <v>951</v>
      </c>
      <c r="B77" s="12" t="s">
        <v>569</v>
      </c>
      <c r="C77" s="12" t="n">
        <v>2026</v>
      </c>
      <c r="D77" s="12" t="n">
        <v>18</v>
      </c>
      <c r="E77" s="12" t="n">
        <v>583.7</v>
      </c>
      <c r="F77" s="12" t="n">
        <v>4411015</v>
      </c>
      <c r="G77" s="12" t="s">
        <v>1310</v>
      </c>
    </row>
    <row r="78" customFormat="false" ht="15" hidden="false" customHeight="true" outlineLevel="0" collapsed="false">
      <c r="A78" s="12" t="s">
        <v>951</v>
      </c>
      <c r="B78" s="12" t="s">
        <v>536</v>
      </c>
      <c r="C78" s="12" t="n">
        <v>2026</v>
      </c>
      <c r="D78" s="12" t="n">
        <v>38</v>
      </c>
      <c r="E78" s="12" t="n">
        <v>2404.3</v>
      </c>
      <c r="F78" s="12" t="n">
        <v>4411016</v>
      </c>
      <c r="G78" s="12" t="s">
        <v>1310</v>
      </c>
    </row>
    <row r="79" customFormat="false" ht="15" hidden="false" customHeight="true" outlineLevel="0" collapsed="false">
      <c r="A79" s="12" t="s">
        <v>951</v>
      </c>
      <c r="B79" s="12" t="s">
        <v>601</v>
      </c>
      <c r="C79" s="12" t="n">
        <v>2026</v>
      </c>
      <c r="D79" s="12" t="n">
        <v>6</v>
      </c>
      <c r="E79" s="12" t="n">
        <v>426</v>
      </c>
      <c r="F79" s="12" t="n">
        <v>4411026</v>
      </c>
      <c r="G79" s="12" t="s">
        <v>1310</v>
      </c>
    </row>
    <row r="80" customFormat="false" ht="15" hidden="false" customHeight="true" outlineLevel="0" collapsed="false">
      <c r="A80" s="12" t="s">
        <v>951</v>
      </c>
      <c r="B80" s="12" t="s">
        <v>602</v>
      </c>
      <c r="C80" s="12" t="n">
        <v>2026</v>
      </c>
      <c r="D80" s="12" t="n">
        <v>11</v>
      </c>
      <c r="E80" s="12" t="n">
        <v>781</v>
      </c>
      <c r="F80" s="12" t="n">
        <v>4411027</v>
      </c>
      <c r="G80" s="12" t="s">
        <v>1310</v>
      </c>
    </row>
    <row r="81" customFormat="false" ht="15" hidden="false" customHeight="true" outlineLevel="0" collapsed="false">
      <c r="A81" s="12" t="s">
        <v>951</v>
      </c>
      <c r="B81" s="12" t="s">
        <v>603</v>
      </c>
      <c r="C81" s="12" t="n">
        <v>2026</v>
      </c>
      <c r="D81" s="12" t="n">
        <v>5</v>
      </c>
      <c r="E81" s="12" t="n">
        <v>355</v>
      </c>
      <c r="F81" s="12" t="n">
        <v>4411028</v>
      </c>
      <c r="G81" s="12" t="s">
        <v>1310</v>
      </c>
    </row>
    <row r="82" customFormat="false" ht="15" hidden="false" customHeight="true" outlineLevel="0" collapsed="false">
      <c r="A82" s="12" t="s">
        <v>951</v>
      </c>
      <c r="B82" s="12" t="s">
        <v>579</v>
      </c>
      <c r="C82" s="12" t="n">
        <v>2026</v>
      </c>
      <c r="D82" s="12" t="n">
        <v>9</v>
      </c>
      <c r="E82" s="12" t="n">
        <v>639</v>
      </c>
      <c r="F82" s="12" t="n">
        <v>4411029</v>
      </c>
      <c r="G82" s="12" t="s">
        <v>1310</v>
      </c>
    </row>
    <row r="83" customFormat="false" ht="15" hidden="false" customHeight="true" outlineLevel="0" collapsed="false">
      <c r="A83" s="12" t="s">
        <v>951</v>
      </c>
      <c r="B83" s="12" t="s">
        <v>604</v>
      </c>
      <c r="C83" s="12" t="n">
        <v>2026</v>
      </c>
      <c r="D83" s="12" t="n">
        <v>14</v>
      </c>
      <c r="E83" s="12" t="n">
        <v>994</v>
      </c>
      <c r="F83" s="12" t="n">
        <v>4411030</v>
      </c>
      <c r="G83" s="12" t="s">
        <v>1310</v>
      </c>
    </row>
    <row r="84" customFormat="false" ht="15" hidden="false" customHeight="true" outlineLevel="0" collapsed="false">
      <c r="A84" s="12" t="s">
        <v>951</v>
      </c>
      <c r="B84" s="12" t="s">
        <v>600</v>
      </c>
      <c r="C84" s="12" t="n">
        <v>2026</v>
      </c>
      <c r="D84" s="12" t="n">
        <v>8</v>
      </c>
      <c r="E84" s="12" t="n">
        <v>568</v>
      </c>
      <c r="F84" s="12" t="n">
        <v>4411031</v>
      </c>
      <c r="G84" s="12" t="s">
        <v>1310</v>
      </c>
    </row>
    <row r="85" customFormat="false" ht="15" hidden="false" customHeight="true" outlineLevel="0" collapsed="false">
      <c r="A85" s="12" t="s">
        <v>951</v>
      </c>
      <c r="B85" s="12" t="s">
        <v>543</v>
      </c>
      <c r="C85" s="12" t="n">
        <v>2026</v>
      </c>
      <c r="D85" s="12" t="n">
        <v>90</v>
      </c>
      <c r="E85" s="12" t="n">
        <v>837.1</v>
      </c>
      <c r="F85" s="12" t="n">
        <v>4413033</v>
      </c>
      <c r="G85" s="12" t="s">
        <v>1310</v>
      </c>
    </row>
    <row r="86" customFormat="false" ht="15" hidden="false" customHeight="true" outlineLevel="0" collapsed="false">
      <c r="A86" s="12" t="s">
        <v>951</v>
      </c>
      <c r="B86" s="12" t="s">
        <v>732</v>
      </c>
      <c r="C86" s="12" t="n">
        <v>2026</v>
      </c>
      <c r="D86" s="12" t="n">
        <v>124</v>
      </c>
      <c r="E86" s="12" t="n">
        <v>3457.1</v>
      </c>
      <c r="F86" s="12" t="n">
        <v>4413041</v>
      </c>
      <c r="G86" s="12" t="s">
        <v>1310</v>
      </c>
    </row>
    <row r="87" customFormat="false" ht="15" hidden="false" customHeight="true" outlineLevel="0" collapsed="false">
      <c r="A87" s="12" t="s">
        <v>951</v>
      </c>
      <c r="B87" s="12" t="s">
        <v>733</v>
      </c>
      <c r="C87" s="12" t="n">
        <v>2026</v>
      </c>
      <c r="D87" s="12" t="n">
        <v>47</v>
      </c>
      <c r="E87" s="12" t="n">
        <v>1309.1</v>
      </c>
      <c r="F87" s="12" t="n">
        <v>4413042</v>
      </c>
      <c r="G87" s="12" t="s">
        <v>1310</v>
      </c>
    </row>
    <row r="88" customFormat="false" ht="15" hidden="false" customHeight="true" outlineLevel="0" collapsed="false">
      <c r="A88" s="12" t="s">
        <v>951</v>
      </c>
      <c r="B88" s="12" t="s">
        <v>731</v>
      </c>
      <c r="C88" s="12" t="n">
        <v>2026</v>
      </c>
      <c r="D88" s="12" t="n">
        <v>106</v>
      </c>
      <c r="E88" s="12" t="n">
        <v>2958.1</v>
      </c>
      <c r="F88" s="12" t="n">
        <v>4413043</v>
      </c>
      <c r="G88" s="12" t="s">
        <v>1310</v>
      </c>
    </row>
    <row r="89" customFormat="false" ht="15" hidden="false" customHeight="true" outlineLevel="0" collapsed="false">
      <c r="A89" s="12" t="s">
        <v>951</v>
      </c>
      <c r="B89" s="12" t="s">
        <v>734</v>
      </c>
      <c r="C89" s="12" t="n">
        <v>2026</v>
      </c>
      <c r="D89" s="12" t="n">
        <v>87</v>
      </c>
      <c r="E89" s="12" t="n">
        <v>2401.1</v>
      </c>
      <c r="F89" s="12" t="n">
        <v>4413044</v>
      </c>
      <c r="G89" s="12" t="s">
        <v>1310</v>
      </c>
    </row>
    <row r="90" customFormat="false" ht="15" hidden="false" customHeight="true" outlineLevel="0" collapsed="false">
      <c r="A90" s="12" t="s">
        <v>951</v>
      </c>
      <c r="B90" s="12" t="s">
        <v>736</v>
      </c>
      <c r="C90" s="12" t="n">
        <v>2026</v>
      </c>
      <c r="D90" s="12" t="n">
        <v>27</v>
      </c>
      <c r="E90" s="12" t="n">
        <v>759.4</v>
      </c>
      <c r="F90" s="12" t="n">
        <v>4413046</v>
      </c>
      <c r="G90" s="12" t="s">
        <v>1310</v>
      </c>
    </row>
    <row r="91" customFormat="false" ht="15" hidden="false" customHeight="true" outlineLevel="0" collapsed="false">
      <c r="A91" s="12" t="s">
        <v>951</v>
      </c>
      <c r="B91" s="12" t="s">
        <v>744</v>
      </c>
      <c r="C91" s="12" t="n">
        <v>2026</v>
      </c>
      <c r="D91" s="12" t="n">
        <v>36</v>
      </c>
      <c r="E91" s="12" t="n">
        <v>578</v>
      </c>
      <c r="F91" s="12" t="n">
        <v>4413047</v>
      </c>
      <c r="G91" s="12" t="s">
        <v>1310</v>
      </c>
    </row>
    <row r="92" customFormat="false" ht="15" hidden="false" customHeight="true" outlineLevel="0" collapsed="false">
      <c r="A92" s="12" t="s">
        <v>951</v>
      </c>
      <c r="B92" s="12" t="s">
        <v>742</v>
      </c>
      <c r="C92" s="12" t="n">
        <v>2026</v>
      </c>
      <c r="D92" s="12" t="n">
        <v>89</v>
      </c>
      <c r="E92" s="12" t="n">
        <v>1445</v>
      </c>
      <c r="F92" s="12" t="n">
        <v>4413048</v>
      </c>
      <c r="G92" s="12" t="s">
        <v>1310</v>
      </c>
    </row>
    <row r="93" customFormat="false" ht="15" hidden="false" customHeight="true" outlineLevel="0" collapsed="false">
      <c r="A93" s="12" t="s">
        <v>951</v>
      </c>
      <c r="B93" s="12" t="s">
        <v>743</v>
      </c>
      <c r="C93" s="12" t="n">
        <v>2026</v>
      </c>
      <c r="D93" s="12" t="n">
        <v>92</v>
      </c>
      <c r="E93" s="12" t="n">
        <v>1500.3</v>
      </c>
      <c r="F93" s="12" t="n">
        <v>4413049</v>
      </c>
      <c r="G93" s="12" t="s">
        <v>1310</v>
      </c>
    </row>
    <row r="94" customFormat="false" ht="15" hidden="false" customHeight="true" outlineLevel="0" collapsed="false">
      <c r="A94" s="12" t="s">
        <v>951</v>
      </c>
      <c r="B94" s="12" t="s">
        <v>745</v>
      </c>
      <c r="C94" s="12" t="n">
        <v>2026</v>
      </c>
      <c r="D94" s="12" t="n">
        <v>93</v>
      </c>
      <c r="E94" s="12" t="n">
        <v>1500.3</v>
      </c>
      <c r="F94" s="12" t="n">
        <v>4413050</v>
      </c>
      <c r="G94" s="12" t="s">
        <v>1310</v>
      </c>
    </row>
    <row r="95" customFormat="false" ht="15" hidden="false" customHeight="true" outlineLevel="0" collapsed="false">
      <c r="A95" s="12" t="s">
        <v>951</v>
      </c>
      <c r="B95" s="12" t="s">
        <v>747</v>
      </c>
      <c r="C95" s="12" t="n">
        <v>2026</v>
      </c>
      <c r="D95" s="12" t="n">
        <v>11</v>
      </c>
      <c r="E95" s="12" t="n">
        <v>178.5</v>
      </c>
      <c r="F95" s="12" t="n">
        <v>4413051</v>
      </c>
      <c r="G95" s="12" t="s">
        <v>1310</v>
      </c>
    </row>
    <row r="96" customFormat="false" ht="15" hidden="false" customHeight="true" outlineLevel="0" collapsed="false">
      <c r="A96" s="12" t="s">
        <v>951</v>
      </c>
      <c r="B96" s="12" t="s">
        <v>403</v>
      </c>
      <c r="C96" s="12" t="n">
        <v>2026</v>
      </c>
      <c r="D96" s="12" t="n">
        <v>17</v>
      </c>
      <c r="E96" s="12" t="n">
        <v>275.4</v>
      </c>
      <c r="F96" s="12" t="n">
        <v>4413056</v>
      </c>
      <c r="G96" s="12" t="s">
        <v>1310</v>
      </c>
    </row>
    <row r="97" customFormat="false" ht="15" hidden="false" customHeight="true" outlineLevel="0" collapsed="false">
      <c r="A97" s="12" t="s">
        <v>951</v>
      </c>
      <c r="B97" s="12" t="s">
        <v>548</v>
      </c>
      <c r="C97" s="12" t="n">
        <v>2026</v>
      </c>
      <c r="D97" s="12" t="n">
        <v>36</v>
      </c>
      <c r="E97" s="12" t="n">
        <v>795.6</v>
      </c>
      <c r="F97" s="12" t="n">
        <v>4413058</v>
      </c>
      <c r="G97" s="12" t="s">
        <v>1310</v>
      </c>
    </row>
    <row r="98" customFormat="false" ht="15" hidden="false" customHeight="true" outlineLevel="0" collapsed="false">
      <c r="A98" s="12" t="s">
        <v>951</v>
      </c>
      <c r="B98" s="12" t="s">
        <v>553</v>
      </c>
      <c r="C98" s="12" t="n">
        <v>2026</v>
      </c>
      <c r="D98" s="12" t="n">
        <v>183</v>
      </c>
      <c r="E98" s="12" t="n">
        <v>1582.1</v>
      </c>
      <c r="F98" s="12" t="n">
        <v>4413059</v>
      </c>
      <c r="G98" s="12" t="s">
        <v>1310</v>
      </c>
    </row>
    <row r="99" customFormat="false" ht="15" hidden="false" customHeight="true" outlineLevel="0" collapsed="false">
      <c r="A99" s="12" t="s">
        <v>951</v>
      </c>
      <c r="B99" s="12" t="s">
        <v>551</v>
      </c>
      <c r="C99" s="12" t="n">
        <v>2026</v>
      </c>
      <c r="D99" s="12" t="n">
        <v>136</v>
      </c>
      <c r="E99" s="12" t="n">
        <v>1201.7</v>
      </c>
      <c r="F99" s="12" t="n">
        <v>4413060</v>
      </c>
      <c r="G99" s="12" t="s">
        <v>1310</v>
      </c>
    </row>
    <row r="100" customFormat="false" ht="15" hidden="false" customHeight="true" outlineLevel="0" collapsed="false">
      <c r="A100" s="12" t="s">
        <v>951</v>
      </c>
      <c r="B100" s="12" t="s">
        <v>558</v>
      </c>
      <c r="C100" s="12" t="n">
        <v>2026</v>
      </c>
      <c r="D100" s="12" t="n">
        <v>75</v>
      </c>
      <c r="E100" s="12" t="n">
        <v>801.6</v>
      </c>
      <c r="F100" s="12" t="n">
        <v>4413063</v>
      </c>
      <c r="G100" s="12" t="s">
        <v>1310</v>
      </c>
    </row>
    <row r="101" customFormat="false" ht="15" hidden="false" customHeight="true" outlineLevel="0" collapsed="false">
      <c r="A101" s="12" t="s">
        <v>951</v>
      </c>
      <c r="B101" s="12" t="s">
        <v>562</v>
      </c>
      <c r="C101" s="12" t="n">
        <v>2026</v>
      </c>
      <c r="D101" s="12" t="n">
        <v>31</v>
      </c>
      <c r="E101" s="12" t="n">
        <v>404.8</v>
      </c>
      <c r="F101" s="12" t="n">
        <v>4413066</v>
      </c>
      <c r="G101" s="12" t="s">
        <v>1310</v>
      </c>
    </row>
    <row r="102" customFormat="false" ht="15" hidden="false" customHeight="true" outlineLevel="0" collapsed="false">
      <c r="A102" s="12" t="s">
        <v>951</v>
      </c>
      <c r="B102" s="12" t="s">
        <v>89</v>
      </c>
      <c r="C102" s="12" t="n">
        <v>2026</v>
      </c>
      <c r="D102" s="12" t="n">
        <v>4</v>
      </c>
      <c r="E102" s="12" t="n">
        <v>309</v>
      </c>
      <c r="F102" s="12" t="n">
        <v>4413071</v>
      </c>
      <c r="G102" s="12" t="s">
        <v>1310</v>
      </c>
    </row>
    <row r="103" customFormat="false" ht="15" hidden="false" customHeight="true" outlineLevel="0" collapsed="false">
      <c r="A103" s="12" t="s">
        <v>951</v>
      </c>
      <c r="B103" s="12" t="s">
        <v>119</v>
      </c>
      <c r="C103" s="12" t="n">
        <v>2026</v>
      </c>
      <c r="D103" s="12" t="n">
        <v>212</v>
      </c>
      <c r="E103" s="12" t="n">
        <v>3498</v>
      </c>
      <c r="F103" s="12" t="n">
        <v>4413092</v>
      </c>
      <c r="G103" s="12" t="s">
        <v>1310</v>
      </c>
    </row>
    <row r="104" customFormat="false" ht="15" hidden="false" customHeight="true" outlineLevel="0" collapsed="false">
      <c r="A104" s="12" t="s">
        <v>951</v>
      </c>
      <c r="B104" s="12" t="s">
        <v>120</v>
      </c>
      <c r="C104" s="12" t="n">
        <v>2026</v>
      </c>
      <c r="D104" s="12" t="n">
        <v>180</v>
      </c>
      <c r="E104" s="12" t="n">
        <v>2970</v>
      </c>
      <c r="F104" s="12" t="n">
        <v>4413093</v>
      </c>
      <c r="G104" s="12" t="s">
        <v>1310</v>
      </c>
    </row>
    <row r="105" customFormat="false" ht="15" hidden="false" customHeight="true" outlineLevel="0" collapsed="false">
      <c r="A105" s="12" t="s">
        <v>951</v>
      </c>
      <c r="B105" s="12" t="s">
        <v>121</v>
      </c>
      <c r="C105" s="12" t="n">
        <v>2026</v>
      </c>
      <c r="D105" s="12" t="n">
        <v>47</v>
      </c>
      <c r="E105" s="12" t="n">
        <v>775.5</v>
      </c>
      <c r="F105" s="12" t="n">
        <v>4413094</v>
      </c>
      <c r="G105" s="12" t="s">
        <v>1310</v>
      </c>
    </row>
    <row r="106" customFormat="false" ht="15" hidden="false" customHeight="true" outlineLevel="0" collapsed="false">
      <c r="A106" s="12" t="s">
        <v>951</v>
      </c>
      <c r="B106" s="12" t="s">
        <v>122</v>
      </c>
      <c r="C106" s="12" t="n">
        <v>2026</v>
      </c>
      <c r="D106" s="12" t="n">
        <v>131</v>
      </c>
      <c r="E106" s="12" t="n">
        <v>2033.6</v>
      </c>
      <c r="F106" s="12" t="n">
        <v>4413095</v>
      </c>
      <c r="G106" s="12" t="s">
        <v>1310</v>
      </c>
    </row>
    <row r="107" customFormat="false" ht="15" hidden="false" customHeight="true" outlineLevel="0" collapsed="false">
      <c r="A107" s="12" t="s">
        <v>951</v>
      </c>
      <c r="B107" s="12" t="s">
        <v>123</v>
      </c>
      <c r="C107" s="12" t="n">
        <v>2026</v>
      </c>
      <c r="D107" s="12" t="n">
        <v>47</v>
      </c>
      <c r="E107" s="12" t="n">
        <v>730.1</v>
      </c>
      <c r="F107" s="12" t="n">
        <v>4413096</v>
      </c>
      <c r="G107" s="12" t="s">
        <v>1310</v>
      </c>
    </row>
    <row r="108" customFormat="false" ht="15" hidden="false" customHeight="true" outlineLevel="0" collapsed="false">
      <c r="A108" s="12" t="s">
        <v>951</v>
      </c>
      <c r="B108" s="12" t="s">
        <v>135</v>
      </c>
      <c r="C108" s="12" t="n">
        <v>2026</v>
      </c>
      <c r="D108" s="12" t="n">
        <v>39</v>
      </c>
      <c r="E108" s="12" t="n">
        <v>768.8</v>
      </c>
      <c r="F108" s="12" t="n">
        <v>4413101</v>
      </c>
      <c r="G108" s="12" t="s">
        <v>1310</v>
      </c>
    </row>
    <row r="109" customFormat="false" ht="15" hidden="false" customHeight="true" outlineLevel="0" collapsed="false">
      <c r="A109" s="12" t="s">
        <v>951</v>
      </c>
      <c r="B109" s="12" t="s">
        <v>133</v>
      </c>
      <c r="C109" s="12" t="n">
        <v>2026</v>
      </c>
      <c r="D109" s="12" t="n">
        <v>104</v>
      </c>
      <c r="E109" s="12" t="n">
        <v>2029.5</v>
      </c>
      <c r="F109" s="12" t="n">
        <v>4413102</v>
      </c>
      <c r="G109" s="12" t="s">
        <v>1310</v>
      </c>
    </row>
    <row r="110" customFormat="false" ht="15" hidden="false" customHeight="true" outlineLevel="0" collapsed="false">
      <c r="A110" s="12" t="s">
        <v>951</v>
      </c>
      <c r="B110" s="12" t="s">
        <v>134</v>
      </c>
      <c r="C110" s="12" t="n">
        <v>2026</v>
      </c>
      <c r="D110" s="12" t="n">
        <v>140</v>
      </c>
      <c r="E110" s="12" t="n">
        <v>2777.7</v>
      </c>
      <c r="F110" s="12" t="n">
        <v>4413103</v>
      </c>
      <c r="G110" s="12" t="s">
        <v>1310</v>
      </c>
    </row>
    <row r="111" customFormat="false" ht="15" hidden="false" customHeight="true" outlineLevel="0" collapsed="false">
      <c r="A111" s="12" t="s">
        <v>951</v>
      </c>
      <c r="B111" s="12" t="s">
        <v>136</v>
      </c>
      <c r="C111" s="12" t="n">
        <v>2026</v>
      </c>
      <c r="D111" s="12" t="n">
        <v>118</v>
      </c>
      <c r="E111" s="12" t="n">
        <v>2326.7</v>
      </c>
      <c r="F111" s="12" t="n">
        <v>4413104</v>
      </c>
      <c r="G111" s="12" t="s">
        <v>1310</v>
      </c>
    </row>
    <row r="112" customFormat="false" ht="15" hidden="false" customHeight="true" outlineLevel="0" collapsed="false">
      <c r="A112" s="12" t="s">
        <v>951</v>
      </c>
      <c r="B112" s="12" t="s">
        <v>137</v>
      </c>
      <c r="C112" s="12" t="n">
        <v>2026</v>
      </c>
      <c r="D112" s="12" t="n">
        <v>41</v>
      </c>
      <c r="E112" s="12" t="n">
        <v>825.1</v>
      </c>
      <c r="F112" s="12" t="n">
        <v>4413105</v>
      </c>
      <c r="G112" s="12" t="s">
        <v>1310</v>
      </c>
    </row>
    <row r="113" customFormat="false" ht="15" hidden="false" customHeight="true" outlineLevel="0" collapsed="false">
      <c r="A113" s="12" t="s">
        <v>951</v>
      </c>
      <c r="B113" s="12" t="s">
        <v>798</v>
      </c>
      <c r="C113" s="12" t="n">
        <v>2026</v>
      </c>
      <c r="D113" s="12" t="n">
        <v>1</v>
      </c>
      <c r="E113" s="12" t="n">
        <v>21</v>
      </c>
      <c r="F113" s="12" t="n">
        <v>4413111</v>
      </c>
      <c r="G113" s="12" t="s">
        <v>1310</v>
      </c>
    </row>
    <row r="114" customFormat="false" ht="15" hidden="false" customHeight="true" outlineLevel="0" collapsed="false">
      <c r="A114" s="12" t="s">
        <v>951</v>
      </c>
      <c r="B114" s="12" t="s">
        <v>796</v>
      </c>
      <c r="C114" s="12" t="n">
        <v>2026</v>
      </c>
      <c r="D114" s="12" t="n">
        <v>9</v>
      </c>
      <c r="E114" s="12" t="n">
        <v>162.8</v>
      </c>
      <c r="F114" s="12" t="n">
        <v>4413112</v>
      </c>
      <c r="G114" s="12" t="s">
        <v>1310</v>
      </c>
    </row>
    <row r="115" customFormat="false" ht="15" hidden="false" customHeight="true" outlineLevel="0" collapsed="false">
      <c r="A115" s="12" t="s">
        <v>951</v>
      </c>
      <c r="B115" s="12" t="s">
        <v>799</v>
      </c>
      <c r="C115" s="12" t="n">
        <v>2026</v>
      </c>
      <c r="D115" s="12" t="n">
        <v>11</v>
      </c>
      <c r="E115" s="12" t="n">
        <v>204.8</v>
      </c>
      <c r="F115" s="12" t="n">
        <v>4413114</v>
      </c>
      <c r="G115" s="12" t="s">
        <v>1310</v>
      </c>
    </row>
    <row r="116" customFormat="false" ht="15" hidden="false" customHeight="true" outlineLevel="0" collapsed="false">
      <c r="A116" s="12" t="s">
        <v>951</v>
      </c>
      <c r="B116" s="12" t="s">
        <v>380</v>
      </c>
      <c r="C116" s="12" t="n">
        <v>2026</v>
      </c>
      <c r="D116" s="12" t="n">
        <v>4</v>
      </c>
      <c r="E116" s="12" t="n">
        <v>545.2</v>
      </c>
      <c r="F116" s="12" t="n">
        <v>4413131</v>
      </c>
      <c r="G116" s="12" t="s">
        <v>1310</v>
      </c>
    </row>
    <row r="117" customFormat="false" ht="15" hidden="false" customHeight="true" outlineLevel="0" collapsed="false">
      <c r="A117" s="12" t="s">
        <v>951</v>
      </c>
      <c r="B117" s="12" t="s">
        <v>378</v>
      </c>
      <c r="C117" s="12" t="n">
        <v>2026</v>
      </c>
      <c r="D117" s="12" t="n">
        <v>2</v>
      </c>
      <c r="E117" s="12" t="n">
        <v>272.6</v>
      </c>
      <c r="F117" s="12" t="n">
        <v>4413132</v>
      </c>
      <c r="G117" s="12" t="s">
        <v>1310</v>
      </c>
    </row>
    <row r="118" customFormat="false" ht="15" hidden="false" customHeight="true" outlineLevel="0" collapsed="false">
      <c r="A118" s="12" t="s">
        <v>951</v>
      </c>
      <c r="B118" s="12" t="s">
        <v>379</v>
      </c>
      <c r="C118" s="12" t="n">
        <v>2026</v>
      </c>
      <c r="D118" s="12" t="n">
        <v>6</v>
      </c>
      <c r="E118" s="12" t="n">
        <v>817.8</v>
      </c>
      <c r="F118" s="12" t="n">
        <v>4413133</v>
      </c>
      <c r="G118" s="12" t="s">
        <v>1310</v>
      </c>
    </row>
    <row r="119" customFormat="false" ht="15" hidden="false" customHeight="true" outlineLevel="0" collapsed="false">
      <c r="A119" s="12" t="s">
        <v>951</v>
      </c>
      <c r="B119" s="12" t="s">
        <v>381</v>
      </c>
      <c r="C119" s="12" t="n">
        <v>2026</v>
      </c>
      <c r="D119" s="12" t="n">
        <v>7</v>
      </c>
      <c r="E119" s="12" t="n">
        <v>954.1</v>
      </c>
      <c r="F119" s="12" t="n">
        <v>4413134</v>
      </c>
      <c r="G119" s="12" t="s">
        <v>1310</v>
      </c>
    </row>
    <row r="120" customFormat="false" ht="15" hidden="false" customHeight="true" outlineLevel="0" collapsed="false">
      <c r="A120" s="12" t="s">
        <v>951</v>
      </c>
      <c r="B120" s="12" t="s">
        <v>519</v>
      </c>
      <c r="C120" s="12" t="n">
        <v>2026</v>
      </c>
      <c r="D120" s="12" t="n">
        <v>126</v>
      </c>
      <c r="E120" s="12" t="n">
        <v>4208.8</v>
      </c>
      <c r="F120" s="12" t="n">
        <v>4413135</v>
      </c>
      <c r="G120" s="12" t="s">
        <v>1310</v>
      </c>
    </row>
    <row r="121" customFormat="false" ht="15" hidden="false" customHeight="true" outlineLevel="0" collapsed="false">
      <c r="A121" s="12" t="s">
        <v>951</v>
      </c>
      <c r="B121" s="12" t="s">
        <v>520</v>
      </c>
      <c r="C121" s="12" t="n">
        <v>2026</v>
      </c>
      <c r="D121" s="12" t="n">
        <v>88</v>
      </c>
      <c r="E121" s="12" t="n">
        <v>2983.8</v>
      </c>
      <c r="F121" s="12" t="n">
        <v>4413136</v>
      </c>
      <c r="G121" s="12" t="s">
        <v>1310</v>
      </c>
    </row>
    <row r="122" customFormat="false" ht="15" hidden="false" customHeight="true" outlineLevel="0" collapsed="false">
      <c r="A122" s="12" t="s">
        <v>951</v>
      </c>
      <c r="B122" s="12" t="s">
        <v>521</v>
      </c>
      <c r="C122" s="12" t="n">
        <v>2026</v>
      </c>
      <c r="D122" s="12" t="n">
        <v>55</v>
      </c>
      <c r="E122" s="12" t="n">
        <v>1872.5</v>
      </c>
      <c r="F122" s="12" t="n">
        <v>4413137</v>
      </c>
      <c r="G122" s="12" t="s">
        <v>1310</v>
      </c>
    </row>
    <row r="123" customFormat="false" ht="15" hidden="false" customHeight="true" outlineLevel="0" collapsed="false">
      <c r="A123" s="12" t="s">
        <v>951</v>
      </c>
      <c r="B123" s="12" t="s">
        <v>522</v>
      </c>
      <c r="C123" s="12" t="n">
        <v>2026</v>
      </c>
      <c r="D123" s="12" t="n">
        <v>54</v>
      </c>
      <c r="E123" s="12" t="n">
        <v>1741.3</v>
      </c>
      <c r="F123" s="12" t="n">
        <v>4413138</v>
      </c>
      <c r="G123" s="12" t="s">
        <v>1310</v>
      </c>
    </row>
    <row r="124" customFormat="false" ht="15" hidden="false" customHeight="true" outlineLevel="0" collapsed="false">
      <c r="A124" s="12" t="s">
        <v>951</v>
      </c>
      <c r="B124" s="12" t="s">
        <v>479</v>
      </c>
      <c r="C124" s="12" t="n">
        <v>2026</v>
      </c>
      <c r="D124" s="12" t="n">
        <v>58</v>
      </c>
      <c r="E124" s="12" t="n">
        <v>956.3</v>
      </c>
      <c r="F124" s="12" t="n">
        <v>4413139</v>
      </c>
      <c r="G124" s="12" t="s">
        <v>1310</v>
      </c>
    </row>
    <row r="125" customFormat="false" ht="15" hidden="false" customHeight="true" outlineLevel="0" collapsed="false">
      <c r="A125" s="12" t="s">
        <v>951</v>
      </c>
      <c r="B125" s="12" t="s">
        <v>480</v>
      </c>
      <c r="C125" s="12" t="n">
        <v>2026</v>
      </c>
      <c r="D125" s="12" t="n">
        <v>82</v>
      </c>
      <c r="E125" s="12" t="n">
        <v>1330.3</v>
      </c>
      <c r="F125" s="12" t="n">
        <v>4413140</v>
      </c>
      <c r="G125" s="12" t="s">
        <v>1310</v>
      </c>
    </row>
    <row r="126" customFormat="false" ht="15" hidden="false" customHeight="true" outlineLevel="0" collapsed="false">
      <c r="A126" s="12" t="s">
        <v>951</v>
      </c>
      <c r="B126" s="12" t="s">
        <v>481</v>
      </c>
      <c r="C126" s="12" t="n">
        <v>2026</v>
      </c>
      <c r="D126" s="12" t="n">
        <v>98</v>
      </c>
      <c r="E126" s="12" t="n">
        <v>1593.8</v>
      </c>
      <c r="F126" s="12" t="n">
        <v>4413141</v>
      </c>
      <c r="G126" s="12" t="s">
        <v>1310</v>
      </c>
    </row>
    <row r="127" customFormat="false" ht="15" hidden="false" customHeight="true" outlineLevel="0" collapsed="false">
      <c r="A127" s="12" t="s">
        <v>951</v>
      </c>
      <c r="B127" s="12" t="s">
        <v>482</v>
      </c>
      <c r="C127" s="12" t="n">
        <v>2026</v>
      </c>
      <c r="D127" s="12" t="n">
        <v>30</v>
      </c>
      <c r="E127" s="12" t="n">
        <v>497.3</v>
      </c>
      <c r="F127" s="12" t="n">
        <v>4413142</v>
      </c>
      <c r="G127" s="12" t="s">
        <v>1310</v>
      </c>
    </row>
    <row r="128" customFormat="false" ht="15" hidden="false" customHeight="true" outlineLevel="0" collapsed="false">
      <c r="A128" s="12" t="s">
        <v>951</v>
      </c>
      <c r="B128" s="12" t="s">
        <v>483</v>
      </c>
      <c r="C128" s="12" t="n">
        <v>2026</v>
      </c>
      <c r="D128" s="12" t="n">
        <v>4</v>
      </c>
      <c r="E128" s="12" t="n">
        <v>68</v>
      </c>
      <c r="F128" s="12" t="n">
        <v>4413143</v>
      </c>
      <c r="G128" s="12" t="s">
        <v>1310</v>
      </c>
    </row>
    <row r="129" customFormat="false" ht="15" hidden="false" customHeight="true" outlineLevel="0" collapsed="false">
      <c r="A129" s="12" t="s">
        <v>951</v>
      </c>
      <c r="B129" s="12" t="s">
        <v>484</v>
      </c>
      <c r="C129" s="12" t="n">
        <v>2026</v>
      </c>
      <c r="D129" s="12" t="n">
        <v>1</v>
      </c>
      <c r="E129" s="12" t="n">
        <v>17</v>
      </c>
      <c r="F129" s="12" t="n">
        <v>4413144</v>
      </c>
      <c r="G129" s="12" t="s">
        <v>1310</v>
      </c>
    </row>
    <row r="130" customFormat="false" ht="15" hidden="false" customHeight="true" outlineLevel="0" collapsed="false">
      <c r="A130" s="12" t="s">
        <v>951</v>
      </c>
      <c r="B130" s="12" t="s">
        <v>365</v>
      </c>
      <c r="C130" s="12" t="n">
        <v>2026</v>
      </c>
      <c r="D130" s="12" t="n">
        <v>33</v>
      </c>
      <c r="E130" s="12" t="n">
        <v>270.6</v>
      </c>
      <c r="F130" s="12" t="n">
        <v>4413149</v>
      </c>
      <c r="G130" s="12" t="s">
        <v>1310</v>
      </c>
    </row>
    <row r="131" customFormat="false" ht="15" hidden="false" customHeight="true" outlineLevel="0" collapsed="false">
      <c r="A131" s="12" t="s">
        <v>951</v>
      </c>
      <c r="B131" s="12" t="s">
        <v>574</v>
      </c>
      <c r="C131" s="12" t="n">
        <v>2026</v>
      </c>
      <c r="D131" s="12" t="n">
        <v>48</v>
      </c>
      <c r="E131" s="12" t="n">
        <v>1004.4</v>
      </c>
      <c r="F131" s="12" t="n">
        <v>4413150</v>
      </c>
      <c r="G131" s="12" t="s">
        <v>1310</v>
      </c>
    </row>
    <row r="132" customFormat="false" ht="15" hidden="false" customHeight="true" outlineLevel="0" collapsed="false">
      <c r="A132" s="12" t="s">
        <v>951</v>
      </c>
      <c r="B132" s="12" t="s">
        <v>739</v>
      </c>
      <c r="C132" s="12" t="n">
        <v>2026</v>
      </c>
      <c r="D132" s="12" t="n">
        <v>23</v>
      </c>
      <c r="E132" s="12" t="n">
        <v>875</v>
      </c>
      <c r="F132" s="12" t="n">
        <v>4413159</v>
      </c>
      <c r="G132" s="12" t="s">
        <v>1310</v>
      </c>
    </row>
    <row r="133" customFormat="false" ht="15" hidden="false" customHeight="true" outlineLevel="0" collapsed="false">
      <c r="A133" s="12" t="s">
        <v>951</v>
      </c>
      <c r="B133" s="12" t="s">
        <v>738</v>
      </c>
      <c r="C133" s="12" t="n">
        <v>2026</v>
      </c>
      <c r="D133" s="12" t="n">
        <v>43</v>
      </c>
      <c r="E133" s="12" t="n">
        <v>1686.8</v>
      </c>
      <c r="F133" s="12" t="n">
        <v>4413160</v>
      </c>
      <c r="G133" s="12" t="s">
        <v>1310</v>
      </c>
    </row>
    <row r="134" customFormat="false" ht="15" hidden="false" customHeight="true" outlineLevel="0" collapsed="false">
      <c r="A134" s="12" t="s">
        <v>951</v>
      </c>
      <c r="B134" s="12" t="s">
        <v>737</v>
      </c>
      <c r="C134" s="12" t="n">
        <v>2026</v>
      </c>
      <c r="D134" s="12" t="n">
        <v>53</v>
      </c>
      <c r="E134" s="12" t="n">
        <v>2161.2</v>
      </c>
      <c r="F134" s="12" t="n">
        <v>4413161</v>
      </c>
      <c r="G134" s="12" t="s">
        <v>1310</v>
      </c>
    </row>
    <row r="135" customFormat="false" ht="15" hidden="false" customHeight="true" outlineLevel="0" collapsed="false">
      <c r="A135" s="12" t="s">
        <v>951</v>
      </c>
      <c r="B135" s="12" t="s">
        <v>740</v>
      </c>
      <c r="C135" s="12" t="n">
        <v>2026</v>
      </c>
      <c r="D135" s="12" t="n">
        <v>23</v>
      </c>
      <c r="E135" s="12" t="n">
        <v>906.6</v>
      </c>
      <c r="F135" s="12" t="n">
        <v>4413162</v>
      </c>
      <c r="G135" s="12" t="s">
        <v>1310</v>
      </c>
    </row>
    <row r="136" customFormat="false" ht="15" hidden="false" customHeight="true" outlineLevel="0" collapsed="false">
      <c r="A136" s="12" t="s">
        <v>951</v>
      </c>
      <c r="B136" s="12" t="s">
        <v>393</v>
      </c>
      <c r="C136" s="12" t="n">
        <v>2026</v>
      </c>
      <c r="D136" s="12" t="n">
        <v>4</v>
      </c>
      <c r="E136" s="12" t="n">
        <v>506</v>
      </c>
      <c r="F136" s="12" t="n">
        <v>4413195</v>
      </c>
      <c r="G136" s="12" t="s">
        <v>1310</v>
      </c>
    </row>
    <row r="137" customFormat="false" ht="15" hidden="false" customHeight="true" outlineLevel="0" collapsed="false">
      <c r="A137" s="12" t="s">
        <v>951</v>
      </c>
      <c r="B137" s="12" t="s">
        <v>392</v>
      </c>
      <c r="C137" s="12" t="n">
        <v>2026</v>
      </c>
      <c r="D137" s="12" t="n">
        <v>21</v>
      </c>
      <c r="E137" s="12" t="n">
        <v>2498.4</v>
      </c>
      <c r="F137" s="12" t="n">
        <v>4413196</v>
      </c>
      <c r="G137" s="12" t="s">
        <v>1310</v>
      </c>
    </row>
    <row r="138" customFormat="false" ht="15" hidden="false" customHeight="true" outlineLevel="0" collapsed="false">
      <c r="A138" s="12" t="s">
        <v>951</v>
      </c>
      <c r="B138" s="12" t="s">
        <v>391</v>
      </c>
      <c r="C138" s="12" t="n">
        <v>2026</v>
      </c>
      <c r="D138" s="12" t="n">
        <v>19</v>
      </c>
      <c r="E138" s="12" t="n">
        <v>2340.3</v>
      </c>
      <c r="F138" s="12" t="n">
        <v>4413197</v>
      </c>
      <c r="G138" s="12" t="s">
        <v>1310</v>
      </c>
    </row>
    <row r="139" customFormat="false" ht="15" hidden="false" customHeight="true" outlineLevel="0" collapsed="false">
      <c r="A139" s="12" t="s">
        <v>951</v>
      </c>
      <c r="B139" s="12" t="s">
        <v>394</v>
      </c>
      <c r="C139" s="12" t="n">
        <v>2026</v>
      </c>
      <c r="D139" s="12" t="n">
        <v>14</v>
      </c>
      <c r="E139" s="12" t="n">
        <v>1771</v>
      </c>
      <c r="F139" s="12" t="n">
        <v>4413198</v>
      </c>
      <c r="G139" s="12" t="s">
        <v>1310</v>
      </c>
    </row>
    <row r="140" customFormat="false" ht="15" hidden="false" customHeight="true" outlineLevel="0" collapsed="false">
      <c r="A140" s="12" t="s">
        <v>951</v>
      </c>
      <c r="B140" s="12" t="s">
        <v>395</v>
      </c>
      <c r="C140" s="12" t="n">
        <v>2026</v>
      </c>
      <c r="D140" s="12" t="n">
        <v>7</v>
      </c>
      <c r="E140" s="12" t="n">
        <v>885.5</v>
      </c>
      <c r="F140" s="12" t="n">
        <v>4413204</v>
      </c>
      <c r="G140" s="12" t="s">
        <v>1310</v>
      </c>
    </row>
    <row r="141" customFormat="false" ht="15" hidden="false" customHeight="true" outlineLevel="0" collapsed="false">
      <c r="A141" s="12" t="s">
        <v>951</v>
      </c>
      <c r="B141" s="12" t="s">
        <v>408</v>
      </c>
      <c r="C141" s="12" t="n">
        <v>2026</v>
      </c>
      <c r="D141" s="12" t="n">
        <v>1</v>
      </c>
      <c r="E141" s="12" t="n">
        <v>32.1</v>
      </c>
      <c r="F141" s="12" t="n">
        <v>4413277</v>
      </c>
      <c r="G141" s="12" t="s">
        <v>1310</v>
      </c>
    </row>
    <row r="142" customFormat="false" ht="15" hidden="false" customHeight="true" outlineLevel="0" collapsed="false">
      <c r="A142" s="12" t="s">
        <v>951</v>
      </c>
      <c r="B142" s="12" t="s">
        <v>741</v>
      </c>
      <c r="C142" s="12" t="n">
        <v>2026</v>
      </c>
      <c r="D142" s="12" t="n">
        <v>4</v>
      </c>
      <c r="E142" s="12" t="n">
        <v>158.1</v>
      </c>
      <c r="F142" s="12" t="n">
        <v>4413303</v>
      </c>
      <c r="G142" s="12" t="s">
        <v>1310</v>
      </c>
    </row>
    <row r="143" customFormat="false" ht="15" hidden="false" customHeight="true" outlineLevel="0" collapsed="false">
      <c r="A143" s="12" t="s">
        <v>951</v>
      </c>
      <c r="B143" s="12" t="s">
        <v>570</v>
      </c>
      <c r="C143" s="12" t="n">
        <v>2026</v>
      </c>
      <c r="D143" s="12" t="n">
        <v>62</v>
      </c>
      <c r="E143" s="12" t="n">
        <v>1262</v>
      </c>
      <c r="F143" s="12" t="n">
        <v>4413307</v>
      </c>
      <c r="G143" s="12" t="s">
        <v>1310</v>
      </c>
    </row>
    <row r="144" customFormat="false" ht="15" hidden="false" customHeight="true" outlineLevel="0" collapsed="false">
      <c r="A144" s="12" t="s">
        <v>951</v>
      </c>
      <c r="B144" s="12" t="s">
        <v>557</v>
      </c>
      <c r="C144" s="12" t="n">
        <v>2026</v>
      </c>
      <c r="D144" s="12" t="n">
        <v>16</v>
      </c>
      <c r="E144" s="12" t="n">
        <v>619.2</v>
      </c>
      <c r="F144" s="12" t="n">
        <v>4413340</v>
      </c>
      <c r="G144" s="12" t="s">
        <v>1310</v>
      </c>
    </row>
    <row r="145" customFormat="false" ht="15" hidden="false" customHeight="true" outlineLevel="0" collapsed="false">
      <c r="A145" s="12" t="s">
        <v>951</v>
      </c>
      <c r="B145" s="12" t="s">
        <v>415</v>
      </c>
      <c r="C145" s="12" t="n">
        <v>2026</v>
      </c>
      <c r="D145" s="12" t="n">
        <v>77</v>
      </c>
      <c r="E145" s="12" t="n">
        <v>3636.7</v>
      </c>
      <c r="F145" s="12" t="n">
        <v>4413348</v>
      </c>
      <c r="G145" s="12" t="s">
        <v>1310</v>
      </c>
    </row>
    <row r="146" customFormat="false" ht="15" hidden="false" customHeight="true" outlineLevel="0" collapsed="false">
      <c r="A146" s="12" t="s">
        <v>951</v>
      </c>
      <c r="B146" s="12" t="s">
        <v>560</v>
      </c>
      <c r="C146" s="12" t="n">
        <v>2026</v>
      </c>
      <c r="D146" s="12" t="n">
        <v>81</v>
      </c>
      <c r="E146" s="12" t="n">
        <v>2231.6</v>
      </c>
      <c r="F146" s="12" t="n">
        <v>4413370</v>
      </c>
      <c r="G146" s="12" t="s">
        <v>1310</v>
      </c>
    </row>
    <row r="147" customFormat="false" ht="15" hidden="false" customHeight="true" outlineLevel="0" collapsed="false">
      <c r="A147" s="12" t="s">
        <v>951</v>
      </c>
      <c r="B147" s="12" t="s">
        <v>561</v>
      </c>
      <c r="C147" s="12" t="n">
        <v>2026</v>
      </c>
      <c r="D147" s="12" t="n">
        <v>41</v>
      </c>
      <c r="E147" s="12" t="n">
        <v>829.8</v>
      </c>
      <c r="F147" s="12" t="n">
        <v>4413371</v>
      </c>
      <c r="G147" s="12" t="s">
        <v>1310</v>
      </c>
    </row>
    <row r="148" customFormat="false" ht="15" hidden="false" customHeight="true" outlineLevel="0" collapsed="false">
      <c r="A148" s="12" t="s">
        <v>951</v>
      </c>
      <c r="B148" s="12" t="s">
        <v>414</v>
      </c>
      <c r="C148" s="12" t="n">
        <v>2026</v>
      </c>
      <c r="D148" s="12" t="n">
        <v>65</v>
      </c>
      <c r="E148" s="12" t="n">
        <v>3070</v>
      </c>
      <c r="F148" s="12" t="n">
        <v>4413372</v>
      </c>
      <c r="G148" s="12" t="s">
        <v>1310</v>
      </c>
    </row>
    <row r="149" customFormat="false" ht="15" hidden="false" customHeight="true" outlineLevel="0" collapsed="false">
      <c r="A149" s="12" t="s">
        <v>951</v>
      </c>
      <c r="B149" s="12" t="s">
        <v>504</v>
      </c>
      <c r="C149" s="12" t="n">
        <v>2026</v>
      </c>
      <c r="D149" s="12" t="n">
        <v>131</v>
      </c>
      <c r="E149" s="12" t="n">
        <v>2563.6</v>
      </c>
      <c r="F149" s="12" t="n">
        <v>4413531</v>
      </c>
      <c r="G149" s="12" t="s">
        <v>1310</v>
      </c>
    </row>
    <row r="150" customFormat="false" ht="15" hidden="false" customHeight="true" outlineLevel="0" collapsed="false">
      <c r="A150" s="12" t="s">
        <v>951</v>
      </c>
      <c r="B150" s="12" t="s">
        <v>160</v>
      </c>
      <c r="C150" s="12" t="n">
        <v>2026</v>
      </c>
      <c r="D150" s="12" t="n">
        <v>16</v>
      </c>
      <c r="E150" s="12" t="n">
        <v>1496</v>
      </c>
      <c r="F150" s="12" t="n">
        <v>4413532</v>
      </c>
      <c r="G150" s="12" t="s">
        <v>1310</v>
      </c>
    </row>
    <row r="151" customFormat="false" ht="15" hidden="false" customHeight="true" outlineLevel="0" collapsed="false">
      <c r="A151" s="12" t="s">
        <v>951</v>
      </c>
      <c r="B151" s="12" t="s">
        <v>802</v>
      </c>
      <c r="C151" s="12" t="n">
        <v>2026</v>
      </c>
      <c r="D151" s="12" t="n">
        <v>3</v>
      </c>
      <c r="E151" s="12" t="n">
        <v>61.5</v>
      </c>
      <c r="F151" s="12" t="n">
        <v>4413533</v>
      </c>
      <c r="G151" s="12" t="s">
        <v>1310</v>
      </c>
    </row>
    <row r="152" customFormat="false" ht="15" hidden="false" customHeight="true" outlineLevel="0" collapsed="false">
      <c r="A152" s="12" t="s">
        <v>951</v>
      </c>
      <c r="B152" s="12" t="s">
        <v>759</v>
      </c>
      <c r="C152" s="12" t="n">
        <v>2026</v>
      </c>
      <c r="D152" s="12" t="n">
        <v>21</v>
      </c>
      <c r="E152" s="12" t="n">
        <v>1932</v>
      </c>
      <c r="F152" s="12" t="n">
        <v>4413534</v>
      </c>
      <c r="G152" s="12" t="s">
        <v>1310</v>
      </c>
    </row>
    <row r="153" customFormat="false" ht="15" hidden="false" customHeight="true" outlineLevel="0" collapsed="false">
      <c r="A153" s="12" t="s">
        <v>951</v>
      </c>
      <c r="B153" s="12" t="s">
        <v>730</v>
      </c>
      <c r="C153" s="12" t="n">
        <v>2026</v>
      </c>
      <c r="D153" s="12" t="n">
        <v>7</v>
      </c>
      <c r="E153" s="12" t="n">
        <v>632.8</v>
      </c>
      <c r="F153" s="12" t="n">
        <v>4415019</v>
      </c>
      <c r="G153" s="12" t="s">
        <v>1310</v>
      </c>
    </row>
    <row r="154" customFormat="false" ht="15" hidden="false" customHeight="true" outlineLevel="0" collapsed="false">
      <c r="A154" s="12" t="s">
        <v>951</v>
      </c>
      <c r="B154" s="12" t="s">
        <v>648</v>
      </c>
      <c r="C154" s="12" t="n">
        <v>2026</v>
      </c>
      <c r="D154" s="12" t="n">
        <v>167</v>
      </c>
      <c r="E154" s="12" t="n">
        <v>3340</v>
      </c>
      <c r="F154" s="12" t="n">
        <v>4415028</v>
      </c>
      <c r="G154" s="12" t="s">
        <v>1310</v>
      </c>
    </row>
    <row r="155" customFormat="false" ht="15" hidden="false" customHeight="true" outlineLevel="0" collapsed="false">
      <c r="A155" s="12" t="s">
        <v>951</v>
      </c>
      <c r="B155" s="12" t="s">
        <v>577</v>
      </c>
      <c r="C155" s="12" t="n">
        <v>2026</v>
      </c>
      <c r="D155" s="12" t="n">
        <v>17</v>
      </c>
      <c r="E155" s="12" t="n">
        <v>115.6</v>
      </c>
      <c r="F155" s="12" t="n">
        <v>4415080</v>
      </c>
      <c r="G155" s="12" t="s">
        <v>1310</v>
      </c>
    </row>
    <row r="156" customFormat="false" ht="15" hidden="false" customHeight="true" outlineLevel="0" collapsed="false">
      <c r="A156" s="12" t="s">
        <v>951</v>
      </c>
      <c r="B156" s="12" t="s">
        <v>620</v>
      </c>
      <c r="C156" s="12" t="n">
        <v>2026</v>
      </c>
      <c r="D156" s="12" t="n">
        <v>648</v>
      </c>
      <c r="E156" s="12" t="n">
        <v>29484</v>
      </c>
      <c r="F156" s="12" t="n">
        <v>4415158</v>
      </c>
      <c r="G156" s="12" t="s">
        <v>1310</v>
      </c>
    </row>
    <row r="157" customFormat="false" ht="15" hidden="false" customHeight="true" outlineLevel="0" collapsed="false">
      <c r="A157" s="12" t="s">
        <v>951</v>
      </c>
      <c r="B157" s="12" t="s">
        <v>631</v>
      </c>
      <c r="C157" s="12" t="n">
        <v>2026</v>
      </c>
      <c r="D157" s="12" t="n">
        <v>274</v>
      </c>
      <c r="E157" s="12" t="n">
        <v>21317.2</v>
      </c>
      <c r="F157" s="12" t="n">
        <v>4415159</v>
      </c>
      <c r="G157" s="12" t="s">
        <v>1310</v>
      </c>
    </row>
    <row r="158" customFormat="false" ht="15" hidden="false" customHeight="true" outlineLevel="0" collapsed="false">
      <c r="A158" s="12" t="s">
        <v>951</v>
      </c>
      <c r="B158" s="12" t="s">
        <v>651</v>
      </c>
      <c r="C158" s="12" t="n">
        <v>2026</v>
      </c>
      <c r="D158" s="12" t="n">
        <v>32</v>
      </c>
      <c r="E158" s="12" t="n">
        <v>800</v>
      </c>
      <c r="F158" s="12" t="n">
        <v>4415177</v>
      </c>
      <c r="G158" s="12" t="s">
        <v>1310</v>
      </c>
    </row>
    <row r="159" customFormat="false" ht="15" hidden="false" customHeight="true" outlineLevel="0" collapsed="false">
      <c r="A159" s="12" t="s">
        <v>951</v>
      </c>
      <c r="B159" s="12" t="s">
        <v>837</v>
      </c>
      <c r="C159" s="12" t="n">
        <v>2026</v>
      </c>
      <c r="D159" s="12" t="n">
        <v>16</v>
      </c>
      <c r="E159" s="12" t="n">
        <v>672</v>
      </c>
      <c r="F159" s="12" t="n">
        <v>4415298</v>
      </c>
      <c r="G159" s="12" t="s">
        <v>1310</v>
      </c>
    </row>
    <row r="160" customFormat="false" ht="15" hidden="false" customHeight="true" outlineLevel="0" collapsed="false">
      <c r="A160" s="12" t="s">
        <v>951</v>
      </c>
      <c r="B160" s="12" t="s">
        <v>836</v>
      </c>
      <c r="C160" s="12" t="n">
        <v>2026</v>
      </c>
      <c r="D160" s="12" t="n">
        <v>27</v>
      </c>
      <c r="E160" s="12" t="n">
        <v>1134</v>
      </c>
      <c r="F160" s="12" t="n">
        <v>4415299</v>
      </c>
      <c r="G160" s="12" t="s">
        <v>1310</v>
      </c>
    </row>
    <row r="161" customFormat="false" ht="15" hidden="false" customHeight="true" outlineLevel="0" collapsed="false">
      <c r="A161" s="12" t="s">
        <v>951</v>
      </c>
      <c r="B161" s="12" t="s">
        <v>533</v>
      </c>
      <c r="C161" s="12" t="n">
        <v>2026</v>
      </c>
      <c r="D161" s="12" t="n">
        <v>85</v>
      </c>
      <c r="E161" s="12" t="n">
        <v>5251.4</v>
      </c>
      <c r="F161" s="12" t="n">
        <v>4416000</v>
      </c>
      <c r="G161" s="12" t="s">
        <v>1310</v>
      </c>
    </row>
    <row r="162" customFormat="false" ht="15" hidden="false" customHeight="true" outlineLevel="0" collapsed="false">
      <c r="A162" s="12" t="s">
        <v>951</v>
      </c>
      <c r="B162" s="12" t="s">
        <v>534</v>
      </c>
      <c r="C162" s="12" t="n">
        <v>2026</v>
      </c>
      <c r="D162" s="12" t="n">
        <v>87</v>
      </c>
      <c r="E162" s="12" t="n">
        <v>5393.8</v>
      </c>
      <c r="F162" s="12" t="n">
        <v>4416001</v>
      </c>
      <c r="G162" s="12" t="s">
        <v>1310</v>
      </c>
    </row>
    <row r="163" customFormat="false" ht="15" hidden="false" customHeight="true" outlineLevel="0" collapsed="false">
      <c r="A163" s="12" t="s">
        <v>951</v>
      </c>
      <c r="B163" s="12" t="s">
        <v>535</v>
      </c>
      <c r="C163" s="12" t="n">
        <v>2026</v>
      </c>
      <c r="D163" s="12" t="n">
        <v>23</v>
      </c>
      <c r="E163" s="12" t="n">
        <v>1455.2</v>
      </c>
      <c r="F163" s="12" t="n">
        <v>4416002</v>
      </c>
      <c r="G163" s="12" t="s">
        <v>1310</v>
      </c>
    </row>
    <row r="164" customFormat="false" ht="15" hidden="false" customHeight="true" outlineLevel="0" collapsed="false">
      <c r="A164" s="12" t="s">
        <v>951</v>
      </c>
      <c r="B164" s="12" t="s">
        <v>575</v>
      </c>
      <c r="C164" s="12" t="n">
        <v>2026</v>
      </c>
      <c r="D164" s="12" t="n">
        <v>46</v>
      </c>
      <c r="E164" s="12" t="n">
        <v>821.2</v>
      </c>
      <c r="F164" s="12" t="n">
        <v>4417000</v>
      </c>
      <c r="G164" s="12" t="s">
        <v>1310</v>
      </c>
    </row>
    <row r="165" customFormat="false" ht="15" hidden="false" customHeight="true" outlineLevel="0" collapsed="false">
      <c r="A165" s="12" t="s">
        <v>951</v>
      </c>
      <c r="B165" s="12" t="s">
        <v>573</v>
      </c>
      <c r="C165" s="12" t="n">
        <v>2026</v>
      </c>
      <c r="D165" s="12" t="n">
        <v>290</v>
      </c>
      <c r="E165" s="12" t="n">
        <v>2925</v>
      </c>
      <c r="F165" s="12" t="n">
        <v>4419006</v>
      </c>
      <c r="G165" s="12" t="s">
        <v>1310</v>
      </c>
    </row>
    <row r="166" customFormat="false" ht="15" hidden="false" customHeight="true" outlineLevel="0" collapsed="false">
      <c r="A166" s="12" t="s">
        <v>951</v>
      </c>
      <c r="B166" s="12" t="s">
        <v>358</v>
      </c>
      <c r="C166" s="12" t="n">
        <v>2026</v>
      </c>
      <c r="D166" s="12" t="n">
        <v>6</v>
      </c>
      <c r="E166" s="12" t="n">
        <v>66</v>
      </c>
      <c r="F166" s="12" t="n">
        <v>4419014</v>
      </c>
      <c r="G166" s="12" t="s">
        <v>1310</v>
      </c>
    </row>
    <row r="167" customFormat="false" ht="15" hidden="false" customHeight="true" outlineLevel="0" collapsed="false">
      <c r="A167" s="12" t="s">
        <v>951</v>
      </c>
      <c r="B167" s="12" t="s">
        <v>774</v>
      </c>
      <c r="C167" s="12" t="n">
        <v>2026</v>
      </c>
      <c r="D167" s="12" t="n">
        <v>100</v>
      </c>
      <c r="E167" s="12" t="n">
        <v>752.4</v>
      </c>
      <c r="F167" s="12" t="n">
        <v>4420000</v>
      </c>
      <c r="G167" s="12" t="s">
        <v>1310</v>
      </c>
    </row>
    <row r="168" customFormat="false" ht="15" hidden="false" customHeight="true" outlineLevel="0" collapsed="false">
      <c r="A168" s="12" t="s">
        <v>951</v>
      </c>
      <c r="B168" s="12" t="s">
        <v>777</v>
      </c>
      <c r="C168" s="12" t="n">
        <v>2026</v>
      </c>
      <c r="D168" s="12" t="n">
        <v>188</v>
      </c>
      <c r="E168" s="12" t="n">
        <v>1755.3</v>
      </c>
      <c r="F168" s="12" t="n">
        <v>4420002</v>
      </c>
      <c r="G168" s="12" t="s">
        <v>1310</v>
      </c>
    </row>
    <row r="169" customFormat="false" ht="15" hidden="false" customHeight="true" outlineLevel="0" collapsed="false">
      <c r="A169" s="12" t="s">
        <v>951</v>
      </c>
      <c r="B169" s="12" t="s">
        <v>778</v>
      </c>
      <c r="C169" s="12" t="n">
        <v>2026</v>
      </c>
      <c r="D169" s="12" t="n">
        <v>44</v>
      </c>
      <c r="E169" s="12" t="n">
        <v>400.2</v>
      </c>
      <c r="F169" s="12" t="n">
        <v>4420003</v>
      </c>
      <c r="G169" s="12" t="s">
        <v>1310</v>
      </c>
    </row>
    <row r="170" customFormat="false" ht="15" hidden="false" customHeight="true" outlineLevel="0" collapsed="false">
      <c r="A170" s="12" t="s">
        <v>951</v>
      </c>
      <c r="B170" s="12" t="s">
        <v>84</v>
      </c>
      <c r="C170" s="12" t="n">
        <v>2026</v>
      </c>
      <c r="D170" s="12" t="n">
        <v>21</v>
      </c>
      <c r="E170" s="12" t="n">
        <v>749.1</v>
      </c>
      <c r="F170" s="12" t="n">
        <v>4420016</v>
      </c>
      <c r="G170" s="12" t="s">
        <v>1310</v>
      </c>
    </row>
    <row r="171" customFormat="false" ht="15" hidden="false" customHeight="true" outlineLevel="0" collapsed="false">
      <c r="A171" s="12" t="s">
        <v>951</v>
      </c>
      <c r="B171" s="12" t="s">
        <v>505</v>
      </c>
      <c r="C171" s="12" t="n">
        <v>2026</v>
      </c>
      <c r="D171" s="12" t="n">
        <v>2</v>
      </c>
      <c r="E171" s="12" t="n">
        <v>115.9</v>
      </c>
      <c r="F171" s="12" t="n">
        <v>4420018</v>
      </c>
      <c r="G171" s="12" t="s">
        <v>1310</v>
      </c>
    </row>
    <row r="172" customFormat="false" ht="15" hidden="false" customHeight="true" outlineLevel="0" collapsed="false">
      <c r="A172" s="12" t="s">
        <v>951</v>
      </c>
      <c r="B172" s="12" t="s">
        <v>404</v>
      </c>
      <c r="C172" s="12" t="n">
        <v>2026</v>
      </c>
      <c r="D172" s="12" t="n">
        <v>9</v>
      </c>
      <c r="E172" s="12" t="n">
        <v>135.2</v>
      </c>
      <c r="F172" s="12" t="n">
        <v>4420022</v>
      </c>
      <c r="G172" s="12" t="s">
        <v>1310</v>
      </c>
    </row>
    <row r="173" customFormat="false" ht="15" hidden="false" customHeight="true" outlineLevel="0" collapsed="false">
      <c r="A173" s="12" t="s">
        <v>951</v>
      </c>
      <c r="B173" s="12" t="s">
        <v>411</v>
      </c>
      <c r="C173" s="12" t="n">
        <v>2026</v>
      </c>
      <c r="D173" s="12" t="n">
        <v>15</v>
      </c>
      <c r="E173" s="12" t="n">
        <v>205.9</v>
      </c>
      <c r="F173" s="12" t="n">
        <v>4420024</v>
      </c>
      <c r="G173" s="12" t="s">
        <v>1310</v>
      </c>
    </row>
    <row r="174" customFormat="false" ht="15" hidden="false" customHeight="true" outlineLevel="0" collapsed="false">
      <c r="A174" s="12" t="s">
        <v>951</v>
      </c>
      <c r="B174" s="12" t="s">
        <v>406</v>
      </c>
      <c r="C174" s="12" t="n">
        <v>2026</v>
      </c>
      <c r="D174" s="12" t="n">
        <v>11</v>
      </c>
      <c r="E174" s="12" t="n">
        <v>171</v>
      </c>
      <c r="F174" s="12" t="n">
        <v>4420025</v>
      </c>
      <c r="G174" s="12" t="s">
        <v>1310</v>
      </c>
    </row>
    <row r="175" customFormat="false" ht="15" hidden="false" customHeight="true" outlineLevel="0" collapsed="false">
      <c r="A175" s="12" t="s">
        <v>951</v>
      </c>
      <c r="B175" s="12" t="s">
        <v>556</v>
      </c>
      <c r="C175" s="12" t="n">
        <v>2026</v>
      </c>
      <c r="D175" s="12" t="n">
        <v>298</v>
      </c>
      <c r="E175" s="12" t="n">
        <v>3483.4</v>
      </c>
      <c r="F175" s="12" t="n">
        <v>4421000</v>
      </c>
      <c r="G175" s="12" t="s">
        <v>1310</v>
      </c>
    </row>
    <row r="176" customFormat="false" ht="15" hidden="false" customHeight="true" outlineLevel="0" collapsed="false">
      <c r="A176" s="12" t="s">
        <v>951</v>
      </c>
      <c r="B176" s="12" t="s">
        <v>547</v>
      </c>
      <c r="C176" s="12" t="n">
        <v>2026</v>
      </c>
      <c r="D176" s="12" t="n">
        <v>47</v>
      </c>
      <c r="E176" s="12" t="n">
        <v>1823.1</v>
      </c>
      <c r="F176" s="12" t="n">
        <v>4421001</v>
      </c>
      <c r="G176" s="12" t="s">
        <v>1310</v>
      </c>
    </row>
    <row r="177" customFormat="false" ht="15" hidden="false" customHeight="true" outlineLevel="0" collapsed="false">
      <c r="A177" s="12" t="s">
        <v>951</v>
      </c>
      <c r="B177" s="12" t="s">
        <v>838</v>
      </c>
      <c r="C177" s="12" t="n">
        <v>2026</v>
      </c>
      <c r="D177" s="12" t="n">
        <v>65</v>
      </c>
      <c r="E177" s="12" t="n">
        <v>879.9</v>
      </c>
      <c r="F177" s="12" t="n">
        <v>4422000</v>
      </c>
      <c r="G177" s="12" t="s">
        <v>1310</v>
      </c>
    </row>
    <row r="178" customFormat="false" ht="15" hidden="false" customHeight="true" outlineLevel="0" collapsed="false">
      <c r="A178" s="12" t="s">
        <v>951</v>
      </c>
      <c r="B178" s="12" t="s">
        <v>399</v>
      </c>
      <c r="C178" s="12" t="n">
        <v>2026</v>
      </c>
      <c r="D178" s="12" t="n">
        <v>6</v>
      </c>
      <c r="E178" s="12" t="n">
        <v>740.1</v>
      </c>
      <c r="F178" s="12" t="n">
        <v>4422005</v>
      </c>
      <c r="G178" s="12" t="s">
        <v>1310</v>
      </c>
    </row>
    <row r="179" customFormat="false" ht="15" hidden="false" customHeight="true" outlineLevel="0" collapsed="false">
      <c r="A179" s="12" t="s">
        <v>951</v>
      </c>
      <c r="B179" s="12" t="s">
        <v>398</v>
      </c>
      <c r="C179" s="12" t="n">
        <v>2026</v>
      </c>
      <c r="D179" s="12" t="n">
        <v>8</v>
      </c>
      <c r="E179" s="12" t="n">
        <v>1029.7</v>
      </c>
      <c r="F179" s="12" t="n">
        <v>4422006</v>
      </c>
      <c r="G179" s="12" t="s">
        <v>1310</v>
      </c>
    </row>
    <row r="180" customFormat="false" ht="15" hidden="false" customHeight="true" outlineLevel="0" collapsed="false">
      <c r="A180" s="12" t="s">
        <v>951</v>
      </c>
      <c r="B180" s="12" t="s">
        <v>401</v>
      </c>
      <c r="C180" s="12" t="n">
        <v>2026</v>
      </c>
      <c r="D180" s="12" t="n">
        <v>2</v>
      </c>
      <c r="E180" s="12" t="n">
        <v>257.4</v>
      </c>
      <c r="F180" s="12" t="n">
        <v>4422007</v>
      </c>
      <c r="G180" s="12" t="s">
        <v>1310</v>
      </c>
    </row>
    <row r="181" customFormat="false" ht="15" hidden="false" customHeight="true" outlineLevel="0" collapsed="false">
      <c r="A181" s="12" t="s">
        <v>951</v>
      </c>
      <c r="B181" s="12" t="s">
        <v>368</v>
      </c>
      <c r="C181" s="12" t="n">
        <v>2026</v>
      </c>
      <c r="D181" s="12" t="n">
        <v>156</v>
      </c>
      <c r="E181" s="12" t="n">
        <v>2308.8</v>
      </c>
      <c r="F181" s="12" t="n">
        <v>4422035</v>
      </c>
      <c r="G181" s="12" t="s">
        <v>1310</v>
      </c>
    </row>
    <row r="182" customFormat="false" ht="15" hidden="false" customHeight="true" outlineLevel="0" collapsed="false">
      <c r="A182" s="12" t="s">
        <v>951</v>
      </c>
      <c r="B182" s="12" t="s">
        <v>366</v>
      </c>
      <c r="C182" s="12" t="n">
        <v>2026</v>
      </c>
      <c r="D182" s="12" t="n">
        <v>29</v>
      </c>
      <c r="E182" s="12" t="n">
        <v>429.2</v>
      </c>
      <c r="F182" s="12" t="n">
        <v>4422036</v>
      </c>
      <c r="G182" s="12" t="s">
        <v>1310</v>
      </c>
    </row>
    <row r="183" customFormat="false" ht="15" hidden="false" customHeight="true" outlineLevel="0" collapsed="false">
      <c r="A183" s="12" t="s">
        <v>951</v>
      </c>
      <c r="B183" s="12" t="s">
        <v>154</v>
      </c>
      <c r="C183" s="12" t="n">
        <v>2026</v>
      </c>
      <c r="D183" s="12" t="n">
        <v>12</v>
      </c>
      <c r="E183" s="12" t="n">
        <v>1500</v>
      </c>
      <c r="F183" s="12" t="n">
        <v>4422037</v>
      </c>
      <c r="G183" s="12" t="s">
        <v>1310</v>
      </c>
    </row>
    <row r="184" customFormat="false" ht="15" hidden="false" customHeight="true" outlineLevel="0" collapsed="false">
      <c r="A184" s="12" t="s">
        <v>951</v>
      </c>
      <c r="B184" s="12" t="s">
        <v>156</v>
      </c>
      <c r="C184" s="12" t="n">
        <v>2026</v>
      </c>
      <c r="D184" s="12" t="n">
        <v>17</v>
      </c>
      <c r="E184" s="12" t="n">
        <v>2125</v>
      </c>
      <c r="F184" s="12" t="n">
        <v>4422039</v>
      </c>
      <c r="G184" s="12" t="s">
        <v>1310</v>
      </c>
    </row>
    <row r="185" customFormat="false" ht="15" hidden="false" customHeight="true" outlineLevel="0" collapsed="false">
      <c r="A185" s="12" t="s">
        <v>951</v>
      </c>
      <c r="B185" s="12" t="s">
        <v>157</v>
      </c>
      <c r="C185" s="12" t="n">
        <v>2026</v>
      </c>
      <c r="D185" s="12" t="n">
        <v>25</v>
      </c>
      <c r="E185" s="12" t="n">
        <v>3125</v>
      </c>
      <c r="F185" s="12" t="n">
        <v>4422040</v>
      </c>
      <c r="G185" s="12" t="s">
        <v>1310</v>
      </c>
    </row>
    <row r="186" customFormat="false" ht="15" hidden="false" customHeight="true" outlineLevel="0" collapsed="false">
      <c r="A186" s="12" t="s">
        <v>951</v>
      </c>
      <c r="B186" s="12" t="s">
        <v>158</v>
      </c>
      <c r="C186" s="12" t="n">
        <v>2026</v>
      </c>
      <c r="D186" s="12" t="n">
        <v>26</v>
      </c>
      <c r="E186" s="12" t="n">
        <v>3250</v>
      </c>
      <c r="F186" s="12" t="n">
        <v>4422041</v>
      </c>
      <c r="G186" s="12" t="s">
        <v>1310</v>
      </c>
    </row>
    <row r="187" customFormat="false" ht="15" hidden="false" customHeight="true" outlineLevel="0" collapsed="false">
      <c r="A187" s="12" t="s">
        <v>951</v>
      </c>
      <c r="B187" s="12" t="s">
        <v>159</v>
      </c>
      <c r="C187" s="12" t="n">
        <v>2026</v>
      </c>
      <c r="D187" s="12" t="n">
        <v>17</v>
      </c>
      <c r="E187" s="12" t="n">
        <v>2125</v>
      </c>
      <c r="F187" s="12" t="n">
        <v>4422042</v>
      </c>
      <c r="G187" s="12" t="s">
        <v>1310</v>
      </c>
    </row>
    <row r="188" customFormat="false" ht="15" hidden="false" customHeight="true" outlineLevel="0" collapsed="false">
      <c r="A188" s="12" t="s">
        <v>951</v>
      </c>
      <c r="B188" s="12" t="s">
        <v>247</v>
      </c>
      <c r="C188" s="12" t="n">
        <v>2026</v>
      </c>
      <c r="D188" s="12" t="n">
        <v>7</v>
      </c>
      <c r="E188" s="12" t="n">
        <v>1096.9</v>
      </c>
      <c r="F188" s="12" t="s">
        <v>247</v>
      </c>
      <c r="G188" s="12" t="s">
        <v>1311</v>
      </c>
    </row>
    <row r="189" customFormat="false" ht="15" hidden="false" customHeight="true" outlineLevel="0" collapsed="false">
      <c r="A189" s="12" t="s">
        <v>951</v>
      </c>
      <c r="B189" s="12" t="s">
        <v>248</v>
      </c>
      <c r="C189" s="12" t="n">
        <v>2026</v>
      </c>
      <c r="D189" s="12" t="n">
        <v>2</v>
      </c>
      <c r="E189" s="12" t="n">
        <v>351</v>
      </c>
      <c r="F189" s="12" t="s">
        <v>248</v>
      </c>
      <c r="G189" s="12" t="s">
        <v>1311</v>
      </c>
    </row>
    <row r="190" customFormat="false" ht="15" hidden="false" customHeight="true" outlineLevel="0" collapsed="false">
      <c r="A190" s="12" t="s">
        <v>951</v>
      </c>
      <c r="B190" s="12" t="s">
        <v>250</v>
      </c>
      <c r="C190" s="12" t="n">
        <v>2026</v>
      </c>
      <c r="D190" s="12" t="n">
        <v>5</v>
      </c>
      <c r="E190" s="12" t="n">
        <v>745.9</v>
      </c>
      <c r="F190" s="12" t="s">
        <v>250</v>
      </c>
      <c r="G190" s="12" t="s">
        <v>1311</v>
      </c>
    </row>
    <row r="191" customFormat="false" ht="15" hidden="false" customHeight="true" outlineLevel="0" collapsed="false">
      <c r="A191" s="12" t="s">
        <v>951</v>
      </c>
      <c r="B191" s="12" t="s">
        <v>251</v>
      </c>
      <c r="C191" s="12" t="n">
        <v>2026</v>
      </c>
      <c r="D191" s="12" t="n">
        <v>7</v>
      </c>
      <c r="E191" s="12" t="n">
        <v>1009.1</v>
      </c>
      <c r="F191" s="12" t="s">
        <v>251</v>
      </c>
      <c r="G191" s="12" t="s">
        <v>1311</v>
      </c>
    </row>
    <row r="192" customFormat="false" ht="15" hidden="false" customHeight="true" outlineLevel="0" collapsed="false">
      <c r="A192" s="12" t="s">
        <v>951</v>
      </c>
      <c r="B192" s="12" t="s">
        <v>258</v>
      </c>
      <c r="C192" s="12" t="n">
        <v>2026</v>
      </c>
      <c r="D192" s="12" t="n">
        <v>29</v>
      </c>
      <c r="E192" s="12" t="n">
        <v>2043.6</v>
      </c>
      <c r="F192" s="12" t="s">
        <v>258</v>
      </c>
      <c r="G192" s="12" t="s">
        <v>1311</v>
      </c>
    </row>
    <row r="193" customFormat="false" ht="15" hidden="false" customHeight="true" outlineLevel="0" collapsed="false">
      <c r="A193" s="12" t="s">
        <v>951</v>
      </c>
      <c r="B193" s="12" t="s">
        <v>259</v>
      </c>
      <c r="C193" s="12" t="n">
        <v>2026</v>
      </c>
      <c r="D193" s="12" t="n">
        <v>20</v>
      </c>
      <c r="E193" s="12" t="n">
        <v>1446.8</v>
      </c>
      <c r="F193" s="12" t="s">
        <v>259</v>
      </c>
      <c r="G193" s="12" t="s">
        <v>1311</v>
      </c>
    </row>
    <row r="194" customFormat="false" ht="15" hidden="false" customHeight="true" outlineLevel="0" collapsed="false">
      <c r="A194" s="12" t="s">
        <v>951</v>
      </c>
      <c r="B194" s="12" t="s">
        <v>260</v>
      </c>
      <c r="C194" s="12" t="n">
        <v>2026</v>
      </c>
      <c r="D194" s="12" t="n">
        <v>2</v>
      </c>
      <c r="E194" s="12" t="n">
        <v>144.7</v>
      </c>
      <c r="F194" s="12" t="s">
        <v>260</v>
      </c>
      <c r="G194" s="12" t="s">
        <v>1311</v>
      </c>
    </row>
    <row r="195" customFormat="false" ht="15" hidden="false" customHeight="true" outlineLevel="0" collapsed="false">
      <c r="A195" s="12" t="s">
        <v>951</v>
      </c>
      <c r="B195" s="12" t="s">
        <v>261</v>
      </c>
      <c r="C195" s="12" t="n">
        <v>2026</v>
      </c>
      <c r="D195" s="12" t="n">
        <v>36</v>
      </c>
      <c r="E195" s="12" t="n">
        <v>2531.9</v>
      </c>
      <c r="F195" s="12" t="s">
        <v>261</v>
      </c>
      <c r="G195" s="12" t="s">
        <v>1311</v>
      </c>
    </row>
    <row r="196" customFormat="false" ht="15" hidden="false" customHeight="true" outlineLevel="0" collapsed="false">
      <c r="A196" s="12" t="s">
        <v>951</v>
      </c>
      <c r="B196" s="12" t="s">
        <v>263</v>
      </c>
      <c r="C196" s="12" t="n">
        <v>2026</v>
      </c>
      <c r="D196" s="12" t="n">
        <v>20</v>
      </c>
      <c r="E196" s="12" t="n">
        <v>1410.6</v>
      </c>
      <c r="F196" s="12" t="s">
        <v>263</v>
      </c>
      <c r="G196" s="12" t="s">
        <v>1311</v>
      </c>
    </row>
    <row r="197" customFormat="false" ht="15" hidden="false" customHeight="true" outlineLevel="0" collapsed="false">
      <c r="A197" s="12" t="s">
        <v>951</v>
      </c>
      <c r="B197" s="12" t="s">
        <v>544</v>
      </c>
      <c r="C197" s="12" t="n">
        <v>2026</v>
      </c>
      <c r="D197" s="12" t="n">
        <v>43</v>
      </c>
      <c r="E197" s="12" t="n">
        <v>556.9</v>
      </c>
      <c r="F197" s="12" t="s">
        <v>544</v>
      </c>
      <c r="G197" s="12" t="s">
        <v>1311</v>
      </c>
    </row>
    <row r="198" customFormat="false" ht="15" hidden="false" customHeight="true" outlineLevel="0" collapsed="false">
      <c r="A198" s="12" t="s">
        <v>951</v>
      </c>
      <c r="B198" s="12" t="s">
        <v>85</v>
      </c>
      <c r="C198" s="12" t="n">
        <v>2026</v>
      </c>
      <c r="D198" s="12" t="n">
        <v>16</v>
      </c>
      <c r="E198" s="12" t="n">
        <v>957.1</v>
      </c>
      <c r="F198" s="12" t="s">
        <v>85</v>
      </c>
      <c r="G198" s="12" t="s">
        <v>1311</v>
      </c>
    </row>
    <row r="199" customFormat="false" ht="15" hidden="false" customHeight="true" outlineLevel="0" collapsed="false">
      <c r="A199" s="12" t="s">
        <v>952</v>
      </c>
      <c r="B199" s="12" t="s">
        <v>953</v>
      </c>
      <c r="C199" s="12" t="n">
        <v>2025</v>
      </c>
      <c r="D199" s="12" t="n">
        <v>234</v>
      </c>
      <c r="E199" s="12" t="n">
        <v>3790.8</v>
      </c>
      <c r="F199" s="12" t="n">
        <v>4401000</v>
      </c>
      <c r="G199" s="12" t="s">
        <v>1310</v>
      </c>
    </row>
    <row r="200" customFormat="false" ht="15" hidden="false" customHeight="true" outlineLevel="0" collapsed="false">
      <c r="A200" s="12" t="s">
        <v>952</v>
      </c>
      <c r="B200" s="12" t="s">
        <v>953</v>
      </c>
      <c r="C200" s="12" t="n">
        <v>2026</v>
      </c>
      <c r="D200" s="12" t="n">
        <v>53</v>
      </c>
      <c r="E200" s="12" t="n">
        <v>858.6</v>
      </c>
      <c r="F200" s="12" t="n">
        <v>4401000</v>
      </c>
      <c r="G200" s="12" t="s">
        <v>1310</v>
      </c>
    </row>
    <row r="201" customFormat="false" ht="15" hidden="false" customHeight="true" outlineLevel="0" collapsed="false">
      <c r="A201" s="12" t="s">
        <v>952</v>
      </c>
      <c r="B201" s="12" t="s">
        <v>954</v>
      </c>
      <c r="C201" s="12" t="n">
        <v>2025</v>
      </c>
      <c r="D201" s="12" t="n">
        <v>336</v>
      </c>
      <c r="E201" s="12" t="n">
        <v>5987.52</v>
      </c>
      <c r="F201" s="12" t="n">
        <v>4401001</v>
      </c>
      <c r="G201" s="12" t="s">
        <v>1310</v>
      </c>
    </row>
    <row r="202" customFormat="false" ht="15" hidden="false" customHeight="true" outlineLevel="0" collapsed="false">
      <c r="A202" s="12" t="s">
        <v>952</v>
      </c>
      <c r="B202" s="12" t="s">
        <v>954</v>
      </c>
      <c r="C202" s="12" t="n">
        <v>2026</v>
      </c>
      <c r="D202" s="12" t="n">
        <v>140</v>
      </c>
      <c r="E202" s="12" t="n">
        <v>2494.8</v>
      </c>
      <c r="F202" s="12" t="n">
        <v>4401001</v>
      </c>
      <c r="G202" s="12" t="s">
        <v>1310</v>
      </c>
    </row>
    <row r="203" customFormat="false" ht="15" hidden="false" customHeight="true" outlineLevel="0" collapsed="false">
      <c r="A203" s="12" t="s">
        <v>952</v>
      </c>
      <c r="B203" s="12" t="s">
        <v>955</v>
      </c>
      <c r="C203" s="12" t="n">
        <v>2025</v>
      </c>
      <c r="D203" s="12" t="n">
        <v>335</v>
      </c>
      <c r="E203" s="12" t="n">
        <v>1946.35</v>
      </c>
      <c r="F203" s="12" t="n">
        <v>4401002</v>
      </c>
      <c r="G203" s="12" t="s">
        <v>1310</v>
      </c>
    </row>
    <row r="204" customFormat="false" ht="15" hidden="false" customHeight="true" outlineLevel="0" collapsed="false">
      <c r="A204" s="12" t="s">
        <v>952</v>
      </c>
      <c r="B204" s="12" t="s">
        <v>955</v>
      </c>
      <c r="C204" s="12" t="n">
        <v>2026</v>
      </c>
      <c r="D204" s="12" t="n">
        <v>59</v>
      </c>
      <c r="E204" s="12" t="n">
        <v>342.79</v>
      </c>
      <c r="F204" s="12" t="n">
        <v>4401002</v>
      </c>
      <c r="G204" s="12" t="s">
        <v>1310</v>
      </c>
    </row>
    <row r="205" customFormat="false" ht="15" hidden="false" customHeight="true" outlineLevel="0" collapsed="false">
      <c r="A205" s="12" t="s">
        <v>952</v>
      </c>
      <c r="B205" s="12" t="s">
        <v>958</v>
      </c>
      <c r="C205" s="12" t="n">
        <v>2025</v>
      </c>
      <c r="D205" s="12" t="n">
        <v>154</v>
      </c>
      <c r="E205" s="12" t="n">
        <v>2671.9</v>
      </c>
      <c r="F205" s="12" t="n">
        <v>4402000</v>
      </c>
      <c r="G205" s="12" t="s">
        <v>1312</v>
      </c>
    </row>
    <row r="206" customFormat="false" ht="15" hidden="false" customHeight="true" outlineLevel="0" collapsed="false">
      <c r="A206" s="12" t="s">
        <v>952</v>
      </c>
      <c r="B206" s="12" t="s">
        <v>958</v>
      </c>
      <c r="C206" s="12" t="n">
        <v>2026</v>
      </c>
      <c r="D206" s="12" t="n">
        <v>26</v>
      </c>
      <c r="E206" s="12" t="n">
        <v>451.1</v>
      </c>
      <c r="F206" s="12" t="n">
        <v>4402000</v>
      </c>
      <c r="G206" s="12" t="s">
        <v>1312</v>
      </c>
    </row>
    <row r="207" customFormat="false" ht="15" hidden="false" customHeight="true" outlineLevel="0" collapsed="false">
      <c r="A207" s="12" t="s">
        <v>952</v>
      </c>
      <c r="B207" s="12" t="s">
        <v>959</v>
      </c>
      <c r="C207" s="12" t="n">
        <v>2025</v>
      </c>
      <c r="D207" s="12" t="n">
        <v>163</v>
      </c>
      <c r="E207" s="12" t="n">
        <v>2089.66</v>
      </c>
      <c r="F207" s="12" t="n">
        <v>4402007</v>
      </c>
      <c r="G207" s="12" t="s">
        <v>1310</v>
      </c>
    </row>
    <row r="208" customFormat="false" ht="15" hidden="false" customHeight="true" outlineLevel="0" collapsed="false">
      <c r="A208" s="12" t="s">
        <v>952</v>
      </c>
      <c r="B208" s="12" t="s">
        <v>959</v>
      </c>
      <c r="C208" s="12" t="n">
        <v>2026</v>
      </c>
      <c r="D208" s="12" t="n">
        <v>34</v>
      </c>
      <c r="E208" s="12" t="n">
        <v>435.88</v>
      </c>
      <c r="F208" s="12" t="n">
        <v>4402007</v>
      </c>
      <c r="G208" s="12" t="s">
        <v>1310</v>
      </c>
    </row>
    <row r="209" customFormat="false" ht="15" hidden="false" customHeight="true" outlineLevel="0" collapsed="false">
      <c r="A209" s="12" t="s">
        <v>952</v>
      </c>
      <c r="B209" s="12" t="s">
        <v>1313</v>
      </c>
      <c r="C209" s="12" t="n">
        <v>2025</v>
      </c>
      <c r="D209" s="12" t="n">
        <v>145</v>
      </c>
      <c r="E209" s="12" t="n">
        <v>7757.5</v>
      </c>
      <c r="F209" s="12" t="n">
        <v>4402011</v>
      </c>
      <c r="G209" s="12" t="s">
        <v>1310</v>
      </c>
    </row>
    <row r="210" customFormat="false" ht="15" hidden="false" customHeight="true" outlineLevel="0" collapsed="false">
      <c r="A210" s="12" t="s">
        <v>952</v>
      </c>
      <c r="B210" s="12" t="s">
        <v>1313</v>
      </c>
      <c r="C210" s="12" t="n">
        <v>2026</v>
      </c>
      <c r="D210" s="12" t="n">
        <v>49</v>
      </c>
      <c r="E210" s="12" t="n">
        <v>2621.5</v>
      </c>
      <c r="F210" s="12" t="n">
        <v>4402011</v>
      </c>
      <c r="G210" s="12" t="s">
        <v>1310</v>
      </c>
    </row>
    <row r="211" customFormat="false" ht="15" hidden="false" customHeight="true" outlineLevel="0" collapsed="false">
      <c r="A211" s="12" t="s">
        <v>952</v>
      </c>
      <c r="B211" s="12" t="s">
        <v>1314</v>
      </c>
      <c r="C211" s="12" t="n">
        <v>2025</v>
      </c>
      <c r="D211" s="12" t="n">
        <v>2</v>
      </c>
      <c r="E211" s="12" t="n">
        <v>47.2</v>
      </c>
      <c r="F211" s="12" t="n">
        <v>4403000</v>
      </c>
      <c r="G211" s="12" t="s">
        <v>1310</v>
      </c>
    </row>
    <row r="212" customFormat="false" ht="15" hidden="false" customHeight="true" outlineLevel="0" collapsed="false">
      <c r="A212" s="12" t="s">
        <v>952</v>
      </c>
      <c r="B212" s="12" t="s">
        <v>1314</v>
      </c>
      <c r="C212" s="12" t="n">
        <v>2026</v>
      </c>
      <c r="D212" s="12" t="n">
        <v>11</v>
      </c>
      <c r="E212" s="12" t="n">
        <v>259.6</v>
      </c>
      <c r="F212" s="12" t="n">
        <v>4403000</v>
      </c>
      <c r="G212" s="12" t="s">
        <v>1310</v>
      </c>
    </row>
    <row r="213" customFormat="false" ht="15" hidden="false" customHeight="true" outlineLevel="0" collapsed="false">
      <c r="A213" s="12" t="s">
        <v>952</v>
      </c>
      <c r="B213" s="12" t="s">
        <v>1315</v>
      </c>
      <c r="C213" s="12" t="n">
        <v>2025</v>
      </c>
      <c r="D213" s="12" t="n">
        <v>40</v>
      </c>
      <c r="E213" s="12" t="n">
        <v>944</v>
      </c>
      <c r="F213" s="12" t="n">
        <v>4403001</v>
      </c>
      <c r="G213" s="12" t="s">
        <v>1310</v>
      </c>
    </row>
    <row r="214" customFormat="false" ht="15" hidden="false" customHeight="true" outlineLevel="0" collapsed="false">
      <c r="A214" s="12" t="s">
        <v>952</v>
      </c>
      <c r="B214" s="12" t="s">
        <v>1315</v>
      </c>
      <c r="C214" s="12" t="n">
        <v>2026</v>
      </c>
      <c r="D214" s="12" t="n">
        <v>17</v>
      </c>
      <c r="E214" s="12" t="n">
        <v>401.2</v>
      </c>
      <c r="F214" s="12" t="n">
        <v>4403001</v>
      </c>
      <c r="G214" s="12" t="s">
        <v>1310</v>
      </c>
    </row>
    <row r="215" customFormat="false" ht="15" hidden="false" customHeight="true" outlineLevel="0" collapsed="false">
      <c r="A215" s="12" t="s">
        <v>952</v>
      </c>
      <c r="B215" s="12" t="s">
        <v>960</v>
      </c>
      <c r="C215" s="12" t="n">
        <v>2025</v>
      </c>
      <c r="D215" s="12" t="n">
        <v>43</v>
      </c>
      <c r="E215" s="12" t="n">
        <v>1014.8</v>
      </c>
      <c r="F215" s="12" t="n">
        <v>4403002</v>
      </c>
      <c r="G215" s="12" t="s">
        <v>1310</v>
      </c>
    </row>
    <row r="216" customFormat="false" ht="15" hidden="false" customHeight="true" outlineLevel="0" collapsed="false">
      <c r="A216" s="12" t="s">
        <v>952</v>
      </c>
      <c r="B216" s="12" t="s">
        <v>960</v>
      </c>
      <c r="C216" s="12" t="n">
        <v>2026</v>
      </c>
      <c r="D216" s="12" t="n">
        <v>60</v>
      </c>
      <c r="E216" s="12" t="n">
        <v>1416</v>
      </c>
      <c r="F216" s="12" t="n">
        <v>4403002</v>
      </c>
      <c r="G216" s="12" t="s">
        <v>1310</v>
      </c>
    </row>
    <row r="217" customFormat="false" ht="15" hidden="false" customHeight="true" outlineLevel="0" collapsed="false">
      <c r="A217" s="12" t="s">
        <v>952</v>
      </c>
      <c r="B217" s="12" t="s">
        <v>1316</v>
      </c>
      <c r="C217" s="12" t="n">
        <v>2025</v>
      </c>
      <c r="D217" s="12" t="n">
        <v>7</v>
      </c>
      <c r="E217" s="12" t="n">
        <v>165.2</v>
      </c>
      <c r="F217" s="12" t="n">
        <v>4403003</v>
      </c>
      <c r="G217" s="12" t="s">
        <v>1310</v>
      </c>
    </row>
    <row r="218" customFormat="false" ht="15" hidden="false" customHeight="true" outlineLevel="0" collapsed="false">
      <c r="A218" s="12" t="s">
        <v>952</v>
      </c>
      <c r="B218" s="12" t="s">
        <v>1316</v>
      </c>
      <c r="C218" s="12" t="n">
        <v>2026</v>
      </c>
      <c r="D218" s="12" t="n">
        <v>12</v>
      </c>
      <c r="E218" s="12" t="n">
        <v>283.2</v>
      </c>
      <c r="F218" s="12" t="n">
        <v>4403003</v>
      </c>
      <c r="G218" s="12" t="s">
        <v>1310</v>
      </c>
    </row>
    <row r="219" customFormat="false" ht="15" hidden="false" customHeight="true" outlineLevel="0" collapsed="false">
      <c r="A219" s="12" t="s">
        <v>952</v>
      </c>
      <c r="B219" s="12" t="s">
        <v>961</v>
      </c>
      <c r="C219" s="12" t="n">
        <v>2025</v>
      </c>
      <c r="D219" s="12" t="n">
        <v>25</v>
      </c>
      <c r="E219" s="12" t="n">
        <v>590</v>
      </c>
      <c r="F219" s="12" t="n">
        <v>4403005</v>
      </c>
      <c r="G219" s="12" t="s">
        <v>1310</v>
      </c>
    </row>
    <row r="220" customFormat="false" ht="15" hidden="false" customHeight="true" outlineLevel="0" collapsed="false">
      <c r="A220" s="12" t="s">
        <v>952</v>
      </c>
      <c r="B220" s="12" t="s">
        <v>961</v>
      </c>
      <c r="C220" s="12" t="n">
        <v>2026</v>
      </c>
      <c r="D220" s="12" t="n">
        <v>9</v>
      </c>
      <c r="E220" s="12" t="n">
        <v>212.4</v>
      </c>
      <c r="F220" s="12" t="n">
        <v>4403005</v>
      </c>
      <c r="G220" s="12" t="s">
        <v>1310</v>
      </c>
    </row>
    <row r="221" customFormat="false" ht="15" hidden="false" customHeight="true" outlineLevel="0" collapsed="false">
      <c r="A221" s="12" t="s">
        <v>952</v>
      </c>
      <c r="B221" s="12" t="s">
        <v>1317</v>
      </c>
      <c r="C221" s="12" t="n">
        <v>2025</v>
      </c>
      <c r="D221" s="12" t="n">
        <v>3</v>
      </c>
      <c r="E221" s="12" t="n">
        <v>70.8</v>
      </c>
      <c r="F221" s="12" t="n">
        <v>4403006</v>
      </c>
      <c r="G221" s="12" t="s">
        <v>1310</v>
      </c>
    </row>
    <row r="222" customFormat="false" ht="15" hidden="false" customHeight="true" outlineLevel="0" collapsed="false">
      <c r="A222" s="12" t="s">
        <v>952</v>
      </c>
      <c r="B222" s="12" t="s">
        <v>1317</v>
      </c>
      <c r="C222" s="12" t="n">
        <v>2026</v>
      </c>
      <c r="D222" s="12" t="n">
        <v>4</v>
      </c>
      <c r="E222" s="12" t="n">
        <v>94.4</v>
      </c>
      <c r="F222" s="12" t="n">
        <v>4403006</v>
      </c>
      <c r="G222" s="12" t="s">
        <v>1310</v>
      </c>
    </row>
    <row r="223" customFormat="false" ht="15" hidden="false" customHeight="true" outlineLevel="0" collapsed="false">
      <c r="A223" s="12" t="s">
        <v>952</v>
      </c>
      <c r="B223" s="12" t="s">
        <v>1318</v>
      </c>
      <c r="C223" s="12" t="n">
        <v>2025</v>
      </c>
      <c r="D223" s="12" t="n">
        <v>31</v>
      </c>
      <c r="E223" s="12" t="n">
        <v>731.6</v>
      </c>
      <c r="F223" s="12" t="n">
        <v>4403007</v>
      </c>
      <c r="G223" s="12" t="s">
        <v>1310</v>
      </c>
    </row>
    <row r="224" customFormat="false" ht="15" hidden="false" customHeight="true" outlineLevel="0" collapsed="false">
      <c r="A224" s="12" t="s">
        <v>952</v>
      </c>
      <c r="B224" s="12" t="s">
        <v>1318</v>
      </c>
      <c r="C224" s="12" t="n">
        <v>2026</v>
      </c>
      <c r="D224" s="12" t="n">
        <v>3</v>
      </c>
      <c r="E224" s="12" t="n">
        <v>70.8</v>
      </c>
      <c r="F224" s="12" t="n">
        <v>4403007</v>
      </c>
      <c r="G224" s="12" t="s">
        <v>1310</v>
      </c>
    </row>
    <row r="225" customFormat="false" ht="15" hidden="false" customHeight="true" outlineLevel="0" collapsed="false">
      <c r="A225" s="12" t="s">
        <v>952</v>
      </c>
      <c r="B225" s="12" t="s">
        <v>1319</v>
      </c>
      <c r="C225" s="12" t="n">
        <v>2025</v>
      </c>
      <c r="D225" s="12" t="n">
        <v>39</v>
      </c>
      <c r="E225" s="12" t="n">
        <v>920.4</v>
      </c>
      <c r="F225" s="12" t="n">
        <v>4403008</v>
      </c>
      <c r="G225" s="12" t="s">
        <v>1310</v>
      </c>
    </row>
    <row r="226" customFormat="false" ht="15" hidden="false" customHeight="true" outlineLevel="0" collapsed="false">
      <c r="A226" s="12" t="s">
        <v>952</v>
      </c>
      <c r="B226" s="12" t="s">
        <v>1319</v>
      </c>
      <c r="C226" s="12" t="n">
        <v>2026</v>
      </c>
      <c r="D226" s="12" t="n">
        <v>10</v>
      </c>
      <c r="E226" s="12" t="n">
        <v>236</v>
      </c>
      <c r="F226" s="12" t="n">
        <v>4403008</v>
      </c>
      <c r="G226" s="12" t="s">
        <v>1310</v>
      </c>
    </row>
    <row r="227" customFormat="false" ht="15" hidden="false" customHeight="true" outlineLevel="0" collapsed="false">
      <c r="A227" s="12" t="s">
        <v>952</v>
      </c>
      <c r="B227" s="12" t="s">
        <v>962</v>
      </c>
      <c r="C227" s="12" t="n">
        <v>2025</v>
      </c>
      <c r="D227" s="12" t="n">
        <v>63</v>
      </c>
      <c r="E227" s="12" t="n">
        <v>1159.2</v>
      </c>
      <c r="F227" s="12" t="n">
        <v>4403017</v>
      </c>
      <c r="G227" s="12" t="s">
        <v>1310</v>
      </c>
    </row>
    <row r="228" customFormat="false" ht="15" hidden="false" customHeight="true" outlineLevel="0" collapsed="false">
      <c r="A228" s="12" t="s">
        <v>952</v>
      </c>
      <c r="B228" s="12" t="s">
        <v>962</v>
      </c>
      <c r="C228" s="12" t="n">
        <v>2026</v>
      </c>
      <c r="D228" s="12" t="n">
        <v>3</v>
      </c>
      <c r="E228" s="12" t="n">
        <v>55.2</v>
      </c>
      <c r="F228" s="12" t="n">
        <v>4403017</v>
      </c>
      <c r="G228" s="12" t="s">
        <v>1310</v>
      </c>
    </row>
    <row r="229" customFormat="false" ht="15" hidden="false" customHeight="true" outlineLevel="0" collapsed="false">
      <c r="A229" s="12" t="s">
        <v>952</v>
      </c>
      <c r="B229" s="12" t="s">
        <v>963</v>
      </c>
      <c r="C229" s="12" t="n">
        <v>2025</v>
      </c>
      <c r="D229" s="12" t="n">
        <v>191</v>
      </c>
      <c r="E229" s="12" t="n">
        <v>3514.4</v>
      </c>
      <c r="F229" s="12" t="n">
        <v>4403018</v>
      </c>
      <c r="G229" s="12" t="s">
        <v>1310</v>
      </c>
    </row>
    <row r="230" customFormat="false" ht="15" hidden="false" customHeight="true" outlineLevel="0" collapsed="false">
      <c r="A230" s="12" t="s">
        <v>952</v>
      </c>
      <c r="B230" s="12" t="s">
        <v>963</v>
      </c>
      <c r="C230" s="12" t="n">
        <v>2026</v>
      </c>
      <c r="D230" s="12" t="n">
        <v>20</v>
      </c>
      <c r="E230" s="12" t="n">
        <v>368</v>
      </c>
      <c r="F230" s="12" t="n">
        <v>4403018</v>
      </c>
      <c r="G230" s="12" t="s">
        <v>1310</v>
      </c>
    </row>
    <row r="231" customFormat="false" ht="15" hidden="false" customHeight="true" outlineLevel="0" collapsed="false">
      <c r="A231" s="12" t="s">
        <v>952</v>
      </c>
      <c r="B231" s="12" t="s">
        <v>964</v>
      </c>
      <c r="C231" s="12" t="n">
        <v>2025</v>
      </c>
      <c r="D231" s="12" t="n">
        <v>206</v>
      </c>
      <c r="E231" s="12" t="n">
        <v>3790.4</v>
      </c>
      <c r="F231" s="12" t="n">
        <v>4403019</v>
      </c>
      <c r="G231" s="12" t="s">
        <v>1310</v>
      </c>
    </row>
    <row r="232" customFormat="false" ht="15" hidden="false" customHeight="true" outlineLevel="0" collapsed="false">
      <c r="A232" s="12" t="s">
        <v>952</v>
      </c>
      <c r="B232" s="12" t="s">
        <v>964</v>
      </c>
      <c r="C232" s="12" t="n">
        <v>2026</v>
      </c>
      <c r="D232" s="12" t="n">
        <v>21</v>
      </c>
      <c r="E232" s="12" t="n">
        <v>386.4</v>
      </c>
      <c r="F232" s="12" t="n">
        <v>4403019</v>
      </c>
      <c r="G232" s="12" t="s">
        <v>1310</v>
      </c>
    </row>
    <row r="233" customFormat="false" ht="15" hidden="false" customHeight="true" outlineLevel="0" collapsed="false">
      <c r="A233" s="12" t="s">
        <v>952</v>
      </c>
      <c r="B233" s="12" t="s">
        <v>968</v>
      </c>
      <c r="C233" s="12" t="n">
        <v>2025</v>
      </c>
      <c r="D233" s="12" t="n">
        <v>49</v>
      </c>
      <c r="E233" s="12" t="n">
        <v>901.6</v>
      </c>
      <c r="F233" s="12" t="n">
        <v>4403023</v>
      </c>
      <c r="G233" s="12" t="s">
        <v>1310</v>
      </c>
    </row>
    <row r="234" customFormat="false" ht="15" hidden="false" customHeight="true" outlineLevel="0" collapsed="false">
      <c r="A234" s="12" t="s">
        <v>952</v>
      </c>
      <c r="B234" s="12" t="s">
        <v>968</v>
      </c>
      <c r="C234" s="12" t="n">
        <v>2026</v>
      </c>
      <c r="D234" s="12" t="n">
        <v>14</v>
      </c>
      <c r="E234" s="12" t="n">
        <v>257.6</v>
      </c>
      <c r="F234" s="12" t="n">
        <v>4403023</v>
      </c>
      <c r="G234" s="12" t="s">
        <v>1310</v>
      </c>
    </row>
    <row r="235" customFormat="false" ht="15" hidden="false" customHeight="true" outlineLevel="0" collapsed="false">
      <c r="A235" s="12" t="s">
        <v>952</v>
      </c>
      <c r="B235" s="12" t="s">
        <v>969</v>
      </c>
      <c r="C235" s="12" t="n">
        <v>2025</v>
      </c>
      <c r="D235" s="12" t="n">
        <v>37</v>
      </c>
      <c r="E235" s="12" t="n">
        <v>680.8</v>
      </c>
      <c r="F235" s="12" t="n">
        <v>4403024</v>
      </c>
      <c r="G235" s="12" t="s">
        <v>1310</v>
      </c>
    </row>
    <row r="236" customFormat="false" ht="15" hidden="false" customHeight="true" outlineLevel="0" collapsed="false">
      <c r="A236" s="12" t="s">
        <v>952</v>
      </c>
      <c r="B236" s="12" t="s">
        <v>969</v>
      </c>
      <c r="C236" s="12" t="n">
        <v>2026</v>
      </c>
      <c r="D236" s="12" t="n">
        <v>31</v>
      </c>
      <c r="E236" s="12" t="n">
        <v>570.4</v>
      </c>
      <c r="F236" s="12" t="n">
        <v>4403024</v>
      </c>
      <c r="G236" s="12" t="s">
        <v>1310</v>
      </c>
    </row>
    <row r="237" customFormat="false" ht="15" hidden="false" customHeight="true" outlineLevel="0" collapsed="false">
      <c r="A237" s="12" t="s">
        <v>952</v>
      </c>
      <c r="B237" s="12" t="s">
        <v>970</v>
      </c>
      <c r="C237" s="12" t="n">
        <v>2025</v>
      </c>
      <c r="D237" s="12" t="n">
        <v>50</v>
      </c>
      <c r="E237" s="12" t="n">
        <v>920</v>
      </c>
      <c r="F237" s="12" t="n">
        <v>4403025</v>
      </c>
      <c r="G237" s="12" t="s">
        <v>1310</v>
      </c>
    </row>
    <row r="238" customFormat="false" ht="15" hidden="false" customHeight="true" outlineLevel="0" collapsed="false">
      <c r="A238" s="12" t="s">
        <v>952</v>
      </c>
      <c r="B238" s="12" t="s">
        <v>970</v>
      </c>
      <c r="C238" s="12" t="n">
        <v>2026</v>
      </c>
      <c r="D238" s="12" t="n">
        <v>20</v>
      </c>
      <c r="E238" s="12" t="n">
        <v>368</v>
      </c>
      <c r="F238" s="12" t="n">
        <v>4403025</v>
      </c>
      <c r="G238" s="12" t="s">
        <v>1310</v>
      </c>
    </row>
    <row r="239" customFormat="false" ht="15" hidden="false" customHeight="true" outlineLevel="0" collapsed="false">
      <c r="A239" s="12" t="s">
        <v>952</v>
      </c>
      <c r="B239" s="12" t="s">
        <v>971</v>
      </c>
      <c r="C239" s="12" t="n">
        <v>2025</v>
      </c>
      <c r="D239" s="12" t="n">
        <v>312</v>
      </c>
      <c r="E239" s="12" t="n">
        <v>13044.72</v>
      </c>
      <c r="F239" s="12" t="n">
        <v>4403029</v>
      </c>
      <c r="G239" s="12" t="s">
        <v>1310</v>
      </c>
    </row>
    <row r="240" customFormat="false" ht="15" hidden="false" customHeight="true" outlineLevel="0" collapsed="false">
      <c r="A240" s="12" t="s">
        <v>952</v>
      </c>
      <c r="B240" s="12" t="s">
        <v>971</v>
      </c>
      <c r="C240" s="12" t="n">
        <v>2026</v>
      </c>
      <c r="D240" s="12" t="n">
        <v>-2</v>
      </c>
      <c r="E240" s="12" t="n">
        <v>-83.62</v>
      </c>
      <c r="F240" s="12" t="n">
        <v>4403029</v>
      </c>
      <c r="G240" s="12" t="s">
        <v>1310</v>
      </c>
    </row>
    <row r="241" customFormat="false" ht="15" hidden="false" customHeight="true" outlineLevel="0" collapsed="false">
      <c r="A241" s="12" t="s">
        <v>952</v>
      </c>
      <c r="B241" s="12" t="s">
        <v>974</v>
      </c>
      <c r="C241" s="12" t="n">
        <v>2025</v>
      </c>
      <c r="D241" s="12" t="n">
        <v>125</v>
      </c>
      <c r="E241" s="12" t="n">
        <v>5226.25</v>
      </c>
      <c r="F241" s="12" t="n">
        <v>4403041</v>
      </c>
      <c r="G241" s="12" t="s">
        <v>1312</v>
      </c>
    </row>
    <row r="242" customFormat="false" ht="15" hidden="false" customHeight="true" outlineLevel="0" collapsed="false">
      <c r="A242" s="12" t="s">
        <v>952</v>
      </c>
      <c r="B242" s="12" t="s">
        <v>974</v>
      </c>
      <c r="C242" s="12" t="n">
        <v>2026</v>
      </c>
      <c r="D242" s="12" t="n">
        <v>-3</v>
      </c>
      <c r="E242" s="12" t="n">
        <v>-125.43</v>
      </c>
      <c r="F242" s="12" t="n">
        <v>4403041</v>
      </c>
      <c r="G242" s="12" t="s">
        <v>1312</v>
      </c>
    </row>
    <row r="243" customFormat="false" ht="15" hidden="false" customHeight="true" outlineLevel="0" collapsed="false">
      <c r="A243" s="12" t="s">
        <v>952</v>
      </c>
      <c r="B243" s="12" t="s">
        <v>977</v>
      </c>
      <c r="C243" s="12" t="n">
        <v>2025</v>
      </c>
      <c r="D243" s="12" t="n">
        <v>284</v>
      </c>
      <c r="E243" s="12" t="n">
        <v>11874.04</v>
      </c>
      <c r="F243" s="12" t="n">
        <v>4403043</v>
      </c>
      <c r="G243" s="12" t="s">
        <v>1312</v>
      </c>
    </row>
    <row r="244" customFormat="false" ht="15" hidden="false" customHeight="true" outlineLevel="0" collapsed="false">
      <c r="A244" s="12" t="s">
        <v>952</v>
      </c>
      <c r="B244" s="12" t="s">
        <v>977</v>
      </c>
      <c r="C244" s="12" t="n">
        <v>2026</v>
      </c>
      <c r="D244" s="12" t="n">
        <v>-2</v>
      </c>
      <c r="E244" s="12" t="n">
        <v>-83.62</v>
      </c>
      <c r="F244" s="12" t="n">
        <v>4403043</v>
      </c>
      <c r="G244" s="12" t="s">
        <v>1312</v>
      </c>
    </row>
    <row r="245" customFormat="false" ht="15" hidden="false" customHeight="true" outlineLevel="0" collapsed="false">
      <c r="A245" s="12" t="s">
        <v>952</v>
      </c>
      <c r="B245" s="12" t="s">
        <v>1320</v>
      </c>
      <c r="C245" s="12" t="n">
        <v>2025</v>
      </c>
      <c r="D245" s="12" t="n">
        <v>6</v>
      </c>
      <c r="E245" s="12" t="n">
        <v>1053</v>
      </c>
      <c r="F245" s="12" t="n">
        <v>4408014</v>
      </c>
      <c r="G245" s="12" t="s">
        <v>1310</v>
      </c>
    </row>
    <row r="246" customFormat="false" ht="15" hidden="false" customHeight="true" outlineLevel="0" collapsed="false">
      <c r="A246" s="12" t="s">
        <v>952</v>
      </c>
      <c r="B246" s="12" t="s">
        <v>1320</v>
      </c>
      <c r="C246" s="12" t="n">
        <v>2026</v>
      </c>
      <c r="D246" s="12" t="n">
        <v>3</v>
      </c>
      <c r="E246" s="12" t="n">
        <v>526.5</v>
      </c>
      <c r="F246" s="12" t="n">
        <v>4408014</v>
      </c>
      <c r="G246" s="12" t="s">
        <v>1310</v>
      </c>
    </row>
    <row r="247" customFormat="false" ht="15" hidden="false" customHeight="true" outlineLevel="0" collapsed="false">
      <c r="A247" s="12" t="s">
        <v>952</v>
      </c>
      <c r="B247" s="12" t="s">
        <v>1321</v>
      </c>
      <c r="C247" s="12" t="n">
        <v>2025</v>
      </c>
      <c r="D247" s="12" t="n">
        <v>64</v>
      </c>
      <c r="E247" s="12" t="n">
        <v>11232</v>
      </c>
      <c r="F247" s="12" t="n">
        <v>4408015</v>
      </c>
      <c r="G247" s="12" t="s">
        <v>1310</v>
      </c>
    </row>
    <row r="248" customFormat="false" ht="15" hidden="false" customHeight="true" outlineLevel="0" collapsed="false">
      <c r="A248" s="12" t="s">
        <v>952</v>
      </c>
      <c r="B248" s="12" t="s">
        <v>1321</v>
      </c>
      <c r="C248" s="12" t="n">
        <v>2026</v>
      </c>
      <c r="D248" s="12" t="n">
        <v>12</v>
      </c>
      <c r="E248" s="12" t="n">
        <v>2106</v>
      </c>
      <c r="F248" s="12" t="n">
        <v>4408015</v>
      </c>
      <c r="G248" s="12" t="s">
        <v>1310</v>
      </c>
    </row>
    <row r="249" customFormat="false" ht="15" hidden="false" customHeight="true" outlineLevel="0" collapsed="false">
      <c r="A249" s="12" t="s">
        <v>952</v>
      </c>
      <c r="B249" s="12" t="s">
        <v>981</v>
      </c>
      <c r="C249" s="12" t="n">
        <v>2025</v>
      </c>
      <c r="D249" s="12" t="n">
        <v>21</v>
      </c>
      <c r="E249" s="12" t="n">
        <v>3685.5</v>
      </c>
      <c r="F249" s="12" t="n">
        <v>4408016</v>
      </c>
      <c r="G249" s="12" t="s">
        <v>1310</v>
      </c>
    </row>
    <row r="250" customFormat="false" ht="15" hidden="false" customHeight="true" outlineLevel="0" collapsed="false">
      <c r="A250" s="12" t="s">
        <v>952</v>
      </c>
      <c r="B250" s="12" t="s">
        <v>981</v>
      </c>
      <c r="C250" s="12" t="n">
        <v>2026</v>
      </c>
      <c r="D250" s="12" t="n">
        <v>4</v>
      </c>
      <c r="E250" s="12" t="n">
        <v>702</v>
      </c>
      <c r="F250" s="12" t="n">
        <v>4408016</v>
      </c>
      <c r="G250" s="12" t="s">
        <v>1310</v>
      </c>
    </row>
    <row r="251" customFormat="false" ht="15" hidden="false" customHeight="true" outlineLevel="0" collapsed="false">
      <c r="A251" s="12" t="s">
        <v>952</v>
      </c>
      <c r="B251" s="12" t="s">
        <v>982</v>
      </c>
      <c r="C251" s="12" t="n">
        <v>2025</v>
      </c>
      <c r="D251" s="12" t="n">
        <v>67</v>
      </c>
      <c r="E251" s="12" t="n">
        <v>11758.5</v>
      </c>
      <c r="F251" s="12" t="n">
        <v>4408017</v>
      </c>
      <c r="G251" s="12" t="s">
        <v>1310</v>
      </c>
    </row>
    <row r="252" customFormat="false" ht="15" hidden="false" customHeight="true" outlineLevel="0" collapsed="false">
      <c r="A252" s="12" t="s">
        <v>952</v>
      </c>
      <c r="B252" s="12" t="s">
        <v>982</v>
      </c>
      <c r="C252" s="12" t="n">
        <v>2026</v>
      </c>
      <c r="D252" s="12" t="n">
        <v>11</v>
      </c>
      <c r="E252" s="12" t="n">
        <v>1930.5</v>
      </c>
      <c r="F252" s="12" t="n">
        <v>4408017</v>
      </c>
      <c r="G252" s="12" t="s">
        <v>1310</v>
      </c>
    </row>
    <row r="253" customFormat="false" ht="15" hidden="false" customHeight="true" outlineLevel="0" collapsed="false">
      <c r="A253" s="12" t="s">
        <v>952</v>
      </c>
      <c r="B253" s="12" t="s">
        <v>983</v>
      </c>
      <c r="C253" s="12" t="n">
        <v>2025</v>
      </c>
      <c r="D253" s="12" t="n">
        <v>52</v>
      </c>
      <c r="E253" s="12" t="n">
        <v>9126</v>
      </c>
      <c r="F253" s="12" t="n">
        <v>4408018</v>
      </c>
      <c r="G253" s="12" t="s">
        <v>1310</v>
      </c>
    </row>
    <row r="254" customFormat="false" ht="15" hidden="false" customHeight="true" outlineLevel="0" collapsed="false">
      <c r="A254" s="12" t="s">
        <v>952</v>
      </c>
      <c r="B254" s="12" t="s">
        <v>983</v>
      </c>
      <c r="C254" s="12" t="n">
        <v>2026</v>
      </c>
      <c r="D254" s="12" t="n">
        <v>4</v>
      </c>
      <c r="E254" s="12" t="n">
        <v>702</v>
      </c>
      <c r="F254" s="12" t="n">
        <v>4408018</v>
      </c>
      <c r="G254" s="12" t="s">
        <v>1310</v>
      </c>
    </row>
    <row r="255" customFormat="false" ht="15" hidden="false" customHeight="true" outlineLevel="0" collapsed="false">
      <c r="A255" s="12" t="s">
        <v>952</v>
      </c>
      <c r="B255" s="12" t="s">
        <v>987</v>
      </c>
      <c r="C255" s="12" t="n">
        <v>2025</v>
      </c>
      <c r="D255" s="12" t="n">
        <v>33</v>
      </c>
      <c r="E255" s="12" t="n">
        <v>2387.22</v>
      </c>
      <c r="F255" s="12" t="n">
        <v>4408031</v>
      </c>
      <c r="G255" s="12" t="s">
        <v>1310</v>
      </c>
    </row>
    <row r="256" customFormat="false" ht="15" hidden="false" customHeight="true" outlineLevel="0" collapsed="false">
      <c r="A256" s="12" t="s">
        <v>952</v>
      </c>
      <c r="B256" s="12" t="s">
        <v>987</v>
      </c>
      <c r="C256" s="12" t="n">
        <v>2026</v>
      </c>
      <c r="D256" s="12" t="n">
        <v>2</v>
      </c>
      <c r="E256" s="12" t="n">
        <v>144.68</v>
      </c>
      <c r="F256" s="12" t="n">
        <v>4408031</v>
      </c>
      <c r="G256" s="12" t="s">
        <v>1310</v>
      </c>
    </row>
    <row r="257" customFormat="false" ht="15" hidden="false" customHeight="true" outlineLevel="0" collapsed="false">
      <c r="A257" s="12" t="s">
        <v>952</v>
      </c>
      <c r="B257" s="12" t="s">
        <v>988</v>
      </c>
      <c r="C257" s="12" t="n">
        <v>2025</v>
      </c>
      <c r="D257" s="12" t="n">
        <v>74</v>
      </c>
      <c r="E257" s="12" t="n">
        <v>5353.16</v>
      </c>
      <c r="F257" s="12" t="n">
        <v>4408032</v>
      </c>
      <c r="G257" s="12" t="s">
        <v>1310</v>
      </c>
    </row>
    <row r="258" customFormat="false" ht="15" hidden="false" customHeight="true" outlineLevel="0" collapsed="false">
      <c r="A258" s="12" t="s">
        <v>952</v>
      </c>
      <c r="B258" s="12" t="s">
        <v>988</v>
      </c>
      <c r="C258" s="12" t="n">
        <v>2026</v>
      </c>
      <c r="D258" s="12" t="n">
        <v>17</v>
      </c>
      <c r="E258" s="12" t="n">
        <v>1229.78</v>
      </c>
      <c r="F258" s="12" t="n">
        <v>4408032</v>
      </c>
      <c r="G258" s="12" t="s">
        <v>1310</v>
      </c>
    </row>
    <row r="259" customFormat="false" ht="15" hidden="false" customHeight="true" outlineLevel="0" collapsed="false">
      <c r="A259" s="12" t="s">
        <v>952</v>
      </c>
      <c r="B259" s="12" t="s">
        <v>989</v>
      </c>
      <c r="C259" s="12" t="n">
        <v>2025</v>
      </c>
      <c r="D259" s="12" t="n">
        <v>57</v>
      </c>
      <c r="E259" s="12" t="n">
        <v>4123.38</v>
      </c>
      <c r="F259" s="12" t="n">
        <v>4408033</v>
      </c>
      <c r="G259" s="12" t="s">
        <v>1310</v>
      </c>
    </row>
    <row r="260" customFormat="false" ht="15" hidden="false" customHeight="true" outlineLevel="0" collapsed="false">
      <c r="A260" s="12" t="s">
        <v>952</v>
      </c>
      <c r="B260" s="12" t="s">
        <v>989</v>
      </c>
      <c r="C260" s="12" t="n">
        <v>2026</v>
      </c>
      <c r="D260" s="12" t="n">
        <v>12</v>
      </c>
      <c r="E260" s="12" t="n">
        <v>868.08</v>
      </c>
      <c r="F260" s="12" t="n">
        <v>4408033</v>
      </c>
      <c r="G260" s="12" t="s">
        <v>1310</v>
      </c>
    </row>
    <row r="261" customFormat="false" ht="15" hidden="false" customHeight="true" outlineLevel="0" collapsed="false">
      <c r="A261" s="12" t="s">
        <v>952</v>
      </c>
      <c r="B261" s="12" t="s">
        <v>990</v>
      </c>
      <c r="C261" s="12" t="n">
        <v>2025</v>
      </c>
      <c r="D261" s="12" t="n">
        <v>112</v>
      </c>
      <c r="E261" s="12" t="n">
        <v>8102.08000000001</v>
      </c>
      <c r="F261" s="12" t="n">
        <v>4408034</v>
      </c>
      <c r="G261" s="12" t="s">
        <v>1310</v>
      </c>
    </row>
    <row r="262" customFormat="false" ht="15" hidden="false" customHeight="true" outlineLevel="0" collapsed="false">
      <c r="A262" s="12" t="s">
        <v>952</v>
      </c>
      <c r="B262" s="12" t="s">
        <v>990</v>
      </c>
      <c r="C262" s="12" t="n">
        <v>2026</v>
      </c>
      <c r="D262" s="12" t="n">
        <v>38</v>
      </c>
      <c r="E262" s="12" t="n">
        <v>2748.92</v>
      </c>
      <c r="F262" s="12" t="n">
        <v>4408034</v>
      </c>
      <c r="G262" s="12" t="s">
        <v>1310</v>
      </c>
    </row>
    <row r="263" customFormat="false" ht="15" hidden="false" customHeight="true" outlineLevel="0" collapsed="false">
      <c r="A263" s="12" t="s">
        <v>952</v>
      </c>
      <c r="B263" s="12" t="s">
        <v>991</v>
      </c>
      <c r="C263" s="12" t="n">
        <v>2025</v>
      </c>
      <c r="D263" s="12" t="n">
        <v>76</v>
      </c>
      <c r="E263" s="12" t="n">
        <v>5497.84</v>
      </c>
      <c r="F263" s="12" t="n">
        <v>4408035</v>
      </c>
      <c r="G263" s="12" t="s">
        <v>1310</v>
      </c>
    </row>
    <row r="264" customFormat="false" ht="15" hidden="false" customHeight="true" outlineLevel="0" collapsed="false">
      <c r="A264" s="12" t="s">
        <v>952</v>
      </c>
      <c r="B264" s="12" t="s">
        <v>991</v>
      </c>
      <c r="C264" s="12" t="n">
        <v>2026</v>
      </c>
      <c r="D264" s="12" t="n">
        <v>13</v>
      </c>
      <c r="E264" s="12" t="n">
        <v>940.42</v>
      </c>
      <c r="F264" s="12" t="n">
        <v>4408035</v>
      </c>
      <c r="G264" s="12" t="s">
        <v>1310</v>
      </c>
    </row>
    <row r="265" customFormat="false" ht="15" hidden="false" customHeight="true" outlineLevel="0" collapsed="false">
      <c r="A265" s="12" t="s">
        <v>952</v>
      </c>
      <c r="B265" s="12" t="s">
        <v>995</v>
      </c>
      <c r="C265" s="12" t="n">
        <v>2025</v>
      </c>
      <c r="D265" s="12" t="n">
        <v>181</v>
      </c>
      <c r="E265" s="12" t="n">
        <v>4421.83</v>
      </c>
      <c r="F265" s="12" t="n">
        <v>4408051</v>
      </c>
      <c r="G265" s="12" t="s">
        <v>1310</v>
      </c>
    </row>
    <row r="266" customFormat="false" ht="15" hidden="false" customHeight="true" outlineLevel="0" collapsed="false">
      <c r="A266" s="12" t="s">
        <v>952</v>
      </c>
      <c r="B266" s="12" t="s">
        <v>995</v>
      </c>
      <c r="C266" s="12" t="n">
        <v>2026</v>
      </c>
      <c r="D266" s="12" t="n">
        <v>44</v>
      </c>
      <c r="E266" s="12" t="n">
        <v>1074.92</v>
      </c>
      <c r="F266" s="12" t="n">
        <v>4408051</v>
      </c>
      <c r="G266" s="12" t="s">
        <v>1310</v>
      </c>
    </row>
    <row r="267" customFormat="false" ht="15" hidden="false" customHeight="true" outlineLevel="0" collapsed="false">
      <c r="A267" s="12" t="s">
        <v>952</v>
      </c>
      <c r="B267" s="12" t="s">
        <v>996</v>
      </c>
      <c r="C267" s="12" t="n">
        <v>2025</v>
      </c>
      <c r="D267" s="12" t="n">
        <v>315</v>
      </c>
      <c r="E267" s="12" t="n">
        <v>7695.45</v>
      </c>
      <c r="F267" s="12" t="n">
        <v>4408052</v>
      </c>
      <c r="G267" s="12" t="s">
        <v>1310</v>
      </c>
    </row>
    <row r="268" customFormat="false" ht="15" hidden="false" customHeight="true" outlineLevel="0" collapsed="false">
      <c r="A268" s="12" t="s">
        <v>952</v>
      </c>
      <c r="B268" s="12" t="s">
        <v>996</v>
      </c>
      <c r="C268" s="12" t="n">
        <v>2026</v>
      </c>
      <c r="D268" s="12" t="n">
        <v>83</v>
      </c>
      <c r="E268" s="12" t="n">
        <v>2056.32</v>
      </c>
      <c r="F268" s="12" t="n">
        <v>4408052</v>
      </c>
      <c r="G268" s="12" t="s">
        <v>1310</v>
      </c>
    </row>
    <row r="269" customFormat="false" ht="15" hidden="false" customHeight="true" outlineLevel="0" collapsed="false">
      <c r="A269" s="12" t="s">
        <v>952</v>
      </c>
      <c r="B269" s="12" t="s">
        <v>997</v>
      </c>
      <c r="C269" s="12" t="n">
        <v>2025</v>
      </c>
      <c r="D269" s="12" t="n">
        <v>434</v>
      </c>
      <c r="E269" s="12" t="n">
        <v>10602.62</v>
      </c>
      <c r="F269" s="12" t="n">
        <v>4408053</v>
      </c>
      <c r="G269" s="12" t="s">
        <v>1310</v>
      </c>
    </row>
    <row r="270" customFormat="false" ht="15" hidden="false" customHeight="true" outlineLevel="0" collapsed="false">
      <c r="A270" s="12" t="s">
        <v>952</v>
      </c>
      <c r="B270" s="12" t="s">
        <v>997</v>
      </c>
      <c r="C270" s="12" t="n">
        <v>2026</v>
      </c>
      <c r="D270" s="12" t="n">
        <v>123</v>
      </c>
      <c r="E270" s="12" t="n">
        <v>3004.89</v>
      </c>
      <c r="F270" s="12" t="n">
        <v>4408053</v>
      </c>
      <c r="G270" s="12" t="s">
        <v>1310</v>
      </c>
    </row>
    <row r="271" customFormat="false" ht="15" hidden="false" customHeight="true" outlineLevel="0" collapsed="false">
      <c r="A271" s="12" t="s">
        <v>952</v>
      </c>
      <c r="B271" s="12" t="s">
        <v>998</v>
      </c>
      <c r="C271" s="12" t="n">
        <v>2025</v>
      </c>
      <c r="D271" s="12" t="n">
        <v>157</v>
      </c>
      <c r="E271" s="12" t="n">
        <v>3835.51</v>
      </c>
      <c r="F271" s="12" t="n">
        <v>4408054</v>
      </c>
      <c r="G271" s="12" t="s">
        <v>1310</v>
      </c>
    </row>
    <row r="272" customFormat="false" ht="15" hidden="false" customHeight="true" outlineLevel="0" collapsed="false">
      <c r="A272" s="12" t="s">
        <v>952</v>
      </c>
      <c r="B272" s="12" t="s">
        <v>998</v>
      </c>
      <c r="C272" s="12" t="n">
        <v>2026</v>
      </c>
      <c r="D272" s="12" t="n">
        <v>35</v>
      </c>
      <c r="E272" s="12" t="n">
        <v>855.05</v>
      </c>
      <c r="F272" s="12" t="n">
        <v>4408054</v>
      </c>
      <c r="G272" s="12" t="s">
        <v>1310</v>
      </c>
    </row>
    <row r="273" customFormat="false" ht="15" hidden="false" customHeight="true" outlineLevel="0" collapsed="false">
      <c r="A273" s="12" t="s">
        <v>952</v>
      </c>
      <c r="B273" s="12" t="s">
        <v>1322</v>
      </c>
      <c r="C273" s="12" t="n">
        <v>2025</v>
      </c>
      <c r="D273" s="12" t="n">
        <v>17</v>
      </c>
      <c r="E273" s="12" t="n">
        <v>910.01</v>
      </c>
      <c r="F273" s="12" t="n">
        <v>4408069</v>
      </c>
      <c r="G273" s="12" t="s">
        <v>1310</v>
      </c>
    </row>
    <row r="274" customFormat="false" ht="15" hidden="false" customHeight="true" outlineLevel="0" collapsed="false">
      <c r="A274" s="12" t="s">
        <v>952</v>
      </c>
      <c r="B274" s="12" t="s">
        <v>1322</v>
      </c>
      <c r="C274" s="12" t="n">
        <v>2026</v>
      </c>
      <c r="D274" s="12" t="n">
        <v>1</v>
      </c>
      <c r="E274" s="12" t="n">
        <v>53.53</v>
      </c>
      <c r="F274" s="12" t="n">
        <v>4408069</v>
      </c>
      <c r="G274" s="12" t="s">
        <v>1310</v>
      </c>
    </row>
    <row r="275" customFormat="false" ht="15" hidden="false" customHeight="true" outlineLevel="0" collapsed="false">
      <c r="A275" s="12" t="s">
        <v>952</v>
      </c>
      <c r="B275" s="12" t="s">
        <v>999</v>
      </c>
      <c r="C275" s="12" t="n">
        <v>2025</v>
      </c>
      <c r="D275" s="12" t="n">
        <v>2</v>
      </c>
      <c r="E275" s="12" t="n">
        <v>391.46</v>
      </c>
      <c r="F275" s="12" t="n">
        <v>4408070</v>
      </c>
      <c r="G275" s="12" t="s">
        <v>1310</v>
      </c>
    </row>
    <row r="276" customFormat="false" ht="15" hidden="false" customHeight="true" outlineLevel="0" collapsed="false">
      <c r="A276" s="12" t="s">
        <v>952</v>
      </c>
      <c r="B276" s="12" t="s">
        <v>999</v>
      </c>
      <c r="C276" s="12" t="n">
        <v>2026</v>
      </c>
      <c r="D276" s="12" t="n">
        <v>1</v>
      </c>
      <c r="E276" s="12" t="n">
        <v>195.73</v>
      </c>
      <c r="F276" s="12" t="n">
        <v>4408070</v>
      </c>
      <c r="G276" s="12" t="s">
        <v>1310</v>
      </c>
    </row>
    <row r="277" customFormat="false" ht="15" hidden="false" customHeight="true" outlineLevel="0" collapsed="false">
      <c r="A277" s="12" t="s">
        <v>952</v>
      </c>
      <c r="B277" s="12" t="s">
        <v>1000</v>
      </c>
      <c r="C277" s="12" t="n">
        <v>2025</v>
      </c>
      <c r="D277" s="12" t="n">
        <v>5</v>
      </c>
      <c r="E277" s="12" t="n">
        <v>978.65</v>
      </c>
      <c r="F277" s="12" t="n">
        <v>4408071</v>
      </c>
      <c r="G277" s="12" t="s">
        <v>1310</v>
      </c>
    </row>
    <row r="278" customFormat="false" ht="15" hidden="false" customHeight="true" outlineLevel="0" collapsed="false">
      <c r="A278" s="12" t="s">
        <v>952</v>
      </c>
      <c r="B278" s="12" t="s">
        <v>1000</v>
      </c>
      <c r="C278" s="12" t="n">
        <v>2026</v>
      </c>
      <c r="D278" s="12" t="n">
        <v>-1</v>
      </c>
      <c r="E278" s="12" t="n">
        <v>-195.73</v>
      </c>
      <c r="F278" s="12" t="n">
        <v>4408071</v>
      </c>
      <c r="G278" s="12" t="s">
        <v>1310</v>
      </c>
    </row>
    <row r="279" customFormat="false" ht="15" hidden="false" customHeight="true" outlineLevel="0" collapsed="false">
      <c r="A279" s="12" t="s">
        <v>952</v>
      </c>
      <c r="B279" s="12" t="s">
        <v>1001</v>
      </c>
      <c r="C279" s="12" t="n">
        <v>2025</v>
      </c>
      <c r="D279" s="12" t="n">
        <v>5</v>
      </c>
      <c r="E279" s="12" t="n">
        <v>978.65</v>
      </c>
      <c r="F279" s="12" t="n">
        <v>4408072</v>
      </c>
      <c r="G279" s="12" t="s">
        <v>1310</v>
      </c>
    </row>
    <row r="280" customFormat="false" ht="15" hidden="false" customHeight="true" outlineLevel="0" collapsed="false">
      <c r="A280" s="12" t="s">
        <v>952</v>
      </c>
      <c r="B280" s="12" t="s">
        <v>1001</v>
      </c>
      <c r="C280" s="12" t="n">
        <v>2026</v>
      </c>
      <c r="D280" s="12" t="n">
        <v>1</v>
      </c>
      <c r="E280" s="12" t="n">
        <v>195.73</v>
      </c>
      <c r="F280" s="12" t="n">
        <v>4408072</v>
      </c>
      <c r="G280" s="12" t="s">
        <v>1310</v>
      </c>
    </row>
    <row r="281" customFormat="false" ht="15" hidden="false" customHeight="true" outlineLevel="0" collapsed="false">
      <c r="A281" s="12" t="s">
        <v>952</v>
      </c>
      <c r="B281" s="12" t="s">
        <v>1002</v>
      </c>
      <c r="C281" s="12" t="n">
        <v>2025</v>
      </c>
      <c r="D281" s="12" t="n">
        <v>1</v>
      </c>
      <c r="E281" s="12" t="n">
        <v>195.73</v>
      </c>
      <c r="F281" s="12" t="n">
        <v>4408073</v>
      </c>
      <c r="G281" s="12" t="s">
        <v>1310</v>
      </c>
    </row>
    <row r="282" customFormat="false" ht="15" hidden="false" customHeight="true" outlineLevel="0" collapsed="false">
      <c r="A282" s="12" t="s">
        <v>952</v>
      </c>
      <c r="B282" s="12" t="s">
        <v>1002</v>
      </c>
      <c r="C282" s="12" t="n">
        <v>2026</v>
      </c>
      <c r="D282" s="12" t="n">
        <v>2</v>
      </c>
      <c r="E282" s="12" t="n">
        <v>391.46</v>
      </c>
      <c r="F282" s="12" t="n">
        <v>4408073</v>
      </c>
      <c r="G282" s="12" t="s">
        <v>1310</v>
      </c>
    </row>
    <row r="283" customFormat="false" ht="15" hidden="false" customHeight="true" outlineLevel="0" collapsed="false">
      <c r="A283" s="12" t="s">
        <v>952</v>
      </c>
      <c r="B283" s="12" t="s">
        <v>1003</v>
      </c>
      <c r="C283" s="12" t="n">
        <v>2025</v>
      </c>
      <c r="D283" s="12" t="n">
        <v>1</v>
      </c>
      <c r="E283" s="12" t="n">
        <v>126.57</v>
      </c>
      <c r="F283" s="12" t="n">
        <v>4408075</v>
      </c>
      <c r="G283" s="12" t="s">
        <v>1310</v>
      </c>
    </row>
    <row r="284" customFormat="false" ht="15" hidden="false" customHeight="true" outlineLevel="0" collapsed="false">
      <c r="A284" s="12" t="s">
        <v>952</v>
      </c>
      <c r="B284" s="12" t="s">
        <v>1003</v>
      </c>
      <c r="C284" s="12" t="n">
        <v>2026</v>
      </c>
      <c r="D284" s="12" t="n">
        <v>1</v>
      </c>
      <c r="E284" s="12" t="n">
        <v>126.57</v>
      </c>
      <c r="F284" s="12" t="n">
        <v>4408075</v>
      </c>
      <c r="G284" s="12" t="s">
        <v>1310</v>
      </c>
    </row>
    <row r="285" customFormat="false" ht="15" hidden="false" customHeight="true" outlineLevel="0" collapsed="false">
      <c r="A285" s="12" t="s">
        <v>952</v>
      </c>
      <c r="B285" s="12" t="s">
        <v>1004</v>
      </c>
      <c r="C285" s="12" t="n">
        <v>2025</v>
      </c>
      <c r="D285" s="12" t="n">
        <v>4</v>
      </c>
      <c r="E285" s="12" t="n">
        <v>506.28</v>
      </c>
      <c r="F285" s="12" t="n">
        <v>4408076</v>
      </c>
      <c r="G285" s="12" t="s">
        <v>1310</v>
      </c>
    </row>
    <row r="286" customFormat="false" ht="15" hidden="false" customHeight="true" outlineLevel="0" collapsed="false">
      <c r="A286" s="12" t="s">
        <v>952</v>
      </c>
      <c r="B286" s="12" t="s">
        <v>1005</v>
      </c>
      <c r="C286" s="12" t="n">
        <v>2025</v>
      </c>
      <c r="D286" s="12" t="n">
        <v>15</v>
      </c>
      <c r="E286" s="12" t="n">
        <v>1898.55</v>
      </c>
      <c r="F286" s="12" t="n">
        <v>4408077</v>
      </c>
      <c r="G286" s="12" t="s">
        <v>1310</v>
      </c>
    </row>
    <row r="287" customFormat="false" ht="15" hidden="false" customHeight="true" outlineLevel="0" collapsed="false">
      <c r="A287" s="12" t="s">
        <v>952</v>
      </c>
      <c r="B287" s="12" t="s">
        <v>1005</v>
      </c>
      <c r="C287" s="12" t="n">
        <v>2026</v>
      </c>
      <c r="D287" s="12" t="n">
        <v>4</v>
      </c>
      <c r="E287" s="12" t="n">
        <v>506.28</v>
      </c>
      <c r="F287" s="12" t="n">
        <v>4408077</v>
      </c>
      <c r="G287" s="12" t="s">
        <v>1310</v>
      </c>
    </row>
    <row r="288" customFormat="false" ht="15" hidden="false" customHeight="true" outlineLevel="0" collapsed="false">
      <c r="A288" s="12" t="s">
        <v>952</v>
      </c>
      <c r="B288" s="12" t="s">
        <v>1006</v>
      </c>
      <c r="C288" s="12" t="n">
        <v>2025</v>
      </c>
      <c r="D288" s="12" t="n">
        <v>1</v>
      </c>
      <c r="E288" s="12" t="n">
        <v>126.57</v>
      </c>
      <c r="F288" s="12" t="n">
        <v>4408078</v>
      </c>
      <c r="G288" s="12" t="s">
        <v>1310</v>
      </c>
    </row>
    <row r="289" customFormat="false" ht="15" hidden="false" customHeight="true" outlineLevel="0" collapsed="false">
      <c r="A289" s="12" t="s">
        <v>952</v>
      </c>
      <c r="B289" s="12" t="s">
        <v>1006</v>
      </c>
      <c r="C289" s="12" t="n">
        <v>2026</v>
      </c>
      <c r="D289" s="12" t="n">
        <v>1</v>
      </c>
      <c r="E289" s="12" t="n">
        <v>126.57</v>
      </c>
      <c r="F289" s="12" t="n">
        <v>4408078</v>
      </c>
      <c r="G289" s="12" t="s">
        <v>1310</v>
      </c>
    </row>
    <row r="290" customFormat="false" ht="15" hidden="false" customHeight="true" outlineLevel="0" collapsed="false">
      <c r="A290" s="12" t="s">
        <v>952</v>
      </c>
      <c r="B290" s="12" t="s">
        <v>1007</v>
      </c>
      <c r="C290" s="12" t="n">
        <v>2025</v>
      </c>
      <c r="D290" s="12" t="n">
        <v>2</v>
      </c>
      <c r="E290" s="12" t="n">
        <v>253.14</v>
      </c>
      <c r="F290" s="12" t="n">
        <v>4408079</v>
      </c>
      <c r="G290" s="12" t="s">
        <v>1310</v>
      </c>
    </row>
    <row r="291" customFormat="false" ht="15" hidden="false" customHeight="true" outlineLevel="0" collapsed="false">
      <c r="A291" s="12" t="s">
        <v>952</v>
      </c>
      <c r="B291" s="12" t="s">
        <v>1007</v>
      </c>
      <c r="C291" s="12" t="n">
        <v>2026</v>
      </c>
      <c r="D291" s="12" t="n">
        <v>-1</v>
      </c>
      <c r="E291" s="12" t="n">
        <v>-126.57</v>
      </c>
      <c r="F291" s="12" t="n">
        <v>4408079</v>
      </c>
      <c r="G291" s="12" t="s">
        <v>1310</v>
      </c>
    </row>
    <row r="292" customFormat="false" ht="15" hidden="false" customHeight="true" outlineLevel="0" collapsed="false">
      <c r="A292" s="12" t="s">
        <v>952</v>
      </c>
      <c r="B292" s="12" t="s">
        <v>1008</v>
      </c>
      <c r="C292" s="12" t="n">
        <v>2025</v>
      </c>
      <c r="D292" s="12" t="n">
        <v>17</v>
      </c>
      <c r="E292" s="12" t="n">
        <v>2151.69</v>
      </c>
      <c r="F292" s="12" t="n">
        <v>4408080</v>
      </c>
      <c r="G292" s="12" t="s">
        <v>1310</v>
      </c>
    </row>
    <row r="293" customFormat="false" ht="15" hidden="false" customHeight="true" outlineLevel="0" collapsed="false">
      <c r="A293" s="12" t="s">
        <v>952</v>
      </c>
      <c r="B293" s="12" t="s">
        <v>1008</v>
      </c>
      <c r="C293" s="12" t="n">
        <v>2026</v>
      </c>
      <c r="D293" s="12" t="n">
        <v>3</v>
      </c>
      <c r="E293" s="12" t="n">
        <v>379.71</v>
      </c>
      <c r="F293" s="12" t="n">
        <v>4408080</v>
      </c>
      <c r="G293" s="12" t="s">
        <v>1310</v>
      </c>
    </row>
    <row r="294" customFormat="false" ht="15" hidden="false" customHeight="true" outlineLevel="0" collapsed="false">
      <c r="A294" s="12" t="s">
        <v>952</v>
      </c>
      <c r="B294" s="12" t="s">
        <v>1009</v>
      </c>
      <c r="C294" s="12" t="n">
        <v>2025</v>
      </c>
      <c r="D294" s="12" t="n">
        <v>18</v>
      </c>
      <c r="E294" s="12" t="n">
        <v>2278.26</v>
      </c>
      <c r="F294" s="12" t="n">
        <v>4408081</v>
      </c>
      <c r="G294" s="12" t="s">
        <v>1310</v>
      </c>
    </row>
    <row r="295" customFormat="false" ht="15" hidden="false" customHeight="true" outlineLevel="0" collapsed="false">
      <c r="A295" s="12" t="s">
        <v>952</v>
      </c>
      <c r="B295" s="12" t="s">
        <v>1009</v>
      </c>
      <c r="C295" s="12" t="n">
        <v>2026</v>
      </c>
      <c r="D295" s="12" t="n">
        <v>2</v>
      </c>
      <c r="E295" s="12" t="n">
        <v>253.14</v>
      </c>
      <c r="F295" s="12" t="n">
        <v>4408081</v>
      </c>
      <c r="G295" s="12" t="s">
        <v>1310</v>
      </c>
    </row>
    <row r="296" customFormat="false" ht="15" hidden="false" customHeight="true" outlineLevel="0" collapsed="false">
      <c r="A296" s="12" t="s">
        <v>952</v>
      </c>
      <c r="B296" s="12" t="s">
        <v>1010</v>
      </c>
      <c r="C296" s="12" t="n">
        <v>2025</v>
      </c>
      <c r="D296" s="12" t="n">
        <v>7</v>
      </c>
      <c r="E296" s="12" t="n">
        <v>885.99</v>
      </c>
      <c r="F296" s="12" t="n">
        <v>4408082</v>
      </c>
      <c r="G296" s="12" t="s">
        <v>1310</v>
      </c>
    </row>
    <row r="297" customFormat="false" ht="15" hidden="false" customHeight="true" outlineLevel="0" collapsed="false">
      <c r="A297" s="12" t="s">
        <v>952</v>
      </c>
      <c r="B297" s="12" t="s">
        <v>1015</v>
      </c>
      <c r="C297" s="12" t="n">
        <v>2025</v>
      </c>
      <c r="D297" s="12" t="n">
        <v>-1</v>
      </c>
      <c r="E297" s="12" t="n">
        <v>-74.63</v>
      </c>
      <c r="F297" s="12" t="n">
        <v>4408092</v>
      </c>
      <c r="G297" s="12" t="s">
        <v>1310</v>
      </c>
    </row>
    <row r="298" customFormat="false" ht="15" hidden="false" customHeight="true" outlineLevel="0" collapsed="false">
      <c r="A298" s="12" t="s">
        <v>952</v>
      </c>
      <c r="B298" s="12" t="s">
        <v>1323</v>
      </c>
      <c r="C298" s="12" t="n">
        <v>2025</v>
      </c>
      <c r="D298" s="12" t="n">
        <v>8</v>
      </c>
      <c r="E298" s="12" t="n">
        <v>856.72</v>
      </c>
      <c r="F298" s="12" t="n">
        <v>4408151</v>
      </c>
      <c r="G298" s="12" t="s">
        <v>1310</v>
      </c>
    </row>
    <row r="299" customFormat="false" ht="15" hidden="false" customHeight="true" outlineLevel="0" collapsed="false">
      <c r="A299" s="12" t="s">
        <v>952</v>
      </c>
      <c r="B299" s="12" t="s">
        <v>1324</v>
      </c>
      <c r="C299" s="12" t="n">
        <v>2025</v>
      </c>
      <c r="D299" s="12" t="n">
        <v>17</v>
      </c>
      <c r="E299" s="12" t="n">
        <v>1820.53</v>
      </c>
      <c r="F299" s="12" t="n">
        <v>4408152</v>
      </c>
      <c r="G299" s="12" t="s">
        <v>1310</v>
      </c>
    </row>
    <row r="300" customFormat="false" ht="15" hidden="false" customHeight="true" outlineLevel="0" collapsed="false">
      <c r="A300" s="12" t="s">
        <v>952</v>
      </c>
      <c r="B300" s="12" t="s">
        <v>1324</v>
      </c>
      <c r="C300" s="12" t="n">
        <v>2026</v>
      </c>
      <c r="D300" s="12" t="n">
        <v>6</v>
      </c>
      <c r="E300" s="12" t="n">
        <v>642.54</v>
      </c>
      <c r="F300" s="12" t="n">
        <v>4408152</v>
      </c>
      <c r="G300" s="12" t="s">
        <v>1310</v>
      </c>
    </row>
    <row r="301" customFormat="false" ht="15" hidden="false" customHeight="true" outlineLevel="0" collapsed="false">
      <c r="A301" s="12" t="s">
        <v>952</v>
      </c>
      <c r="B301" s="12" t="s">
        <v>1325</v>
      </c>
      <c r="C301" s="12" t="n">
        <v>2025</v>
      </c>
      <c r="D301" s="12" t="n">
        <v>9</v>
      </c>
      <c r="E301" s="12" t="n">
        <v>963.81</v>
      </c>
      <c r="F301" s="12" t="n">
        <v>4408153</v>
      </c>
      <c r="G301" s="12" t="s">
        <v>1310</v>
      </c>
    </row>
    <row r="302" customFormat="false" ht="15" hidden="false" customHeight="true" outlineLevel="0" collapsed="false">
      <c r="A302" s="12" t="s">
        <v>952</v>
      </c>
      <c r="B302" s="12" t="s">
        <v>1325</v>
      </c>
      <c r="C302" s="12" t="n">
        <v>2026</v>
      </c>
      <c r="D302" s="12" t="n">
        <v>2</v>
      </c>
      <c r="E302" s="12" t="n">
        <v>214.18</v>
      </c>
      <c r="F302" s="12" t="n">
        <v>4408153</v>
      </c>
      <c r="G302" s="12" t="s">
        <v>1310</v>
      </c>
    </row>
    <row r="303" customFormat="false" ht="15" hidden="false" customHeight="true" outlineLevel="0" collapsed="false">
      <c r="A303" s="12" t="s">
        <v>952</v>
      </c>
      <c r="B303" s="12" t="s">
        <v>1036</v>
      </c>
      <c r="C303" s="12" t="n">
        <v>2025</v>
      </c>
      <c r="D303" s="12" t="n">
        <v>0</v>
      </c>
      <c r="E303" s="12" t="n">
        <v>2.8421709430404E-014</v>
      </c>
      <c r="F303" s="12" t="n">
        <v>4408154</v>
      </c>
      <c r="G303" s="12" t="s">
        <v>1310</v>
      </c>
    </row>
    <row r="304" customFormat="false" ht="15" hidden="false" customHeight="true" outlineLevel="0" collapsed="false">
      <c r="A304" s="12" t="s">
        <v>952</v>
      </c>
      <c r="B304" s="12" t="s">
        <v>1036</v>
      </c>
      <c r="C304" s="12" t="n">
        <v>2026</v>
      </c>
      <c r="D304" s="12" t="n">
        <v>5</v>
      </c>
      <c r="E304" s="12" t="n">
        <v>535.45</v>
      </c>
      <c r="F304" s="12" t="n">
        <v>4408154</v>
      </c>
      <c r="G304" s="12" t="s">
        <v>1310</v>
      </c>
    </row>
    <row r="305" customFormat="false" ht="15" hidden="false" customHeight="true" outlineLevel="0" collapsed="false">
      <c r="A305" s="12" t="s">
        <v>952</v>
      </c>
      <c r="B305" s="12" t="s">
        <v>1037</v>
      </c>
      <c r="C305" s="12" t="n">
        <v>2025</v>
      </c>
      <c r="D305" s="12" t="n">
        <v>7</v>
      </c>
      <c r="E305" s="12" t="n">
        <v>749.63</v>
      </c>
      <c r="F305" s="12" t="n">
        <v>4408179</v>
      </c>
      <c r="G305" s="12" t="s">
        <v>1310</v>
      </c>
    </row>
    <row r="306" customFormat="false" ht="15" hidden="false" customHeight="true" outlineLevel="0" collapsed="false">
      <c r="A306" s="12" t="s">
        <v>952</v>
      </c>
      <c r="B306" s="12" t="s">
        <v>1037</v>
      </c>
      <c r="C306" s="12" t="n">
        <v>2026</v>
      </c>
      <c r="D306" s="12" t="n">
        <v>-2</v>
      </c>
      <c r="E306" s="12" t="n">
        <v>-214.18</v>
      </c>
      <c r="F306" s="12" t="n">
        <v>4408179</v>
      </c>
      <c r="G306" s="12" t="s">
        <v>1310</v>
      </c>
    </row>
    <row r="307" customFormat="false" ht="15" hidden="false" customHeight="true" outlineLevel="0" collapsed="false">
      <c r="A307" s="12" t="s">
        <v>952</v>
      </c>
      <c r="B307" s="12" t="s">
        <v>1326</v>
      </c>
      <c r="C307" s="12" t="n">
        <v>2025</v>
      </c>
      <c r="D307" s="12" t="n">
        <v>59</v>
      </c>
      <c r="E307" s="12" t="n">
        <v>3835</v>
      </c>
      <c r="F307" s="12" t="n">
        <v>4408190</v>
      </c>
      <c r="G307" s="12" t="s">
        <v>1310</v>
      </c>
    </row>
    <row r="308" customFormat="false" ht="15" hidden="false" customHeight="true" outlineLevel="0" collapsed="false">
      <c r="A308" s="12" t="s">
        <v>952</v>
      </c>
      <c r="B308" s="12" t="s">
        <v>1326</v>
      </c>
      <c r="C308" s="12" t="n">
        <v>2026</v>
      </c>
      <c r="D308" s="12" t="n">
        <v>27</v>
      </c>
      <c r="E308" s="12" t="n">
        <v>1755</v>
      </c>
      <c r="F308" s="12" t="n">
        <v>4408190</v>
      </c>
      <c r="G308" s="12" t="s">
        <v>1310</v>
      </c>
    </row>
    <row r="309" customFormat="false" ht="15" hidden="false" customHeight="true" outlineLevel="0" collapsed="false">
      <c r="A309" s="12" t="s">
        <v>952</v>
      </c>
      <c r="B309" s="12" t="s">
        <v>1038</v>
      </c>
      <c r="C309" s="12" t="n">
        <v>2025</v>
      </c>
      <c r="D309" s="12" t="n">
        <v>139</v>
      </c>
      <c r="E309" s="12" t="n">
        <v>9035</v>
      </c>
      <c r="F309" s="12" t="n">
        <v>4408192</v>
      </c>
      <c r="G309" s="12" t="s">
        <v>1310</v>
      </c>
    </row>
    <row r="310" customFormat="false" ht="15" hidden="false" customHeight="true" outlineLevel="0" collapsed="false">
      <c r="A310" s="12" t="s">
        <v>952</v>
      </c>
      <c r="B310" s="12" t="s">
        <v>1038</v>
      </c>
      <c r="C310" s="12" t="n">
        <v>2026</v>
      </c>
      <c r="D310" s="12" t="n">
        <v>60</v>
      </c>
      <c r="E310" s="12" t="n">
        <v>3900</v>
      </c>
      <c r="F310" s="12" t="n">
        <v>4408192</v>
      </c>
      <c r="G310" s="12" t="s">
        <v>1310</v>
      </c>
    </row>
    <row r="311" customFormat="false" ht="15" hidden="false" customHeight="true" outlineLevel="0" collapsed="false">
      <c r="A311" s="12" t="s">
        <v>952</v>
      </c>
      <c r="B311" s="12" t="s">
        <v>1039</v>
      </c>
      <c r="C311" s="12" t="n">
        <v>2026</v>
      </c>
      <c r="D311" s="12" t="n">
        <v>2</v>
      </c>
      <c r="E311" s="12" t="n">
        <v>320</v>
      </c>
      <c r="F311" s="12" t="n">
        <v>4408203</v>
      </c>
      <c r="G311" s="12" t="s">
        <v>1310</v>
      </c>
    </row>
    <row r="312" customFormat="false" ht="15" hidden="false" customHeight="true" outlineLevel="0" collapsed="false">
      <c r="A312" s="12" t="s">
        <v>952</v>
      </c>
      <c r="B312" s="12" t="s">
        <v>1327</v>
      </c>
      <c r="C312" s="12" t="n">
        <v>2025</v>
      </c>
      <c r="D312" s="12" t="n">
        <v>3</v>
      </c>
      <c r="E312" s="12" t="n">
        <v>195</v>
      </c>
      <c r="F312" s="12" t="n">
        <v>4408217</v>
      </c>
      <c r="G312" s="12" t="s">
        <v>1310</v>
      </c>
    </row>
    <row r="313" customFormat="false" ht="15" hidden="false" customHeight="true" outlineLevel="0" collapsed="false">
      <c r="A313" s="12" t="s">
        <v>952</v>
      </c>
      <c r="B313" s="12" t="s">
        <v>1327</v>
      </c>
      <c r="C313" s="12" t="n">
        <v>2026</v>
      </c>
      <c r="D313" s="12" t="n">
        <v>3</v>
      </c>
      <c r="E313" s="12" t="n">
        <v>195</v>
      </c>
      <c r="F313" s="12" t="n">
        <v>4408217</v>
      </c>
      <c r="G313" s="12" t="s">
        <v>1310</v>
      </c>
    </row>
    <row r="314" customFormat="false" ht="15" hidden="false" customHeight="true" outlineLevel="0" collapsed="false">
      <c r="A314" s="12" t="s">
        <v>952</v>
      </c>
      <c r="B314" s="12" t="s">
        <v>1043</v>
      </c>
      <c r="C314" s="12" t="n">
        <v>2025</v>
      </c>
      <c r="D314" s="12" t="n">
        <v>115</v>
      </c>
      <c r="E314" s="12" t="n">
        <v>7475</v>
      </c>
      <c r="F314" s="12" t="n">
        <v>4408218</v>
      </c>
      <c r="G314" s="12" t="s">
        <v>1310</v>
      </c>
    </row>
    <row r="315" customFormat="false" ht="15" hidden="false" customHeight="true" outlineLevel="0" collapsed="false">
      <c r="A315" s="12" t="s">
        <v>952</v>
      </c>
      <c r="B315" s="12" t="s">
        <v>1043</v>
      </c>
      <c r="C315" s="12" t="n">
        <v>2026</v>
      </c>
      <c r="D315" s="12" t="n">
        <v>49</v>
      </c>
      <c r="E315" s="12" t="n">
        <v>3185</v>
      </c>
      <c r="F315" s="12" t="n">
        <v>4408218</v>
      </c>
      <c r="G315" s="12" t="s">
        <v>1310</v>
      </c>
    </row>
    <row r="316" customFormat="false" ht="15" hidden="false" customHeight="true" outlineLevel="0" collapsed="false">
      <c r="A316" s="12" t="s">
        <v>952</v>
      </c>
      <c r="B316" s="12" t="s">
        <v>1328</v>
      </c>
      <c r="C316" s="12" t="n">
        <v>2025</v>
      </c>
      <c r="D316" s="12" t="n">
        <v>26</v>
      </c>
      <c r="E316" s="12" t="n">
        <v>1690</v>
      </c>
      <c r="F316" s="12" t="n">
        <v>4408219</v>
      </c>
      <c r="G316" s="12" t="s">
        <v>1310</v>
      </c>
    </row>
    <row r="317" customFormat="false" ht="15" hidden="false" customHeight="true" outlineLevel="0" collapsed="false">
      <c r="A317" s="12" t="s">
        <v>952</v>
      </c>
      <c r="B317" s="12" t="s">
        <v>1328</v>
      </c>
      <c r="C317" s="12" t="n">
        <v>2026</v>
      </c>
      <c r="D317" s="12" t="n">
        <v>8</v>
      </c>
      <c r="E317" s="12" t="n">
        <v>702.36</v>
      </c>
      <c r="F317" s="12" t="n">
        <v>4408219</v>
      </c>
      <c r="G317" s="12" t="s">
        <v>1310</v>
      </c>
    </row>
    <row r="318" customFormat="false" ht="15" hidden="false" customHeight="true" outlineLevel="0" collapsed="false">
      <c r="A318" s="12" t="s">
        <v>952</v>
      </c>
      <c r="B318" s="12" t="s">
        <v>1329</v>
      </c>
      <c r="C318" s="12" t="n">
        <v>2025</v>
      </c>
      <c r="D318" s="12" t="n">
        <v>150</v>
      </c>
      <c r="E318" s="12" t="n">
        <v>9750</v>
      </c>
      <c r="F318" s="12" t="n">
        <v>4408220</v>
      </c>
      <c r="G318" s="12" t="s">
        <v>1310</v>
      </c>
    </row>
    <row r="319" customFormat="false" ht="15" hidden="false" customHeight="true" outlineLevel="0" collapsed="false">
      <c r="A319" s="12" t="s">
        <v>952</v>
      </c>
      <c r="B319" s="12" t="s">
        <v>1329</v>
      </c>
      <c r="C319" s="12" t="n">
        <v>2026</v>
      </c>
      <c r="D319" s="12" t="n">
        <v>25</v>
      </c>
      <c r="E319" s="12" t="n">
        <v>1807.36</v>
      </c>
      <c r="F319" s="12" t="n">
        <v>4408220</v>
      </c>
      <c r="G319" s="12" t="s">
        <v>1310</v>
      </c>
    </row>
    <row r="320" customFormat="false" ht="15" hidden="false" customHeight="true" outlineLevel="0" collapsed="false">
      <c r="A320" s="12" t="s">
        <v>952</v>
      </c>
      <c r="B320" s="12" t="s">
        <v>1330</v>
      </c>
      <c r="C320" s="12" t="n">
        <v>2025</v>
      </c>
      <c r="D320" s="12" t="n">
        <v>392</v>
      </c>
      <c r="E320" s="12" t="n">
        <v>25480</v>
      </c>
      <c r="F320" s="12" t="n">
        <v>4408221</v>
      </c>
      <c r="G320" s="12" t="s">
        <v>1310</v>
      </c>
    </row>
    <row r="321" customFormat="false" ht="15" hidden="false" customHeight="true" outlineLevel="0" collapsed="false">
      <c r="A321" s="12" t="s">
        <v>952</v>
      </c>
      <c r="B321" s="12" t="s">
        <v>1330</v>
      </c>
      <c r="C321" s="12" t="n">
        <v>2026</v>
      </c>
      <c r="D321" s="12" t="n">
        <v>63</v>
      </c>
      <c r="E321" s="12" t="n">
        <v>4277.36</v>
      </c>
      <c r="F321" s="12" t="n">
        <v>4408221</v>
      </c>
      <c r="G321" s="12" t="s">
        <v>1310</v>
      </c>
    </row>
    <row r="322" customFormat="false" ht="15" hidden="false" customHeight="true" outlineLevel="0" collapsed="false">
      <c r="A322" s="12" t="s">
        <v>952</v>
      </c>
      <c r="B322" s="12" t="s">
        <v>1044</v>
      </c>
      <c r="C322" s="12" t="n">
        <v>2025</v>
      </c>
      <c r="D322" s="12" t="n">
        <v>279</v>
      </c>
      <c r="E322" s="12" t="n">
        <v>18135</v>
      </c>
      <c r="F322" s="12" t="n">
        <v>4408222</v>
      </c>
      <c r="G322" s="12" t="s">
        <v>1310</v>
      </c>
    </row>
    <row r="323" customFormat="false" ht="15" hidden="false" customHeight="true" outlineLevel="0" collapsed="false">
      <c r="A323" s="12" t="s">
        <v>952</v>
      </c>
      <c r="B323" s="12" t="s">
        <v>1044</v>
      </c>
      <c r="C323" s="12" t="n">
        <v>2026</v>
      </c>
      <c r="D323" s="12" t="n">
        <v>54</v>
      </c>
      <c r="E323" s="12" t="n">
        <v>3692.36</v>
      </c>
      <c r="F323" s="12" t="n">
        <v>4408222</v>
      </c>
      <c r="G323" s="12" t="s">
        <v>1310</v>
      </c>
    </row>
    <row r="324" customFormat="false" ht="15" hidden="false" customHeight="true" outlineLevel="0" collapsed="false">
      <c r="A324" s="12" t="s">
        <v>952</v>
      </c>
      <c r="B324" s="12" t="s">
        <v>1331</v>
      </c>
      <c r="C324" s="12" t="n">
        <v>2025</v>
      </c>
      <c r="D324" s="12" t="n">
        <v>145</v>
      </c>
      <c r="E324" s="12" t="n">
        <v>9425</v>
      </c>
      <c r="F324" s="12" t="n">
        <v>4408223</v>
      </c>
      <c r="G324" s="12" t="s">
        <v>1310</v>
      </c>
    </row>
    <row r="325" customFormat="false" ht="15" hidden="false" customHeight="true" outlineLevel="0" collapsed="false">
      <c r="A325" s="12" t="s">
        <v>952</v>
      </c>
      <c r="B325" s="12" t="s">
        <v>1331</v>
      </c>
      <c r="C325" s="12" t="n">
        <v>2026</v>
      </c>
      <c r="D325" s="12" t="n">
        <v>29</v>
      </c>
      <c r="E325" s="12" t="n">
        <v>2067.36</v>
      </c>
      <c r="F325" s="12" t="n">
        <v>4408223</v>
      </c>
      <c r="G325" s="12" t="s">
        <v>1310</v>
      </c>
    </row>
    <row r="326" customFormat="false" ht="15" hidden="false" customHeight="true" outlineLevel="0" collapsed="false">
      <c r="A326" s="12" t="s">
        <v>952</v>
      </c>
      <c r="B326" s="12" t="s">
        <v>1045</v>
      </c>
      <c r="C326" s="12" t="n">
        <v>2025</v>
      </c>
      <c r="D326" s="12" t="n">
        <v>70</v>
      </c>
      <c r="E326" s="12" t="n">
        <v>5446</v>
      </c>
      <c r="F326" s="12" t="n">
        <v>4408230</v>
      </c>
      <c r="G326" s="12" t="s">
        <v>1310</v>
      </c>
    </row>
    <row r="327" customFormat="false" ht="15" hidden="false" customHeight="true" outlineLevel="0" collapsed="false">
      <c r="A327" s="12" t="s">
        <v>952</v>
      </c>
      <c r="B327" s="12" t="s">
        <v>1045</v>
      </c>
      <c r="C327" s="12" t="n">
        <v>2026</v>
      </c>
      <c r="D327" s="12" t="n">
        <v>26</v>
      </c>
      <c r="E327" s="12" t="n">
        <v>2022.8</v>
      </c>
      <c r="F327" s="12" t="n">
        <v>4408230</v>
      </c>
      <c r="G327" s="12" t="s">
        <v>1310</v>
      </c>
    </row>
    <row r="328" customFormat="false" ht="15" hidden="false" customHeight="true" outlineLevel="0" collapsed="false">
      <c r="A328" s="12" t="s">
        <v>952</v>
      </c>
      <c r="B328" s="12" t="s">
        <v>1046</v>
      </c>
      <c r="C328" s="12" t="n">
        <v>2025</v>
      </c>
      <c r="D328" s="12" t="n">
        <v>49</v>
      </c>
      <c r="E328" s="12" t="n">
        <v>3812.2</v>
      </c>
      <c r="F328" s="12" t="n">
        <v>4408231</v>
      </c>
      <c r="G328" s="12" t="s">
        <v>1310</v>
      </c>
    </row>
    <row r="329" customFormat="false" ht="15" hidden="false" customHeight="true" outlineLevel="0" collapsed="false">
      <c r="A329" s="12" t="s">
        <v>952</v>
      </c>
      <c r="B329" s="12" t="s">
        <v>1046</v>
      </c>
      <c r="C329" s="12" t="n">
        <v>2026</v>
      </c>
      <c r="D329" s="12" t="n">
        <v>14</v>
      </c>
      <c r="E329" s="12" t="n">
        <v>1089.2</v>
      </c>
      <c r="F329" s="12" t="n">
        <v>4408231</v>
      </c>
      <c r="G329" s="12" t="s">
        <v>1310</v>
      </c>
    </row>
    <row r="330" customFormat="false" ht="15" hidden="false" customHeight="true" outlineLevel="0" collapsed="false">
      <c r="A330" s="12" t="s">
        <v>952</v>
      </c>
      <c r="B330" s="12" t="s">
        <v>1332</v>
      </c>
      <c r="C330" s="12" t="n">
        <v>2025</v>
      </c>
      <c r="D330" s="12" t="n">
        <v>24</v>
      </c>
      <c r="E330" s="12" t="n">
        <v>1867.2</v>
      </c>
      <c r="F330" s="12" t="n">
        <v>4408232</v>
      </c>
      <c r="G330" s="12" t="s">
        <v>1310</v>
      </c>
    </row>
    <row r="331" customFormat="false" ht="15" hidden="false" customHeight="true" outlineLevel="0" collapsed="false">
      <c r="A331" s="12" t="s">
        <v>952</v>
      </c>
      <c r="B331" s="12" t="s">
        <v>1332</v>
      </c>
      <c r="C331" s="12" t="n">
        <v>2026</v>
      </c>
      <c r="D331" s="12" t="n">
        <v>9</v>
      </c>
      <c r="E331" s="12" t="n">
        <v>700.2</v>
      </c>
      <c r="F331" s="12" t="n">
        <v>4408232</v>
      </c>
      <c r="G331" s="12" t="s">
        <v>1310</v>
      </c>
    </row>
    <row r="332" customFormat="false" ht="15" hidden="false" customHeight="true" outlineLevel="0" collapsed="false">
      <c r="A332" s="12" t="s">
        <v>952</v>
      </c>
      <c r="B332" s="12" t="s">
        <v>1051</v>
      </c>
      <c r="C332" s="12" t="n">
        <v>2025</v>
      </c>
      <c r="D332" s="12" t="n">
        <v>1</v>
      </c>
      <c r="E332" s="12" t="n">
        <v>113.58</v>
      </c>
      <c r="F332" s="12" t="n">
        <v>4408259</v>
      </c>
      <c r="G332" s="12" t="s">
        <v>1310</v>
      </c>
    </row>
    <row r="333" customFormat="false" ht="15" hidden="false" customHeight="true" outlineLevel="0" collapsed="false">
      <c r="A333" s="12" t="s">
        <v>952</v>
      </c>
      <c r="B333" s="12" t="s">
        <v>1052</v>
      </c>
      <c r="C333" s="12" t="n">
        <v>2025</v>
      </c>
      <c r="D333" s="12" t="n">
        <v>3</v>
      </c>
      <c r="E333" s="12" t="n">
        <v>340.74</v>
      </c>
      <c r="F333" s="12" t="n">
        <v>4408260</v>
      </c>
      <c r="G333" s="12" t="s">
        <v>1310</v>
      </c>
    </row>
    <row r="334" customFormat="false" ht="15" hidden="false" customHeight="true" outlineLevel="0" collapsed="false">
      <c r="A334" s="12" t="s">
        <v>952</v>
      </c>
      <c r="B334" s="12" t="s">
        <v>1052</v>
      </c>
      <c r="C334" s="12" t="n">
        <v>2026</v>
      </c>
      <c r="D334" s="12" t="n">
        <v>-1</v>
      </c>
      <c r="E334" s="12" t="n">
        <v>-113.58</v>
      </c>
      <c r="F334" s="12" t="n">
        <v>4408260</v>
      </c>
      <c r="G334" s="12" t="s">
        <v>1310</v>
      </c>
    </row>
    <row r="335" customFormat="false" ht="15" hidden="false" customHeight="true" outlineLevel="0" collapsed="false">
      <c r="A335" s="12" t="s">
        <v>952</v>
      </c>
      <c r="B335" s="12" t="s">
        <v>1053</v>
      </c>
      <c r="C335" s="12" t="n">
        <v>2025</v>
      </c>
      <c r="D335" s="12" t="n">
        <v>8</v>
      </c>
      <c r="E335" s="12" t="n">
        <v>908.64</v>
      </c>
      <c r="F335" s="12" t="n">
        <v>4408261</v>
      </c>
      <c r="G335" s="12" t="s">
        <v>1310</v>
      </c>
    </row>
    <row r="336" customFormat="false" ht="15" hidden="false" customHeight="true" outlineLevel="0" collapsed="false">
      <c r="A336" s="12" t="s">
        <v>952</v>
      </c>
      <c r="B336" s="12" t="s">
        <v>1053</v>
      </c>
      <c r="C336" s="12" t="n">
        <v>2026</v>
      </c>
      <c r="D336" s="12" t="n">
        <v>2</v>
      </c>
      <c r="E336" s="12" t="n">
        <v>227.16</v>
      </c>
      <c r="F336" s="12" t="n">
        <v>4408261</v>
      </c>
      <c r="G336" s="12" t="s">
        <v>1310</v>
      </c>
    </row>
    <row r="337" customFormat="false" ht="15" hidden="false" customHeight="true" outlineLevel="0" collapsed="false">
      <c r="A337" s="12" t="s">
        <v>952</v>
      </c>
      <c r="B337" s="12" t="s">
        <v>1054</v>
      </c>
      <c r="C337" s="12" t="n">
        <v>2025</v>
      </c>
      <c r="D337" s="12" t="n">
        <v>7</v>
      </c>
      <c r="E337" s="12" t="n">
        <v>795.06</v>
      </c>
      <c r="F337" s="12" t="n">
        <v>4408262</v>
      </c>
      <c r="G337" s="12" t="s">
        <v>1310</v>
      </c>
    </row>
    <row r="338" customFormat="false" ht="15" hidden="false" customHeight="true" outlineLevel="0" collapsed="false">
      <c r="A338" s="12" t="s">
        <v>952</v>
      </c>
      <c r="B338" s="12" t="s">
        <v>1055</v>
      </c>
      <c r="C338" s="12" t="n">
        <v>2025</v>
      </c>
      <c r="D338" s="12" t="n">
        <v>7</v>
      </c>
      <c r="E338" s="12" t="n">
        <v>795.06</v>
      </c>
      <c r="F338" s="12" t="n">
        <v>4408263</v>
      </c>
      <c r="G338" s="12" t="s">
        <v>1310</v>
      </c>
    </row>
    <row r="339" customFormat="false" ht="15" hidden="false" customHeight="true" outlineLevel="0" collapsed="false">
      <c r="A339" s="12" t="s">
        <v>952</v>
      </c>
      <c r="B339" s="12" t="s">
        <v>1333</v>
      </c>
      <c r="C339" s="12" t="n">
        <v>2025</v>
      </c>
      <c r="D339" s="12" t="n">
        <v>474</v>
      </c>
      <c r="E339" s="12" t="n">
        <v>8769</v>
      </c>
      <c r="F339" s="12" t="n">
        <v>4408267</v>
      </c>
      <c r="G339" s="12" t="s">
        <v>1310</v>
      </c>
    </row>
    <row r="340" customFormat="false" ht="15" hidden="false" customHeight="true" outlineLevel="0" collapsed="false">
      <c r="A340" s="12" t="s">
        <v>952</v>
      </c>
      <c r="B340" s="12" t="s">
        <v>1333</v>
      </c>
      <c r="C340" s="12" t="n">
        <v>2026</v>
      </c>
      <c r="D340" s="12" t="n">
        <v>221</v>
      </c>
      <c r="E340" s="12" t="n">
        <v>4088.5</v>
      </c>
      <c r="F340" s="12" t="n">
        <v>4408267</v>
      </c>
      <c r="G340" s="12" t="s">
        <v>1310</v>
      </c>
    </row>
    <row r="341" customFormat="false" ht="15" hidden="false" customHeight="true" outlineLevel="0" collapsed="false">
      <c r="A341" s="12" t="s">
        <v>952</v>
      </c>
      <c r="B341" s="12" t="s">
        <v>1334</v>
      </c>
      <c r="C341" s="12" t="n">
        <v>2025</v>
      </c>
      <c r="D341" s="12" t="n">
        <v>172</v>
      </c>
      <c r="E341" s="12" t="n">
        <v>2855.2</v>
      </c>
      <c r="F341" s="12" t="n">
        <v>4408268</v>
      </c>
      <c r="G341" s="12" t="s">
        <v>1310</v>
      </c>
    </row>
    <row r="342" customFormat="false" ht="15" hidden="false" customHeight="true" outlineLevel="0" collapsed="false">
      <c r="A342" s="12" t="s">
        <v>952</v>
      </c>
      <c r="B342" s="12" t="s">
        <v>1334</v>
      </c>
      <c r="C342" s="12" t="n">
        <v>2026</v>
      </c>
      <c r="D342" s="12" t="n">
        <v>44</v>
      </c>
      <c r="E342" s="12" t="n">
        <v>730.4</v>
      </c>
      <c r="F342" s="12" t="n">
        <v>4408268</v>
      </c>
      <c r="G342" s="12" t="s">
        <v>1310</v>
      </c>
    </row>
    <row r="343" customFormat="false" ht="15" hidden="false" customHeight="true" outlineLevel="0" collapsed="false">
      <c r="A343" s="12" t="s">
        <v>952</v>
      </c>
      <c r="B343" s="12" t="s">
        <v>1335</v>
      </c>
      <c r="C343" s="12" t="n">
        <v>2025</v>
      </c>
      <c r="D343" s="12" t="n">
        <v>177</v>
      </c>
      <c r="E343" s="12" t="n">
        <v>3717</v>
      </c>
      <c r="F343" s="12" t="n">
        <v>4408269</v>
      </c>
      <c r="G343" s="12" t="s">
        <v>1310</v>
      </c>
    </row>
    <row r="344" customFormat="false" ht="15" hidden="false" customHeight="true" outlineLevel="0" collapsed="false">
      <c r="A344" s="12" t="s">
        <v>952</v>
      </c>
      <c r="B344" s="12" t="s">
        <v>1335</v>
      </c>
      <c r="C344" s="12" t="n">
        <v>2026</v>
      </c>
      <c r="D344" s="12" t="n">
        <v>73</v>
      </c>
      <c r="E344" s="12" t="n">
        <v>1533</v>
      </c>
      <c r="F344" s="12" t="n">
        <v>4408269</v>
      </c>
      <c r="G344" s="12" t="s">
        <v>1310</v>
      </c>
    </row>
    <row r="345" customFormat="false" ht="15" hidden="false" customHeight="true" outlineLevel="0" collapsed="false">
      <c r="A345" s="12" t="s">
        <v>952</v>
      </c>
      <c r="B345" s="12" t="s">
        <v>1336</v>
      </c>
      <c r="C345" s="12" t="n">
        <v>2025</v>
      </c>
      <c r="D345" s="12" t="n">
        <v>58</v>
      </c>
      <c r="E345" s="12" t="n">
        <v>2088</v>
      </c>
      <c r="F345" s="12" t="n">
        <v>4408270</v>
      </c>
      <c r="G345" s="12" t="s">
        <v>1310</v>
      </c>
    </row>
    <row r="346" customFormat="false" ht="15" hidden="false" customHeight="true" outlineLevel="0" collapsed="false">
      <c r="A346" s="12" t="s">
        <v>952</v>
      </c>
      <c r="B346" s="12" t="s">
        <v>1336</v>
      </c>
      <c r="C346" s="12" t="n">
        <v>2026</v>
      </c>
      <c r="D346" s="12" t="n">
        <v>6</v>
      </c>
      <c r="E346" s="12" t="n">
        <v>306.36</v>
      </c>
      <c r="F346" s="12" t="n">
        <v>4408270</v>
      </c>
      <c r="G346" s="12" t="s">
        <v>1310</v>
      </c>
    </row>
    <row r="347" customFormat="false" ht="15" hidden="false" customHeight="true" outlineLevel="0" collapsed="false">
      <c r="A347" s="12" t="s">
        <v>952</v>
      </c>
      <c r="B347" s="12" t="s">
        <v>1059</v>
      </c>
      <c r="C347" s="12" t="n">
        <v>2025</v>
      </c>
      <c r="D347" s="12" t="n">
        <v>335</v>
      </c>
      <c r="E347" s="12" t="n">
        <v>3252.85</v>
      </c>
      <c r="F347" s="12" t="n">
        <v>4409000</v>
      </c>
      <c r="G347" s="12" t="s">
        <v>1310</v>
      </c>
    </row>
    <row r="348" customFormat="false" ht="15" hidden="false" customHeight="true" outlineLevel="0" collapsed="false">
      <c r="A348" s="12" t="s">
        <v>952</v>
      </c>
      <c r="B348" s="12" t="s">
        <v>1059</v>
      </c>
      <c r="C348" s="12" t="n">
        <v>2026</v>
      </c>
      <c r="D348" s="12" t="n">
        <v>116</v>
      </c>
      <c r="E348" s="12" t="n">
        <v>1126.36</v>
      </c>
      <c r="F348" s="12" t="n">
        <v>4409000</v>
      </c>
      <c r="G348" s="12" t="s">
        <v>1310</v>
      </c>
    </row>
    <row r="349" customFormat="false" ht="15" hidden="false" customHeight="true" outlineLevel="0" collapsed="false">
      <c r="A349" s="12" t="s">
        <v>952</v>
      </c>
      <c r="B349" s="12" t="s">
        <v>1060</v>
      </c>
      <c r="C349" s="12" t="n">
        <v>2025</v>
      </c>
      <c r="D349" s="12" t="n">
        <v>158</v>
      </c>
      <c r="E349" s="12" t="n">
        <v>1276.64</v>
      </c>
      <c r="F349" s="12" t="n">
        <v>4409001</v>
      </c>
      <c r="G349" s="12" t="s">
        <v>1310</v>
      </c>
    </row>
    <row r="350" customFormat="false" ht="15" hidden="false" customHeight="true" outlineLevel="0" collapsed="false">
      <c r="A350" s="12" t="s">
        <v>952</v>
      </c>
      <c r="B350" s="12" t="s">
        <v>1060</v>
      </c>
      <c r="C350" s="12" t="n">
        <v>2026</v>
      </c>
      <c r="D350" s="12" t="n">
        <v>63</v>
      </c>
      <c r="E350" s="12" t="n">
        <v>509.04</v>
      </c>
      <c r="F350" s="12" t="n">
        <v>4409001</v>
      </c>
      <c r="G350" s="12" t="s">
        <v>1310</v>
      </c>
    </row>
    <row r="351" customFormat="false" ht="15" hidden="false" customHeight="true" outlineLevel="0" collapsed="false">
      <c r="A351" s="12" t="s">
        <v>952</v>
      </c>
      <c r="B351" s="12" t="s">
        <v>1061</v>
      </c>
      <c r="C351" s="12" t="n">
        <v>2025</v>
      </c>
      <c r="D351" s="12" t="n">
        <v>1180</v>
      </c>
      <c r="E351" s="12" t="n">
        <v>15812</v>
      </c>
      <c r="F351" s="12" t="n">
        <v>4409004</v>
      </c>
      <c r="G351" s="12" t="s">
        <v>1310</v>
      </c>
    </row>
    <row r="352" customFormat="false" ht="15" hidden="false" customHeight="true" outlineLevel="0" collapsed="false">
      <c r="A352" s="12" t="s">
        <v>952</v>
      </c>
      <c r="B352" s="12" t="s">
        <v>1061</v>
      </c>
      <c r="C352" s="12" t="n">
        <v>2026</v>
      </c>
      <c r="D352" s="12" t="n">
        <v>192</v>
      </c>
      <c r="E352" s="12" t="n">
        <v>2572.8</v>
      </c>
      <c r="F352" s="12" t="n">
        <v>4409004</v>
      </c>
      <c r="G352" s="12" t="s">
        <v>1310</v>
      </c>
    </row>
    <row r="353" customFormat="false" ht="15" hidden="false" customHeight="true" outlineLevel="0" collapsed="false">
      <c r="A353" s="12" t="s">
        <v>952</v>
      </c>
      <c r="B353" s="12" t="s">
        <v>1062</v>
      </c>
      <c r="C353" s="12" t="n">
        <v>2025</v>
      </c>
      <c r="D353" s="12" t="n">
        <v>92</v>
      </c>
      <c r="E353" s="12" t="n">
        <v>2300</v>
      </c>
      <c r="F353" s="12" t="n">
        <v>4409014</v>
      </c>
      <c r="G353" s="12" t="s">
        <v>1310</v>
      </c>
    </row>
    <row r="354" customFormat="false" ht="15" hidden="false" customHeight="true" outlineLevel="0" collapsed="false">
      <c r="A354" s="12" t="s">
        <v>952</v>
      </c>
      <c r="B354" s="12" t="s">
        <v>1062</v>
      </c>
      <c r="C354" s="12" t="n">
        <v>2026</v>
      </c>
      <c r="D354" s="12" t="n">
        <v>30</v>
      </c>
      <c r="E354" s="12" t="n">
        <v>750</v>
      </c>
      <c r="F354" s="12" t="n">
        <v>4409014</v>
      </c>
      <c r="G354" s="12" t="s">
        <v>1310</v>
      </c>
    </row>
    <row r="355" customFormat="false" ht="15" hidden="false" customHeight="true" outlineLevel="0" collapsed="false">
      <c r="A355" s="12" t="s">
        <v>952</v>
      </c>
      <c r="B355" s="12" t="s">
        <v>1063</v>
      </c>
      <c r="C355" s="12" t="n">
        <v>2025</v>
      </c>
      <c r="D355" s="12" t="n">
        <v>111</v>
      </c>
      <c r="E355" s="12" t="n">
        <v>2775</v>
      </c>
      <c r="F355" s="12" t="n">
        <v>4409015</v>
      </c>
      <c r="G355" s="12" t="s">
        <v>1310</v>
      </c>
    </row>
    <row r="356" customFormat="false" ht="15" hidden="false" customHeight="true" outlineLevel="0" collapsed="false">
      <c r="A356" s="12" t="s">
        <v>952</v>
      </c>
      <c r="B356" s="12" t="s">
        <v>1063</v>
      </c>
      <c r="C356" s="12" t="n">
        <v>2026</v>
      </c>
      <c r="D356" s="12" t="n">
        <v>43</v>
      </c>
      <c r="E356" s="12" t="n">
        <v>1075</v>
      </c>
      <c r="F356" s="12" t="n">
        <v>4409015</v>
      </c>
      <c r="G356" s="12" t="s">
        <v>1310</v>
      </c>
    </row>
    <row r="357" customFormat="false" ht="15" hidden="false" customHeight="true" outlineLevel="0" collapsed="false">
      <c r="A357" s="12" t="s">
        <v>952</v>
      </c>
      <c r="B357" s="12" t="s">
        <v>1064</v>
      </c>
      <c r="C357" s="12" t="n">
        <v>2025</v>
      </c>
      <c r="D357" s="12" t="n">
        <v>104</v>
      </c>
      <c r="E357" s="12" t="n">
        <v>2600</v>
      </c>
      <c r="F357" s="12" t="n">
        <v>4409016</v>
      </c>
      <c r="G357" s="12" t="s">
        <v>1310</v>
      </c>
    </row>
    <row r="358" customFormat="false" ht="15" hidden="false" customHeight="true" outlineLevel="0" collapsed="false">
      <c r="A358" s="12" t="s">
        <v>952</v>
      </c>
      <c r="B358" s="12" t="s">
        <v>1064</v>
      </c>
      <c r="C358" s="12" t="n">
        <v>2026</v>
      </c>
      <c r="D358" s="12" t="n">
        <v>41</v>
      </c>
      <c r="E358" s="12" t="n">
        <v>1025</v>
      </c>
      <c r="F358" s="12" t="n">
        <v>4409016</v>
      </c>
      <c r="G358" s="12" t="s">
        <v>1310</v>
      </c>
    </row>
    <row r="359" customFormat="false" ht="15" hidden="false" customHeight="true" outlineLevel="0" collapsed="false">
      <c r="A359" s="12" t="s">
        <v>952</v>
      </c>
      <c r="B359" s="12" t="s">
        <v>1065</v>
      </c>
      <c r="C359" s="12" t="n">
        <v>2025</v>
      </c>
      <c r="D359" s="12" t="n">
        <v>84</v>
      </c>
      <c r="E359" s="12" t="n">
        <v>2100</v>
      </c>
      <c r="F359" s="12" t="n">
        <v>4409017</v>
      </c>
      <c r="G359" s="12" t="s">
        <v>1310</v>
      </c>
    </row>
    <row r="360" customFormat="false" ht="15" hidden="false" customHeight="true" outlineLevel="0" collapsed="false">
      <c r="A360" s="12" t="s">
        <v>952</v>
      </c>
      <c r="B360" s="12" t="s">
        <v>1065</v>
      </c>
      <c r="C360" s="12" t="n">
        <v>2026</v>
      </c>
      <c r="D360" s="12" t="n">
        <v>32</v>
      </c>
      <c r="E360" s="12" t="n">
        <v>800</v>
      </c>
      <c r="F360" s="12" t="n">
        <v>4409017</v>
      </c>
      <c r="G360" s="12" t="s">
        <v>1310</v>
      </c>
    </row>
    <row r="361" customFormat="false" ht="15" hidden="false" customHeight="true" outlineLevel="0" collapsed="false">
      <c r="A361" s="12" t="s">
        <v>952</v>
      </c>
      <c r="B361" s="12" t="s">
        <v>1066</v>
      </c>
      <c r="C361" s="12" t="n">
        <v>2025</v>
      </c>
      <c r="D361" s="12" t="n">
        <v>188</v>
      </c>
      <c r="E361" s="12" t="n">
        <v>3468.6</v>
      </c>
      <c r="F361" s="12" t="n">
        <v>4411000</v>
      </c>
      <c r="G361" s="12" t="s">
        <v>1310</v>
      </c>
    </row>
    <row r="362" customFormat="false" ht="15" hidden="false" customHeight="true" outlineLevel="0" collapsed="false">
      <c r="A362" s="12" t="s">
        <v>952</v>
      </c>
      <c r="B362" s="12" t="s">
        <v>1066</v>
      </c>
      <c r="C362" s="12" t="n">
        <v>2026</v>
      </c>
      <c r="D362" s="12" t="n">
        <v>41</v>
      </c>
      <c r="E362" s="12" t="n">
        <v>756.45</v>
      </c>
      <c r="F362" s="12" t="n">
        <v>4411000</v>
      </c>
      <c r="G362" s="12" t="s">
        <v>1310</v>
      </c>
    </row>
    <row r="363" customFormat="false" ht="15" hidden="false" customHeight="true" outlineLevel="0" collapsed="false">
      <c r="A363" s="12" t="s">
        <v>952</v>
      </c>
      <c r="B363" s="12" t="s">
        <v>1067</v>
      </c>
      <c r="C363" s="12" t="n">
        <v>2025</v>
      </c>
      <c r="D363" s="12" t="n">
        <v>136</v>
      </c>
      <c r="E363" s="12" t="n">
        <v>2709.12</v>
      </c>
      <c r="F363" s="12" t="n">
        <v>4411001</v>
      </c>
      <c r="G363" s="12" t="s">
        <v>1310</v>
      </c>
    </row>
    <row r="364" customFormat="false" ht="15" hidden="false" customHeight="true" outlineLevel="0" collapsed="false">
      <c r="A364" s="12" t="s">
        <v>952</v>
      </c>
      <c r="B364" s="12" t="s">
        <v>1067</v>
      </c>
      <c r="C364" s="12" t="n">
        <v>2026</v>
      </c>
      <c r="D364" s="12" t="n">
        <v>61</v>
      </c>
      <c r="E364" s="12" t="n">
        <v>1215.12</v>
      </c>
      <c r="F364" s="12" t="n">
        <v>4411001</v>
      </c>
      <c r="G364" s="12" t="s">
        <v>1310</v>
      </c>
    </row>
    <row r="365" customFormat="false" ht="15" hidden="false" customHeight="true" outlineLevel="0" collapsed="false">
      <c r="A365" s="12" t="s">
        <v>952</v>
      </c>
      <c r="B365" s="12" t="s">
        <v>1068</v>
      </c>
      <c r="C365" s="12" t="n">
        <v>2025</v>
      </c>
      <c r="D365" s="12" t="n">
        <v>76</v>
      </c>
      <c r="E365" s="12" t="n">
        <v>2464.68</v>
      </c>
      <c r="F365" s="12" t="n">
        <v>4411015</v>
      </c>
      <c r="G365" s="12" t="s">
        <v>1310</v>
      </c>
    </row>
    <row r="366" customFormat="false" ht="15" hidden="false" customHeight="true" outlineLevel="0" collapsed="false">
      <c r="A366" s="12" t="s">
        <v>952</v>
      </c>
      <c r="B366" s="12" t="s">
        <v>1068</v>
      </c>
      <c r="C366" s="12" t="n">
        <v>2026</v>
      </c>
      <c r="D366" s="12" t="n">
        <v>20</v>
      </c>
      <c r="E366" s="12" t="n">
        <v>648.6</v>
      </c>
      <c r="F366" s="12" t="n">
        <v>4411015</v>
      </c>
      <c r="G366" s="12" t="s">
        <v>1310</v>
      </c>
    </row>
    <row r="367" customFormat="false" ht="15" hidden="false" customHeight="true" outlineLevel="0" collapsed="false">
      <c r="A367" s="12" t="s">
        <v>952</v>
      </c>
      <c r="B367" s="12" t="s">
        <v>1069</v>
      </c>
      <c r="C367" s="12" t="n">
        <v>2025</v>
      </c>
      <c r="D367" s="12" t="n">
        <v>135</v>
      </c>
      <c r="E367" s="12" t="n">
        <v>8541.45</v>
      </c>
      <c r="F367" s="12" t="n">
        <v>4411016</v>
      </c>
      <c r="G367" s="12" t="s">
        <v>1310</v>
      </c>
    </row>
    <row r="368" customFormat="false" ht="15" hidden="false" customHeight="true" outlineLevel="0" collapsed="false">
      <c r="A368" s="12" t="s">
        <v>952</v>
      </c>
      <c r="B368" s="12" t="s">
        <v>1069</v>
      </c>
      <c r="C368" s="12" t="n">
        <v>2026</v>
      </c>
      <c r="D368" s="12" t="n">
        <v>32</v>
      </c>
      <c r="E368" s="12" t="n">
        <v>2144.22</v>
      </c>
      <c r="F368" s="12" t="n">
        <v>4411016</v>
      </c>
      <c r="G368" s="12" t="s">
        <v>1310</v>
      </c>
    </row>
    <row r="369" customFormat="false" ht="15" hidden="false" customHeight="true" outlineLevel="0" collapsed="false">
      <c r="A369" s="12" t="s">
        <v>952</v>
      </c>
      <c r="B369" s="12" t="s">
        <v>1073</v>
      </c>
      <c r="C369" s="12" t="n">
        <v>2025</v>
      </c>
      <c r="D369" s="12" t="n">
        <v>207</v>
      </c>
      <c r="E369" s="12" t="n">
        <v>2032.74</v>
      </c>
      <c r="F369" s="12" t="n">
        <v>4413033</v>
      </c>
      <c r="G369" s="12" t="s">
        <v>1310</v>
      </c>
    </row>
    <row r="370" customFormat="false" ht="15" hidden="false" customHeight="true" outlineLevel="0" collapsed="false">
      <c r="A370" s="12" t="s">
        <v>952</v>
      </c>
      <c r="B370" s="12" t="s">
        <v>1073</v>
      </c>
      <c r="C370" s="12" t="n">
        <v>2026</v>
      </c>
      <c r="D370" s="12" t="n">
        <v>61</v>
      </c>
      <c r="E370" s="12" t="n">
        <v>599.02</v>
      </c>
      <c r="F370" s="12" t="n">
        <v>4413033</v>
      </c>
      <c r="G370" s="12" t="s">
        <v>1310</v>
      </c>
    </row>
    <row r="371" customFormat="false" ht="15" hidden="false" customHeight="true" outlineLevel="0" collapsed="false">
      <c r="A371" s="12" t="s">
        <v>952</v>
      </c>
      <c r="B371" s="12" t="s">
        <v>1074</v>
      </c>
      <c r="C371" s="12" t="n">
        <v>2025</v>
      </c>
      <c r="D371" s="12" t="n">
        <v>69</v>
      </c>
      <c r="E371" s="12" t="n">
        <v>985.32</v>
      </c>
      <c r="F371" s="12" t="n">
        <v>4413034</v>
      </c>
      <c r="G371" s="12" t="s">
        <v>1310</v>
      </c>
    </row>
    <row r="372" customFormat="false" ht="15" hidden="false" customHeight="true" outlineLevel="0" collapsed="false">
      <c r="A372" s="12" t="s">
        <v>952</v>
      </c>
      <c r="B372" s="12" t="s">
        <v>1074</v>
      </c>
      <c r="C372" s="12" t="n">
        <v>2026</v>
      </c>
      <c r="D372" s="12" t="n">
        <v>15</v>
      </c>
      <c r="E372" s="12" t="n">
        <v>214.2</v>
      </c>
      <c r="F372" s="12" t="n">
        <v>4413034</v>
      </c>
      <c r="G372" s="12" t="s">
        <v>1310</v>
      </c>
    </row>
    <row r="373" customFormat="false" ht="15" hidden="false" customHeight="true" outlineLevel="0" collapsed="false">
      <c r="A373" s="12" t="s">
        <v>952</v>
      </c>
      <c r="B373" s="12" t="s">
        <v>1075</v>
      </c>
      <c r="C373" s="12" t="n">
        <v>2025</v>
      </c>
      <c r="D373" s="12" t="n">
        <v>289</v>
      </c>
      <c r="E373" s="12" t="n">
        <v>8360.77</v>
      </c>
      <c r="F373" s="12" t="n">
        <v>4413041</v>
      </c>
      <c r="G373" s="12" t="s">
        <v>1310</v>
      </c>
    </row>
    <row r="374" customFormat="false" ht="15" hidden="false" customHeight="true" outlineLevel="0" collapsed="false">
      <c r="A374" s="12" t="s">
        <v>952</v>
      </c>
      <c r="B374" s="12" t="s">
        <v>1075</v>
      </c>
      <c r="C374" s="12" t="n">
        <v>2026</v>
      </c>
      <c r="D374" s="12" t="n">
        <v>66</v>
      </c>
      <c r="E374" s="12" t="n">
        <v>1909.38</v>
      </c>
      <c r="F374" s="12" t="n">
        <v>4413041</v>
      </c>
      <c r="G374" s="12" t="s">
        <v>1310</v>
      </c>
    </row>
    <row r="375" customFormat="false" ht="15" hidden="false" customHeight="true" outlineLevel="0" collapsed="false">
      <c r="A375" s="12" t="s">
        <v>952</v>
      </c>
      <c r="B375" s="12" t="s">
        <v>1076</v>
      </c>
      <c r="C375" s="12" t="n">
        <v>2025</v>
      </c>
      <c r="D375" s="12" t="n">
        <v>119</v>
      </c>
      <c r="E375" s="12" t="n">
        <v>3442.67</v>
      </c>
      <c r="F375" s="12" t="n">
        <v>4413042</v>
      </c>
      <c r="G375" s="12" t="s">
        <v>1310</v>
      </c>
    </row>
    <row r="376" customFormat="false" ht="15" hidden="false" customHeight="true" outlineLevel="0" collapsed="false">
      <c r="A376" s="12" t="s">
        <v>952</v>
      </c>
      <c r="B376" s="12" t="s">
        <v>1076</v>
      </c>
      <c r="C376" s="12" t="n">
        <v>2026</v>
      </c>
      <c r="D376" s="12" t="n">
        <v>28</v>
      </c>
      <c r="E376" s="12" t="n">
        <v>810.04</v>
      </c>
      <c r="F376" s="12" t="n">
        <v>4413042</v>
      </c>
      <c r="G376" s="12" t="s">
        <v>1310</v>
      </c>
    </row>
    <row r="377" customFormat="false" ht="15" hidden="false" customHeight="true" outlineLevel="0" collapsed="false">
      <c r="A377" s="12" t="s">
        <v>952</v>
      </c>
      <c r="B377" s="12" t="s">
        <v>1077</v>
      </c>
      <c r="C377" s="12" t="n">
        <v>2025</v>
      </c>
      <c r="D377" s="12" t="n">
        <v>320</v>
      </c>
      <c r="E377" s="12" t="n">
        <v>9257.6</v>
      </c>
      <c r="F377" s="12" t="n">
        <v>4413043</v>
      </c>
      <c r="G377" s="12" t="s">
        <v>1310</v>
      </c>
    </row>
    <row r="378" customFormat="false" ht="15" hidden="false" customHeight="true" outlineLevel="0" collapsed="false">
      <c r="A378" s="12" t="s">
        <v>952</v>
      </c>
      <c r="B378" s="12" t="s">
        <v>1077</v>
      </c>
      <c r="C378" s="12" t="n">
        <v>2026</v>
      </c>
      <c r="D378" s="12" t="n">
        <v>102</v>
      </c>
      <c r="E378" s="12" t="n">
        <v>2950.86</v>
      </c>
      <c r="F378" s="12" t="n">
        <v>4413043</v>
      </c>
      <c r="G378" s="12" t="s">
        <v>1310</v>
      </c>
    </row>
    <row r="379" customFormat="false" ht="15" hidden="false" customHeight="true" outlineLevel="0" collapsed="false">
      <c r="A379" s="12" t="s">
        <v>952</v>
      </c>
      <c r="B379" s="12" t="s">
        <v>1078</v>
      </c>
      <c r="C379" s="12" t="n">
        <v>2025</v>
      </c>
      <c r="D379" s="12" t="n">
        <v>192</v>
      </c>
      <c r="E379" s="12" t="n">
        <v>5554.56</v>
      </c>
      <c r="F379" s="12" t="n">
        <v>4413044</v>
      </c>
      <c r="G379" s="12" t="s">
        <v>1310</v>
      </c>
    </row>
    <row r="380" customFormat="false" ht="15" hidden="false" customHeight="true" outlineLevel="0" collapsed="false">
      <c r="A380" s="12" t="s">
        <v>952</v>
      </c>
      <c r="B380" s="12" t="s">
        <v>1078</v>
      </c>
      <c r="C380" s="12" t="n">
        <v>2026</v>
      </c>
      <c r="D380" s="12" t="n">
        <v>56</v>
      </c>
      <c r="E380" s="12" t="n">
        <v>1620.08</v>
      </c>
      <c r="F380" s="12" t="n">
        <v>4413044</v>
      </c>
      <c r="G380" s="12" t="s">
        <v>1310</v>
      </c>
    </row>
    <row r="381" customFormat="false" ht="15" hidden="false" customHeight="true" outlineLevel="0" collapsed="false">
      <c r="A381" s="12" t="s">
        <v>952</v>
      </c>
      <c r="B381" s="12" t="s">
        <v>1337</v>
      </c>
      <c r="C381" s="12" t="n">
        <v>2025</v>
      </c>
      <c r="D381" s="12" t="n">
        <v>64</v>
      </c>
      <c r="E381" s="12" t="n">
        <v>1851.52</v>
      </c>
      <c r="F381" s="12" t="n">
        <v>4413046</v>
      </c>
      <c r="G381" s="12" t="s">
        <v>1310</v>
      </c>
    </row>
    <row r="382" customFormat="false" ht="15" hidden="false" customHeight="true" outlineLevel="0" collapsed="false">
      <c r="A382" s="12" t="s">
        <v>952</v>
      </c>
      <c r="B382" s="12" t="s">
        <v>1337</v>
      </c>
      <c r="C382" s="12" t="n">
        <v>2026</v>
      </c>
      <c r="D382" s="12" t="n">
        <v>22</v>
      </c>
      <c r="E382" s="12" t="n">
        <v>636.46</v>
      </c>
      <c r="F382" s="12" t="n">
        <v>4413046</v>
      </c>
      <c r="G382" s="12" t="s">
        <v>1310</v>
      </c>
    </row>
    <row r="383" customFormat="false" ht="15" hidden="false" customHeight="true" outlineLevel="0" collapsed="false">
      <c r="A383" s="12" t="s">
        <v>952</v>
      </c>
      <c r="B383" s="12" t="s">
        <v>1079</v>
      </c>
      <c r="C383" s="12" t="n">
        <v>2025</v>
      </c>
      <c r="D383" s="12" t="n">
        <v>95</v>
      </c>
      <c r="E383" s="12" t="n">
        <v>1615</v>
      </c>
      <c r="F383" s="12" t="n">
        <v>4413047</v>
      </c>
      <c r="G383" s="12" t="s">
        <v>1310</v>
      </c>
    </row>
    <row r="384" customFormat="false" ht="15" hidden="false" customHeight="true" outlineLevel="0" collapsed="false">
      <c r="A384" s="12" t="s">
        <v>952</v>
      </c>
      <c r="B384" s="12" t="s">
        <v>1079</v>
      </c>
      <c r="C384" s="12" t="n">
        <v>2026</v>
      </c>
      <c r="D384" s="12" t="n">
        <v>38</v>
      </c>
      <c r="E384" s="12" t="n">
        <v>646</v>
      </c>
      <c r="F384" s="12" t="n">
        <v>4413047</v>
      </c>
      <c r="G384" s="12" t="s">
        <v>1310</v>
      </c>
    </row>
    <row r="385" customFormat="false" ht="15" hidden="false" customHeight="true" outlineLevel="0" collapsed="false">
      <c r="A385" s="12" t="s">
        <v>952</v>
      </c>
      <c r="B385" s="12" t="s">
        <v>1080</v>
      </c>
      <c r="C385" s="12" t="n">
        <v>2025</v>
      </c>
      <c r="D385" s="12" t="n">
        <v>235</v>
      </c>
      <c r="E385" s="12" t="n">
        <v>3995</v>
      </c>
      <c r="F385" s="12" t="n">
        <v>4413048</v>
      </c>
      <c r="G385" s="12" t="s">
        <v>1310</v>
      </c>
    </row>
    <row r="386" customFormat="false" ht="15" hidden="false" customHeight="true" outlineLevel="0" collapsed="false">
      <c r="A386" s="12" t="s">
        <v>952</v>
      </c>
      <c r="B386" s="12" t="s">
        <v>1080</v>
      </c>
      <c r="C386" s="12" t="n">
        <v>2026</v>
      </c>
      <c r="D386" s="12" t="n">
        <v>91</v>
      </c>
      <c r="E386" s="12" t="n">
        <v>1547</v>
      </c>
      <c r="F386" s="12" t="n">
        <v>4413048</v>
      </c>
      <c r="G386" s="12" t="s">
        <v>1310</v>
      </c>
    </row>
    <row r="387" customFormat="false" ht="15" hidden="false" customHeight="true" outlineLevel="0" collapsed="false">
      <c r="A387" s="12" t="s">
        <v>952</v>
      </c>
      <c r="B387" s="12" t="s">
        <v>1081</v>
      </c>
      <c r="C387" s="12" t="n">
        <v>2025</v>
      </c>
      <c r="D387" s="12" t="n">
        <v>275</v>
      </c>
      <c r="E387" s="12" t="n">
        <v>4675</v>
      </c>
      <c r="F387" s="12" t="n">
        <v>4413049</v>
      </c>
      <c r="G387" s="12" t="s">
        <v>1310</v>
      </c>
    </row>
    <row r="388" customFormat="false" ht="15" hidden="false" customHeight="true" outlineLevel="0" collapsed="false">
      <c r="A388" s="12" t="s">
        <v>952</v>
      </c>
      <c r="B388" s="12" t="s">
        <v>1081</v>
      </c>
      <c r="C388" s="12" t="n">
        <v>2026</v>
      </c>
      <c r="D388" s="12" t="n">
        <v>79</v>
      </c>
      <c r="E388" s="12" t="n">
        <v>1343</v>
      </c>
      <c r="F388" s="12" t="n">
        <v>4413049</v>
      </c>
      <c r="G388" s="12" t="s">
        <v>1310</v>
      </c>
    </row>
    <row r="389" customFormat="false" ht="15" hidden="false" customHeight="true" outlineLevel="0" collapsed="false">
      <c r="A389" s="12" t="s">
        <v>952</v>
      </c>
      <c r="B389" s="12" t="s">
        <v>1082</v>
      </c>
      <c r="C389" s="12" t="n">
        <v>2025</v>
      </c>
      <c r="D389" s="12" t="n">
        <v>226</v>
      </c>
      <c r="E389" s="12" t="n">
        <v>3842</v>
      </c>
      <c r="F389" s="12" t="n">
        <v>4413050</v>
      </c>
      <c r="G389" s="12" t="s">
        <v>1310</v>
      </c>
    </row>
    <row r="390" customFormat="false" ht="15" hidden="false" customHeight="true" outlineLevel="0" collapsed="false">
      <c r="A390" s="12" t="s">
        <v>952</v>
      </c>
      <c r="B390" s="12" t="s">
        <v>1082</v>
      </c>
      <c r="C390" s="12" t="n">
        <v>2026</v>
      </c>
      <c r="D390" s="12" t="n">
        <v>36</v>
      </c>
      <c r="E390" s="12" t="n">
        <v>612</v>
      </c>
      <c r="F390" s="12" t="n">
        <v>4413050</v>
      </c>
      <c r="G390" s="12" t="s">
        <v>1310</v>
      </c>
    </row>
    <row r="391" customFormat="false" ht="15" hidden="false" customHeight="true" outlineLevel="0" collapsed="false">
      <c r="A391" s="12" t="s">
        <v>952</v>
      </c>
      <c r="B391" s="12" t="s">
        <v>1083</v>
      </c>
      <c r="C391" s="12" t="n">
        <v>2025</v>
      </c>
      <c r="D391" s="12" t="n">
        <v>77</v>
      </c>
      <c r="E391" s="12" t="n">
        <v>1309</v>
      </c>
      <c r="F391" s="12" t="n">
        <v>4413051</v>
      </c>
      <c r="G391" s="12" t="s">
        <v>1310</v>
      </c>
    </row>
    <row r="392" customFormat="false" ht="15" hidden="false" customHeight="true" outlineLevel="0" collapsed="false">
      <c r="A392" s="12" t="s">
        <v>952</v>
      </c>
      <c r="B392" s="12" t="s">
        <v>1083</v>
      </c>
      <c r="C392" s="12" t="n">
        <v>2026</v>
      </c>
      <c r="D392" s="12" t="n">
        <v>13</v>
      </c>
      <c r="E392" s="12" t="n">
        <v>221</v>
      </c>
      <c r="F392" s="12" t="n">
        <v>4413051</v>
      </c>
      <c r="G392" s="12" t="s">
        <v>1310</v>
      </c>
    </row>
    <row r="393" customFormat="false" ht="15" hidden="false" customHeight="true" outlineLevel="0" collapsed="false">
      <c r="A393" s="12" t="s">
        <v>952</v>
      </c>
      <c r="B393" s="12" t="s">
        <v>1088</v>
      </c>
      <c r="C393" s="12" t="n">
        <v>2025</v>
      </c>
      <c r="D393" s="12" t="n">
        <v>38</v>
      </c>
      <c r="E393" s="12" t="n">
        <v>615.6</v>
      </c>
      <c r="F393" s="12" t="n">
        <v>4413056</v>
      </c>
      <c r="G393" s="12" t="s">
        <v>1310</v>
      </c>
    </row>
    <row r="394" customFormat="false" ht="15" hidden="false" customHeight="true" outlineLevel="0" collapsed="false">
      <c r="A394" s="12" t="s">
        <v>952</v>
      </c>
      <c r="B394" s="12" t="s">
        <v>1088</v>
      </c>
      <c r="C394" s="12" t="n">
        <v>2026</v>
      </c>
      <c r="D394" s="12" t="n">
        <v>10</v>
      </c>
      <c r="E394" s="12" t="n">
        <v>162</v>
      </c>
      <c r="F394" s="12" t="n">
        <v>4413056</v>
      </c>
      <c r="G394" s="12" t="s">
        <v>1310</v>
      </c>
    </row>
    <row r="395" customFormat="false" ht="15" hidden="false" customHeight="true" outlineLevel="0" collapsed="false">
      <c r="A395" s="12" t="s">
        <v>952</v>
      </c>
      <c r="B395" s="12" t="s">
        <v>1089</v>
      </c>
      <c r="C395" s="12" t="n">
        <v>2025</v>
      </c>
      <c r="D395" s="12" t="n">
        <v>71</v>
      </c>
      <c r="E395" s="12" t="n">
        <v>1661.4</v>
      </c>
      <c r="F395" s="12" t="n">
        <v>4413058</v>
      </c>
      <c r="G395" s="12" t="s">
        <v>1310</v>
      </c>
    </row>
    <row r="396" customFormat="false" ht="15" hidden="false" customHeight="true" outlineLevel="0" collapsed="false">
      <c r="A396" s="12" t="s">
        <v>952</v>
      </c>
      <c r="B396" s="12" t="s">
        <v>1089</v>
      </c>
      <c r="C396" s="12" t="n">
        <v>2026</v>
      </c>
      <c r="D396" s="12" t="n">
        <v>11</v>
      </c>
      <c r="E396" s="12" t="n">
        <v>257.4</v>
      </c>
      <c r="F396" s="12" t="n">
        <v>4413058</v>
      </c>
      <c r="G396" s="12" t="s">
        <v>1310</v>
      </c>
    </row>
    <row r="397" customFormat="false" ht="15" hidden="false" customHeight="true" outlineLevel="0" collapsed="false">
      <c r="A397" s="12" t="s">
        <v>952</v>
      </c>
      <c r="B397" s="12" t="s">
        <v>1090</v>
      </c>
      <c r="C397" s="12" t="n">
        <v>2025</v>
      </c>
      <c r="D397" s="12" t="n">
        <v>669</v>
      </c>
      <c r="E397" s="12" t="n">
        <v>6355.5</v>
      </c>
      <c r="F397" s="12" t="n">
        <v>4413059</v>
      </c>
      <c r="G397" s="12" t="s">
        <v>1310</v>
      </c>
    </row>
    <row r="398" customFormat="false" ht="15" hidden="false" customHeight="true" outlineLevel="0" collapsed="false">
      <c r="A398" s="12" t="s">
        <v>952</v>
      </c>
      <c r="B398" s="12" t="s">
        <v>1090</v>
      </c>
      <c r="C398" s="12" t="n">
        <v>2026</v>
      </c>
      <c r="D398" s="12" t="n">
        <v>163</v>
      </c>
      <c r="E398" s="12" t="n">
        <v>1548.5</v>
      </c>
      <c r="F398" s="12" t="n">
        <v>4413059</v>
      </c>
      <c r="G398" s="12" t="s">
        <v>1310</v>
      </c>
    </row>
    <row r="399" customFormat="false" ht="15" hidden="false" customHeight="true" outlineLevel="0" collapsed="false">
      <c r="A399" s="12" t="s">
        <v>952</v>
      </c>
      <c r="B399" s="12" t="s">
        <v>1091</v>
      </c>
      <c r="C399" s="12" t="n">
        <v>2025</v>
      </c>
      <c r="D399" s="12" t="n">
        <v>327</v>
      </c>
      <c r="E399" s="12" t="n">
        <v>3106.5</v>
      </c>
      <c r="F399" s="12" t="n">
        <v>4413060</v>
      </c>
      <c r="G399" s="12" t="s">
        <v>1310</v>
      </c>
    </row>
    <row r="400" customFormat="false" ht="15" hidden="false" customHeight="true" outlineLevel="0" collapsed="false">
      <c r="A400" s="12" t="s">
        <v>952</v>
      </c>
      <c r="B400" s="12" t="s">
        <v>1091</v>
      </c>
      <c r="C400" s="12" t="n">
        <v>2026</v>
      </c>
      <c r="D400" s="12" t="n">
        <v>88</v>
      </c>
      <c r="E400" s="12" t="n">
        <v>836</v>
      </c>
      <c r="F400" s="12" t="n">
        <v>4413060</v>
      </c>
      <c r="G400" s="12" t="s">
        <v>1310</v>
      </c>
    </row>
    <row r="401" customFormat="false" ht="15" hidden="false" customHeight="true" outlineLevel="0" collapsed="false">
      <c r="A401" s="12" t="s">
        <v>952</v>
      </c>
      <c r="B401" s="12" t="s">
        <v>1092</v>
      </c>
      <c r="C401" s="12" t="n">
        <v>2025</v>
      </c>
      <c r="D401" s="12" t="n">
        <v>199</v>
      </c>
      <c r="E401" s="12" t="n">
        <v>2577.05</v>
      </c>
      <c r="F401" s="12" t="n">
        <v>4413061</v>
      </c>
      <c r="G401" s="12" t="s">
        <v>1310</v>
      </c>
    </row>
    <row r="402" customFormat="false" ht="15" hidden="false" customHeight="true" outlineLevel="0" collapsed="false">
      <c r="A402" s="12" t="s">
        <v>952</v>
      </c>
      <c r="B402" s="12" t="s">
        <v>1092</v>
      </c>
      <c r="C402" s="12" t="n">
        <v>2026</v>
      </c>
      <c r="D402" s="12" t="n">
        <v>23</v>
      </c>
      <c r="E402" s="12" t="n">
        <v>297.85</v>
      </c>
      <c r="F402" s="12" t="n">
        <v>4413061</v>
      </c>
      <c r="G402" s="12" t="s">
        <v>1310</v>
      </c>
    </row>
    <row r="403" customFormat="false" ht="15" hidden="false" customHeight="true" outlineLevel="0" collapsed="false">
      <c r="A403" s="12" t="s">
        <v>952</v>
      </c>
      <c r="B403" s="12" t="s">
        <v>1093</v>
      </c>
      <c r="C403" s="12" t="n">
        <v>2025</v>
      </c>
      <c r="D403" s="12" t="n">
        <v>151</v>
      </c>
      <c r="E403" s="12" t="n">
        <v>1710.83</v>
      </c>
      <c r="F403" s="12" t="n">
        <v>4413063</v>
      </c>
      <c r="G403" s="12" t="s">
        <v>1310</v>
      </c>
    </row>
    <row r="404" customFormat="false" ht="15" hidden="false" customHeight="true" outlineLevel="0" collapsed="false">
      <c r="A404" s="12" t="s">
        <v>952</v>
      </c>
      <c r="B404" s="12" t="s">
        <v>1093</v>
      </c>
      <c r="C404" s="12" t="n">
        <v>2026</v>
      </c>
      <c r="D404" s="12" t="n">
        <v>23</v>
      </c>
      <c r="E404" s="12" t="n">
        <v>260.59</v>
      </c>
      <c r="F404" s="12" t="n">
        <v>4413063</v>
      </c>
      <c r="G404" s="12" t="s">
        <v>1310</v>
      </c>
    </row>
    <row r="405" customFormat="false" ht="15" hidden="false" customHeight="true" outlineLevel="0" collapsed="false">
      <c r="A405" s="12" t="s">
        <v>952</v>
      </c>
      <c r="B405" s="12" t="s">
        <v>1094</v>
      </c>
      <c r="C405" s="12" t="n">
        <v>2025</v>
      </c>
      <c r="D405" s="12" t="n">
        <v>104</v>
      </c>
      <c r="E405" s="12" t="n">
        <v>1439.36</v>
      </c>
      <c r="F405" s="12" t="n">
        <v>4413066</v>
      </c>
      <c r="G405" s="12" t="s">
        <v>1310</v>
      </c>
    </row>
    <row r="406" customFormat="false" ht="15" hidden="false" customHeight="true" outlineLevel="0" collapsed="false">
      <c r="A406" s="12" t="s">
        <v>952</v>
      </c>
      <c r="B406" s="12" t="s">
        <v>1094</v>
      </c>
      <c r="C406" s="12" t="n">
        <v>2026</v>
      </c>
      <c r="D406" s="12" t="n">
        <v>19</v>
      </c>
      <c r="E406" s="12" t="n">
        <v>262.96</v>
      </c>
      <c r="F406" s="12" t="n">
        <v>4413066</v>
      </c>
      <c r="G406" s="12" t="s">
        <v>1310</v>
      </c>
    </row>
    <row r="407" customFormat="false" ht="15" hidden="false" customHeight="true" outlineLevel="0" collapsed="false">
      <c r="A407" s="12" t="s">
        <v>952</v>
      </c>
      <c r="B407" s="12" t="s">
        <v>1338</v>
      </c>
      <c r="C407" s="12" t="n">
        <v>2025</v>
      </c>
      <c r="D407" s="12" t="n">
        <v>3</v>
      </c>
      <c r="E407" s="12" t="n">
        <v>231.72</v>
      </c>
      <c r="F407" s="12" t="n">
        <v>4413071</v>
      </c>
      <c r="G407" s="12" t="s">
        <v>1310</v>
      </c>
    </row>
    <row r="408" customFormat="false" ht="15" hidden="false" customHeight="true" outlineLevel="0" collapsed="false">
      <c r="A408" s="12" t="s">
        <v>952</v>
      </c>
      <c r="B408" s="12" t="s">
        <v>1338</v>
      </c>
      <c r="C408" s="12" t="n">
        <v>2026</v>
      </c>
      <c r="D408" s="12" t="n">
        <v>1</v>
      </c>
      <c r="E408" s="12" t="n">
        <v>77.24</v>
      </c>
      <c r="F408" s="12" t="n">
        <v>4413071</v>
      </c>
      <c r="G408" s="12" t="s">
        <v>1310</v>
      </c>
    </row>
    <row r="409" customFormat="false" ht="15" hidden="false" customHeight="true" outlineLevel="0" collapsed="false">
      <c r="A409" s="12" t="s">
        <v>952</v>
      </c>
      <c r="B409" s="12" t="s">
        <v>1099</v>
      </c>
      <c r="C409" s="12" t="n">
        <v>2025</v>
      </c>
      <c r="D409" s="12" t="n">
        <v>646</v>
      </c>
      <c r="E409" s="12" t="n">
        <v>10659</v>
      </c>
      <c r="F409" s="12" t="n">
        <v>4413092</v>
      </c>
      <c r="G409" s="12" t="s">
        <v>1310</v>
      </c>
    </row>
    <row r="410" customFormat="false" ht="15" hidden="false" customHeight="true" outlineLevel="0" collapsed="false">
      <c r="A410" s="12" t="s">
        <v>952</v>
      </c>
      <c r="B410" s="12" t="s">
        <v>1099</v>
      </c>
      <c r="C410" s="12" t="n">
        <v>2026</v>
      </c>
      <c r="D410" s="12" t="n">
        <v>161</v>
      </c>
      <c r="E410" s="12" t="n">
        <v>2656.5</v>
      </c>
      <c r="F410" s="12" t="n">
        <v>4413092</v>
      </c>
      <c r="G410" s="12" t="s">
        <v>1310</v>
      </c>
    </row>
    <row r="411" customFormat="false" ht="15" hidden="false" customHeight="true" outlineLevel="0" collapsed="false">
      <c r="A411" s="12" t="s">
        <v>952</v>
      </c>
      <c r="B411" s="12" t="s">
        <v>1100</v>
      </c>
      <c r="C411" s="12" t="n">
        <v>2025</v>
      </c>
      <c r="D411" s="12" t="n">
        <v>470</v>
      </c>
      <c r="E411" s="12" t="n">
        <v>7755</v>
      </c>
      <c r="F411" s="12" t="n">
        <v>4413093</v>
      </c>
      <c r="G411" s="12" t="s">
        <v>1310</v>
      </c>
    </row>
    <row r="412" customFormat="false" ht="15" hidden="false" customHeight="true" outlineLevel="0" collapsed="false">
      <c r="A412" s="12" t="s">
        <v>952</v>
      </c>
      <c r="B412" s="12" t="s">
        <v>1100</v>
      </c>
      <c r="C412" s="12" t="n">
        <v>2026</v>
      </c>
      <c r="D412" s="12" t="n">
        <v>121</v>
      </c>
      <c r="E412" s="12" t="n">
        <v>1996.5</v>
      </c>
      <c r="F412" s="12" t="n">
        <v>4413093</v>
      </c>
      <c r="G412" s="12" t="s">
        <v>1310</v>
      </c>
    </row>
    <row r="413" customFormat="false" ht="15" hidden="false" customHeight="true" outlineLevel="0" collapsed="false">
      <c r="A413" s="12" t="s">
        <v>952</v>
      </c>
      <c r="B413" s="12" t="s">
        <v>1101</v>
      </c>
      <c r="C413" s="12" t="n">
        <v>2025</v>
      </c>
      <c r="D413" s="12" t="n">
        <v>142</v>
      </c>
      <c r="E413" s="12" t="n">
        <v>2343</v>
      </c>
      <c r="F413" s="12" t="n">
        <v>4413094</v>
      </c>
      <c r="G413" s="12" t="s">
        <v>1310</v>
      </c>
    </row>
    <row r="414" customFormat="false" ht="15" hidden="false" customHeight="true" outlineLevel="0" collapsed="false">
      <c r="A414" s="12" t="s">
        <v>952</v>
      </c>
      <c r="B414" s="12" t="s">
        <v>1101</v>
      </c>
      <c r="C414" s="12" t="n">
        <v>2026</v>
      </c>
      <c r="D414" s="12" t="n">
        <v>52</v>
      </c>
      <c r="E414" s="12" t="n">
        <v>858</v>
      </c>
      <c r="F414" s="12" t="n">
        <v>4413094</v>
      </c>
      <c r="G414" s="12" t="s">
        <v>1310</v>
      </c>
    </row>
    <row r="415" customFormat="false" ht="15" hidden="false" customHeight="true" outlineLevel="0" collapsed="false">
      <c r="A415" s="12" t="s">
        <v>952</v>
      </c>
      <c r="B415" s="12" t="s">
        <v>1102</v>
      </c>
      <c r="C415" s="12" t="n">
        <v>2025</v>
      </c>
      <c r="D415" s="12" t="n">
        <v>383</v>
      </c>
      <c r="E415" s="12" t="n">
        <v>6319.5</v>
      </c>
      <c r="F415" s="12" t="n">
        <v>4413095</v>
      </c>
      <c r="G415" s="12" t="s">
        <v>1310</v>
      </c>
    </row>
    <row r="416" customFormat="false" ht="15" hidden="false" customHeight="true" outlineLevel="0" collapsed="false">
      <c r="A416" s="12" t="s">
        <v>952</v>
      </c>
      <c r="B416" s="12" t="s">
        <v>1102</v>
      </c>
      <c r="C416" s="12" t="n">
        <v>2026</v>
      </c>
      <c r="D416" s="12" t="n">
        <v>83</v>
      </c>
      <c r="E416" s="12" t="n">
        <v>1369.5</v>
      </c>
      <c r="F416" s="12" t="n">
        <v>4413095</v>
      </c>
      <c r="G416" s="12" t="s">
        <v>1310</v>
      </c>
    </row>
    <row r="417" customFormat="false" ht="15" hidden="false" customHeight="true" outlineLevel="0" collapsed="false">
      <c r="A417" s="12" t="s">
        <v>952</v>
      </c>
      <c r="B417" s="12" t="s">
        <v>1103</v>
      </c>
      <c r="C417" s="12" t="n">
        <v>2025</v>
      </c>
      <c r="D417" s="12" t="n">
        <v>178</v>
      </c>
      <c r="E417" s="12" t="n">
        <v>2937</v>
      </c>
      <c r="F417" s="12" t="n">
        <v>4413096</v>
      </c>
      <c r="G417" s="12" t="s">
        <v>1310</v>
      </c>
    </row>
    <row r="418" customFormat="false" ht="15" hidden="false" customHeight="true" outlineLevel="0" collapsed="false">
      <c r="A418" s="12" t="s">
        <v>952</v>
      </c>
      <c r="B418" s="12" t="s">
        <v>1103</v>
      </c>
      <c r="C418" s="12" t="n">
        <v>2026</v>
      </c>
      <c r="D418" s="12" t="n">
        <v>46</v>
      </c>
      <c r="E418" s="12" t="n">
        <v>759</v>
      </c>
      <c r="F418" s="12" t="n">
        <v>4413096</v>
      </c>
      <c r="G418" s="12" t="s">
        <v>1310</v>
      </c>
    </row>
    <row r="419" customFormat="false" ht="15" hidden="false" customHeight="true" outlineLevel="0" collapsed="false">
      <c r="A419" s="12" t="s">
        <v>952</v>
      </c>
      <c r="B419" s="12" t="s">
        <v>1108</v>
      </c>
      <c r="C419" s="12" t="n">
        <v>2025</v>
      </c>
      <c r="D419" s="12" t="n">
        <v>80</v>
      </c>
      <c r="E419" s="12" t="n">
        <v>1640</v>
      </c>
      <c r="F419" s="12" t="n">
        <v>4413101</v>
      </c>
      <c r="G419" s="12" t="s">
        <v>1310</v>
      </c>
    </row>
    <row r="420" customFormat="false" ht="15" hidden="false" customHeight="true" outlineLevel="0" collapsed="false">
      <c r="A420" s="12" t="s">
        <v>952</v>
      </c>
      <c r="B420" s="12" t="s">
        <v>1108</v>
      </c>
      <c r="C420" s="12" t="n">
        <v>2026</v>
      </c>
      <c r="D420" s="12" t="n">
        <v>39</v>
      </c>
      <c r="E420" s="12" t="n">
        <v>799.5</v>
      </c>
      <c r="F420" s="12" t="n">
        <v>4413101</v>
      </c>
      <c r="G420" s="12" t="s">
        <v>1310</v>
      </c>
    </row>
    <row r="421" customFormat="false" ht="15" hidden="false" customHeight="true" outlineLevel="0" collapsed="false">
      <c r="A421" s="12" t="s">
        <v>952</v>
      </c>
      <c r="B421" s="12" t="s">
        <v>1109</v>
      </c>
      <c r="C421" s="12" t="n">
        <v>2025</v>
      </c>
      <c r="D421" s="12" t="n">
        <v>374</v>
      </c>
      <c r="E421" s="12" t="n">
        <v>7667</v>
      </c>
      <c r="F421" s="12" t="n">
        <v>4413102</v>
      </c>
      <c r="G421" s="12" t="s">
        <v>1310</v>
      </c>
    </row>
    <row r="422" customFormat="false" ht="15" hidden="false" customHeight="true" outlineLevel="0" collapsed="false">
      <c r="A422" s="12" t="s">
        <v>952</v>
      </c>
      <c r="B422" s="12" t="s">
        <v>1109</v>
      </c>
      <c r="C422" s="12" t="n">
        <v>2026</v>
      </c>
      <c r="D422" s="12" t="n">
        <v>132</v>
      </c>
      <c r="E422" s="12" t="n">
        <v>2706</v>
      </c>
      <c r="F422" s="12" t="n">
        <v>4413102</v>
      </c>
      <c r="G422" s="12" t="s">
        <v>1310</v>
      </c>
    </row>
    <row r="423" customFormat="false" ht="15" hidden="false" customHeight="true" outlineLevel="0" collapsed="false">
      <c r="A423" s="12" t="s">
        <v>952</v>
      </c>
      <c r="B423" s="12" t="s">
        <v>1110</v>
      </c>
      <c r="C423" s="12" t="n">
        <v>2025</v>
      </c>
      <c r="D423" s="12" t="n">
        <v>329</v>
      </c>
      <c r="E423" s="12" t="n">
        <v>6744.5</v>
      </c>
      <c r="F423" s="12" t="n">
        <v>4413103</v>
      </c>
      <c r="G423" s="12" t="s">
        <v>1310</v>
      </c>
    </row>
    <row r="424" customFormat="false" ht="15" hidden="false" customHeight="true" outlineLevel="0" collapsed="false">
      <c r="A424" s="12" t="s">
        <v>952</v>
      </c>
      <c r="B424" s="12" t="s">
        <v>1110</v>
      </c>
      <c r="C424" s="12" t="n">
        <v>2026</v>
      </c>
      <c r="D424" s="12" t="n">
        <v>70</v>
      </c>
      <c r="E424" s="12" t="n">
        <v>1435</v>
      </c>
      <c r="F424" s="12" t="n">
        <v>4413103</v>
      </c>
      <c r="G424" s="12" t="s">
        <v>1310</v>
      </c>
    </row>
    <row r="425" customFormat="false" ht="15" hidden="false" customHeight="true" outlineLevel="0" collapsed="false">
      <c r="A425" s="12" t="s">
        <v>952</v>
      </c>
      <c r="B425" s="12" t="s">
        <v>1111</v>
      </c>
      <c r="C425" s="12" t="n">
        <v>2025</v>
      </c>
      <c r="D425" s="12" t="n">
        <v>290</v>
      </c>
      <c r="E425" s="12" t="n">
        <v>5945</v>
      </c>
      <c r="F425" s="12" t="n">
        <v>4413104</v>
      </c>
      <c r="G425" s="12" t="s">
        <v>1310</v>
      </c>
    </row>
    <row r="426" customFormat="false" ht="15" hidden="false" customHeight="true" outlineLevel="0" collapsed="false">
      <c r="A426" s="12" t="s">
        <v>952</v>
      </c>
      <c r="B426" s="12" t="s">
        <v>1111</v>
      </c>
      <c r="C426" s="12" t="n">
        <v>2026</v>
      </c>
      <c r="D426" s="12" t="n">
        <v>73</v>
      </c>
      <c r="E426" s="12" t="n">
        <v>1496.5</v>
      </c>
      <c r="F426" s="12" t="n">
        <v>4413104</v>
      </c>
      <c r="G426" s="12" t="s">
        <v>1310</v>
      </c>
    </row>
    <row r="427" customFormat="false" ht="15" hidden="false" customHeight="true" outlineLevel="0" collapsed="false">
      <c r="A427" s="12" t="s">
        <v>952</v>
      </c>
      <c r="B427" s="12" t="s">
        <v>1112</v>
      </c>
      <c r="C427" s="12" t="n">
        <v>2025</v>
      </c>
      <c r="D427" s="12" t="n">
        <v>135</v>
      </c>
      <c r="E427" s="12" t="n">
        <v>2767.5</v>
      </c>
      <c r="F427" s="12" t="n">
        <v>4413105</v>
      </c>
      <c r="G427" s="12" t="s">
        <v>1310</v>
      </c>
    </row>
    <row r="428" customFormat="false" ht="15" hidden="false" customHeight="true" outlineLevel="0" collapsed="false">
      <c r="A428" s="12" t="s">
        <v>952</v>
      </c>
      <c r="B428" s="12" t="s">
        <v>1112</v>
      </c>
      <c r="C428" s="12" t="n">
        <v>2026</v>
      </c>
      <c r="D428" s="12" t="n">
        <v>41</v>
      </c>
      <c r="E428" s="12" t="n">
        <v>840.5</v>
      </c>
      <c r="F428" s="12" t="n">
        <v>4413105</v>
      </c>
      <c r="G428" s="12" t="s">
        <v>1310</v>
      </c>
    </row>
    <row r="429" customFormat="false" ht="15" hidden="false" customHeight="true" outlineLevel="0" collapsed="false">
      <c r="A429" s="12" t="s">
        <v>952</v>
      </c>
      <c r="B429" s="12" t="s">
        <v>1339</v>
      </c>
      <c r="C429" s="12" t="n">
        <v>2026</v>
      </c>
      <c r="D429" s="12" t="n">
        <v>1</v>
      </c>
      <c r="E429" s="12" t="n">
        <v>21</v>
      </c>
      <c r="F429" s="12" t="n">
        <v>4413111</v>
      </c>
      <c r="G429" s="12" t="s">
        <v>1310</v>
      </c>
    </row>
    <row r="430" customFormat="false" ht="15" hidden="false" customHeight="true" outlineLevel="0" collapsed="false">
      <c r="A430" s="12" t="s">
        <v>952</v>
      </c>
      <c r="B430" s="12" t="s">
        <v>1115</v>
      </c>
      <c r="C430" s="12" t="n">
        <v>2025</v>
      </c>
      <c r="D430" s="12" t="n">
        <v>11</v>
      </c>
      <c r="E430" s="12" t="n">
        <v>231</v>
      </c>
      <c r="F430" s="12" t="n">
        <v>4413112</v>
      </c>
      <c r="G430" s="12" t="s">
        <v>1310</v>
      </c>
    </row>
    <row r="431" customFormat="false" ht="15" hidden="false" customHeight="true" outlineLevel="0" collapsed="false">
      <c r="A431" s="12" t="s">
        <v>952</v>
      </c>
      <c r="B431" s="12" t="s">
        <v>1115</v>
      </c>
      <c r="C431" s="12" t="n">
        <v>2026</v>
      </c>
      <c r="D431" s="12" t="n">
        <v>3</v>
      </c>
      <c r="E431" s="12" t="n">
        <v>63</v>
      </c>
      <c r="F431" s="12" t="n">
        <v>4413112</v>
      </c>
      <c r="G431" s="12" t="s">
        <v>1310</v>
      </c>
    </row>
    <row r="432" customFormat="false" ht="15" hidden="false" customHeight="true" outlineLevel="0" collapsed="false">
      <c r="A432" s="12" t="s">
        <v>952</v>
      </c>
      <c r="B432" s="12" t="s">
        <v>1340</v>
      </c>
      <c r="C432" s="12" t="n">
        <v>2025</v>
      </c>
      <c r="D432" s="12" t="n">
        <v>7</v>
      </c>
      <c r="E432" s="12" t="n">
        <v>147</v>
      </c>
      <c r="F432" s="12" t="n">
        <v>4413113</v>
      </c>
      <c r="G432" s="12" t="s">
        <v>1310</v>
      </c>
    </row>
    <row r="433" customFormat="false" ht="15" hidden="false" customHeight="true" outlineLevel="0" collapsed="false">
      <c r="A433" s="12" t="s">
        <v>952</v>
      </c>
      <c r="B433" s="12" t="s">
        <v>1340</v>
      </c>
      <c r="C433" s="12" t="n">
        <v>2026</v>
      </c>
      <c r="D433" s="12" t="n">
        <v>7</v>
      </c>
      <c r="E433" s="12" t="n">
        <v>147</v>
      </c>
      <c r="F433" s="12" t="n">
        <v>4413113</v>
      </c>
      <c r="G433" s="12" t="s">
        <v>1310</v>
      </c>
    </row>
    <row r="434" customFormat="false" ht="15" hidden="false" customHeight="true" outlineLevel="0" collapsed="false">
      <c r="A434" s="12" t="s">
        <v>952</v>
      </c>
      <c r="B434" s="12" t="s">
        <v>1341</v>
      </c>
      <c r="C434" s="12" t="n">
        <v>2025</v>
      </c>
      <c r="D434" s="12" t="n">
        <v>10</v>
      </c>
      <c r="E434" s="12" t="n">
        <v>210</v>
      </c>
      <c r="F434" s="12" t="n">
        <v>4413114</v>
      </c>
      <c r="G434" s="12" t="s">
        <v>1310</v>
      </c>
    </row>
    <row r="435" customFormat="false" ht="15" hidden="false" customHeight="true" outlineLevel="0" collapsed="false">
      <c r="A435" s="12" t="s">
        <v>952</v>
      </c>
      <c r="B435" s="12" t="s">
        <v>1341</v>
      </c>
      <c r="C435" s="12" t="n">
        <v>2026</v>
      </c>
      <c r="D435" s="12" t="n">
        <v>6</v>
      </c>
      <c r="E435" s="12" t="n">
        <v>126</v>
      </c>
      <c r="F435" s="12" t="n">
        <v>4413114</v>
      </c>
      <c r="G435" s="12" t="s">
        <v>1310</v>
      </c>
    </row>
    <row r="436" customFormat="false" ht="15" hidden="false" customHeight="true" outlineLevel="0" collapsed="false">
      <c r="A436" s="12" t="s">
        <v>952</v>
      </c>
      <c r="B436" s="12" t="s">
        <v>1342</v>
      </c>
      <c r="C436" s="12" t="n">
        <v>2025</v>
      </c>
      <c r="D436" s="12" t="n">
        <v>1</v>
      </c>
      <c r="E436" s="12" t="n">
        <v>21</v>
      </c>
      <c r="F436" s="12" t="n">
        <v>4413115</v>
      </c>
      <c r="G436" s="12" t="s">
        <v>1310</v>
      </c>
    </row>
    <row r="437" customFormat="false" ht="15" hidden="false" customHeight="true" outlineLevel="0" collapsed="false">
      <c r="A437" s="12" t="s">
        <v>952</v>
      </c>
      <c r="B437" s="12" t="s">
        <v>1123</v>
      </c>
      <c r="C437" s="12" t="n">
        <v>2025</v>
      </c>
      <c r="D437" s="12" t="n">
        <v>14</v>
      </c>
      <c r="E437" s="12" t="n">
        <v>1908.2</v>
      </c>
      <c r="F437" s="12" t="n">
        <v>4413131</v>
      </c>
      <c r="G437" s="12" t="s">
        <v>1310</v>
      </c>
    </row>
    <row r="438" customFormat="false" ht="15" hidden="false" customHeight="true" outlineLevel="0" collapsed="false">
      <c r="A438" s="12" t="s">
        <v>952</v>
      </c>
      <c r="B438" s="12" t="s">
        <v>1123</v>
      </c>
      <c r="C438" s="12" t="n">
        <v>2026</v>
      </c>
      <c r="D438" s="12" t="n">
        <v>1</v>
      </c>
      <c r="E438" s="12" t="n">
        <v>136.3</v>
      </c>
      <c r="F438" s="12" t="n">
        <v>4413131</v>
      </c>
      <c r="G438" s="12" t="s">
        <v>1310</v>
      </c>
    </row>
    <row r="439" customFormat="false" ht="15" hidden="false" customHeight="true" outlineLevel="0" collapsed="false">
      <c r="A439" s="12" t="s">
        <v>952</v>
      </c>
      <c r="B439" s="12" t="s">
        <v>1124</v>
      </c>
      <c r="C439" s="12" t="n">
        <v>2025</v>
      </c>
      <c r="D439" s="12" t="n">
        <v>19</v>
      </c>
      <c r="E439" s="12" t="n">
        <v>2589.7</v>
      </c>
      <c r="F439" s="12" t="n">
        <v>4413132</v>
      </c>
      <c r="G439" s="12" t="s">
        <v>1310</v>
      </c>
    </row>
    <row r="440" customFormat="false" ht="15" hidden="false" customHeight="true" outlineLevel="0" collapsed="false">
      <c r="A440" s="12" t="s">
        <v>952</v>
      </c>
      <c r="B440" s="12" t="s">
        <v>1124</v>
      </c>
      <c r="C440" s="12" t="n">
        <v>2026</v>
      </c>
      <c r="D440" s="12" t="n">
        <v>10</v>
      </c>
      <c r="E440" s="12" t="n">
        <v>1363</v>
      </c>
      <c r="F440" s="12" t="n">
        <v>4413132</v>
      </c>
      <c r="G440" s="12" t="s">
        <v>1310</v>
      </c>
    </row>
    <row r="441" customFormat="false" ht="15" hidden="false" customHeight="true" outlineLevel="0" collapsed="false">
      <c r="A441" s="12" t="s">
        <v>952</v>
      </c>
      <c r="B441" s="12" t="s">
        <v>1125</v>
      </c>
      <c r="C441" s="12" t="n">
        <v>2025</v>
      </c>
      <c r="D441" s="12" t="n">
        <v>24</v>
      </c>
      <c r="E441" s="12" t="n">
        <v>3271.2</v>
      </c>
      <c r="F441" s="12" t="n">
        <v>4413133</v>
      </c>
      <c r="G441" s="12" t="s">
        <v>1310</v>
      </c>
    </row>
    <row r="442" customFormat="false" ht="15" hidden="false" customHeight="true" outlineLevel="0" collapsed="false">
      <c r="A442" s="12" t="s">
        <v>952</v>
      </c>
      <c r="B442" s="12" t="s">
        <v>1125</v>
      </c>
      <c r="C442" s="12" t="n">
        <v>2026</v>
      </c>
      <c r="D442" s="12" t="n">
        <v>8</v>
      </c>
      <c r="E442" s="12" t="n">
        <v>1090.4</v>
      </c>
      <c r="F442" s="12" t="n">
        <v>4413133</v>
      </c>
      <c r="G442" s="12" t="s">
        <v>1310</v>
      </c>
    </row>
    <row r="443" customFormat="false" ht="15" hidden="false" customHeight="true" outlineLevel="0" collapsed="false">
      <c r="A443" s="12" t="s">
        <v>952</v>
      </c>
      <c r="B443" s="12" t="s">
        <v>1126</v>
      </c>
      <c r="C443" s="12" t="n">
        <v>2025</v>
      </c>
      <c r="D443" s="12" t="n">
        <v>7</v>
      </c>
      <c r="E443" s="12" t="n">
        <v>954.1</v>
      </c>
      <c r="F443" s="12" t="n">
        <v>4413134</v>
      </c>
      <c r="G443" s="12" t="s">
        <v>1310</v>
      </c>
    </row>
    <row r="444" customFormat="false" ht="15" hidden="false" customHeight="true" outlineLevel="0" collapsed="false">
      <c r="A444" s="12" t="s">
        <v>952</v>
      </c>
      <c r="B444" s="12" t="s">
        <v>1126</v>
      </c>
      <c r="C444" s="12" t="n">
        <v>2026</v>
      </c>
      <c r="D444" s="12" t="n">
        <v>8</v>
      </c>
      <c r="E444" s="12" t="n">
        <v>1090.4</v>
      </c>
      <c r="F444" s="12" t="n">
        <v>4413134</v>
      </c>
      <c r="G444" s="12" t="s">
        <v>1310</v>
      </c>
    </row>
    <row r="445" customFormat="false" ht="15" hidden="false" customHeight="true" outlineLevel="0" collapsed="false">
      <c r="A445" s="12" t="s">
        <v>952</v>
      </c>
      <c r="B445" s="12" t="s">
        <v>1127</v>
      </c>
      <c r="C445" s="12" t="n">
        <v>2025</v>
      </c>
      <c r="D445" s="12" t="n">
        <v>345</v>
      </c>
      <c r="E445" s="12" t="n">
        <v>12075</v>
      </c>
      <c r="F445" s="12" t="n">
        <v>4413135</v>
      </c>
      <c r="G445" s="12" t="s">
        <v>1310</v>
      </c>
    </row>
    <row r="446" customFormat="false" ht="15" hidden="false" customHeight="true" outlineLevel="0" collapsed="false">
      <c r="A446" s="12" t="s">
        <v>952</v>
      </c>
      <c r="B446" s="12" t="s">
        <v>1127</v>
      </c>
      <c r="C446" s="12" t="n">
        <v>2026</v>
      </c>
      <c r="D446" s="12" t="n">
        <v>106</v>
      </c>
      <c r="E446" s="12" t="n">
        <v>3710</v>
      </c>
      <c r="F446" s="12" t="n">
        <v>4413135</v>
      </c>
      <c r="G446" s="12" t="s">
        <v>1310</v>
      </c>
    </row>
    <row r="447" customFormat="false" ht="15" hidden="false" customHeight="true" outlineLevel="0" collapsed="false">
      <c r="A447" s="12" t="s">
        <v>952</v>
      </c>
      <c r="B447" s="12" t="s">
        <v>1128</v>
      </c>
      <c r="C447" s="12" t="n">
        <v>2025</v>
      </c>
      <c r="D447" s="12" t="n">
        <v>309</v>
      </c>
      <c r="E447" s="12" t="n">
        <v>10815</v>
      </c>
      <c r="F447" s="12" t="n">
        <v>4413136</v>
      </c>
      <c r="G447" s="12" t="s">
        <v>1310</v>
      </c>
    </row>
    <row r="448" customFormat="false" ht="15" hidden="false" customHeight="true" outlineLevel="0" collapsed="false">
      <c r="A448" s="12" t="s">
        <v>952</v>
      </c>
      <c r="B448" s="12" t="s">
        <v>1128</v>
      </c>
      <c r="C448" s="12" t="n">
        <v>2026</v>
      </c>
      <c r="D448" s="12" t="n">
        <v>65</v>
      </c>
      <c r="E448" s="12" t="n">
        <v>2275</v>
      </c>
      <c r="F448" s="12" t="n">
        <v>4413136</v>
      </c>
      <c r="G448" s="12" t="s">
        <v>1310</v>
      </c>
    </row>
    <row r="449" customFormat="false" ht="15" hidden="false" customHeight="true" outlineLevel="0" collapsed="false">
      <c r="A449" s="12" t="s">
        <v>952</v>
      </c>
      <c r="B449" s="12" t="s">
        <v>1129</v>
      </c>
      <c r="C449" s="12" t="n">
        <v>2025</v>
      </c>
      <c r="D449" s="12" t="n">
        <v>127</v>
      </c>
      <c r="E449" s="12" t="n">
        <v>4445</v>
      </c>
      <c r="F449" s="12" t="n">
        <v>4413137</v>
      </c>
      <c r="G449" s="12" t="s">
        <v>1310</v>
      </c>
    </row>
    <row r="450" customFormat="false" ht="15" hidden="false" customHeight="true" outlineLevel="0" collapsed="false">
      <c r="A450" s="12" t="s">
        <v>952</v>
      </c>
      <c r="B450" s="12" t="s">
        <v>1129</v>
      </c>
      <c r="C450" s="12" t="n">
        <v>2026</v>
      </c>
      <c r="D450" s="12" t="n">
        <v>44</v>
      </c>
      <c r="E450" s="12" t="n">
        <v>1540</v>
      </c>
      <c r="F450" s="12" t="n">
        <v>4413137</v>
      </c>
      <c r="G450" s="12" t="s">
        <v>1310</v>
      </c>
    </row>
    <row r="451" customFormat="false" ht="15" hidden="false" customHeight="true" outlineLevel="0" collapsed="false">
      <c r="A451" s="12" t="s">
        <v>952</v>
      </c>
      <c r="B451" s="12" t="s">
        <v>1130</v>
      </c>
      <c r="C451" s="12" t="n">
        <v>2025</v>
      </c>
      <c r="D451" s="12" t="n">
        <v>133</v>
      </c>
      <c r="E451" s="12" t="n">
        <v>4655</v>
      </c>
      <c r="F451" s="12" t="n">
        <v>4413138</v>
      </c>
      <c r="G451" s="12" t="s">
        <v>1310</v>
      </c>
    </row>
    <row r="452" customFormat="false" ht="15" hidden="false" customHeight="true" outlineLevel="0" collapsed="false">
      <c r="A452" s="12" t="s">
        <v>952</v>
      </c>
      <c r="B452" s="12" t="s">
        <v>1130</v>
      </c>
      <c r="C452" s="12" t="n">
        <v>2026</v>
      </c>
      <c r="D452" s="12" t="n">
        <v>43</v>
      </c>
      <c r="E452" s="12" t="n">
        <v>1505</v>
      </c>
      <c r="F452" s="12" t="n">
        <v>4413138</v>
      </c>
      <c r="G452" s="12" t="s">
        <v>1310</v>
      </c>
    </row>
    <row r="453" customFormat="false" ht="15" hidden="false" customHeight="true" outlineLevel="0" collapsed="false">
      <c r="A453" s="12" t="s">
        <v>952</v>
      </c>
      <c r="B453" s="12" t="s">
        <v>1131</v>
      </c>
      <c r="C453" s="12" t="n">
        <v>2025</v>
      </c>
      <c r="D453" s="12" t="n">
        <v>217</v>
      </c>
      <c r="E453" s="12" t="n">
        <v>3689</v>
      </c>
      <c r="F453" s="12" t="n">
        <v>4413139</v>
      </c>
      <c r="G453" s="12" t="s">
        <v>1310</v>
      </c>
    </row>
    <row r="454" customFormat="false" ht="15" hidden="false" customHeight="true" outlineLevel="0" collapsed="false">
      <c r="A454" s="12" t="s">
        <v>952</v>
      </c>
      <c r="B454" s="12" t="s">
        <v>1131</v>
      </c>
      <c r="C454" s="12" t="n">
        <v>2026</v>
      </c>
      <c r="D454" s="12" t="n">
        <v>68</v>
      </c>
      <c r="E454" s="12" t="n">
        <v>1156</v>
      </c>
      <c r="F454" s="12" t="n">
        <v>4413139</v>
      </c>
      <c r="G454" s="12" t="s">
        <v>1310</v>
      </c>
    </row>
    <row r="455" customFormat="false" ht="15" hidden="false" customHeight="true" outlineLevel="0" collapsed="false">
      <c r="A455" s="12" t="s">
        <v>952</v>
      </c>
      <c r="B455" s="12" t="s">
        <v>1132</v>
      </c>
      <c r="C455" s="12" t="n">
        <v>2025</v>
      </c>
      <c r="D455" s="12" t="n">
        <v>244</v>
      </c>
      <c r="E455" s="12" t="n">
        <v>4148</v>
      </c>
      <c r="F455" s="12" t="n">
        <v>4413140</v>
      </c>
      <c r="G455" s="12" t="s">
        <v>1310</v>
      </c>
    </row>
    <row r="456" customFormat="false" ht="15" hidden="false" customHeight="true" outlineLevel="0" collapsed="false">
      <c r="A456" s="12" t="s">
        <v>952</v>
      </c>
      <c r="B456" s="12" t="s">
        <v>1132</v>
      </c>
      <c r="C456" s="12" t="n">
        <v>2026</v>
      </c>
      <c r="D456" s="12" t="n">
        <v>73</v>
      </c>
      <c r="E456" s="12" t="n">
        <v>1241</v>
      </c>
      <c r="F456" s="12" t="n">
        <v>4413140</v>
      </c>
      <c r="G456" s="12" t="s">
        <v>1310</v>
      </c>
    </row>
    <row r="457" customFormat="false" ht="15" hidden="false" customHeight="true" outlineLevel="0" collapsed="false">
      <c r="A457" s="12" t="s">
        <v>952</v>
      </c>
      <c r="B457" s="12" t="s">
        <v>1343</v>
      </c>
      <c r="C457" s="12" t="n">
        <v>2025</v>
      </c>
      <c r="D457" s="12" t="n">
        <v>186</v>
      </c>
      <c r="E457" s="12" t="n">
        <v>3162</v>
      </c>
      <c r="F457" s="12" t="n">
        <v>4413141</v>
      </c>
      <c r="G457" s="12" t="s">
        <v>1310</v>
      </c>
    </row>
    <row r="458" customFormat="false" ht="15" hidden="false" customHeight="true" outlineLevel="0" collapsed="false">
      <c r="A458" s="12" t="s">
        <v>952</v>
      </c>
      <c r="B458" s="12" t="s">
        <v>1343</v>
      </c>
      <c r="C458" s="12" t="n">
        <v>2026</v>
      </c>
      <c r="D458" s="12" t="n">
        <v>57</v>
      </c>
      <c r="E458" s="12" t="n">
        <v>969</v>
      </c>
      <c r="F458" s="12" t="n">
        <v>4413141</v>
      </c>
      <c r="G458" s="12" t="s">
        <v>1310</v>
      </c>
    </row>
    <row r="459" customFormat="false" ht="15" hidden="false" customHeight="true" outlineLevel="0" collapsed="false">
      <c r="A459" s="12" t="s">
        <v>952</v>
      </c>
      <c r="B459" s="12" t="s">
        <v>1133</v>
      </c>
      <c r="C459" s="12" t="n">
        <v>2025</v>
      </c>
      <c r="D459" s="12" t="n">
        <v>85</v>
      </c>
      <c r="E459" s="12" t="n">
        <v>1445</v>
      </c>
      <c r="F459" s="12" t="n">
        <v>4413142</v>
      </c>
      <c r="G459" s="12" t="s">
        <v>1310</v>
      </c>
    </row>
    <row r="460" customFormat="false" ht="15" hidden="false" customHeight="true" outlineLevel="0" collapsed="false">
      <c r="A460" s="12" t="s">
        <v>952</v>
      </c>
      <c r="B460" s="12" t="s">
        <v>1133</v>
      </c>
      <c r="C460" s="12" t="n">
        <v>2026</v>
      </c>
      <c r="D460" s="12" t="n">
        <v>35</v>
      </c>
      <c r="E460" s="12" t="n">
        <v>595</v>
      </c>
      <c r="F460" s="12" t="n">
        <v>4413142</v>
      </c>
      <c r="G460" s="12" t="s">
        <v>1310</v>
      </c>
    </row>
    <row r="461" customFormat="false" ht="15" hidden="false" customHeight="true" outlineLevel="0" collapsed="false">
      <c r="A461" s="12" t="s">
        <v>952</v>
      </c>
      <c r="B461" s="12" t="s">
        <v>1134</v>
      </c>
      <c r="C461" s="12" t="n">
        <v>2025</v>
      </c>
      <c r="D461" s="12" t="n">
        <v>40</v>
      </c>
      <c r="E461" s="12" t="n">
        <v>680</v>
      </c>
      <c r="F461" s="12" t="n">
        <v>4413143</v>
      </c>
      <c r="G461" s="12" t="s">
        <v>1310</v>
      </c>
    </row>
    <row r="462" customFormat="false" ht="15" hidden="false" customHeight="true" outlineLevel="0" collapsed="false">
      <c r="A462" s="12" t="s">
        <v>952</v>
      </c>
      <c r="B462" s="12" t="s">
        <v>1134</v>
      </c>
      <c r="C462" s="12" t="n">
        <v>2026</v>
      </c>
      <c r="D462" s="12" t="n">
        <v>9</v>
      </c>
      <c r="E462" s="12" t="n">
        <v>153</v>
      </c>
      <c r="F462" s="12" t="n">
        <v>4413143</v>
      </c>
      <c r="G462" s="12" t="s">
        <v>1310</v>
      </c>
    </row>
    <row r="463" customFormat="false" ht="15" hidden="false" customHeight="true" outlineLevel="0" collapsed="false">
      <c r="A463" s="12" t="s">
        <v>952</v>
      </c>
      <c r="B463" s="12" t="s">
        <v>1344</v>
      </c>
      <c r="C463" s="12" t="n">
        <v>2025</v>
      </c>
      <c r="D463" s="12" t="n">
        <v>13</v>
      </c>
      <c r="E463" s="12" t="n">
        <v>221</v>
      </c>
      <c r="F463" s="12" t="n">
        <v>4413144</v>
      </c>
      <c r="G463" s="12" t="s">
        <v>1310</v>
      </c>
    </row>
    <row r="464" customFormat="false" ht="15" hidden="false" customHeight="true" outlineLevel="0" collapsed="false">
      <c r="A464" s="12" t="s">
        <v>952</v>
      </c>
      <c r="B464" s="12" t="s">
        <v>1344</v>
      </c>
      <c r="C464" s="12" t="n">
        <v>2026</v>
      </c>
      <c r="D464" s="12" t="n">
        <v>8</v>
      </c>
      <c r="E464" s="12" t="n">
        <v>136</v>
      </c>
      <c r="F464" s="12" t="n">
        <v>4413144</v>
      </c>
      <c r="G464" s="12" t="s">
        <v>1310</v>
      </c>
    </row>
    <row r="465" customFormat="false" ht="15" hidden="false" customHeight="true" outlineLevel="0" collapsed="false">
      <c r="A465" s="12" t="s">
        <v>952</v>
      </c>
      <c r="B465" s="12" t="s">
        <v>1135</v>
      </c>
      <c r="C465" s="12" t="n">
        <v>2025</v>
      </c>
      <c r="D465" s="12" t="n">
        <v>225</v>
      </c>
      <c r="E465" s="12" t="n">
        <v>1964.25</v>
      </c>
      <c r="F465" s="12" t="n">
        <v>4413149</v>
      </c>
      <c r="G465" s="12" t="s">
        <v>1310</v>
      </c>
    </row>
    <row r="466" customFormat="false" ht="15" hidden="false" customHeight="true" outlineLevel="0" collapsed="false">
      <c r="A466" s="12" t="s">
        <v>952</v>
      </c>
      <c r="B466" s="12" t="s">
        <v>1135</v>
      </c>
      <c r="C466" s="12" t="n">
        <v>2026</v>
      </c>
      <c r="D466" s="12" t="n">
        <v>67</v>
      </c>
      <c r="E466" s="12" t="n">
        <v>584.91</v>
      </c>
      <c r="F466" s="12" t="n">
        <v>4413149</v>
      </c>
      <c r="G466" s="12" t="s">
        <v>1310</v>
      </c>
    </row>
    <row r="467" customFormat="false" ht="15" hidden="false" customHeight="true" outlineLevel="0" collapsed="false">
      <c r="A467" s="12" t="s">
        <v>952</v>
      </c>
      <c r="B467" s="12" t="s">
        <v>1136</v>
      </c>
      <c r="C467" s="12" t="n">
        <v>2025</v>
      </c>
      <c r="D467" s="12" t="n">
        <v>101</v>
      </c>
      <c r="E467" s="12" t="n">
        <v>2181.6</v>
      </c>
      <c r="F467" s="12" t="n">
        <v>4413150</v>
      </c>
      <c r="G467" s="12" t="s">
        <v>1310</v>
      </c>
    </row>
    <row r="468" customFormat="false" ht="15" hidden="false" customHeight="true" outlineLevel="0" collapsed="false">
      <c r="A468" s="12" t="s">
        <v>952</v>
      </c>
      <c r="B468" s="12" t="s">
        <v>1136</v>
      </c>
      <c r="C468" s="12" t="n">
        <v>2026</v>
      </c>
      <c r="D468" s="12" t="n">
        <v>42</v>
      </c>
      <c r="E468" s="12" t="n">
        <v>907.2</v>
      </c>
      <c r="F468" s="12" t="n">
        <v>4413150</v>
      </c>
      <c r="G468" s="12" t="s">
        <v>1310</v>
      </c>
    </row>
    <row r="469" customFormat="false" ht="15" hidden="false" customHeight="true" outlineLevel="0" collapsed="false">
      <c r="A469" s="12" t="s">
        <v>952</v>
      </c>
      <c r="B469" s="12" t="s">
        <v>1140</v>
      </c>
      <c r="C469" s="12" t="n">
        <v>2025</v>
      </c>
      <c r="D469" s="12" t="n">
        <v>-1</v>
      </c>
      <c r="E469" s="12" t="n">
        <v>0</v>
      </c>
      <c r="F469" s="12" t="n">
        <v>4413158</v>
      </c>
      <c r="G469" s="12" t="s">
        <v>1310</v>
      </c>
    </row>
    <row r="470" customFormat="false" ht="15" hidden="false" customHeight="true" outlineLevel="0" collapsed="false">
      <c r="A470" s="12" t="s">
        <v>952</v>
      </c>
      <c r="B470" s="12" t="s">
        <v>1345</v>
      </c>
      <c r="C470" s="12" t="n">
        <v>2025</v>
      </c>
      <c r="D470" s="12" t="n">
        <v>31</v>
      </c>
      <c r="E470" s="12" t="n">
        <v>1307.27</v>
      </c>
      <c r="F470" s="12" t="n">
        <v>4413159</v>
      </c>
      <c r="G470" s="12" t="s">
        <v>1310</v>
      </c>
    </row>
    <row r="471" customFormat="false" ht="15" hidden="false" customHeight="true" outlineLevel="0" collapsed="false">
      <c r="A471" s="12" t="s">
        <v>952</v>
      </c>
      <c r="B471" s="12" t="s">
        <v>1345</v>
      </c>
      <c r="C471" s="12" t="n">
        <v>2026</v>
      </c>
      <c r="D471" s="12" t="n">
        <v>14</v>
      </c>
      <c r="E471" s="12" t="n">
        <v>590.38</v>
      </c>
      <c r="F471" s="12" t="n">
        <v>4413159</v>
      </c>
      <c r="G471" s="12" t="s">
        <v>1310</v>
      </c>
    </row>
    <row r="472" customFormat="false" ht="15" hidden="false" customHeight="true" outlineLevel="0" collapsed="false">
      <c r="A472" s="12" t="s">
        <v>952</v>
      </c>
      <c r="B472" s="12" t="s">
        <v>1141</v>
      </c>
      <c r="C472" s="12" t="n">
        <v>2025</v>
      </c>
      <c r="D472" s="12" t="n">
        <v>132</v>
      </c>
      <c r="E472" s="12" t="n">
        <v>5566.44</v>
      </c>
      <c r="F472" s="12" t="n">
        <v>4413160</v>
      </c>
      <c r="G472" s="12" t="s">
        <v>1310</v>
      </c>
    </row>
    <row r="473" customFormat="false" ht="15" hidden="false" customHeight="true" outlineLevel="0" collapsed="false">
      <c r="A473" s="12" t="s">
        <v>952</v>
      </c>
      <c r="B473" s="12" t="s">
        <v>1141</v>
      </c>
      <c r="C473" s="12" t="n">
        <v>2026</v>
      </c>
      <c r="D473" s="12" t="n">
        <v>18</v>
      </c>
      <c r="E473" s="12" t="n">
        <v>759.06</v>
      </c>
      <c r="F473" s="12" t="n">
        <v>4413160</v>
      </c>
      <c r="G473" s="12" t="s">
        <v>1310</v>
      </c>
    </row>
    <row r="474" customFormat="false" ht="15" hidden="false" customHeight="true" outlineLevel="0" collapsed="false">
      <c r="A474" s="12" t="s">
        <v>952</v>
      </c>
      <c r="B474" s="12" t="s">
        <v>1142</v>
      </c>
      <c r="C474" s="12" t="n">
        <v>2025</v>
      </c>
      <c r="D474" s="12" t="n">
        <v>105</v>
      </c>
      <c r="E474" s="12" t="n">
        <v>4427.85</v>
      </c>
      <c r="F474" s="12" t="n">
        <v>4413161</v>
      </c>
      <c r="G474" s="12" t="s">
        <v>1310</v>
      </c>
    </row>
    <row r="475" customFormat="false" ht="15" hidden="false" customHeight="true" outlineLevel="0" collapsed="false">
      <c r="A475" s="12" t="s">
        <v>952</v>
      </c>
      <c r="B475" s="12" t="s">
        <v>1142</v>
      </c>
      <c r="C475" s="12" t="n">
        <v>2026</v>
      </c>
      <c r="D475" s="12" t="n">
        <v>42</v>
      </c>
      <c r="E475" s="12" t="n">
        <v>1771.14</v>
      </c>
      <c r="F475" s="12" t="n">
        <v>4413161</v>
      </c>
      <c r="G475" s="12" t="s">
        <v>1310</v>
      </c>
    </row>
    <row r="476" customFormat="false" ht="15" hidden="false" customHeight="true" outlineLevel="0" collapsed="false">
      <c r="A476" s="12" t="s">
        <v>952</v>
      </c>
      <c r="B476" s="12" t="s">
        <v>1143</v>
      </c>
      <c r="C476" s="12" t="n">
        <v>2025</v>
      </c>
      <c r="D476" s="12" t="n">
        <v>100</v>
      </c>
      <c r="E476" s="12" t="n">
        <v>4217</v>
      </c>
      <c r="F476" s="12" t="n">
        <v>4413162</v>
      </c>
      <c r="G476" s="12" t="s">
        <v>1310</v>
      </c>
    </row>
    <row r="477" customFormat="false" ht="15" hidden="false" customHeight="true" outlineLevel="0" collapsed="false">
      <c r="A477" s="12" t="s">
        <v>952</v>
      </c>
      <c r="B477" s="12" t="s">
        <v>1143</v>
      </c>
      <c r="C477" s="12" t="n">
        <v>2026</v>
      </c>
      <c r="D477" s="12" t="n">
        <v>17</v>
      </c>
      <c r="E477" s="12" t="n">
        <v>716.89</v>
      </c>
      <c r="F477" s="12" t="n">
        <v>4413162</v>
      </c>
      <c r="G477" s="12" t="s">
        <v>1310</v>
      </c>
    </row>
    <row r="478" customFormat="false" ht="15" hidden="false" customHeight="true" outlineLevel="0" collapsed="false">
      <c r="A478" s="12" t="s">
        <v>952</v>
      </c>
      <c r="B478" s="12" t="s">
        <v>1144</v>
      </c>
      <c r="C478" s="12" t="n">
        <v>2025</v>
      </c>
      <c r="D478" s="12" t="n">
        <v>4</v>
      </c>
      <c r="E478" s="12" t="n">
        <v>519.24</v>
      </c>
      <c r="F478" s="12" t="n">
        <v>4413165</v>
      </c>
      <c r="G478" s="12" t="s">
        <v>1310</v>
      </c>
    </row>
    <row r="479" customFormat="false" ht="15" hidden="false" customHeight="true" outlineLevel="0" collapsed="false">
      <c r="A479" s="12" t="s">
        <v>952</v>
      </c>
      <c r="B479" s="12" t="s">
        <v>1149</v>
      </c>
      <c r="C479" s="12" t="n">
        <v>2025</v>
      </c>
      <c r="D479" s="12" t="n">
        <v>2</v>
      </c>
      <c r="E479" s="12" t="n">
        <v>253</v>
      </c>
      <c r="F479" s="12" t="n">
        <v>4413195</v>
      </c>
      <c r="G479" s="12" t="s">
        <v>1310</v>
      </c>
    </row>
    <row r="480" customFormat="false" ht="15" hidden="false" customHeight="true" outlineLevel="0" collapsed="false">
      <c r="A480" s="12" t="s">
        <v>952</v>
      </c>
      <c r="B480" s="12" t="s">
        <v>1149</v>
      </c>
      <c r="C480" s="12" t="n">
        <v>2026</v>
      </c>
      <c r="D480" s="12" t="n">
        <v>1</v>
      </c>
      <c r="E480" s="12" t="n">
        <v>126.5</v>
      </c>
      <c r="F480" s="12" t="n">
        <v>4413195</v>
      </c>
      <c r="G480" s="12" t="s">
        <v>1310</v>
      </c>
    </row>
    <row r="481" customFormat="false" ht="15" hidden="false" customHeight="true" outlineLevel="0" collapsed="false">
      <c r="A481" s="12" t="s">
        <v>952</v>
      </c>
      <c r="B481" s="12" t="s">
        <v>1150</v>
      </c>
      <c r="C481" s="12" t="n">
        <v>2025</v>
      </c>
      <c r="D481" s="12" t="n">
        <v>61</v>
      </c>
      <c r="E481" s="12" t="n">
        <v>7716.5</v>
      </c>
      <c r="F481" s="12" t="n">
        <v>4413196</v>
      </c>
      <c r="G481" s="12" t="s">
        <v>1310</v>
      </c>
    </row>
    <row r="482" customFormat="false" ht="15" hidden="false" customHeight="true" outlineLevel="0" collapsed="false">
      <c r="A482" s="12" t="s">
        <v>952</v>
      </c>
      <c r="B482" s="12" t="s">
        <v>1150</v>
      </c>
      <c r="C482" s="12" t="n">
        <v>2026</v>
      </c>
      <c r="D482" s="12" t="n">
        <v>9</v>
      </c>
      <c r="E482" s="12" t="n">
        <v>1138.5</v>
      </c>
      <c r="F482" s="12" t="n">
        <v>4413196</v>
      </c>
      <c r="G482" s="12" t="s">
        <v>1310</v>
      </c>
    </row>
    <row r="483" customFormat="false" ht="15" hidden="false" customHeight="true" outlineLevel="0" collapsed="false">
      <c r="A483" s="12" t="s">
        <v>952</v>
      </c>
      <c r="B483" s="12" t="s">
        <v>1151</v>
      </c>
      <c r="C483" s="12" t="n">
        <v>2025</v>
      </c>
      <c r="D483" s="12" t="n">
        <v>83</v>
      </c>
      <c r="E483" s="12" t="n">
        <v>10499.5</v>
      </c>
      <c r="F483" s="12" t="n">
        <v>4413197</v>
      </c>
      <c r="G483" s="12" t="s">
        <v>1310</v>
      </c>
    </row>
    <row r="484" customFormat="false" ht="15" hidden="false" customHeight="true" outlineLevel="0" collapsed="false">
      <c r="A484" s="12" t="s">
        <v>952</v>
      </c>
      <c r="B484" s="12" t="s">
        <v>1151</v>
      </c>
      <c r="C484" s="12" t="n">
        <v>2026</v>
      </c>
      <c r="D484" s="12" t="n">
        <v>18</v>
      </c>
      <c r="E484" s="12" t="n">
        <v>2277</v>
      </c>
      <c r="F484" s="12" t="n">
        <v>4413197</v>
      </c>
      <c r="G484" s="12" t="s">
        <v>1310</v>
      </c>
    </row>
    <row r="485" customFormat="false" ht="15" hidden="false" customHeight="true" outlineLevel="0" collapsed="false">
      <c r="A485" s="12" t="s">
        <v>952</v>
      </c>
      <c r="B485" s="12" t="s">
        <v>1152</v>
      </c>
      <c r="C485" s="12" t="n">
        <v>2025</v>
      </c>
      <c r="D485" s="12" t="n">
        <v>55</v>
      </c>
      <c r="E485" s="12" t="n">
        <v>6957.5</v>
      </c>
      <c r="F485" s="12" t="n">
        <v>4413198</v>
      </c>
      <c r="G485" s="12" t="s">
        <v>1310</v>
      </c>
    </row>
    <row r="486" customFormat="false" ht="15" hidden="false" customHeight="true" outlineLevel="0" collapsed="false">
      <c r="A486" s="12" t="s">
        <v>952</v>
      </c>
      <c r="B486" s="12" t="s">
        <v>1152</v>
      </c>
      <c r="C486" s="12" t="n">
        <v>2026</v>
      </c>
      <c r="D486" s="12" t="n">
        <v>14</v>
      </c>
      <c r="E486" s="12" t="n">
        <v>1771</v>
      </c>
      <c r="F486" s="12" t="n">
        <v>4413198</v>
      </c>
      <c r="G486" s="12" t="s">
        <v>1310</v>
      </c>
    </row>
    <row r="487" customFormat="false" ht="15" hidden="false" customHeight="true" outlineLevel="0" collapsed="false">
      <c r="A487" s="12" t="s">
        <v>952</v>
      </c>
      <c r="B487" s="12" t="s">
        <v>1153</v>
      </c>
      <c r="C487" s="12" t="n">
        <v>2025</v>
      </c>
      <c r="D487" s="12" t="n">
        <v>18</v>
      </c>
      <c r="E487" s="12" t="n">
        <v>2277</v>
      </c>
      <c r="F487" s="12" t="n">
        <v>4413204</v>
      </c>
      <c r="G487" s="12" t="s">
        <v>1310</v>
      </c>
    </row>
    <row r="488" customFormat="false" ht="15" hidden="false" customHeight="true" outlineLevel="0" collapsed="false">
      <c r="A488" s="12" t="s">
        <v>952</v>
      </c>
      <c r="B488" s="12" t="s">
        <v>1153</v>
      </c>
      <c r="C488" s="12" t="n">
        <v>2026</v>
      </c>
      <c r="D488" s="12" t="n">
        <v>7</v>
      </c>
      <c r="E488" s="12" t="n">
        <v>885.5</v>
      </c>
      <c r="F488" s="12" t="n">
        <v>4413204</v>
      </c>
      <c r="G488" s="12" t="s">
        <v>1310</v>
      </c>
    </row>
    <row r="489" customFormat="false" ht="15" hidden="false" customHeight="true" outlineLevel="0" collapsed="false">
      <c r="A489" s="12" t="s">
        <v>952</v>
      </c>
      <c r="B489" s="12" t="s">
        <v>1346</v>
      </c>
      <c r="C489" s="12" t="n">
        <v>2025</v>
      </c>
      <c r="D489" s="12" t="n">
        <v>2</v>
      </c>
      <c r="E489" s="12" t="n">
        <v>64.28</v>
      </c>
      <c r="F489" s="12" t="n">
        <v>4413276</v>
      </c>
      <c r="G489" s="12" t="s">
        <v>1310</v>
      </c>
    </row>
    <row r="490" customFormat="false" ht="15" hidden="false" customHeight="true" outlineLevel="0" collapsed="false">
      <c r="A490" s="12" t="s">
        <v>952</v>
      </c>
      <c r="B490" s="12" t="s">
        <v>1347</v>
      </c>
      <c r="C490" s="12" t="n">
        <v>2025</v>
      </c>
      <c r="D490" s="12" t="n">
        <v>4</v>
      </c>
      <c r="E490" s="12" t="n">
        <v>128.56</v>
      </c>
      <c r="F490" s="12" t="n">
        <v>4413278</v>
      </c>
      <c r="G490" s="12" t="s">
        <v>1310</v>
      </c>
    </row>
    <row r="491" customFormat="false" ht="15" hidden="false" customHeight="true" outlineLevel="0" collapsed="false">
      <c r="A491" s="12" t="s">
        <v>952</v>
      </c>
      <c r="B491" s="12" t="s">
        <v>1348</v>
      </c>
      <c r="C491" s="12" t="n">
        <v>2025</v>
      </c>
      <c r="D491" s="12" t="n">
        <v>22</v>
      </c>
      <c r="E491" s="12" t="n">
        <v>927.74</v>
      </c>
      <c r="F491" s="12" t="n">
        <v>4413303</v>
      </c>
      <c r="G491" s="12" t="s">
        <v>1310</v>
      </c>
    </row>
    <row r="492" customFormat="false" ht="15" hidden="false" customHeight="true" outlineLevel="0" collapsed="false">
      <c r="A492" s="12" t="s">
        <v>952</v>
      </c>
      <c r="B492" s="12" t="s">
        <v>1348</v>
      </c>
      <c r="C492" s="12" t="n">
        <v>2026</v>
      </c>
      <c r="D492" s="12" t="n">
        <v>4</v>
      </c>
      <c r="E492" s="12" t="n">
        <v>168.68</v>
      </c>
      <c r="F492" s="12" t="n">
        <v>4413303</v>
      </c>
      <c r="G492" s="12" t="s">
        <v>1310</v>
      </c>
    </row>
    <row r="493" customFormat="false" ht="15" hidden="false" customHeight="true" outlineLevel="0" collapsed="false">
      <c r="A493" s="12" t="s">
        <v>952</v>
      </c>
      <c r="B493" s="12" t="s">
        <v>1157</v>
      </c>
      <c r="C493" s="12" t="n">
        <v>2025</v>
      </c>
      <c r="D493" s="12" t="n">
        <v>127</v>
      </c>
      <c r="E493" s="12" t="n">
        <v>2693.67</v>
      </c>
      <c r="F493" s="12" t="n">
        <v>4413307</v>
      </c>
      <c r="G493" s="12" t="s">
        <v>1310</v>
      </c>
    </row>
    <row r="494" customFormat="false" ht="15" hidden="false" customHeight="true" outlineLevel="0" collapsed="false">
      <c r="A494" s="12" t="s">
        <v>952</v>
      </c>
      <c r="B494" s="12" t="s">
        <v>1157</v>
      </c>
      <c r="C494" s="12" t="n">
        <v>2026</v>
      </c>
      <c r="D494" s="12" t="n">
        <v>44</v>
      </c>
      <c r="E494" s="12" t="n">
        <v>933.24</v>
      </c>
      <c r="F494" s="12" t="n">
        <v>4413307</v>
      </c>
      <c r="G494" s="12" t="s">
        <v>1310</v>
      </c>
    </row>
    <row r="495" customFormat="false" ht="15" hidden="false" customHeight="true" outlineLevel="0" collapsed="false">
      <c r="A495" s="12" t="s">
        <v>952</v>
      </c>
      <c r="B495" s="12" t="s">
        <v>1349</v>
      </c>
      <c r="C495" s="12" t="n">
        <v>2025</v>
      </c>
      <c r="D495" s="12" t="n">
        <v>76</v>
      </c>
      <c r="E495" s="12" t="n">
        <v>2941.2</v>
      </c>
      <c r="F495" s="12" t="n">
        <v>4413340</v>
      </c>
      <c r="G495" s="12" t="s">
        <v>1310</v>
      </c>
    </row>
    <row r="496" customFormat="false" ht="15" hidden="false" customHeight="true" outlineLevel="0" collapsed="false">
      <c r="A496" s="12" t="s">
        <v>952</v>
      </c>
      <c r="B496" s="12" t="s">
        <v>1349</v>
      </c>
      <c r="C496" s="12" t="n">
        <v>2026</v>
      </c>
      <c r="D496" s="12" t="n">
        <v>17</v>
      </c>
      <c r="E496" s="12" t="n">
        <v>657.9</v>
      </c>
      <c r="F496" s="12" t="n">
        <v>4413340</v>
      </c>
      <c r="G496" s="12" t="s">
        <v>1310</v>
      </c>
    </row>
    <row r="497" customFormat="false" ht="15" hidden="false" customHeight="true" outlineLevel="0" collapsed="false">
      <c r="A497" s="12" t="s">
        <v>952</v>
      </c>
      <c r="B497" s="12" t="s">
        <v>1164</v>
      </c>
      <c r="C497" s="12" t="n">
        <v>2025</v>
      </c>
      <c r="D497" s="12" t="n">
        <v>306</v>
      </c>
      <c r="E497" s="12" t="n">
        <v>14452.38</v>
      </c>
      <c r="F497" s="12" t="n">
        <v>4413348</v>
      </c>
      <c r="G497" s="12" t="s">
        <v>1310</v>
      </c>
    </row>
    <row r="498" customFormat="false" ht="15" hidden="false" customHeight="true" outlineLevel="0" collapsed="false">
      <c r="A498" s="12" t="s">
        <v>952</v>
      </c>
      <c r="B498" s="12" t="s">
        <v>1164</v>
      </c>
      <c r="C498" s="12" t="n">
        <v>2026</v>
      </c>
      <c r="D498" s="12" t="n">
        <v>76</v>
      </c>
      <c r="E498" s="12" t="n">
        <v>3589.48</v>
      </c>
      <c r="F498" s="12" t="n">
        <v>4413348</v>
      </c>
      <c r="G498" s="12" t="s">
        <v>1310</v>
      </c>
    </row>
    <row r="499" customFormat="false" ht="15" hidden="false" customHeight="true" outlineLevel="0" collapsed="false">
      <c r="A499" s="12" t="s">
        <v>952</v>
      </c>
      <c r="B499" s="12" t="s">
        <v>1168</v>
      </c>
      <c r="C499" s="12" t="n">
        <v>2025</v>
      </c>
      <c r="D499" s="12" t="n">
        <v>168</v>
      </c>
      <c r="E499" s="12" t="n">
        <v>4628.4</v>
      </c>
      <c r="F499" s="12" t="n">
        <v>4413370</v>
      </c>
      <c r="G499" s="12" t="s">
        <v>1310</v>
      </c>
    </row>
    <row r="500" customFormat="false" ht="15" hidden="false" customHeight="true" outlineLevel="0" collapsed="false">
      <c r="A500" s="12" t="s">
        <v>952</v>
      </c>
      <c r="B500" s="12" t="s">
        <v>1168</v>
      </c>
      <c r="C500" s="12" t="n">
        <v>2026</v>
      </c>
      <c r="D500" s="12" t="n">
        <v>35</v>
      </c>
      <c r="E500" s="12" t="n">
        <v>964.25</v>
      </c>
      <c r="F500" s="12" t="n">
        <v>4413370</v>
      </c>
      <c r="G500" s="12" t="s">
        <v>1310</v>
      </c>
    </row>
    <row r="501" customFormat="false" ht="15" hidden="false" customHeight="true" outlineLevel="0" collapsed="false">
      <c r="A501" s="12" t="s">
        <v>952</v>
      </c>
      <c r="B501" s="12" t="s">
        <v>1169</v>
      </c>
      <c r="C501" s="12" t="n">
        <v>2025</v>
      </c>
      <c r="D501" s="12" t="n">
        <v>75</v>
      </c>
      <c r="E501" s="12" t="n">
        <v>1518</v>
      </c>
      <c r="F501" s="12" t="n">
        <v>4413371</v>
      </c>
      <c r="G501" s="12" t="s">
        <v>1310</v>
      </c>
    </row>
    <row r="502" customFormat="false" ht="15" hidden="false" customHeight="true" outlineLevel="0" collapsed="false">
      <c r="A502" s="12" t="s">
        <v>952</v>
      </c>
      <c r="B502" s="12" t="s">
        <v>1169</v>
      </c>
      <c r="C502" s="12" t="n">
        <v>2026</v>
      </c>
      <c r="D502" s="12" t="n">
        <v>23</v>
      </c>
      <c r="E502" s="12" t="n">
        <v>465.52</v>
      </c>
      <c r="F502" s="12" t="n">
        <v>4413371</v>
      </c>
      <c r="G502" s="12" t="s">
        <v>1310</v>
      </c>
    </row>
    <row r="503" customFormat="false" ht="15" hidden="false" customHeight="true" outlineLevel="0" collapsed="false">
      <c r="A503" s="12" t="s">
        <v>952</v>
      </c>
      <c r="B503" s="12" t="s">
        <v>1170</v>
      </c>
      <c r="C503" s="12" t="n">
        <v>2025</v>
      </c>
      <c r="D503" s="12" t="n">
        <v>229</v>
      </c>
      <c r="E503" s="12" t="n">
        <v>10815.67</v>
      </c>
      <c r="F503" s="12" t="n">
        <v>4413372</v>
      </c>
      <c r="G503" s="12" t="s">
        <v>1310</v>
      </c>
    </row>
    <row r="504" customFormat="false" ht="15" hidden="false" customHeight="true" outlineLevel="0" collapsed="false">
      <c r="A504" s="12" t="s">
        <v>952</v>
      </c>
      <c r="B504" s="12" t="s">
        <v>1170</v>
      </c>
      <c r="C504" s="12" t="n">
        <v>2026</v>
      </c>
      <c r="D504" s="12" t="n">
        <v>33</v>
      </c>
      <c r="E504" s="12" t="n">
        <v>1558.59</v>
      </c>
      <c r="F504" s="12" t="n">
        <v>4413372</v>
      </c>
      <c r="G504" s="12" t="s">
        <v>1310</v>
      </c>
    </row>
    <row r="505" customFormat="false" ht="15" hidden="false" customHeight="true" outlineLevel="0" collapsed="false">
      <c r="A505" s="12" t="s">
        <v>952</v>
      </c>
      <c r="B505" s="12" t="s">
        <v>1350</v>
      </c>
      <c r="C505" s="12" t="n">
        <v>2025</v>
      </c>
      <c r="D505" s="12" t="n">
        <v>210</v>
      </c>
      <c r="E505" s="12" t="n">
        <v>4368</v>
      </c>
      <c r="F505" s="12" t="n">
        <v>4413531</v>
      </c>
      <c r="G505" s="12" t="s">
        <v>1310</v>
      </c>
    </row>
    <row r="506" customFormat="false" ht="15" hidden="false" customHeight="true" outlineLevel="0" collapsed="false">
      <c r="A506" s="12" t="s">
        <v>952</v>
      </c>
      <c r="B506" s="12" t="s">
        <v>1350</v>
      </c>
      <c r="C506" s="12" t="n">
        <v>2026</v>
      </c>
      <c r="D506" s="12" t="n">
        <v>60</v>
      </c>
      <c r="E506" s="12" t="n">
        <v>1248</v>
      </c>
      <c r="F506" s="12" t="n">
        <v>4413531</v>
      </c>
      <c r="G506" s="12" t="s">
        <v>1310</v>
      </c>
    </row>
    <row r="507" customFormat="false" ht="15" hidden="false" customHeight="true" outlineLevel="0" collapsed="false">
      <c r="A507" s="12" t="s">
        <v>952</v>
      </c>
      <c r="B507" s="12" t="s">
        <v>1351</v>
      </c>
      <c r="C507" s="12" t="n">
        <v>2025</v>
      </c>
      <c r="D507" s="12" t="n">
        <v>48</v>
      </c>
      <c r="E507" s="12" t="n">
        <v>4488</v>
      </c>
      <c r="F507" s="12" t="n">
        <v>4413532</v>
      </c>
      <c r="G507" s="12" t="s">
        <v>1310</v>
      </c>
    </row>
    <row r="508" customFormat="false" ht="15" hidden="false" customHeight="true" outlineLevel="0" collapsed="false">
      <c r="A508" s="12" t="s">
        <v>952</v>
      </c>
      <c r="B508" s="12" t="s">
        <v>1351</v>
      </c>
      <c r="C508" s="12" t="n">
        <v>2026</v>
      </c>
      <c r="D508" s="12" t="n">
        <v>8</v>
      </c>
      <c r="E508" s="12" t="n">
        <v>748</v>
      </c>
      <c r="F508" s="12" t="n">
        <v>4413532</v>
      </c>
      <c r="G508" s="12" t="s">
        <v>1310</v>
      </c>
    </row>
    <row r="509" customFormat="false" ht="15" hidden="false" customHeight="true" outlineLevel="0" collapsed="false">
      <c r="A509" s="12" t="s">
        <v>952</v>
      </c>
      <c r="B509" s="12" t="s">
        <v>1352</v>
      </c>
      <c r="C509" s="12" t="n">
        <v>2025</v>
      </c>
      <c r="D509" s="12" t="n">
        <v>36</v>
      </c>
      <c r="E509" s="12" t="n">
        <v>738</v>
      </c>
      <c r="F509" s="12" t="n">
        <v>4413533</v>
      </c>
      <c r="G509" s="12" t="s">
        <v>1310</v>
      </c>
    </row>
    <row r="510" customFormat="false" ht="15" hidden="false" customHeight="true" outlineLevel="0" collapsed="false">
      <c r="A510" s="12" t="s">
        <v>952</v>
      </c>
      <c r="B510" s="12" t="s">
        <v>1353</v>
      </c>
      <c r="C510" s="12" t="n">
        <v>2025</v>
      </c>
      <c r="D510" s="12" t="n">
        <v>44</v>
      </c>
      <c r="E510" s="12" t="n">
        <v>4283.4</v>
      </c>
      <c r="F510" s="12" t="n">
        <v>4415019</v>
      </c>
      <c r="G510" s="12" t="s">
        <v>1310</v>
      </c>
    </row>
    <row r="511" customFormat="false" ht="15" hidden="false" customHeight="true" outlineLevel="0" collapsed="false">
      <c r="A511" s="12" t="s">
        <v>952</v>
      </c>
      <c r="B511" s="12" t="s">
        <v>1353</v>
      </c>
      <c r="C511" s="12" t="n">
        <v>2026</v>
      </c>
      <c r="D511" s="12" t="n">
        <v>-1</v>
      </c>
      <c r="E511" s="12" t="n">
        <v>-97.35</v>
      </c>
      <c r="F511" s="12" t="n">
        <v>4415019</v>
      </c>
      <c r="G511" s="12" t="s">
        <v>1310</v>
      </c>
    </row>
    <row r="512" customFormat="false" ht="15" hidden="false" customHeight="true" outlineLevel="0" collapsed="false">
      <c r="A512" s="12" t="s">
        <v>952</v>
      </c>
      <c r="B512" s="12" t="s">
        <v>1215</v>
      </c>
      <c r="C512" s="12" t="n">
        <v>2025</v>
      </c>
      <c r="D512" s="12" t="n">
        <v>527</v>
      </c>
      <c r="E512" s="12" t="n">
        <v>10540</v>
      </c>
      <c r="F512" s="12" t="n">
        <v>4415028</v>
      </c>
      <c r="G512" s="12" t="s">
        <v>1310</v>
      </c>
    </row>
    <row r="513" customFormat="false" ht="15" hidden="false" customHeight="true" outlineLevel="0" collapsed="false">
      <c r="A513" s="12" t="s">
        <v>952</v>
      </c>
      <c r="B513" s="12" t="s">
        <v>1215</v>
      </c>
      <c r="C513" s="12" t="n">
        <v>2026</v>
      </c>
      <c r="D513" s="12" t="n">
        <v>128</v>
      </c>
      <c r="E513" s="12" t="n">
        <v>2668.54</v>
      </c>
      <c r="F513" s="12" t="n">
        <v>4415028</v>
      </c>
      <c r="G513" s="12" t="s">
        <v>1310</v>
      </c>
    </row>
    <row r="514" customFormat="false" ht="15" hidden="false" customHeight="true" outlineLevel="0" collapsed="false">
      <c r="A514" s="12" t="s">
        <v>952</v>
      </c>
      <c r="B514" s="12" t="s">
        <v>1354</v>
      </c>
      <c r="C514" s="12" t="n">
        <v>2025</v>
      </c>
      <c r="D514" s="12" t="n">
        <v>58</v>
      </c>
      <c r="E514" s="12" t="n">
        <v>394.4</v>
      </c>
      <c r="F514" s="12" t="n">
        <v>4415080</v>
      </c>
      <c r="G514" s="12" t="s">
        <v>1310</v>
      </c>
    </row>
    <row r="515" customFormat="false" ht="15" hidden="false" customHeight="true" outlineLevel="0" collapsed="false">
      <c r="A515" s="12" t="s">
        <v>952</v>
      </c>
      <c r="B515" s="12" t="s">
        <v>1354</v>
      </c>
      <c r="C515" s="12" t="n">
        <v>2026</v>
      </c>
      <c r="D515" s="12" t="n">
        <v>19</v>
      </c>
      <c r="E515" s="12" t="n">
        <v>129.2</v>
      </c>
      <c r="F515" s="12" t="n">
        <v>4415080</v>
      </c>
      <c r="G515" s="12" t="s">
        <v>1310</v>
      </c>
    </row>
    <row r="516" customFormat="false" ht="15" hidden="false" customHeight="true" outlineLevel="0" collapsed="false">
      <c r="A516" s="12" t="s">
        <v>952</v>
      </c>
      <c r="B516" s="12" t="s">
        <v>1218</v>
      </c>
      <c r="C516" s="12" t="n">
        <v>2025</v>
      </c>
      <c r="D516" s="12" t="n">
        <v>1741</v>
      </c>
      <c r="E516" s="12" t="n">
        <v>79215.5</v>
      </c>
      <c r="F516" s="12" t="n">
        <v>4415158</v>
      </c>
      <c r="G516" s="12" t="s">
        <v>1310</v>
      </c>
    </row>
    <row r="517" customFormat="false" ht="15" hidden="false" customHeight="true" outlineLevel="0" collapsed="false">
      <c r="A517" s="12" t="s">
        <v>952</v>
      </c>
      <c r="B517" s="12" t="s">
        <v>1218</v>
      </c>
      <c r="C517" s="12" t="n">
        <v>2026</v>
      </c>
      <c r="D517" s="12" t="n">
        <v>471</v>
      </c>
      <c r="E517" s="12" t="n">
        <v>21430.5</v>
      </c>
      <c r="F517" s="12" t="n">
        <v>4415158</v>
      </c>
      <c r="G517" s="12" t="s">
        <v>1310</v>
      </c>
    </row>
    <row r="518" customFormat="false" ht="15" hidden="false" customHeight="true" outlineLevel="0" collapsed="false">
      <c r="A518" s="12" t="s">
        <v>952</v>
      </c>
      <c r="B518" s="12" t="s">
        <v>1219</v>
      </c>
      <c r="C518" s="12" t="n">
        <v>2025</v>
      </c>
      <c r="D518" s="12" t="n">
        <v>671</v>
      </c>
      <c r="E518" s="12" t="n">
        <v>52203.8</v>
      </c>
      <c r="F518" s="12" t="n">
        <v>4415159</v>
      </c>
      <c r="G518" s="12" t="s">
        <v>1310</v>
      </c>
    </row>
    <row r="519" customFormat="false" ht="15" hidden="false" customHeight="true" outlineLevel="0" collapsed="false">
      <c r="A519" s="12" t="s">
        <v>952</v>
      </c>
      <c r="B519" s="12" t="s">
        <v>1219</v>
      </c>
      <c r="C519" s="12" t="n">
        <v>2026</v>
      </c>
      <c r="D519" s="12" t="n">
        <v>218</v>
      </c>
      <c r="E519" s="12" t="n">
        <v>16960.4</v>
      </c>
      <c r="F519" s="12" t="n">
        <v>4415159</v>
      </c>
      <c r="G519" s="12" t="s">
        <v>1310</v>
      </c>
    </row>
    <row r="520" customFormat="false" ht="15" hidden="false" customHeight="true" outlineLevel="0" collapsed="false">
      <c r="A520" s="12" t="s">
        <v>952</v>
      </c>
      <c r="B520" s="12" t="s">
        <v>1355</v>
      </c>
      <c r="C520" s="12" t="n">
        <v>2025</v>
      </c>
      <c r="D520" s="12" t="n">
        <v>223</v>
      </c>
      <c r="E520" s="12" t="n">
        <v>5575</v>
      </c>
      <c r="F520" s="12" t="n">
        <v>4415177</v>
      </c>
      <c r="G520" s="12" t="s">
        <v>1310</v>
      </c>
    </row>
    <row r="521" customFormat="false" ht="15" hidden="false" customHeight="true" outlineLevel="0" collapsed="false">
      <c r="A521" s="12" t="s">
        <v>952</v>
      </c>
      <c r="B521" s="12" t="s">
        <v>1355</v>
      </c>
      <c r="C521" s="12" t="n">
        <v>2026</v>
      </c>
      <c r="D521" s="12" t="n">
        <v>70</v>
      </c>
      <c r="E521" s="12" t="n">
        <v>1750</v>
      </c>
      <c r="F521" s="12" t="n">
        <v>4415177</v>
      </c>
      <c r="G521" s="12" t="s">
        <v>1310</v>
      </c>
    </row>
    <row r="522" customFormat="false" ht="15" hidden="false" customHeight="true" outlineLevel="0" collapsed="false">
      <c r="A522" s="12" t="s">
        <v>952</v>
      </c>
      <c r="B522" s="12" t="s">
        <v>1225</v>
      </c>
      <c r="C522" s="12" t="n">
        <v>2025</v>
      </c>
      <c r="D522" s="12" t="n">
        <v>43</v>
      </c>
      <c r="E522" s="12" t="n">
        <v>1806</v>
      </c>
      <c r="F522" s="12" t="n">
        <v>4415298</v>
      </c>
      <c r="G522" s="12" t="s">
        <v>1310</v>
      </c>
    </row>
    <row r="523" customFormat="false" ht="15" hidden="false" customHeight="true" outlineLevel="0" collapsed="false">
      <c r="A523" s="12" t="s">
        <v>952</v>
      </c>
      <c r="B523" s="12" t="s">
        <v>1225</v>
      </c>
      <c r="C523" s="12" t="n">
        <v>2026</v>
      </c>
      <c r="D523" s="12" t="n">
        <v>7</v>
      </c>
      <c r="E523" s="12" t="n">
        <v>294</v>
      </c>
      <c r="F523" s="12" t="n">
        <v>4415298</v>
      </c>
      <c r="G523" s="12" t="s">
        <v>1310</v>
      </c>
    </row>
    <row r="524" customFormat="false" ht="15" hidden="false" customHeight="true" outlineLevel="0" collapsed="false">
      <c r="A524" s="12" t="s">
        <v>952</v>
      </c>
      <c r="B524" s="12" t="s">
        <v>1226</v>
      </c>
      <c r="C524" s="12" t="n">
        <v>2025</v>
      </c>
      <c r="D524" s="12" t="n">
        <v>38</v>
      </c>
      <c r="E524" s="12" t="n">
        <v>1596</v>
      </c>
      <c r="F524" s="12" t="n">
        <v>4415299</v>
      </c>
      <c r="G524" s="12" t="s">
        <v>1310</v>
      </c>
    </row>
    <row r="525" customFormat="false" ht="15" hidden="false" customHeight="true" outlineLevel="0" collapsed="false">
      <c r="A525" s="12" t="s">
        <v>952</v>
      </c>
      <c r="B525" s="12" t="s">
        <v>1226</v>
      </c>
      <c r="C525" s="12" t="n">
        <v>2026</v>
      </c>
      <c r="D525" s="12" t="n">
        <v>8</v>
      </c>
      <c r="E525" s="12" t="n">
        <v>336</v>
      </c>
      <c r="F525" s="12" t="n">
        <v>4415299</v>
      </c>
      <c r="G525" s="12" t="s">
        <v>1310</v>
      </c>
    </row>
    <row r="526" customFormat="false" ht="15" hidden="false" customHeight="true" outlineLevel="0" collapsed="false">
      <c r="A526" s="12" t="s">
        <v>952</v>
      </c>
      <c r="B526" s="12" t="s">
        <v>1227</v>
      </c>
      <c r="C526" s="12" t="n">
        <v>2025</v>
      </c>
      <c r="D526" s="12" t="n">
        <v>294</v>
      </c>
      <c r="E526" s="12" t="n">
        <v>18601.38</v>
      </c>
      <c r="F526" s="12" t="n">
        <v>4416000</v>
      </c>
      <c r="G526" s="12" t="s">
        <v>1310</v>
      </c>
    </row>
    <row r="527" customFormat="false" ht="15" hidden="false" customHeight="true" outlineLevel="0" collapsed="false">
      <c r="A527" s="12" t="s">
        <v>952</v>
      </c>
      <c r="B527" s="12" t="s">
        <v>1227</v>
      </c>
      <c r="C527" s="12" t="n">
        <v>2026</v>
      </c>
      <c r="D527" s="12" t="n">
        <v>68</v>
      </c>
      <c r="E527" s="12" t="n">
        <v>4421.94</v>
      </c>
      <c r="F527" s="12" t="n">
        <v>4416000</v>
      </c>
      <c r="G527" s="12" t="s">
        <v>1310</v>
      </c>
    </row>
    <row r="528" customFormat="false" ht="15" hidden="false" customHeight="true" outlineLevel="0" collapsed="false">
      <c r="A528" s="12" t="s">
        <v>952</v>
      </c>
      <c r="B528" s="12" t="s">
        <v>1228</v>
      </c>
      <c r="C528" s="12" t="n">
        <v>2025</v>
      </c>
      <c r="D528" s="12" t="n">
        <v>293</v>
      </c>
      <c r="E528" s="12" t="n">
        <v>18538.11</v>
      </c>
      <c r="F528" s="12" t="n">
        <v>4416001</v>
      </c>
      <c r="G528" s="12" t="s">
        <v>1310</v>
      </c>
    </row>
    <row r="529" customFormat="false" ht="15" hidden="false" customHeight="true" outlineLevel="0" collapsed="false">
      <c r="A529" s="12" t="s">
        <v>952</v>
      </c>
      <c r="B529" s="12" t="s">
        <v>1228</v>
      </c>
      <c r="C529" s="12" t="n">
        <v>2026</v>
      </c>
      <c r="D529" s="12" t="n">
        <v>62</v>
      </c>
      <c r="E529" s="12" t="n">
        <v>4042.32</v>
      </c>
      <c r="F529" s="12" t="n">
        <v>4416001</v>
      </c>
      <c r="G529" s="12" t="s">
        <v>1310</v>
      </c>
    </row>
    <row r="530" customFormat="false" ht="15" hidden="false" customHeight="true" outlineLevel="0" collapsed="false">
      <c r="A530" s="12" t="s">
        <v>952</v>
      </c>
      <c r="B530" s="12" t="s">
        <v>1229</v>
      </c>
      <c r="C530" s="12" t="n">
        <v>2025</v>
      </c>
      <c r="D530" s="12" t="n">
        <v>65</v>
      </c>
      <c r="E530" s="12" t="n">
        <v>4112.55</v>
      </c>
      <c r="F530" s="12" t="n">
        <v>4416002</v>
      </c>
      <c r="G530" s="12" t="s">
        <v>1310</v>
      </c>
    </row>
    <row r="531" customFormat="false" ht="15" hidden="false" customHeight="true" outlineLevel="0" collapsed="false">
      <c r="A531" s="12" t="s">
        <v>952</v>
      </c>
      <c r="B531" s="12" t="s">
        <v>1229</v>
      </c>
      <c r="C531" s="12" t="n">
        <v>2026</v>
      </c>
      <c r="D531" s="12" t="n">
        <v>12</v>
      </c>
      <c r="E531" s="12" t="n">
        <v>878.82</v>
      </c>
      <c r="F531" s="12" t="n">
        <v>4416002</v>
      </c>
      <c r="G531" s="12" t="s">
        <v>1310</v>
      </c>
    </row>
    <row r="532" customFormat="false" ht="15" hidden="false" customHeight="true" outlineLevel="0" collapsed="false">
      <c r="A532" s="12" t="s">
        <v>952</v>
      </c>
      <c r="B532" s="12" t="s">
        <v>1231</v>
      </c>
      <c r="C532" s="12" t="n">
        <v>2025</v>
      </c>
      <c r="D532" s="12" t="n">
        <v>205</v>
      </c>
      <c r="E532" s="12" t="n">
        <v>3679.75</v>
      </c>
      <c r="F532" s="12" t="n">
        <v>4417000</v>
      </c>
      <c r="G532" s="12" t="s">
        <v>1310</v>
      </c>
    </row>
    <row r="533" customFormat="false" ht="15" hidden="false" customHeight="true" outlineLevel="0" collapsed="false">
      <c r="A533" s="12" t="s">
        <v>952</v>
      </c>
      <c r="B533" s="12" t="s">
        <v>1231</v>
      </c>
      <c r="C533" s="12" t="n">
        <v>2026</v>
      </c>
      <c r="D533" s="12" t="n">
        <v>42</v>
      </c>
      <c r="E533" s="12" t="n">
        <v>753.9</v>
      </c>
      <c r="F533" s="12" t="n">
        <v>4417000</v>
      </c>
      <c r="G533" s="12" t="s">
        <v>1310</v>
      </c>
    </row>
    <row r="534" customFormat="false" ht="15" hidden="false" customHeight="true" outlineLevel="0" collapsed="false">
      <c r="A534" s="12" t="s">
        <v>952</v>
      </c>
      <c r="B534" s="12" t="s">
        <v>1356</v>
      </c>
      <c r="C534" s="12" t="n">
        <v>2025</v>
      </c>
      <c r="D534" s="12" t="n">
        <v>442</v>
      </c>
      <c r="E534" s="12" t="n">
        <v>4596.8</v>
      </c>
      <c r="F534" s="12" t="n">
        <v>4419006</v>
      </c>
      <c r="G534" s="12" t="s">
        <v>1310</v>
      </c>
    </row>
    <row r="535" customFormat="false" ht="15" hidden="false" customHeight="true" outlineLevel="0" collapsed="false">
      <c r="A535" s="12" t="s">
        <v>952</v>
      </c>
      <c r="B535" s="12" t="s">
        <v>1356</v>
      </c>
      <c r="C535" s="12" t="n">
        <v>2026</v>
      </c>
      <c r="D535" s="12" t="n">
        <v>123</v>
      </c>
      <c r="E535" s="12" t="n">
        <v>1279.2</v>
      </c>
      <c r="F535" s="12" t="n">
        <v>4419006</v>
      </c>
      <c r="G535" s="12" t="s">
        <v>1310</v>
      </c>
    </row>
    <row r="536" customFormat="false" ht="15" hidden="false" customHeight="true" outlineLevel="0" collapsed="false">
      <c r="A536" s="12" t="s">
        <v>952</v>
      </c>
      <c r="B536" s="12" t="s">
        <v>1236</v>
      </c>
      <c r="C536" s="12" t="n">
        <v>2025</v>
      </c>
      <c r="D536" s="12" t="n">
        <v>90</v>
      </c>
      <c r="E536" s="12" t="n">
        <v>990</v>
      </c>
      <c r="F536" s="12" t="n">
        <v>4419011</v>
      </c>
      <c r="G536" s="12" t="s">
        <v>1310</v>
      </c>
    </row>
    <row r="537" customFormat="false" ht="15" hidden="false" customHeight="true" outlineLevel="0" collapsed="false">
      <c r="A537" s="12" t="s">
        <v>952</v>
      </c>
      <c r="B537" s="12" t="s">
        <v>1357</v>
      </c>
      <c r="C537" s="12" t="n">
        <v>2025</v>
      </c>
      <c r="D537" s="12" t="n">
        <v>96</v>
      </c>
      <c r="E537" s="12" t="n">
        <v>1056</v>
      </c>
      <c r="F537" s="12" t="n">
        <v>4419013</v>
      </c>
      <c r="G537" s="12" t="s">
        <v>1310</v>
      </c>
    </row>
    <row r="538" customFormat="false" ht="15" hidden="false" customHeight="true" outlineLevel="0" collapsed="false">
      <c r="A538" s="12" t="s">
        <v>952</v>
      </c>
      <c r="B538" s="12" t="s">
        <v>1357</v>
      </c>
      <c r="C538" s="12" t="n">
        <v>2026</v>
      </c>
      <c r="D538" s="12" t="n">
        <v>-3</v>
      </c>
      <c r="E538" s="12" t="n">
        <v>-33</v>
      </c>
      <c r="F538" s="12" t="n">
        <v>4419013</v>
      </c>
      <c r="G538" s="12" t="s">
        <v>1310</v>
      </c>
    </row>
    <row r="539" customFormat="false" ht="15" hidden="false" customHeight="true" outlineLevel="0" collapsed="false">
      <c r="A539" s="12" t="s">
        <v>952</v>
      </c>
      <c r="B539" s="12" t="s">
        <v>1358</v>
      </c>
      <c r="C539" s="12" t="n">
        <v>2025</v>
      </c>
      <c r="D539" s="12" t="n">
        <v>36</v>
      </c>
      <c r="E539" s="12" t="n">
        <v>396</v>
      </c>
      <c r="F539" s="12" t="n">
        <v>4419014</v>
      </c>
      <c r="G539" s="12" t="s">
        <v>1310</v>
      </c>
    </row>
    <row r="540" customFormat="false" ht="15" hidden="false" customHeight="true" outlineLevel="0" collapsed="false">
      <c r="A540" s="12" t="s">
        <v>952</v>
      </c>
      <c r="B540" s="12" t="s">
        <v>1358</v>
      </c>
      <c r="C540" s="12" t="n">
        <v>2026</v>
      </c>
      <c r="D540" s="12" t="n">
        <v>-3</v>
      </c>
      <c r="E540" s="12" t="n">
        <v>-33</v>
      </c>
      <c r="F540" s="12" t="n">
        <v>4419014</v>
      </c>
      <c r="G540" s="12" t="s">
        <v>1310</v>
      </c>
    </row>
    <row r="541" customFormat="false" ht="15" hidden="false" customHeight="true" outlineLevel="0" collapsed="false">
      <c r="A541" s="12" t="s">
        <v>952</v>
      </c>
      <c r="B541" s="12" t="s">
        <v>1237</v>
      </c>
      <c r="C541" s="12" t="n">
        <v>2025</v>
      </c>
      <c r="D541" s="12" t="n">
        <v>359</v>
      </c>
      <c r="E541" s="12" t="n">
        <v>2943.8</v>
      </c>
      <c r="F541" s="12" t="n">
        <v>4420000</v>
      </c>
      <c r="G541" s="12" t="s">
        <v>1310</v>
      </c>
    </row>
    <row r="542" customFormat="false" ht="15" hidden="false" customHeight="true" outlineLevel="0" collapsed="false">
      <c r="A542" s="12" t="s">
        <v>952</v>
      </c>
      <c r="B542" s="12" t="s">
        <v>1237</v>
      </c>
      <c r="C542" s="12" t="n">
        <v>2026</v>
      </c>
      <c r="D542" s="12" t="n">
        <v>119</v>
      </c>
      <c r="E542" s="12" t="n">
        <v>975.8</v>
      </c>
      <c r="F542" s="12" t="n">
        <v>4420000</v>
      </c>
      <c r="G542" s="12" t="s">
        <v>1310</v>
      </c>
    </row>
    <row r="543" customFormat="false" ht="15" hidden="false" customHeight="true" outlineLevel="0" collapsed="false">
      <c r="A543" s="12" t="s">
        <v>952</v>
      </c>
      <c r="B543" s="12" t="s">
        <v>1239</v>
      </c>
      <c r="C543" s="12" t="n">
        <v>2025</v>
      </c>
      <c r="D543" s="12" t="n">
        <v>646</v>
      </c>
      <c r="E543" s="12" t="n">
        <v>6343.72</v>
      </c>
      <c r="F543" s="12" t="n">
        <v>4420002</v>
      </c>
      <c r="G543" s="12" t="s">
        <v>1310</v>
      </c>
    </row>
    <row r="544" customFormat="false" ht="15" hidden="false" customHeight="true" outlineLevel="0" collapsed="false">
      <c r="A544" s="12" t="s">
        <v>952</v>
      </c>
      <c r="B544" s="12" t="s">
        <v>1239</v>
      </c>
      <c r="C544" s="12" t="n">
        <v>2026</v>
      </c>
      <c r="D544" s="12" t="n">
        <v>110</v>
      </c>
      <c r="E544" s="12" t="n">
        <v>1080.2</v>
      </c>
      <c r="F544" s="12" t="n">
        <v>4420002</v>
      </c>
      <c r="G544" s="12" t="s">
        <v>1310</v>
      </c>
    </row>
    <row r="545" customFormat="false" ht="15" hidden="false" customHeight="true" outlineLevel="0" collapsed="false">
      <c r="A545" s="12" t="s">
        <v>952</v>
      </c>
      <c r="B545" s="12" t="s">
        <v>1240</v>
      </c>
      <c r="C545" s="12" t="n">
        <v>2025</v>
      </c>
      <c r="D545" s="12" t="n">
        <v>170</v>
      </c>
      <c r="E545" s="12" t="n">
        <v>1669.4</v>
      </c>
      <c r="F545" s="12" t="n">
        <v>4420003</v>
      </c>
      <c r="G545" s="12" t="s">
        <v>1310</v>
      </c>
    </row>
    <row r="546" customFormat="false" ht="15" hidden="false" customHeight="true" outlineLevel="0" collapsed="false">
      <c r="A546" s="12" t="s">
        <v>952</v>
      </c>
      <c r="B546" s="12" t="s">
        <v>1240</v>
      </c>
      <c r="C546" s="12" t="n">
        <v>2026</v>
      </c>
      <c r="D546" s="12" t="n">
        <v>48</v>
      </c>
      <c r="E546" s="12" t="n">
        <v>471.36</v>
      </c>
      <c r="F546" s="12" t="n">
        <v>4420003</v>
      </c>
      <c r="G546" s="12" t="s">
        <v>1310</v>
      </c>
    </row>
    <row r="547" customFormat="false" ht="15" hidden="false" customHeight="true" outlineLevel="0" collapsed="false">
      <c r="A547" s="12" t="s">
        <v>952</v>
      </c>
      <c r="B547" s="12" t="s">
        <v>1359</v>
      </c>
      <c r="C547" s="12" t="n">
        <v>2025</v>
      </c>
      <c r="D547" s="12" t="n">
        <v>52</v>
      </c>
      <c r="E547" s="12" t="n">
        <v>1854.84</v>
      </c>
      <c r="F547" s="12" t="n">
        <v>4420016</v>
      </c>
      <c r="G547" s="12" t="s">
        <v>1310</v>
      </c>
    </row>
    <row r="548" customFormat="false" ht="15" hidden="false" customHeight="true" outlineLevel="0" collapsed="false">
      <c r="A548" s="12" t="s">
        <v>952</v>
      </c>
      <c r="B548" s="12" t="s">
        <v>1359</v>
      </c>
      <c r="C548" s="12" t="n">
        <v>2026</v>
      </c>
      <c r="D548" s="12" t="n">
        <v>11</v>
      </c>
      <c r="E548" s="12" t="n">
        <v>392.37</v>
      </c>
      <c r="F548" s="12" t="n">
        <v>4420016</v>
      </c>
      <c r="G548" s="12" t="s">
        <v>1310</v>
      </c>
    </row>
    <row r="549" customFormat="false" ht="15" hidden="false" customHeight="true" outlineLevel="0" collapsed="false">
      <c r="A549" s="12" t="s">
        <v>952</v>
      </c>
      <c r="B549" s="12" t="s">
        <v>1241</v>
      </c>
      <c r="C549" s="12" t="n">
        <v>2025</v>
      </c>
      <c r="D549" s="12" t="n">
        <v>76</v>
      </c>
      <c r="E549" s="12" t="n">
        <v>4931.64</v>
      </c>
      <c r="F549" s="12" t="n">
        <v>4420017</v>
      </c>
      <c r="G549" s="12" t="s">
        <v>1310</v>
      </c>
    </row>
    <row r="550" customFormat="false" ht="15" hidden="false" customHeight="true" outlineLevel="0" collapsed="false">
      <c r="A550" s="12" t="s">
        <v>952</v>
      </c>
      <c r="B550" s="12" t="s">
        <v>1241</v>
      </c>
      <c r="C550" s="12" t="n">
        <v>2026</v>
      </c>
      <c r="D550" s="12" t="n">
        <v>14</v>
      </c>
      <c r="E550" s="12" t="n">
        <v>908.46</v>
      </c>
      <c r="F550" s="12" t="n">
        <v>4420017</v>
      </c>
      <c r="G550" s="12" t="s">
        <v>1310</v>
      </c>
    </row>
    <row r="551" customFormat="false" ht="15" hidden="false" customHeight="true" outlineLevel="0" collapsed="false">
      <c r="A551" s="12" t="s">
        <v>952</v>
      </c>
      <c r="B551" s="12" t="s">
        <v>1360</v>
      </c>
      <c r="C551" s="12" t="n">
        <v>2025</v>
      </c>
      <c r="D551" s="12" t="n">
        <v>63</v>
      </c>
      <c r="E551" s="12" t="n">
        <v>4866.12</v>
      </c>
      <c r="F551" s="12" t="n">
        <v>4420018</v>
      </c>
      <c r="G551" s="12" t="s">
        <v>1312</v>
      </c>
    </row>
    <row r="552" customFormat="false" ht="15" hidden="false" customHeight="true" outlineLevel="0" collapsed="false">
      <c r="A552" s="12" t="s">
        <v>952</v>
      </c>
      <c r="B552" s="12" t="s">
        <v>1361</v>
      </c>
      <c r="C552" s="12" t="n">
        <v>2025</v>
      </c>
      <c r="D552" s="12" t="n">
        <v>59</v>
      </c>
      <c r="E552" s="12" t="n">
        <v>938.69</v>
      </c>
      <c r="F552" s="12" t="n">
        <v>4420022</v>
      </c>
      <c r="G552" s="12" t="s">
        <v>1310</v>
      </c>
    </row>
    <row r="553" customFormat="false" ht="15" hidden="false" customHeight="true" outlineLevel="0" collapsed="false">
      <c r="A553" s="12" t="s">
        <v>952</v>
      </c>
      <c r="B553" s="12" t="s">
        <v>1361</v>
      </c>
      <c r="C553" s="12" t="n">
        <v>2026</v>
      </c>
      <c r="D553" s="12" t="n">
        <v>19</v>
      </c>
      <c r="E553" s="12" t="n">
        <v>302.29</v>
      </c>
      <c r="F553" s="12" t="n">
        <v>4420022</v>
      </c>
      <c r="G553" s="12" t="s">
        <v>1310</v>
      </c>
    </row>
    <row r="554" customFormat="false" ht="15" hidden="false" customHeight="true" outlineLevel="0" collapsed="false">
      <c r="A554" s="12" t="s">
        <v>952</v>
      </c>
      <c r="B554" s="12" t="s">
        <v>1242</v>
      </c>
      <c r="C554" s="12" t="n">
        <v>2025</v>
      </c>
      <c r="D554" s="12" t="n">
        <v>2</v>
      </c>
      <c r="E554" s="12" t="n">
        <v>31.82</v>
      </c>
      <c r="F554" s="12" t="n">
        <v>4420023</v>
      </c>
      <c r="G554" s="12" t="s">
        <v>1310</v>
      </c>
    </row>
    <row r="555" customFormat="false" ht="15" hidden="false" customHeight="true" outlineLevel="0" collapsed="false">
      <c r="A555" s="12" t="s">
        <v>952</v>
      </c>
      <c r="B555" s="12" t="s">
        <v>1242</v>
      </c>
      <c r="C555" s="12" t="n">
        <v>2026</v>
      </c>
      <c r="D555" s="12" t="n">
        <v>1</v>
      </c>
      <c r="E555" s="12" t="n">
        <v>15.91</v>
      </c>
      <c r="F555" s="12" t="n">
        <v>4420023</v>
      </c>
      <c r="G555" s="12" t="s">
        <v>1310</v>
      </c>
    </row>
    <row r="556" customFormat="false" ht="15" hidden="false" customHeight="true" outlineLevel="0" collapsed="false">
      <c r="A556" s="12" t="s">
        <v>952</v>
      </c>
      <c r="B556" s="12" t="s">
        <v>1243</v>
      </c>
      <c r="C556" s="12" t="n">
        <v>2025</v>
      </c>
      <c r="D556" s="12" t="n">
        <v>69</v>
      </c>
      <c r="E556" s="12" t="n">
        <v>997.05</v>
      </c>
      <c r="F556" s="12" t="n">
        <v>4420024</v>
      </c>
      <c r="G556" s="12" t="s">
        <v>1310</v>
      </c>
    </row>
    <row r="557" customFormat="false" ht="15" hidden="false" customHeight="true" outlineLevel="0" collapsed="false">
      <c r="A557" s="12" t="s">
        <v>952</v>
      </c>
      <c r="B557" s="12" t="s">
        <v>1243</v>
      </c>
      <c r="C557" s="12" t="n">
        <v>2026</v>
      </c>
      <c r="D557" s="12" t="n">
        <v>3</v>
      </c>
      <c r="E557" s="12" t="n">
        <v>43.35</v>
      </c>
      <c r="F557" s="12" t="n">
        <v>4420024</v>
      </c>
      <c r="G557" s="12" t="s">
        <v>1310</v>
      </c>
    </row>
    <row r="558" customFormat="false" ht="15" hidden="false" customHeight="true" outlineLevel="0" collapsed="false">
      <c r="A558" s="12" t="s">
        <v>952</v>
      </c>
      <c r="B558" s="12" t="s">
        <v>1362</v>
      </c>
      <c r="C558" s="12" t="n">
        <v>2025</v>
      </c>
      <c r="D558" s="12" t="n">
        <v>55</v>
      </c>
      <c r="E558" s="12" t="n">
        <v>875.05</v>
      </c>
      <c r="F558" s="12" t="n">
        <v>4420025</v>
      </c>
      <c r="G558" s="12" t="s">
        <v>1310</v>
      </c>
    </row>
    <row r="559" customFormat="false" ht="15" hidden="false" customHeight="true" outlineLevel="0" collapsed="false">
      <c r="A559" s="12" t="s">
        <v>952</v>
      </c>
      <c r="B559" s="12" t="s">
        <v>1362</v>
      </c>
      <c r="C559" s="12" t="n">
        <v>2026</v>
      </c>
      <c r="D559" s="12" t="n">
        <v>11</v>
      </c>
      <c r="E559" s="12" t="n">
        <v>175.01</v>
      </c>
      <c r="F559" s="12" t="n">
        <v>4420025</v>
      </c>
      <c r="G559" s="12" t="s">
        <v>1310</v>
      </c>
    </row>
    <row r="560" customFormat="false" ht="15" hidden="false" customHeight="true" outlineLevel="0" collapsed="false">
      <c r="A560" s="12" t="s">
        <v>952</v>
      </c>
      <c r="B560" s="12" t="s">
        <v>1245</v>
      </c>
      <c r="C560" s="12" t="n">
        <v>2025</v>
      </c>
      <c r="D560" s="12" t="n">
        <v>1110</v>
      </c>
      <c r="E560" s="12" t="n">
        <v>13519.8</v>
      </c>
      <c r="F560" s="12" t="n">
        <v>4421000</v>
      </c>
      <c r="G560" s="12" t="s">
        <v>1310</v>
      </c>
    </row>
    <row r="561" customFormat="false" ht="15" hidden="false" customHeight="true" outlineLevel="0" collapsed="false">
      <c r="A561" s="12" t="s">
        <v>952</v>
      </c>
      <c r="B561" s="12" t="s">
        <v>1245</v>
      </c>
      <c r="C561" s="12" t="n">
        <v>2026</v>
      </c>
      <c r="D561" s="12" t="n">
        <v>257</v>
      </c>
      <c r="E561" s="12" t="n">
        <v>3168.54</v>
      </c>
      <c r="F561" s="12" t="n">
        <v>4421000</v>
      </c>
      <c r="G561" s="12" t="s">
        <v>1310</v>
      </c>
    </row>
    <row r="562" customFormat="false" ht="15" hidden="false" customHeight="true" outlineLevel="0" collapsed="false">
      <c r="A562" s="12" t="s">
        <v>952</v>
      </c>
      <c r="B562" s="12" t="s">
        <v>1246</v>
      </c>
      <c r="C562" s="12" t="n">
        <v>2025</v>
      </c>
      <c r="D562" s="12" t="n">
        <v>109</v>
      </c>
      <c r="E562" s="12" t="n">
        <v>4490.8</v>
      </c>
      <c r="F562" s="12" t="n">
        <v>4421001</v>
      </c>
      <c r="G562" s="12" t="s">
        <v>1310</v>
      </c>
    </row>
    <row r="563" customFormat="false" ht="15" hidden="false" customHeight="true" outlineLevel="0" collapsed="false">
      <c r="A563" s="12" t="s">
        <v>952</v>
      </c>
      <c r="B563" s="12" t="s">
        <v>1246</v>
      </c>
      <c r="C563" s="12" t="n">
        <v>2026</v>
      </c>
      <c r="D563" s="12" t="n">
        <v>35</v>
      </c>
      <c r="E563" s="12" t="n">
        <v>1442</v>
      </c>
      <c r="F563" s="12" t="n">
        <v>4421001</v>
      </c>
      <c r="G563" s="12" t="s">
        <v>1310</v>
      </c>
    </row>
    <row r="564" customFormat="false" ht="15" hidden="false" customHeight="true" outlineLevel="0" collapsed="false">
      <c r="A564" s="12" t="s">
        <v>952</v>
      </c>
      <c r="B564" s="12" t="s">
        <v>1252</v>
      </c>
      <c r="C564" s="12" t="n">
        <v>2025</v>
      </c>
      <c r="D564" s="12" t="n">
        <v>237</v>
      </c>
      <c r="E564" s="12" t="n">
        <v>3377.25</v>
      </c>
      <c r="F564" s="12" t="n">
        <v>4422000</v>
      </c>
      <c r="G564" s="12" t="s">
        <v>1310</v>
      </c>
    </row>
    <row r="565" customFormat="false" ht="15" hidden="false" customHeight="true" outlineLevel="0" collapsed="false">
      <c r="A565" s="12" t="s">
        <v>952</v>
      </c>
      <c r="B565" s="12" t="s">
        <v>1252</v>
      </c>
      <c r="C565" s="12" t="n">
        <v>2026</v>
      </c>
      <c r="D565" s="12" t="n">
        <v>23</v>
      </c>
      <c r="E565" s="12" t="n">
        <v>327.75</v>
      </c>
      <c r="F565" s="12" t="n">
        <v>4422000</v>
      </c>
      <c r="G565" s="12" t="s">
        <v>1310</v>
      </c>
    </row>
    <row r="566" customFormat="false" ht="15" hidden="false" customHeight="true" outlineLevel="0" collapsed="false">
      <c r="A566" s="12" t="s">
        <v>952</v>
      </c>
      <c r="B566" s="12" t="s">
        <v>1253</v>
      </c>
      <c r="C566" s="12" t="n">
        <v>2025</v>
      </c>
      <c r="D566" s="12" t="n">
        <v>2</v>
      </c>
      <c r="E566" s="12" t="n">
        <v>257.42</v>
      </c>
      <c r="F566" s="12" t="n">
        <v>4422004</v>
      </c>
      <c r="G566" s="12" t="s">
        <v>1310</v>
      </c>
    </row>
    <row r="567" customFormat="false" ht="15" hidden="false" customHeight="true" outlineLevel="0" collapsed="false">
      <c r="A567" s="12" t="s">
        <v>952</v>
      </c>
      <c r="B567" s="12" t="s">
        <v>1253</v>
      </c>
      <c r="C567" s="12" t="n">
        <v>2026</v>
      </c>
      <c r="D567" s="12" t="n">
        <v>2</v>
      </c>
      <c r="E567" s="12" t="n">
        <v>257.42</v>
      </c>
      <c r="F567" s="12" t="n">
        <v>4422004</v>
      </c>
      <c r="G567" s="12" t="s">
        <v>1310</v>
      </c>
    </row>
    <row r="568" customFormat="false" ht="15" hidden="false" customHeight="true" outlineLevel="0" collapsed="false">
      <c r="A568" s="12" t="s">
        <v>952</v>
      </c>
      <c r="B568" s="12" t="s">
        <v>1254</v>
      </c>
      <c r="C568" s="12" t="n">
        <v>2025</v>
      </c>
      <c r="D568" s="12" t="n">
        <v>16</v>
      </c>
      <c r="E568" s="12" t="n">
        <v>2059.36</v>
      </c>
      <c r="F568" s="12" t="n">
        <v>4422005</v>
      </c>
      <c r="G568" s="12" t="s">
        <v>1310</v>
      </c>
    </row>
    <row r="569" customFormat="false" ht="15" hidden="false" customHeight="true" outlineLevel="0" collapsed="false">
      <c r="A569" s="12" t="s">
        <v>952</v>
      </c>
      <c r="B569" s="12" t="s">
        <v>1254</v>
      </c>
      <c r="C569" s="12" t="n">
        <v>2026</v>
      </c>
      <c r="D569" s="12" t="n">
        <v>3</v>
      </c>
      <c r="E569" s="12" t="n">
        <v>386.13</v>
      </c>
      <c r="F569" s="12" t="n">
        <v>4422005</v>
      </c>
      <c r="G569" s="12" t="s">
        <v>1310</v>
      </c>
    </row>
    <row r="570" customFormat="false" ht="15" hidden="false" customHeight="true" outlineLevel="0" collapsed="false">
      <c r="A570" s="12" t="s">
        <v>952</v>
      </c>
      <c r="B570" s="12" t="s">
        <v>1255</v>
      </c>
      <c r="C570" s="12" t="n">
        <v>2025</v>
      </c>
      <c r="D570" s="12" t="n">
        <v>9</v>
      </c>
      <c r="E570" s="12" t="n">
        <v>1158.39</v>
      </c>
      <c r="F570" s="12" t="n">
        <v>4422006</v>
      </c>
      <c r="G570" s="12" t="s">
        <v>1310</v>
      </c>
    </row>
    <row r="571" customFormat="false" ht="15" hidden="false" customHeight="true" outlineLevel="0" collapsed="false">
      <c r="A571" s="12" t="s">
        <v>952</v>
      </c>
      <c r="B571" s="12" t="s">
        <v>1255</v>
      </c>
      <c r="C571" s="12" t="n">
        <v>2026</v>
      </c>
      <c r="D571" s="12" t="n">
        <v>6</v>
      </c>
      <c r="E571" s="12" t="n">
        <v>772.26</v>
      </c>
      <c r="F571" s="12" t="n">
        <v>4422006</v>
      </c>
      <c r="G571" s="12" t="s">
        <v>1310</v>
      </c>
    </row>
    <row r="572" customFormat="false" ht="15" hidden="false" customHeight="true" outlineLevel="0" collapsed="false">
      <c r="A572" s="12" t="s">
        <v>952</v>
      </c>
      <c r="B572" s="12" t="s">
        <v>1256</v>
      </c>
      <c r="C572" s="12" t="n">
        <v>2025</v>
      </c>
      <c r="D572" s="12" t="n">
        <v>10</v>
      </c>
      <c r="E572" s="12" t="n">
        <v>1287.1</v>
      </c>
      <c r="F572" s="12" t="n">
        <v>4422007</v>
      </c>
      <c r="G572" s="12" t="s">
        <v>1310</v>
      </c>
    </row>
    <row r="573" customFormat="false" ht="15" hidden="false" customHeight="true" outlineLevel="0" collapsed="false">
      <c r="A573" s="12" t="s">
        <v>952</v>
      </c>
      <c r="B573" s="12" t="s">
        <v>1256</v>
      </c>
      <c r="C573" s="12" t="n">
        <v>2026</v>
      </c>
      <c r="D573" s="12" t="n">
        <v>1</v>
      </c>
      <c r="E573" s="12" t="n">
        <v>128.71</v>
      </c>
      <c r="F573" s="12" t="n">
        <v>4422007</v>
      </c>
      <c r="G573" s="12" t="s">
        <v>1310</v>
      </c>
    </row>
    <row r="574" customFormat="false" ht="15" hidden="false" customHeight="true" outlineLevel="0" collapsed="false">
      <c r="A574" s="12" t="s">
        <v>952</v>
      </c>
      <c r="B574" s="12" t="s">
        <v>1257</v>
      </c>
      <c r="C574" s="12" t="n">
        <v>2025</v>
      </c>
      <c r="D574" s="12" t="n">
        <v>1</v>
      </c>
      <c r="E574" s="12" t="n">
        <v>128.71</v>
      </c>
      <c r="F574" s="12" t="n">
        <v>4422009</v>
      </c>
      <c r="G574" s="12" t="s">
        <v>1310</v>
      </c>
    </row>
    <row r="575" customFormat="false" ht="15" hidden="false" customHeight="true" outlineLevel="0" collapsed="false">
      <c r="A575" s="12" t="s">
        <v>952</v>
      </c>
      <c r="B575" s="12" t="s">
        <v>1257</v>
      </c>
      <c r="C575" s="12" t="n">
        <v>2026</v>
      </c>
      <c r="D575" s="12" t="n">
        <v>3</v>
      </c>
      <c r="E575" s="12" t="n">
        <v>386.13</v>
      </c>
      <c r="F575" s="12" t="n">
        <v>4422009</v>
      </c>
      <c r="G575" s="12" t="s">
        <v>1310</v>
      </c>
    </row>
    <row r="576" customFormat="false" ht="15" hidden="false" customHeight="true" outlineLevel="0" collapsed="false">
      <c r="A576" s="12" t="s">
        <v>952</v>
      </c>
      <c r="B576" s="12" t="s">
        <v>1264</v>
      </c>
      <c r="C576" s="12" t="n">
        <v>2025</v>
      </c>
      <c r="D576" s="12" t="n">
        <v>978</v>
      </c>
      <c r="E576" s="12" t="n">
        <v>14474.4</v>
      </c>
      <c r="F576" s="12" t="n">
        <v>4422035</v>
      </c>
      <c r="G576" s="12" t="s">
        <v>1310</v>
      </c>
    </row>
    <row r="577" customFormat="false" ht="15" hidden="false" customHeight="true" outlineLevel="0" collapsed="false">
      <c r="A577" s="12" t="s">
        <v>952</v>
      </c>
      <c r="B577" s="12" t="s">
        <v>1264</v>
      </c>
      <c r="C577" s="12" t="n">
        <v>2026</v>
      </c>
      <c r="D577" s="12" t="n">
        <v>168</v>
      </c>
      <c r="E577" s="12" t="n">
        <v>2569.74</v>
      </c>
      <c r="F577" s="12" t="n">
        <v>4422035</v>
      </c>
      <c r="G577" s="12" t="s">
        <v>1310</v>
      </c>
    </row>
    <row r="578" customFormat="false" ht="15" hidden="false" customHeight="true" outlineLevel="0" collapsed="false">
      <c r="A578" s="12" t="s">
        <v>952</v>
      </c>
      <c r="B578" s="12" t="s">
        <v>1284</v>
      </c>
      <c r="C578" s="12" t="n">
        <v>2025</v>
      </c>
      <c r="D578" s="12" t="n">
        <v>2</v>
      </c>
      <c r="E578" s="12" t="n">
        <v>130</v>
      </c>
      <c r="F578" s="12" t="s">
        <v>1284</v>
      </c>
      <c r="G578" s="12" t="s">
        <v>1311</v>
      </c>
    </row>
    <row r="579" customFormat="false" ht="15" hidden="false" customHeight="true" outlineLevel="0" collapsed="false">
      <c r="A579" s="12" t="s">
        <v>952</v>
      </c>
      <c r="B579" s="12" t="s">
        <v>1285</v>
      </c>
      <c r="C579" s="12" t="n">
        <v>2025</v>
      </c>
      <c r="D579" s="12" t="n">
        <v>2</v>
      </c>
      <c r="E579" s="12" t="n">
        <v>130</v>
      </c>
      <c r="F579" s="12" t="s">
        <v>1285</v>
      </c>
      <c r="G579" s="12" t="s">
        <v>1311</v>
      </c>
    </row>
    <row r="580" customFormat="false" ht="15" hidden="false" customHeight="true" outlineLevel="0" collapsed="false">
      <c r="A580" s="12" t="s">
        <v>952</v>
      </c>
      <c r="B580" s="12" t="s">
        <v>1286</v>
      </c>
      <c r="C580" s="12" t="n">
        <v>2026</v>
      </c>
      <c r="D580" s="12" t="n">
        <v>1</v>
      </c>
      <c r="E580" s="12" t="n">
        <v>65</v>
      </c>
      <c r="F580" s="12" t="s">
        <v>1286</v>
      </c>
      <c r="G580" s="12" t="s">
        <v>1311</v>
      </c>
    </row>
    <row r="581" customFormat="false" ht="15" hidden="false" customHeight="true" outlineLevel="0" collapsed="false">
      <c r="A581" s="12" t="s">
        <v>952</v>
      </c>
      <c r="B581" s="12" t="s">
        <v>1287</v>
      </c>
      <c r="C581" s="12" t="n">
        <v>2025</v>
      </c>
      <c r="D581" s="12" t="n">
        <v>16</v>
      </c>
      <c r="E581" s="12" t="n">
        <v>1038.24</v>
      </c>
      <c r="F581" s="12" t="s">
        <v>1287</v>
      </c>
      <c r="G581" s="12" t="s">
        <v>1311</v>
      </c>
    </row>
    <row r="582" customFormat="false" ht="15" hidden="false" customHeight="true" outlineLevel="0" collapsed="false">
      <c r="A582" s="12" t="s">
        <v>952</v>
      </c>
      <c r="B582" s="12" t="s">
        <v>1287</v>
      </c>
      <c r="C582" s="12" t="n">
        <v>2026</v>
      </c>
      <c r="D582" s="12" t="n">
        <v>1</v>
      </c>
      <c r="E582" s="12" t="n">
        <v>64.89</v>
      </c>
      <c r="F582" s="12" t="s">
        <v>1287</v>
      </c>
      <c r="G582" s="12" t="s">
        <v>1311</v>
      </c>
    </row>
    <row r="583" customFormat="false" ht="15" hidden="false" customHeight="true" outlineLevel="0" collapsed="false">
      <c r="A583" s="12" t="s">
        <v>952</v>
      </c>
      <c r="B583" s="12" t="s">
        <v>1288</v>
      </c>
      <c r="C583" s="12" t="n">
        <v>2025</v>
      </c>
      <c r="D583" s="12" t="n">
        <v>6</v>
      </c>
      <c r="E583" s="12" t="n">
        <v>389.34</v>
      </c>
      <c r="F583" s="12" t="s">
        <v>1288</v>
      </c>
      <c r="G583" s="12" t="s">
        <v>1311</v>
      </c>
    </row>
    <row r="584" customFormat="false" ht="15" hidden="false" customHeight="true" outlineLevel="0" collapsed="false">
      <c r="A584" s="12" t="s">
        <v>952</v>
      </c>
      <c r="B584" s="12" t="s">
        <v>1289</v>
      </c>
      <c r="C584" s="12" t="n">
        <v>2025</v>
      </c>
      <c r="D584" s="12" t="n">
        <v>5</v>
      </c>
      <c r="E584" s="12" t="n">
        <v>324.45</v>
      </c>
      <c r="F584" s="12" t="s">
        <v>1289</v>
      </c>
      <c r="G584" s="12" t="s">
        <v>1311</v>
      </c>
    </row>
    <row r="585" customFormat="false" ht="15" hidden="false" customHeight="true" outlineLevel="0" collapsed="false">
      <c r="A585" s="12" t="s">
        <v>952</v>
      </c>
      <c r="B585" s="12" t="s">
        <v>1289</v>
      </c>
      <c r="C585" s="12" t="n">
        <v>2026</v>
      </c>
      <c r="D585" s="12" t="n">
        <v>4</v>
      </c>
      <c r="E585" s="12" t="n">
        <v>259.56</v>
      </c>
      <c r="F585" s="12" t="s">
        <v>1289</v>
      </c>
      <c r="G585" s="12" t="s">
        <v>1311</v>
      </c>
    </row>
    <row r="586" customFormat="false" ht="15" hidden="false" customHeight="true" outlineLevel="0" collapsed="false">
      <c r="A586" s="12" t="s">
        <v>952</v>
      </c>
      <c r="B586" s="12" t="s">
        <v>880</v>
      </c>
      <c r="C586" s="12" t="n">
        <v>2025</v>
      </c>
      <c r="D586" s="12" t="n">
        <v>1</v>
      </c>
      <c r="E586" s="12" t="n">
        <v>107.09</v>
      </c>
      <c r="F586" s="12" t="s">
        <v>880</v>
      </c>
      <c r="G586" s="12" t="s">
        <v>1311</v>
      </c>
    </row>
    <row r="587" customFormat="false" ht="15" hidden="false" customHeight="true" outlineLevel="0" collapsed="false">
      <c r="A587" s="12" t="s">
        <v>952</v>
      </c>
      <c r="B587" s="12" t="s">
        <v>891</v>
      </c>
      <c r="C587" s="12" t="n">
        <v>2025</v>
      </c>
      <c r="D587" s="12" t="n">
        <v>54</v>
      </c>
      <c r="E587" s="12" t="n">
        <v>594</v>
      </c>
      <c r="F587" s="12" t="s">
        <v>891</v>
      </c>
      <c r="G587" s="12" t="s">
        <v>1311</v>
      </c>
    </row>
    <row r="588" customFormat="false" ht="15" hidden="false" customHeight="true" outlineLevel="0" collapsed="false">
      <c r="A588" s="12" t="s">
        <v>952</v>
      </c>
      <c r="B588" s="12" t="s">
        <v>891</v>
      </c>
      <c r="C588" s="12" t="n">
        <v>2026</v>
      </c>
      <c r="D588" s="12" t="n">
        <v>-3</v>
      </c>
      <c r="E588" s="12" t="n">
        <v>-33</v>
      </c>
      <c r="F588" s="12" t="s">
        <v>891</v>
      </c>
      <c r="G588" s="12" t="s">
        <v>1311</v>
      </c>
    </row>
    <row r="589" customFormat="false" ht="15" hidden="false" customHeight="true" outlineLevel="0" collapsed="false">
      <c r="A589" s="12" t="s">
        <v>952</v>
      </c>
      <c r="B589" s="12" t="s">
        <v>1290</v>
      </c>
      <c r="C589" s="12" t="n">
        <v>2025</v>
      </c>
      <c r="D589" s="12" t="n">
        <v>25</v>
      </c>
      <c r="E589" s="12" t="n">
        <v>723.25</v>
      </c>
      <c r="F589" s="12" t="s">
        <v>1290</v>
      </c>
      <c r="G589" s="12" t="s">
        <v>1311</v>
      </c>
    </row>
    <row r="590" customFormat="false" ht="15" hidden="false" customHeight="true" outlineLevel="0" collapsed="false">
      <c r="A590" s="12" t="s">
        <v>952</v>
      </c>
      <c r="B590" s="12" t="s">
        <v>1290</v>
      </c>
      <c r="C590" s="12" t="n">
        <v>2026</v>
      </c>
      <c r="D590" s="12" t="n">
        <v>2</v>
      </c>
      <c r="E590" s="12" t="n">
        <v>57.86</v>
      </c>
      <c r="F590" s="12" t="s">
        <v>1290</v>
      </c>
      <c r="G590" s="12" t="s">
        <v>1311</v>
      </c>
    </row>
    <row r="591" customFormat="false" ht="15" hidden="false" customHeight="true" outlineLevel="0" collapsed="false">
      <c r="A591" s="12" t="s">
        <v>952</v>
      </c>
      <c r="B591" s="12" t="s">
        <v>899</v>
      </c>
      <c r="C591" s="12" t="n">
        <v>2025</v>
      </c>
      <c r="D591" s="12" t="n">
        <v>8</v>
      </c>
      <c r="E591" s="12" t="n">
        <v>136</v>
      </c>
      <c r="F591" s="12" t="s">
        <v>899</v>
      </c>
      <c r="G591" s="12" t="s">
        <v>1311</v>
      </c>
    </row>
    <row r="592" customFormat="false" ht="15" hidden="false" customHeight="true" outlineLevel="0" collapsed="false">
      <c r="A592" s="12" t="s">
        <v>952</v>
      </c>
      <c r="B592" s="12" t="s">
        <v>899</v>
      </c>
      <c r="C592" s="12" t="n">
        <v>2026</v>
      </c>
      <c r="D592" s="12" t="n">
        <v>3</v>
      </c>
      <c r="E592" s="12" t="n">
        <v>51</v>
      </c>
      <c r="F592" s="12" t="s">
        <v>899</v>
      </c>
      <c r="G592" s="12" t="s">
        <v>1311</v>
      </c>
    </row>
    <row r="593" customFormat="false" ht="15" hidden="false" customHeight="true" outlineLevel="0" collapsed="false">
      <c r="A593" s="12" t="s">
        <v>952</v>
      </c>
      <c r="B593" s="12" t="s">
        <v>1291</v>
      </c>
      <c r="C593" s="12" t="n">
        <v>2025</v>
      </c>
      <c r="D593" s="12" t="n">
        <v>14</v>
      </c>
      <c r="E593" s="12" t="n">
        <v>690.2</v>
      </c>
      <c r="F593" s="12" t="s">
        <v>1291</v>
      </c>
      <c r="G593" s="12" t="s">
        <v>1311</v>
      </c>
    </row>
    <row r="594" customFormat="false" ht="15" hidden="false" customHeight="true" outlineLevel="0" collapsed="false">
      <c r="A594" s="12" t="s">
        <v>952</v>
      </c>
      <c r="B594" s="12" t="s">
        <v>902</v>
      </c>
      <c r="C594" s="12" t="n">
        <v>2025</v>
      </c>
      <c r="D594" s="12" t="n">
        <v>31</v>
      </c>
      <c r="E594" s="12" t="n">
        <v>731.6</v>
      </c>
      <c r="F594" s="12" t="s">
        <v>902</v>
      </c>
      <c r="G594" s="12" t="s">
        <v>1311</v>
      </c>
    </row>
    <row r="595" customFormat="false" ht="15" hidden="false" customHeight="true" outlineLevel="0" collapsed="false">
      <c r="A595" s="12" t="s">
        <v>952</v>
      </c>
      <c r="B595" s="12" t="s">
        <v>902</v>
      </c>
      <c r="C595" s="12" t="n">
        <v>2026</v>
      </c>
      <c r="D595" s="12" t="n">
        <v>9</v>
      </c>
      <c r="E595" s="12" t="n">
        <v>212.4</v>
      </c>
      <c r="F595" s="12" t="s">
        <v>902</v>
      </c>
      <c r="G595" s="12" t="s">
        <v>1311</v>
      </c>
    </row>
    <row r="596" customFormat="false" ht="15" hidden="false" customHeight="true" outlineLevel="0" collapsed="false">
      <c r="A596" s="12" t="s">
        <v>952</v>
      </c>
      <c r="B596" s="12" t="s">
        <v>965</v>
      </c>
      <c r="C596" s="12" t="n">
        <v>2025</v>
      </c>
      <c r="D596" s="12" t="n">
        <v>39</v>
      </c>
      <c r="E596" s="12" t="n">
        <v>717.6</v>
      </c>
      <c r="F596" s="12" t="s">
        <v>965</v>
      </c>
      <c r="G596" s="12" t="s">
        <v>1311</v>
      </c>
    </row>
    <row r="597" customFormat="false" ht="15" hidden="false" customHeight="true" outlineLevel="0" collapsed="false">
      <c r="A597" s="12" t="s">
        <v>952</v>
      </c>
      <c r="B597" s="12" t="s">
        <v>966</v>
      </c>
      <c r="C597" s="12" t="n">
        <v>2025</v>
      </c>
      <c r="D597" s="12" t="n">
        <v>45</v>
      </c>
      <c r="E597" s="12" t="n">
        <v>828</v>
      </c>
      <c r="F597" s="12" t="s">
        <v>966</v>
      </c>
      <c r="G597" s="12" t="s">
        <v>1311</v>
      </c>
    </row>
    <row r="598" customFormat="false" ht="15" hidden="false" customHeight="true" outlineLevel="0" collapsed="false">
      <c r="A598" s="12" t="s">
        <v>952</v>
      </c>
      <c r="B598" s="12" t="s">
        <v>966</v>
      </c>
      <c r="C598" s="12" t="n">
        <v>2026</v>
      </c>
      <c r="D598" s="12" t="n">
        <v>7</v>
      </c>
      <c r="E598" s="12" t="n">
        <v>128.8</v>
      </c>
      <c r="F598" s="12" t="s">
        <v>966</v>
      </c>
      <c r="G598" s="12" t="s">
        <v>1311</v>
      </c>
    </row>
    <row r="599" customFormat="false" ht="15" hidden="false" customHeight="true" outlineLevel="0" collapsed="false">
      <c r="A599" s="12" t="s">
        <v>952</v>
      </c>
      <c r="B599" s="12" t="s">
        <v>967</v>
      </c>
      <c r="C599" s="12" t="n">
        <v>2025</v>
      </c>
      <c r="D599" s="12" t="n">
        <v>28</v>
      </c>
      <c r="E599" s="12" t="n">
        <v>515.2</v>
      </c>
      <c r="F599" s="12" t="s">
        <v>967</v>
      </c>
      <c r="G599" s="12" t="s">
        <v>1311</v>
      </c>
    </row>
    <row r="600" customFormat="false" ht="15" hidden="false" customHeight="true" outlineLevel="0" collapsed="false">
      <c r="A600" s="12" t="s">
        <v>952</v>
      </c>
      <c r="B600" s="12" t="s">
        <v>967</v>
      </c>
      <c r="C600" s="12" t="n">
        <v>2026</v>
      </c>
      <c r="D600" s="12" t="n">
        <v>4</v>
      </c>
      <c r="E600" s="12" t="n">
        <v>73.6</v>
      </c>
      <c r="F600" s="12" t="s">
        <v>967</v>
      </c>
      <c r="G600" s="12" t="s">
        <v>1311</v>
      </c>
    </row>
    <row r="601" customFormat="false" ht="15" hidden="false" customHeight="true" outlineLevel="0" collapsed="false">
      <c r="A601" s="12" t="s">
        <v>952</v>
      </c>
      <c r="B601" s="12" t="s">
        <v>1292</v>
      </c>
      <c r="C601" s="12" t="n">
        <v>2025</v>
      </c>
      <c r="D601" s="12" t="n">
        <v>-1</v>
      </c>
      <c r="E601" s="12" t="n">
        <v>-441.17</v>
      </c>
      <c r="F601" s="12" t="s">
        <v>1292</v>
      </c>
      <c r="G601" s="12" t="s">
        <v>1311</v>
      </c>
    </row>
    <row r="602" customFormat="false" ht="15" hidden="false" customHeight="true" outlineLevel="0" collapsed="false">
      <c r="A602" s="12" t="s">
        <v>952</v>
      </c>
      <c r="B602" s="12" t="s">
        <v>1293</v>
      </c>
      <c r="C602" s="12" t="n">
        <v>2026</v>
      </c>
      <c r="D602" s="12" t="n">
        <v>1</v>
      </c>
      <c r="E602" s="12" t="n">
        <v>0</v>
      </c>
      <c r="F602" s="12" t="s">
        <v>1293</v>
      </c>
      <c r="G602" s="12" t="s">
        <v>1311</v>
      </c>
    </row>
    <row r="603" customFormat="false" ht="15" hidden="false" customHeight="true" outlineLevel="0" collapsed="false">
      <c r="A603" s="12" t="s">
        <v>952</v>
      </c>
      <c r="B603" s="12" t="s">
        <v>1294</v>
      </c>
      <c r="C603" s="12" t="n">
        <v>2026</v>
      </c>
      <c r="D603" s="12" t="n">
        <v>2</v>
      </c>
      <c r="E603" s="12" t="n">
        <v>0</v>
      </c>
      <c r="F603" s="12" t="s">
        <v>1294</v>
      </c>
      <c r="G603" s="12" t="s">
        <v>1311</v>
      </c>
    </row>
    <row r="604" customFormat="false" ht="15" hidden="false" customHeight="true" outlineLevel="0" collapsed="false">
      <c r="A604" s="12" t="s">
        <v>952</v>
      </c>
      <c r="B604" s="12" t="s">
        <v>1295</v>
      </c>
      <c r="C604" s="12" t="n">
        <v>2025</v>
      </c>
      <c r="D604" s="12" t="n">
        <v>8</v>
      </c>
      <c r="E604" s="12" t="n">
        <v>1038.48</v>
      </c>
      <c r="F604" s="12" t="s">
        <v>1295</v>
      </c>
      <c r="G604" s="12" t="s">
        <v>1311</v>
      </c>
    </row>
    <row r="605" customFormat="false" ht="15" hidden="false" customHeight="true" outlineLevel="0" collapsed="false">
      <c r="A605" s="12" t="s">
        <v>952</v>
      </c>
      <c r="B605" s="12" t="s">
        <v>1295</v>
      </c>
      <c r="C605" s="12" t="n">
        <v>2026</v>
      </c>
      <c r="D605" s="12" t="n">
        <v>1</v>
      </c>
      <c r="E605" s="12" t="n">
        <v>129.81</v>
      </c>
      <c r="F605" s="12" t="s">
        <v>1295</v>
      </c>
      <c r="G605" s="12" t="s">
        <v>1311</v>
      </c>
    </row>
    <row r="606" customFormat="false" ht="15" hidden="false" customHeight="true" outlineLevel="0" collapsed="false">
      <c r="A606" s="12" t="s">
        <v>952</v>
      </c>
      <c r="B606" s="12" t="s">
        <v>1296</v>
      </c>
      <c r="C606" s="12" t="n">
        <v>2025</v>
      </c>
      <c r="D606" s="12" t="n">
        <v>13</v>
      </c>
      <c r="E606" s="12" t="n">
        <v>818.61</v>
      </c>
      <c r="F606" s="12" t="s">
        <v>1296</v>
      </c>
      <c r="G606" s="12" t="s">
        <v>1311</v>
      </c>
    </row>
    <row r="607" customFormat="false" ht="15" hidden="false" customHeight="true" outlineLevel="0" collapsed="false">
      <c r="A607" s="12" t="s">
        <v>952</v>
      </c>
      <c r="B607" s="12" t="s">
        <v>1297</v>
      </c>
      <c r="C607" s="12" t="n">
        <v>2025</v>
      </c>
      <c r="D607" s="12" t="n">
        <v>6</v>
      </c>
      <c r="E607" s="12" t="n">
        <v>377.82</v>
      </c>
      <c r="F607" s="12" t="s">
        <v>1297</v>
      </c>
      <c r="G607" s="12" t="s">
        <v>1311</v>
      </c>
    </row>
    <row r="608" customFormat="false" ht="15" hidden="false" customHeight="true" outlineLevel="0" collapsed="false">
      <c r="A608" s="12" t="s">
        <v>952</v>
      </c>
      <c r="B608" s="12" t="s">
        <v>1297</v>
      </c>
      <c r="C608" s="12" t="n">
        <v>2026</v>
      </c>
      <c r="D608" s="12" t="n">
        <v>4</v>
      </c>
      <c r="E608" s="12" t="n">
        <v>251.88</v>
      </c>
      <c r="F608" s="12" t="s">
        <v>1297</v>
      </c>
      <c r="G608" s="12" t="s">
        <v>1311</v>
      </c>
    </row>
    <row r="609" customFormat="false" ht="15" hidden="false" customHeight="true" outlineLevel="0" collapsed="false">
      <c r="A609" s="12" t="s">
        <v>952</v>
      </c>
      <c r="B609" s="12" t="s">
        <v>1298</v>
      </c>
      <c r="C609" s="12" t="n">
        <v>2026</v>
      </c>
      <c r="D609" s="12" t="n">
        <v>1</v>
      </c>
      <c r="E609" s="12" t="n">
        <v>0</v>
      </c>
      <c r="F609" s="12" t="s">
        <v>1298</v>
      </c>
      <c r="G609" s="12" t="s">
        <v>1311</v>
      </c>
    </row>
    <row r="610" customFormat="false" ht="15" hidden="false" customHeight="true" outlineLevel="0" collapsed="false">
      <c r="A610" s="12" t="s">
        <v>952</v>
      </c>
      <c r="B610" s="12" t="s">
        <v>1299</v>
      </c>
      <c r="C610" s="12" t="n">
        <v>2026</v>
      </c>
      <c r="D610" s="12" t="n">
        <v>6</v>
      </c>
      <c r="E610" s="12" t="n">
        <v>0</v>
      </c>
      <c r="F610" s="12" t="s">
        <v>1299</v>
      </c>
      <c r="G610" s="12" t="s">
        <v>1311</v>
      </c>
    </row>
    <row r="611" customFormat="false" ht="15" hidden="false" customHeight="true" outlineLevel="0" collapsed="false">
      <c r="A611" s="12" t="s">
        <v>952</v>
      </c>
      <c r="B611" s="12" t="s">
        <v>1300</v>
      </c>
      <c r="C611" s="12" t="n">
        <v>2025</v>
      </c>
      <c r="D611" s="12" t="n">
        <v>10</v>
      </c>
      <c r="E611" s="12" t="n">
        <v>941</v>
      </c>
      <c r="F611" s="12" t="s">
        <v>1300</v>
      </c>
      <c r="G611" s="12" t="s">
        <v>1311</v>
      </c>
    </row>
    <row r="612" customFormat="false" ht="15" hidden="false" customHeight="true" outlineLevel="0" collapsed="false">
      <c r="A612" s="12" t="s">
        <v>952</v>
      </c>
      <c r="B612" s="12" t="s">
        <v>1300</v>
      </c>
      <c r="C612" s="12" t="n">
        <v>2026</v>
      </c>
      <c r="D612" s="12" t="n">
        <v>1</v>
      </c>
      <c r="E612" s="12" t="n">
        <v>94.1</v>
      </c>
      <c r="F612" s="12" t="s">
        <v>1300</v>
      </c>
      <c r="G612" s="12" t="s">
        <v>1311</v>
      </c>
    </row>
    <row r="613" customFormat="false" ht="15" hidden="false" customHeight="true" outlineLevel="0" collapsed="false">
      <c r="A613" s="12" t="s">
        <v>952</v>
      </c>
      <c r="B613" s="12" t="s">
        <v>1301</v>
      </c>
      <c r="C613" s="12" t="n">
        <v>2025</v>
      </c>
      <c r="D613" s="12" t="n">
        <v>10</v>
      </c>
      <c r="E613" s="12" t="n">
        <v>941</v>
      </c>
      <c r="F613" s="12" t="s">
        <v>1301</v>
      </c>
      <c r="G613" s="12" t="s">
        <v>1311</v>
      </c>
    </row>
    <row r="614" customFormat="false" ht="15" hidden="false" customHeight="true" outlineLevel="0" collapsed="false">
      <c r="A614" s="12" t="s">
        <v>952</v>
      </c>
      <c r="B614" s="12" t="s">
        <v>1301</v>
      </c>
      <c r="C614" s="12" t="n">
        <v>2026</v>
      </c>
      <c r="D614" s="12" t="n">
        <v>2</v>
      </c>
      <c r="E614" s="12" t="n">
        <v>188.2</v>
      </c>
      <c r="F614" s="12" t="s">
        <v>1301</v>
      </c>
      <c r="G614" s="12" t="s">
        <v>1311</v>
      </c>
    </row>
    <row r="615" customFormat="false" ht="15" hidden="false" customHeight="true" outlineLevel="0" collapsed="false">
      <c r="A615" s="12" t="s">
        <v>952</v>
      </c>
      <c r="B615" s="12" t="s">
        <v>1302</v>
      </c>
      <c r="C615" s="12" t="n">
        <v>2025</v>
      </c>
      <c r="D615" s="12" t="n">
        <v>11</v>
      </c>
      <c r="E615" s="12" t="n">
        <v>1035.1</v>
      </c>
      <c r="F615" s="12" t="s">
        <v>1302</v>
      </c>
      <c r="G615" s="12" t="s">
        <v>1311</v>
      </c>
    </row>
    <row r="616" customFormat="false" ht="15" hidden="false" customHeight="true" outlineLevel="0" collapsed="false">
      <c r="A616" s="12" t="s">
        <v>952</v>
      </c>
      <c r="B616" s="12" t="s">
        <v>1302</v>
      </c>
      <c r="C616" s="12" t="n">
        <v>2026</v>
      </c>
      <c r="D616" s="12" t="n">
        <v>7</v>
      </c>
      <c r="E616" s="12" t="n">
        <v>658.7</v>
      </c>
      <c r="F616" s="12" t="s">
        <v>1302</v>
      </c>
      <c r="G616" s="12" t="s">
        <v>1311</v>
      </c>
    </row>
    <row r="617" customFormat="false" ht="15" hidden="false" customHeight="true" outlineLevel="0" collapsed="false">
      <c r="A617" s="12" t="s">
        <v>952</v>
      </c>
      <c r="B617" s="12" t="s">
        <v>1303</v>
      </c>
      <c r="C617" s="12" t="n">
        <v>2025</v>
      </c>
      <c r="D617" s="12" t="n">
        <v>1</v>
      </c>
      <c r="E617" s="12" t="n">
        <v>94.1</v>
      </c>
      <c r="F617" s="12" t="s">
        <v>1303</v>
      </c>
      <c r="G617" s="12" t="s">
        <v>1311</v>
      </c>
    </row>
    <row r="618" customFormat="false" ht="15" hidden="false" customHeight="true" outlineLevel="0" collapsed="false">
      <c r="A618" s="12" t="s">
        <v>952</v>
      </c>
      <c r="B618" s="12" t="s">
        <v>1303</v>
      </c>
      <c r="C618" s="12" t="n">
        <v>2026</v>
      </c>
      <c r="D618" s="12" t="n">
        <v>2</v>
      </c>
      <c r="E618" s="12" t="n">
        <v>188.2</v>
      </c>
      <c r="F618" s="12" t="s">
        <v>1303</v>
      </c>
      <c r="G618" s="12" t="s">
        <v>1311</v>
      </c>
    </row>
    <row r="619" customFormat="false" ht="15" hidden="false" customHeight="true" outlineLevel="0" collapsed="false">
      <c r="A619" s="12" t="s">
        <v>952</v>
      </c>
      <c r="B619" s="12" t="s">
        <v>934</v>
      </c>
      <c r="C619" s="12" t="n">
        <v>2025</v>
      </c>
      <c r="D619" s="12" t="n">
        <v>2</v>
      </c>
      <c r="E619" s="12" t="n">
        <v>147.6</v>
      </c>
      <c r="F619" s="12" t="s">
        <v>934</v>
      </c>
      <c r="G619" s="12" t="s">
        <v>1311</v>
      </c>
    </row>
    <row r="620" customFormat="false" ht="15" hidden="false" customHeight="true" outlineLevel="0" collapsed="false">
      <c r="A620" s="12" t="s">
        <v>952</v>
      </c>
      <c r="B620" s="12" t="s">
        <v>934</v>
      </c>
      <c r="C620" s="12" t="n">
        <v>2026</v>
      </c>
      <c r="D620" s="12" t="n">
        <v>2</v>
      </c>
      <c r="E620" s="12" t="n">
        <v>147.6</v>
      </c>
      <c r="F620" s="12" t="s">
        <v>934</v>
      </c>
      <c r="G620" s="12" t="s">
        <v>1311</v>
      </c>
    </row>
    <row r="621" customFormat="false" ht="15" hidden="false" customHeight="true" outlineLevel="0" collapsed="false">
      <c r="A621" s="12" t="s">
        <v>952</v>
      </c>
      <c r="B621" s="12" t="s">
        <v>935</v>
      </c>
      <c r="C621" s="12" t="n">
        <v>2025</v>
      </c>
      <c r="D621" s="12" t="n">
        <v>1</v>
      </c>
      <c r="E621" s="12" t="n">
        <v>73.8</v>
      </c>
      <c r="F621" s="12" t="s">
        <v>935</v>
      </c>
      <c r="G621" s="12" t="s">
        <v>1311</v>
      </c>
    </row>
    <row r="622" customFormat="false" ht="15" hidden="false" customHeight="true" outlineLevel="0" collapsed="false">
      <c r="A622" s="12" t="s">
        <v>952</v>
      </c>
      <c r="B622" s="12" t="s">
        <v>935</v>
      </c>
      <c r="C622" s="12" t="n">
        <v>2026</v>
      </c>
      <c r="D622" s="12" t="n">
        <v>6</v>
      </c>
      <c r="E622" s="12" t="n">
        <v>442.8</v>
      </c>
      <c r="F622" s="12" t="s">
        <v>935</v>
      </c>
      <c r="G622" s="12" t="s">
        <v>1311</v>
      </c>
    </row>
    <row r="623" customFormat="false" ht="15" hidden="false" customHeight="true" outlineLevel="0" collapsed="false">
      <c r="A623" s="12" t="s">
        <v>952</v>
      </c>
      <c r="B623" s="12" t="s">
        <v>1304</v>
      </c>
      <c r="C623" s="12" t="n">
        <v>2026</v>
      </c>
      <c r="D623" s="12" t="n">
        <v>4</v>
      </c>
      <c r="E623" s="12" t="n">
        <v>295.2</v>
      </c>
      <c r="F623" s="12" t="s">
        <v>1304</v>
      </c>
      <c r="G623" s="12" t="s">
        <v>1311</v>
      </c>
    </row>
    <row r="624" customFormat="false" ht="15" hidden="false" customHeight="true" outlineLevel="0" collapsed="false">
      <c r="A624" s="12" t="s">
        <v>952</v>
      </c>
      <c r="B624" s="12" t="s">
        <v>936</v>
      </c>
      <c r="C624" s="12" t="n">
        <v>2025</v>
      </c>
      <c r="D624" s="12" t="n">
        <v>-4</v>
      </c>
      <c r="E624" s="12" t="n">
        <v>-329.92</v>
      </c>
      <c r="F624" s="12" t="s">
        <v>936</v>
      </c>
      <c r="G624" s="12" t="s">
        <v>1311</v>
      </c>
    </row>
    <row r="625" customFormat="false" ht="15" hidden="false" customHeight="true" outlineLevel="0" collapsed="false">
      <c r="A625" s="12" t="s">
        <v>952</v>
      </c>
      <c r="B625" s="12" t="s">
        <v>937</v>
      </c>
      <c r="C625" s="12" t="n">
        <v>2025</v>
      </c>
      <c r="D625" s="12" t="n">
        <v>-3</v>
      </c>
      <c r="E625" s="12" t="n">
        <v>-247.44</v>
      </c>
      <c r="F625" s="12" t="s">
        <v>937</v>
      </c>
      <c r="G625" s="12" t="s">
        <v>1311</v>
      </c>
    </row>
    <row r="627" customFormat="false" ht="15" hidden="false" customHeight="true" outlineLevel="0" collapsed="false">
      <c r="A627" s="30" t="s">
        <v>1363</v>
      </c>
    </row>
    <row r="628" customFormat="false" ht="15" hidden="false" customHeight="true" outlineLevel="0" collapsed="false">
      <c r="A628" s="9" t="s">
        <v>945</v>
      </c>
      <c r="B628" s="9" t="s">
        <v>946</v>
      </c>
      <c r="C628" s="9" t="s">
        <v>947</v>
      </c>
      <c r="D628" s="9" t="s">
        <v>948</v>
      </c>
      <c r="E628" s="9" t="s">
        <v>949</v>
      </c>
    </row>
    <row r="629" customFormat="false" ht="15" hidden="false" customHeight="true" outlineLevel="0" collapsed="false">
      <c r="A629" s="12" t="s">
        <v>952</v>
      </c>
      <c r="B629" s="12" t="s">
        <v>1364</v>
      </c>
      <c r="C629" s="12" t="n">
        <v>2025</v>
      </c>
      <c r="D629" s="12" t="n">
        <v>0</v>
      </c>
      <c r="E629" s="12" t="n">
        <v>-921.56</v>
      </c>
    </row>
    <row r="630" customFormat="false" ht="15" hidden="false" customHeight="true" outlineLevel="0" collapsed="false">
      <c r="A630" s="12" t="s">
        <v>952</v>
      </c>
      <c r="B630" s="12" t="s">
        <v>1365</v>
      </c>
      <c r="C630" s="12" t="n">
        <v>2025</v>
      </c>
      <c r="D630" s="12" t="n">
        <v>-1</v>
      </c>
      <c r="E630" s="12" t="n">
        <v>-31945.47</v>
      </c>
    </row>
    <row r="631" customFormat="false" ht="15" hidden="false" customHeight="true" outlineLevel="0" collapsed="false">
      <c r="A631" s="12" t="s">
        <v>952</v>
      </c>
      <c r="B631" s="12" t="s">
        <v>1365</v>
      </c>
      <c r="C631" s="12" t="n">
        <v>2026</v>
      </c>
      <c r="D631" s="12" t="n">
        <v>-1</v>
      </c>
      <c r="E631" s="12" t="n">
        <v>-35055</v>
      </c>
    </row>
  </sheetData>
  <mergeCells count="2">
    <mergeCell ref="A3:G3"/>
    <mergeCell ref="A4:G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13"/>
    <col collapsed="false" customWidth="true" hidden="false" outlineLevel="0" max="4" min="4" style="1" width="15"/>
    <col collapsed="false" customWidth="true" hidden="false" outlineLevel="0" max="6" min="5" style="1" width="13"/>
    <col collapsed="false" customWidth="true" hidden="false" outlineLevel="0" max="7" min="7" style="1" width="16"/>
    <col collapsed="false" customWidth="true" hidden="false" outlineLevel="0" max="8" min="8" style="1" width="15"/>
    <col collapsed="false" customWidth="true" hidden="false" outlineLevel="0" max="9" min="9" style="1" width="17"/>
    <col collapsed="false" customWidth="true" hidden="false" outlineLevel="0" max="10" min="10" style="1" width="15"/>
  </cols>
  <sheetData>
    <row r="1" customFormat="false" ht="15" hidden="false" customHeight="true" outlineLevel="0" collapsed="false">
      <c r="A1" s="11" t="s">
        <v>1366</v>
      </c>
    </row>
    <row r="2" customFormat="false" ht="15" hidden="false" customHeight="true" outlineLevel="0" collapsed="false">
      <c r="A2" s="3" t="s">
        <v>1</v>
      </c>
      <c r="B2" s="4" t="n">
        <v>46290</v>
      </c>
    </row>
    <row r="3" customFormat="false" ht="32.25" hidden="false" customHeight="true" outlineLevel="0" collapsed="false">
      <c r="A3" s="5" t="s">
        <v>1367</v>
      </c>
      <c r="B3" s="5"/>
      <c r="C3" s="5"/>
      <c r="D3" s="5"/>
      <c r="E3" s="5"/>
      <c r="F3" s="5"/>
      <c r="G3" s="5"/>
      <c r="H3" s="5"/>
      <c r="I3" s="5"/>
      <c r="J3" s="5"/>
    </row>
    <row r="4" customFormat="false" ht="21.75" hidden="false" customHeight="true" outlineLevel="0" collapsed="false">
      <c r="A4" s="5" t="s">
        <v>1273</v>
      </c>
      <c r="B4" s="5"/>
      <c r="C4" s="5"/>
      <c r="D4" s="5"/>
      <c r="E4" s="5"/>
      <c r="F4" s="5"/>
      <c r="G4" s="5"/>
      <c r="H4" s="5"/>
      <c r="I4" s="3" t="s">
        <v>853</v>
      </c>
      <c r="J4" s="29" t="n">
        <v>12</v>
      </c>
      <c r="K4" s="3" t="s">
        <v>854</v>
      </c>
      <c r="L4" s="29" t="n">
        <v>9.5</v>
      </c>
    </row>
    <row r="5" customFormat="false" ht="15" hidden="false" customHeight="true" outlineLevel="0" collapsed="false">
      <c r="A5" s="30" t="s">
        <v>855</v>
      </c>
      <c r="B5" s="30" t="n">
        <f aca="false">SUMPRODUCT(--((($C$9:$C$11&lt;&gt;0)+($H$9:$H$11&lt;&gt;0)&gt;0)*(($D$9:$D$11=0)*($I$9:$I$11=0))))</f>
        <v>0</v>
      </c>
      <c r="C5" s="30" t="s">
        <v>856</v>
      </c>
      <c r="D5" s="30" t="n">
        <f aca="false">SUMPRODUCT(--((($D$9:$D$11&lt;&gt;0)+($I$9:$I$11&lt;&gt;0)&gt;0)*(($C$9:$C$11=0)*($H$9:$H$11=0))))</f>
        <v>3</v>
      </c>
      <c r="I5" s="30" t="s">
        <v>857</v>
      </c>
      <c r="J5" s="30" t="n">
        <f aca="false">J4/L4</f>
        <v>1.26315789473684</v>
      </c>
    </row>
    <row r="6" customFormat="false" ht="15" hidden="false" customHeight="true" outlineLevel="0" collapsed="false">
      <c r="A6" s="30" t="s">
        <v>858</v>
      </c>
      <c r="B6" s="30" t="n">
        <f aca="false">SUMPRODUCT(--((($C$9:$C$11&lt;&gt;0)+($H$9:$H$11&lt;&gt;0)&gt;0)*(($D$9:$D$11=0)*($I$9:$I$11=0)))*$C$9:$C$11)</f>
        <v>0</v>
      </c>
      <c r="C6" s="30" t="s">
        <v>859</v>
      </c>
      <c r="D6" s="30" t="n">
        <f aca="false">SUMPRODUCT(--((($C$9:$C$11&lt;&gt;0)+($H$9:$H$11&lt;&gt;0)&gt;0)*(($D$9:$D$11=0)*($I$9:$I$11=0)))*$H$9:$H$11)</f>
        <v>0</v>
      </c>
      <c r="E6" s="30" t="s">
        <v>860</v>
      </c>
      <c r="F6" s="30" t="n">
        <f aca="false">SUMPRODUCT(--((($D$9:$D$11&lt;&gt;0)+($I$9:$I$11&lt;&gt;0)&gt;0)*(($C$9:$C$11=0)*($H$9:$H$11=0)))*$D$9:$D$11)</f>
        <v>3</v>
      </c>
      <c r="G6" s="30" t="s">
        <v>861</v>
      </c>
      <c r="H6" s="30" t="n">
        <f aca="false">SUMPRODUCT(--((($D$9:$D$11&lt;&gt;0)+($I$9:$I$11&lt;&gt;0)&gt;0)*(($C$9:$C$11=0)*($H$9:$H$11=0)))*$I$9:$I$11)</f>
        <v>666</v>
      </c>
      <c r="I6" s="30" t="s">
        <v>862</v>
      </c>
      <c r="J6" s="30" t="n">
        <f aca="false">F6*$J$5</f>
        <v>3.78947368421053</v>
      </c>
      <c r="K6" s="30" t="s">
        <v>863</v>
      </c>
      <c r="L6" s="30" t="n">
        <f aca="false">H6*$J$5</f>
        <v>841.263157894737</v>
      </c>
    </row>
    <row r="8" customFormat="false" ht="51.75" hidden="false" customHeight="true" outlineLevel="0" collapsed="false">
      <c r="A8" s="19" t="s">
        <v>70</v>
      </c>
      <c r="B8" s="19" t="s">
        <v>865</v>
      </c>
      <c r="C8" s="19" t="s">
        <v>17</v>
      </c>
      <c r="D8" s="19" t="s">
        <v>866</v>
      </c>
      <c r="E8" s="19" t="s">
        <v>867</v>
      </c>
      <c r="F8" s="19" t="s">
        <v>868</v>
      </c>
      <c r="G8" s="19" t="s">
        <v>869</v>
      </c>
      <c r="H8" s="19" t="s">
        <v>21</v>
      </c>
      <c r="I8" s="19" t="s">
        <v>870</v>
      </c>
      <c r="J8" s="19" t="s">
        <v>23</v>
      </c>
    </row>
    <row r="9" customFormat="false" ht="15" hidden="false" customHeight="true" outlineLevel="0" collapsed="false">
      <c r="A9" s="12" t="n">
        <v>4408272</v>
      </c>
      <c r="B9" s="12" t="str">
        <f aca="false">IFERROR(INDEX('Catalog'!$B:$B,MATCH($A9,'Catalog'!$A:$A,0)),"")</f>
        <v>70N S חגורת פאבליק</v>
      </c>
      <c r="C9" s="12" t="n">
        <f aca="false">SUMIFS('מכבי Raw'!$C$6:$C$8,'מכבי Raw'!$E$6:$E$8,$A9,'מכבי Raw'!$B$6:$B$8,2025)</f>
        <v>0</v>
      </c>
      <c r="D9" s="12" t="n">
        <f aca="false">SUMIFS('מכבי Raw'!$C$6:$C$8,'מכבי Raw'!$E$6:$E$8,$A9,'מכבי Raw'!$B$6:$B$8,2026)</f>
        <v>1</v>
      </c>
      <c r="E9" s="12" t="n">
        <f aca="false">D9*$J$5</f>
        <v>1.26315789473684</v>
      </c>
      <c r="F9" s="12" t="n">
        <f aca="false">E9-C9</f>
        <v>1.26315789473684</v>
      </c>
      <c r="G9" s="21" t="str">
        <f aca="false">IF(AND(C9=0,E9=0),0,IF(C9=0,"New",(E9-C9)/C9))</f>
        <v>New</v>
      </c>
      <c r="H9" s="12" t="n">
        <f aca="false">SUMIFS('מכבי Raw'!$D$6:$D$8,'מכבי Raw'!$E$6:$E$8,$A9,'מכבי Raw'!$B$6:$B$8,2025)</f>
        <v>0</v>
      </c>
      <c r="I9" s="12" t="n">
        <f aca="false">SUMIFS('מכבי Raw'!$D$6:$D$8,'מכבי Raw'!$E$6:$E$8,$A9,'מכבי Raw'!$B$6:$B$8,2026)</f>
        <v>222</v>
      </c>
      <c r="J9" s="12" t="n">
        <f aca="false">I9*$J$5</f>
        <v>280.421052631579</v>
      </c>
    </row>
    <row r="10" customFormat="false" ht="15" hidden="false" customHeight="true" outlineLevel="0" collapsed="false">
      <c r="A10" s="12" t="n">
        <v>4408273</v>
      </c>
      <c r="B10" s="12" t="str">
        <f aca="false">IFERROR(INDEX('Catalog'!$B:$B,MATCH($A10,'Catalog'!$A:$A,0)),"")</f>
        <v>70N M חגורת פאבליק</v>
      </c>
      <c r="C10" s="12" t="n">
        <f aca="false">SUMIFS('מכבי Raw'!$C$6:$C$8,'מכבי Raw'!$E$6:$E$8,$A10,'מכבי Raw'!$B$6:$B$8,2025)</f>
        <v>0</v>
      </c>
      <c r="D10" s="12" t="n">
        <f aca="false">SUMIFS('מכבי Raw'!$C$6:$C$8,'מכבי Raw'!$E$6:$E$8,$A10,'מכבי Raw'!$B$6:$B$8,2026)</f>
        <v>1</v>
      </c>
      <c r="E10" s="12" t="n">
        <f aca="false">D10*$J$5</f>
        <v>1.26315789473684</v>
      </c>
      <c r="F10" s="12" t="n">
        <f aca="false">E10-C10</f>
        <v>1.26315789473684</v>
      </c>
      <c r="G10" s="21" t="str">
        <f aca="false">IF(AND(C10=0,E10=0),0,IF(C10=0,"New",(E10-C10)/C10))</f>
        <v>New</v>
      </c>
      <c r="H10" s="12" t="n">
        <f aca="false">SUMIFS('מכבי Raw'!$D$6:$D$8,'מכבי Raw'!$E$6:$E$8,$A10,'מכבי Raw'!$B$6:$B$8,2025)</f>
        <v>0</v>
      </c>
      <c r="I10" s="12" t="n">
        <f aca="false">SUMIFS('מכבי Raw'!$D$6:$D$8,'מכבי Raw'!$E$6:$E$8,$A10,'מכבי Raw'!$B$6:$B$8,2026)</f>
        <v>222</v>
      </c>
      <c r="J10" s="12" t="n">
        <f aca="false">I10*$J$5</f>
        <v>280.421052631579</v>
      </c>
    </row>
    <row r="11" customFormat="false" ht="15" hidden="false" customHeight="true" outlineLevel="0" collapsed="false">
      <c r="A11" s="12" t="n">
        <v>4408274</v>
      </c>
      <c r="B11" s="12" t="str">
        <f aca="false">IFERROR(INDEX('Catalog'!$B:$B,MATCH($A11,'Catalog'!$A:$A,0)),"")</f>
        <v>70N L חגורת פאבליק</v>
      </c>
      <c r="C11" s="12" t="n">
        <f aca="false">SUMIFS('מכבי Raw'!$C$6:$C$8,'מכבי Raw'!$E$6:$E$8,$A11,'מכבי Raw'!$B$6:$B$8,2025)</f>
        <v>0</v>
      </c>
      <c r="D11" s="12" t="n">
        <f aca="false">SUMIFS('מכבי Raw'!$C$6:$C$8,'מכבי Raw'!$E$6:$E$8,$A11,'מכבי Raw'!$B$6:$B$8,2026)</f>
        <v>1</v>
      </c>
      <c r="E11" s="12" t="n">
        <f aca="false">D11*$J$5</f>
        <v>1.26315789473684</v>
      </c>
      <c r="F11" s="12" t="n">
        <f aca="false">E11-C11</f>
        <v>1.26315789473684</v>
      </c>
      <c r="G11" s="21" t="str">
        <f aca="false">IF(AND(C11=0,E11=0),0,IF(C11=0,"New",(E11-C11)/C11))</f>
        <v>New</v>
      </c>
      <c r="H11" s="12" t="n">
        <f aca="false">SUMIFS('מכבי Raw'!$D$6:$D$8,'מכבי Raw'!$E$6:$E$8,$A11,'מכבי Raw'!$B$6:$B$8,2025)</f>
        <v>0</v>
      </c>
      <c r="I11" s="12" t="n">
        <f aca="false">SUMIFS('מכבי Raw'!$D$6:$D$8,'מכבי Raw'!$E$6:$E$8,$A11,'מכבי Raw'!$B$6:$B$8,2026)</f>
        <v>222</v>
      </c>
      <c r="J11" s="12" t="n">
        <f aca="false">I11*$J$5</f>
        <v>280.421052631579</v>
      </c>
    </row>
    <row r="13" customFormat="false" ht="15" hidden="false" customHeight="true" outlineLevel="0" collapsed="false">
      <c r="A13" s="27"/>
      <c r="B13" s="25" t="s">
        <v>942</v>
      </c>
      <c r="C13" s="25" t="n">
        <f aca="false">SUM(C9:C11)</f>
        <v>0</v>
      </c>
      <c r="D13" s="25" t="n">
        <f aca="false">SUM(D9:D11)</f>
        <v>3</v>
      </c>
      <c r="E13" s="25" t="n">
        <f aca="false">SUM(E9:E11)</f>
        <v>3.78947368421053</v>
      </c>
      <c r="F13" s="25" t="n">
        <f aca="false">SUM(F9:F11)</f>
        <v>3.78947368421053</v>
      </c>
      <c r="G13" s="28" t="str">
        <f aca="false">IF(C13=0,"N/A",F13/C13)</f>
        <v>N/A</v>
      </c>
      <c r="H13" s="25" t="n">
        <f aca="false">SUM(H9:H11)</f>
        <v>0</v>
      </c>
      <c r="I13" s="25" t="n">
        <f aca="false">SUM(I9:I11)</f>
        <v>666</v>
      </c>
      <c r="J13" s="25" t="n">
        <f aca="false">SUM(J9:J11)</f>
        <v>841.263157894737</v>
      </c>
    </row>
  </sheetData>
  <mergeCells count="2">
    <mergeCell ref="A3:J3"/>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42"/>
    <col collapsed="false" customWidth="true" hidden="false" outlineLevel="0" max="2" min="2" style="1" width="8"/>
    <col collapsed="false" customWidth="true" hidden="false" outlineLevel="0" max="3" min="3" style="1" width="12"/>
    <col collapsed="false" customWidth="true" hidden="false" outlineLevel="0" max="5" min="4" style="1" width="14"/>
    <col collapsed="false" customWidth="true" hidden="false" outlineLevel="0" max="6" min="6" style="1" width="24"/>
  </cols>
  <sheetData>
    <row r="1" customFormat="false" ht="15" hidden="false" customHeight="true" outlineLevel="0" collapsed="false">
      <c r="A1" s="11" t="s">
        <v>1368</v>
      </c>
    </row>
    <row r="2" customFormat="false" ht="15" hidden="false" customHeight="true" outlineLevel="0" collapsed="false">
      <c r="A2" s="3" t="s">
        <v>1</v>
      </c>
      <c r="B2" s="4" t="n">
        <v>46290</v>
      </c>
    </row>
    <row r="3" customFormat="false" ht="15" hidden="false" customHeight="true" outlineLevel="0" collapsed="false">
      <c r="A3" s="5" t="s">
        <v>1369</v>
      </c>
      <c r="B3" s="5"/>
      <c r="C3" s="5"/>
      <c r="D3" s="5"/>
      <c r="E3" s="5"/>
      <c r="F3" s="5"/>
      <c r="G3" s="5"/>
    </row>
    <row r="5" customFormat="false" ht="15" hidden="false" customHeight="true" outlineLevel="0" collapsed="false">
      <c r="A5" s="19" t="s">
        <v>946</v>
      </c>
      <c r="B5" s="19" t="s">
        <v>947</v>
      </c>
      <c r="C5" s="19" t="s">
        <v>948</v>
      </c>
      <c r="D5" s="19" t="s">
        <v>949</v>
      </c>
      <c r="E5" s="19" t="s">
        <v>70</v>
      </c>
      <c r="F5" s="19" t="s">
        <v>1276</v>
      </c>
    </row>
    <row r="6" customFormat="false" ht="15" hidden="false" customHeight="true" outlineLevel="0" collapsed="false">
      <c r="A6" s="12" t="s">
        <v>319</v>
      </c>
      <c r="B6" s="12" t="n">
        <v>2026</v>
      </c>
      <c r="C6" s="12" t="n">
        <v>1</v>
      </c>
      <c r="D6" s="12" t="n">
        <v>222</v>
      </c>
      <c r="E6" s="12" t="n">
        <f aca="false">IFERROR(INDEX('Catalog'!$A:$A,MATCH($A6,'Catalog'!$B:$B,0)),IFERROR(INDEX('Catalog'!$A:$A,MATCH(TRIM(SUBSTITUTE($A6,CHAR(160)," ")),'Catalog'!$C:$C,0)),""))</f>
        <v>4408274</v>
      </c>
      <c r="F6" s="12" t="str">
        <f aca="false">IF($E6="","Unmatched","Matched")</f>
        <v>Matched</v>
      </c>
    </row>
    <row r="7" customFormat="false" ht="15" hidden="false" customHeight="true" outlineLevel="0" collapsed="false">
      <c r="A7" s="12" t="s">
        <v>320</v>
      </c>
      <c r="B7" s="12" t="n">
        <v>2026</v>
      </c>
      <c r="C7" s="12" t="n">
        <v>1</v>
      </c>
      <c r="D7" s="12" t="n">
        <v>222</v>
      </c>
      <c r="E7" s="12" t="n">
        <f aca="false">IFERROR(INDEX('Catalog'!$A:$A,MATCH($A7,'Catalog'!$B:$B,0)),IFERROR(INDEX('Catalog'!$A:$A,MATCH(TRIM(SUBSTITUTE($A7,CHAR(160)," ")),'Catalog'!$C:$C,0)),""))</f>
        <v>4408273</v>
      </c>
      <c r="F7" s="12" t="str">
        <f aca="false">IF($E7="","Unmatched","Matched")</f>
        <v>Matched</v>
      </c>
    </row>
    <row r="8" customFormat="false" ht="15" hidden="false" customHeight="true" outlineLevel="0" collapsed="false">
      <c r="A8" s="12" t="s">
        <v>321</v>
      </c>
      <c r="B8" s="12" t="n">
        <v>2026</v>
      </c>
      <c r="C8" s="12" t="n">
        <v>1</v>
      </c>
      <c r="D8" s="12" t="n">
        <v>222</v>
      </c>
      <c r="E8" s="12" t="n">
        <f aca="false">IFERROR(INDEX('Catalog'!$A:$A,MATCH($A8,'Catalog'!$B:$B,0)),IFERROR(INDEX('Catalog'!$A:$A,MATCH(TRIM(SUBSTITUTE($A8,CHAR(160)," ")),'Catalog'!$C:$C,0)),""))</f>
        <v>4408272</v>
      </c>
      <c r="F8" s="12" t="str">
        <f aca="false">IF($E8="","Unmatched","Matched")</f>
        <v>Matched</v>
      </c>
    </row>
  </sheetData>
  <mergeCells count="1">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2026-09-24T10:55:11Z</dcterms:created>
  <dc:creator>openpyxl</dc:creator>
  <dc:description/>
  <dc:language>en-US</dc:language>
  <cp:lastModifiedBy/>
  <dcterms:modified xsi:type="dcterms:W3CDTF">2026-09-24T13:02:06Z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