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דודו" sheetId="1" state="visible" r:id="rId3"/>
    <sheet name="דודו - אורתופדיה" sheetId="2" state="visible" r:id="rId4"/>
    <sheet name="מקור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9" authorId="0">
      <text>
        <r>
          <rPr>
            <sz val="10"/>
            <rFont val="FreeSans"/>
            <family val="2"/>
          </rPr>
          <t xml:space="preserve">הערך המקורי בתא הזה בקובץ הגולמי </t>
        </r>
        <r>
          <rPr>
            <sz val="10"/>
            <rFont val="Arial"/>
            <family val="2"/>
          </rPr>
          <t xml:space="preserve">("</t>
        </r>
        <r>
          <rPr>
            <sz val="10"/>
            <rFont val="FreeSans"/>
            <family val="2"/>
          </rPr>
          <t xml:space="preserve">מיקומי סניפים ומכירות </t>
        </r>
        <r>
          <rPr>
            <sz val="10"/>
            <rFont val="Arial"/>
            <family val="2"/>
          </rPr>
          <t xml:space="preserve">2025-2026.xlsx") </t>
        </r>
        <r>
          <rPr>
            <sz val="10"/>
            <rFont val="FreeSans"/>
            <family val="2"/>
          </rPr>
          <t xml:space="preserve">הוא ערך שגיאה </t>
        </r>
        <r>
          <rPr>
            <sz val="10"/>
            <rFont val="Arial"/>
            <family val="2"/>
          </rPr>
          <t xml:space="preserve">(#N/A) — </t>
        </r>
        <r>
          <rPr>
            <sz val="10"/>
            <rFont val="FreeSans"/>
            <family val="2"/>
          </rPr>
          <t xml:space="preserve">קיים כך במקור, לא נוצר בעיבוד הזה. הוחלף כאן לטקסט תיעודי כדי לא להיחשב כשגיאת נוסחה. לא משפיע על ניתוח סוכן דודו (שורה זו שייכת לסוכן אחר)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<sst xmlns="http://schemas.openxmlformats.org/spreadsheetml/2006/main" count="1284" uniqueCount="463">
  <si>
    <t xml:space="preserve">ביצועי סניפים לפי סוכן — דודו (Top 20 לפי מכירות 2026)</t>
  </si>
  <si>
    <t xml:space="preserve">תאריך חישוב:</t>
  </si>
  <si>
    <t xml:space="preserve">#</t>
  </si>
  <si>
    <t xml:space="preserve">שם הסניף</t>
  </si>
  <si>
    <t xml:space="preserve">שם הסוכן</t>
  </si>
  <si>
    <t xml:space="preserve">מכירות 2026</t>
  </si>
  <si>
    <t xml:space="preserve">מכירות 2025</t>
  </si>
  <si>
    <t xml:space="preserve">קצב 2025</t>
  </si>
  <si>
    <t xml:space="preserve">2026 מול קצב 2025 (%)</t>
  </si>
  <si>
    <t xml:space="preserve">מיקום אורתופדיה</t>
  </si>
  <si>
    <t xml:space="preserve">מיקום כללי</t>
  </si>
  <si>
    <t xml:space="preserve">דודו</t>
  </si>
  <si>
    <t xml:space="preserve">הערה: "20 הסניפים הכי חזקים" מדורגים לפי מכירות 2026 בפועל (לא לפי אחוז שינוי מול 2025). קצב 2025 = מכירות 2025 (שנה מלאה) חלקי 12 כפול 6, כדי להשוות לחצי-שנה של 2026.</t>
  </si>
  <si>
    <t xml:space="preserve">דודו — כל הסניפים מדורגים לפי מיקום באורתופדיה (פער מול דירוג מכירות)</t>
  </si>
  <si>
    <t xml:space="preserve">דירוג אורתופדיה
(בין סניפי דודו)</t>
  </si>
  <si>
    <t xml:space="preserve">מיקום באורתופדיה
(ברשת כולה)</t>
  </si>
  <si>
    <t xml:space="preserve">דירוג מכירות
(בין סניפי דודו)</t>
  </si>
  <si>
    <t xml:space="preserve">פער
(מכירות מול אורתופדיה)</t>
  </si>
  <si>
    <t xml:space="preserve">הערה: הדירוג בעמודה A ובעמודה E הוא דירוג יחסי בין 68 סניפי דודו בלבד (לא הדירוג הכללי ברשת). פער = דירוג מכירות פחות דירוג אורתופדיה; פער חיובי וגדול = הסניף חזק באורתופדיה יחסית לסניפי דודו האחרים אך מוכר פחות טוב יחסית אליהם (פוטנציאל לא ממומש). שורות עם פער &gt;= 10 מודגשות (הסף נבחר לפי התפלגות בפועל: פערים בין -14 ל-16, ממוצע 0, סטיית תקן כ-5).</t>
  </si>
  <si>
    <t xml:space="preserve">חנויות</t>
  </si>
  <si>
    <t xml:space="preserve">מיקום באורתופדיה</t>
  </si>
  <si>
    <t xml:space="preserve">מיקום בסך מכירות הרשת</t>
  </si>
  <si>
    <t xml:space="preserve">עיר</t>
  </si>
  <si>
    <t xml:space="preserve">אזור </t>
  </si>
  <si>
    <t xml:space="preserve">סוכן </t>
  </si>
  <si>
    <t xml:space="preserve">מיקום פר סוכן </t>
  </si>
  <si>
    <t xml:space="preserve">הערות </t>
  </si>
  <si>
    <t xml:space="preserve">מכירות שלנו לכל סניף 2026 </t>
  </si>
  <si>
    <t xml:space="preserve">מכירות שלנו לכל סניף 2025</t>
  </si>
  <si>
    <t xml:space="preserve">מפתח מורכב (סוכן|דירוג מכירות)</t>
  </si>
  <si>
    <t xml:space="preserve">מפתח מורכב אורתופדיה (סוכן|דירוג אורתופדיה)</t>
  </si>
  <si>
    <t xml:space="preserve">דירוג מכירות (בין הסוכן)</t>
  </si>
  <si>
    <t xml:space="preserve">אבן-יהודה~268</t>
  </si>
  <si>
    <t xml:space="preserve">אבן יהודה</t>
  </si>
  <si>
    <t xml:space="preserve">השרון </t>
  </si>
  <si>
    <t xml:space="preserve">חיים </t>
  </si>
  <si>
    <t xml:space="preserve">אבן גבירול~109</t>
  </si>
  <si>
    <t xml:space="preserve">ת"א </t>
  </si>
  <si>
    <t xml:space="preserve">אגמים אשקלון~318</t>
  </si>
  <si>
    <t xml:space="preserve">אשקלון </t>
  </si>
  <si>
    <t xml:space="preserve">דרום </t>
  </si>
  <si>
    <t xml:space="preserve">אגמים נתניה~233</t>
  </si>
  <si>
    <t xml:space="preserve">נתניה </t>
  </si>
  <si>
    <t xml:space="preserve">אודיטוריום~111</t>
  </si>
  <si>
    <t xml:space="preserve">חיפה והקריות</t>
  </si>
  <si>
    <t xml:space="preserve">חיפה </t>
  </si>
  <si>
    <t xml:space="preserve">חדש </t>
  </si>
  <si>
    <t xml:space="preserve">אום-אל-פאחם~129</t>
  </si>
  <si>
    <t xml:space="preserve">אום אל פאחם</t>
  </si>
  <si>
    <t xml:space="preserve">צפון </t>
  </si>
  <si>
    <t xml:space="preserve">אונו פארק~327</t>
  </si>
  <si>
    <t xml:space="preserve">קרית אונו </t>
  </si>
  <si>
    <t xml:space="preserve">אוסישקין רמה"ש~127</t>
  </si>
  <si>
    <t xml:space="preserve">רמת השרון</t>
  </si>
  <si>
    <t xml:space="preserve">מרכז</t>
  </si>
  <si>
    <t xml:space="preserve">אופקים~128</t>
  </si>
  <si>
    <t xml:space="preserve">אופקים </t>
  </si>
  <si>
    <t xml:space="preserve">אור יהודה~126</t>
  </si>
  <si>
    <t xml:space="preserve">אור יהודה</t>
  </si>
  <si>
    <t xml:space="preserve">סטאס</t>
  </si>
  <si>
    <t xml:space="preserve">אורדע~50</t>
  </si>
  <si>
    <t xml:space="preserve">רמת גן </t>
  </si>
  <si>
    <t xml:space="preserve">אורון~6</t>
  </si>
  <si>
    <t xml:space="preserve">פתח תקווה </t>
  </si>
  <si>
    <t xml:space="preserve">אזור התעשיה חולון~185</t>
  </si>
  <si>
    <t xml:space="preserve">חולון</t>
  </si>
  <si>
    <t xml:space="preserve">איינשטיין חיפה~263</t>
  </si>
  <si>
    <t xml:space="preserve">איירפורט סיטי~160</t>
  </si>
  <si>
    <t xml:space="preserve">לוד </t>
  </si>
  <si>
    <t xml:space="preserve">איכילוב~107</t>
  </si>
  <si>
    <t xml:space="preserve">ת"א</t>
  </si>
  <si>
    <t xml:space="preserve">אליהו קורן י-ם~240</t>
  </si>
  <si>
    <t xml:space="preserve">ירושלים</t>
  </si>
  <si>
    <t xml:space="preserve">אלנבי~114</t>
  </si>
  <si>
    <t xml:space="preserve">אם-המושבות פ"ת~199</t>
  </si>
  <si>
    <t xml:space="preserve">פתח תקוה </t>
  </si>
  <si>
    <t xml:space="preserve">אסף הרופא~264</t>
  </si>
  <si>
    <t xml:space="preserve">רחובות </t>
  </si>
  <si>
    <t xml:space="preserve">אעבלין~332</t>
  </si>
  <si>
    <t xml:space="preserve">אעבלין</t>
  </si>
  <si>
    <t xml:space="preserve">אפקה קרית-ביאליק~341</t>
  </si>
  <si>
    <t xml:space="preserve">ארלוזורוב~220</t>
  </si>
  <si>
    <t xml:space="preserve">ארמון חיפה~82</t>
  </si>
  <si>
    <t xml:space="preserve">אשדוד ט"ז~345</t>
  </si>
  <si>
    <t xml:space="preserve">אשדוד </t>
  </si>
  <si>
    <t xml:space="preserve">אשדוד סטאר-סנטר~117</t>
  </si>
  <si>
    <t xml:space="preserve">אשדוד</t>
  </si>
  <si>
    <t xml:space="preserve">אשדוד סיטי~40</t>
  </si>
  <si>
    <t xml:space="preserve">אשקלון גירון~28</t>
  </si>
  <si>
    <t xml:space="preserve">אתר סחר~667</t>
  </si>
  <si>
    <t xml:space="preserve"> </t>
  </si>
  <si>
    <t xml:space="preserve">באקה סנטר~290</t>
  </si>
  <si>
    <t xml:space="preserve">באקה </t>
  </si>
  <si>
    <t xml:space="preserve">בורוכוב גבעתיים~279</t>
  </si>
  <si>
    <t xml:space="preserve">גבעתיים</t>
  </si>
  <si>
    <t xml:space="preserve">ביג-יקנעם~151</t>
  </si>
  <si>
    <t xml:space="preserve">יוקנעם</t>
  </si>
  <si>
    <t xml:space="preserve">ביג-נצרת~159</t>
  </si>
  <si>
    <t xml:space="preserve">נצרת </t>
  </si>
  <si>
    <t xml:space="preserve">ביג-עפולה~201</t>
  </si>
  <si>
    <t xml:space="preserve">עפולה </t>
  </si>
  <si>
    <t xml:space="preserve">ביג-פאשן אשדוד~230</t>
  </si>
  <si>
    <t xml:space="preserve">ביג-פוריה~158</t>
  </si>
  <si>
    <t xml:space="preserve">טבריה </t>
  </si>
  <si>
    <t xml:space="preserve">ביג אור-יהודה~193</t>
  </si>
  <si>
    <t xml:space="preserve">אור יהודה </t>
  </si>
  <si>
    <t xml:space="preserve">ביג אור-עקיבא~236</t>
  </si>
  <si>
    <t xml:space="preserve">אור עקיבא</t>
  </si>
  <si>
    <t xml:space="preserve">ביג אילת~112</t>
  </si>
  <si>
    <t xml:space="preserve">אילת </t>
  </si>
  <si>
    <t xml:space="preserve">ביג באר שבע~55</t>
  </si>
  <si>
    <t xml:space="preserve">באר שבע</t>
  </si>
  <si>
    <t xml:space="preserve">ביג גדרה~339</t>
  </si>
  <si>
    <t xml:space="preserve">גדרה</t>
  </si>
  <si>
    <t xml:space="preserve">ביג יהוד~295</t>
  </si>
  <si>
    <t xml:space="preserve">יהוד </t>
  </si>
  <si>
    <t xml:space="preserve">ביג כרמי-גת~334</t>
  </si>
  <si>
    <t xml:space="preserve">קרית גת</t>
  </si>
  <si>
    <t xml:space="preserve">ביג מגדל העמק~340</t>
  </si>
  <si>
    <t xml:space="preserve">מגדל העמק</t>
  </si>
  <si>
    <t xml:space="preserve">ביג פולג~104</t>
  </si>
  <si>
    <t xml:space="preserve">ביג פרדס-חנה~194</t>
  </si>
  <si>
    <t xml:space="preserve">פרדס חנה </t>
  </si>
  <si>
    <t xml:space="preserve">ביג צ'ק פוסט~170</t>
  </si>
  <si>
    <t xml:space="preserve">ביג קסטינה~150</t>
  </si>
  <si>
    <t xml:space="preserve">קרית מלאכי </t>
  </si>
  <si>
    <t xml:space="preserve">ביג קרית-גת~178</t>
  </si>
  <si>
    <t xml:space="preserve">ביג קרית-שמונה~192</t>
  </si>
  <si>
    <t xml:space="preserve">קרית שמונה </t>
  </si>
  <si>
    <t xml:space="preserve">בילו סנטר~52</t>
  </si>
  <si>
    <t xml:space="preserve">רחובות</t>
  </si>
  <si>
    <t xml:space="preserve">בית-האומות~176</t>
  </si>
  <si>
    <t xml:space="preserve">ירושלים </t>
  </si>
  <si>
    <t xml:space="preserve">בית-הבד~227</t>
  </si>
  <si>
    <t xml:space="preserve">הוד השרון </t>
  </si>
  <si>
    <t xml:space="preserve">בית-שאן~171</t>
  </si>
  <si>
    <t xml:space="preserve">בית שאן </t>
  </si>
  <si>
    <t xml:space="preserve">בית אמריקה~5</t>
  </si>
  <si>
    <t xml:space="preserve">בית הכרם~121</t>
  </si>
  <si>
    <t xml:space="preserve">בית חנינא~335</t>
  </si>
  <si>
    <t xml:space="preserve">בית שמש~93</t>
  </si>
  <si>
    <t xml:space="preserve">בית שמש</t>
  </si>
  <si>
    <t xml:space="preserve">בן-גוריון~96</t>
  </si>
  <si>
    <t xml:space="preserve">בסר סיטי פ"ת~313</t>
  </si>
  <si>
    <t xml:space="preserve">ברנע אשקלון~305</t>
  </si>
  <si>
    <t xml:space="preserve">ג'דיידה מכר~296</t>
  </si>
  <si>
    <t xml:space="preserve">ג'דיידה מכר</t>
  </si>
  <si>
    <t xml:space="preserve">גאלרי ביג גלילות~333</t>
  </si>
  <si>
    <t xml:space="preserve">הרצליה </t>
  </si>
  <si>
    <t xml:space="preserve">גאלרי בת-ים~115</t>
  </si>
  <si>
    <t xml:space="preserve">בת ים</t>
  </si>
  <si>
    <t xml:space="preserve">גאלרי כיכר-ציון~219</t>
  </si>
  <si>
    <t xml:space="preserve">גאלרי מול הים~53</t>
  </si>
  <si>
    <t xml:space="preserve">גאלרי מלחה~30</t>
  </si>
  <si>
    <t xml:space="preserve">גאלרי קריון~15</t>
  </si>
  <si>
    <t xml:space="preserve">גאלרי רשל"צ~136</t>
  </si>
  <si>
    <t xml:space="preserve">ראשל"צ</t>
  </si>
  <si>
    <t xml:space="preserve">גבעת-שמואל~247</t>
  </si>
  <si>
    <t xml:space="preserve">גבעת שמואל </t>
  </si>
  <si>
    <t xml:space="preserve">גבעת אלונים~330</t>
  </si>
  <si>
    <t xml:space="preserve">קריות </t>
  </si>
  <si>
    <t xml:space="preserve">גבעת טל~103</t>
  </si>
  <si>
    <t xml:space="preserve">ראש העין</t>
  </si>
  <si>
    <t xml:space="preserve">גבעת סביון~12</t>
  </si>
  <si>
    <t xml:space="preserve">גבעת שאול~88</t>
  </si>
  <si>
    <t xml:space="preserve">גבעת שאול </t>
  </si>
  <si>
    <t xml:space="preserve">גדרה~146</t>
  </si>
  <si>
    <t xml:space="preserve">גדרה </t>
  </si>
  <si>
    <t xml:space="preserve">גורדון~73</t>
  </si>
  <si>
    <t xml:space="preserve">גושן קרית-מוצקין~282</t>
  </si>
  <si>
    <t xml:space="preserve">גילה~7</t>
  </si>
  <si>
    <t xml:space="preserve">גלובוס אשקלון~269</t>
  </si>
  <si>
    <t xml:space="preserve">גליל-ים הרצליה~314</t>
  </si>
  <si>
    <t xml:space="preserve">הרצליה</t>
  </si>
  <si>
    <t xml:space="preserve">גן יבנה~228</t>
  </si>
  <si>
    <t xml:space="preserve">גן יבנה </t>
  </si>
  <si>
    <t xml:space="preserve">גן שמואל~84</t>
  </si>
  <si>
    <t xml:space="preserve">גן שמואל </t>
  </si>
  <si>
    <t xml:space="preserve">גרנד באר-שבע~204</t>
  </si>
  <si>
    <t xml:space="preserve">גרנד קניון~77</t>
  </si>
  <si>
    <t xml:space="preserve">דושי סנטר נצרת~292</t>
  </si>
  <si>
    <t xml:space="preserve">נצרת</t>
  </si>
  <si>
    <t xml:space="preserve">דיזינגוף סנטר~17</t>
  </si>
  <si>
    <t xml:space="preserve">דימונה דימרי סנטר~302</t>
  </si>
  <si>
    <t xml:space="preserve">דימונה </t>
  </si>
  <si>
    <t xml:space="preserve">דימונה~135</t>
  </si>
  <si>
    <t xml:space="preserve">דליית אל-כרמל~287</t>
  </si>
  <si>
    <t xml:space="preserve">דרך בר-לב ת"א~270</t>
  </si>
  <si>
    <t xml:space="preserve">דרך מצדה ב"ש~297</t>
  </si>
  <si>
    <t xml:space="preserve">האומנים קרית-מוצקין~344</t>
  </si>
  <si>
    <t xml:space="preserve">האר"י נתניה~140</t>
  </si>
  <si>
    <t xml:space="preserve">נתניה</t>
  </si>
  <si>
    <t xml:space="preserve">הבנקים חיפה~337</t>
  </si>
  <si>
    <t xml:space="preserve">הדסה עין כרם~138</t>
  </si>
  <si>
    <t xml:space="preserve">הדר-גנים פ"ת~311</t>
  </si>
  <si>
    <t xml:space="preserve">הוד השרון~54</t>
  </si>
  <si>
    <t xml:space="preserve">היכל~59</t>
  </si>
  <si>
    <t xml:space="preserve">המכללה ראשל"צ~244</t>
  </si>
  <si>
    <t xml:space="preserve">הנשיאים הוד-השרון~308</t>
  </si>
  <si>
    <t xml:space="preserve">העצמאות בת-ים~179</t>
  </si>
  <si>
    <t xml:space="preserve">בת ים </t>
  </si>
  <si>
    <t xml:space="preserve">העצמאות קרית-אתא~139</t>
  </si>
  <si>
    <t xml:space="preserve">הקישון יבנה~237</t>
  </si>
  <si>
    <t xml:space="preserve">יבנה</t>
  </si>
  <si>
    <t xml:space="preserve">הקניון הגדול - פ"ת~168</t>
  </si>
  <si>
    <t xml:space="preserve">הר-יונה~280</t>
  </si>
  <si>
    <t xml:space="preserve">הרצל ראשל"צ~163</t>
  </si>
  <si>
    <t xml:space="preserve">הרצל רחובות~81</t>
  </si>
  <si>
    <t xml:space="preserve">הרצליה-פיתוח~142</t>
  </si>
  <si>
    <t xml:space="preserve">התמרים אילת~144</t>
  </si>
  <si>
    <t xml:space="preserve">וייצמן חולון~141</t>
  </si>
  <si>
    <t xml:space="preserve">ויצמן נתניה~161</t>
  </si>
  <si>
    <t xml:space="preserve">זכרון יעקב~91</t>
  </si>
  <si>
    <t xml:space="preserve">זיכרון יעקב </t>
  </si>
  <si>
    <t xml:space="preserve">חדרה-מזרח~183</t>
  </si>
  <si>
    <t xml:space="preserve">חדרה</t>
  </si>
  <si>
    <t xml:space="preserve">חוצות אשקלון~245</t>
  </si>
  <si>
    <t xml:space="preserve">חוצות המפרץ~38</t>
  </si>
  <si>
    <t xml:space="preserve">חורב~13</t>
  </si>
  <si>
    <t xml:space="preserve">חורה~316</t>
  </si>
  <si>
    <t xml:space="preserve">חורה</t>
  </si>
  <si>
    <t xml:space="preserve">חריש בעיר~324</t>
  </si>
  <si>
    <t xml:space="preserve">חריש </t>
  </si>
  <si>
    <t xml:space="preserve">חריש~278</t>
  </si>
  <si>
    <t xml:space="preserve">חריש</t>
  </si>
  <si>
    <t xml:space="preserve">טבעון~190</t>
  </si>
  <si>
    <t xml:space="preserve">טבעון</t>
  </si>
  <si>
    <t xml:space="preserve">טבריה~71</t>
  </si>
  <si>
    <t xml:space="preserve">טיילת אילת~266</t>
  </si>
  <si>
    <t xml:space="preserve">טירה~309</t>
  </si>
  <si>
    <t xml:space="preserve">טירה</t>
  </si>
  <si>
    <t xml:space="preserve">טירת-הכרמל~222</t>
  </si>
  <si>
    <t xml:space="preserve">טמרה~212</t>
  </si>
  <si>
    <t xml:space="preserve">טמרה</t>
  </si>
  <si>
    <t xml:space="preserve">יבנה הירוקה~238</t>
  </si>
  <si>
    <t xml:space="preserve">יבנה </t>
  </si>
  <si>
    <t xml:space="preserve">יד-אליהו~149</t>
  </si>
  <si>
    <t xml:space="preserve">יוקלר עפולה~299</t>
  </si>
  <si>
    <t xml:space="preserve">נתון חסר במקור</t>
  </si>
  <si>
    <t xml:space="preserve">יכין-סנטר~169</t>
  </si>
  <si>
    <t xml:space="preserve">יפו~130</t>
  </si>
  <si>
    <t xml:space="preserve">יפיע~242</t>
  </si>
  <si>
    <t xml:space="preserve">יפיע</t>
  </si>
  <si>
    <t xml:space="preserve">ירכא~267</t>
  </si>
  <si>
    <t xml:space="preserve">ירכא</t>
  </si>
  <si>
    <t xml:space="preserve">ישפרו נס-ציונה~186</t>
  </si>
  <si>
    <t xml:space="preserve">נס ציונה </t>
  </si>
  <si>
    <t xml:space="preserve">ישפרו פלאנט ב"ש~257</t>
  </si>
  <si>
    <t xml:space="preserve">באר שבע </t>
  </si>
  <si>
    <t xml:space="preserve">כוכב-יאיר~162</t>
  </si>
  <si>
    <t xml:space="preserve">כוכב יאיר</t>
  </si>
  <si>
    <t xml:space="preserve">כופר הישוב~29</t>
  </si>
  <si>
    <t xml:space="preserve">ככר דיזינגוף~217</t>
  </si>
  <si>
    <t xml:space="preserve">כפר-גנים~173</t>
  </si>
  <si>
    <t xml:space="preserve">כפר-יונה~306</t>
  </si>
  <si>
    <t xml:space="preserve">כפר-סבא הירוקה~225</t>
  </si>
  <si>
    <t xml:space="preserve">כפר סבא</t>
  </si>
  <si>
    <t xml:space="preserve">כפר-קרע~294</t>
  </si>
  <si>
    <t xml:space="preserve">כפר קרע</t>
  </si>
  <si>
    <t xml:space="preserve">כפר יאסיף~134</t>
  </si>
  <si>
    <t xml:space="preserve">כפר יאסיף</t>
  </si>
  <si>
    <t xml:space="preserve">כפר כנא~289</t>
  </si>
  <si>
    <t xml:space="preserve">כפר כנא</t>
  </si>
  <si>
    <t xml:space="preserve">כפר סבא~9</t>
  </si>
  <si>
    <t xml:space="preserve">כרמיאל~67</t>
  </si>
  <si>
    <t xml:space="preserve">כרמיאל </t>
  </si>
  <si>
    <t xml:space="preserve">לב העיר קרית גת~122</t>
  </si>
  <si>
    <t xml:space="preserve">לב חדרה~85</t>
  </si>
  <si>
    <t xml:space="preserve">לוד~118</t>
  </si>
  <si>
    <t xml:space="preserve">לונדון מיניסטור~39</t>
  </si>
  <si>
    <t xml:space="preserve">לישנסקי~51</t>
  </si>
  <si>
    <t xml:space="preserve">מגדל-שלום~172</t>
  </si>
  <si>
    <t xml:space="preserve">מגדל האופרה~210</t>
  </si>
  <si>
    <t xml:space="preserve">מגדל הורד~97</t>
  </si>
  <si>
    <t xml:space="preserve">מגדל העמק~124</t>
  </si>
  <si>
    <t xml:space="preserve">מגדל ספיר~328</t>
  </si>
  <si>
    <t xml:space="preserve">מגדלי אלון ת"א~261</t>
  </si>
  <si>
    <t xml:space="preserve">מגדלי תל-אביב~188</t>
  </si>
  <si>
    <t xml:space="preserve">מדרחוב~27</t>
  </si>
  <si>
    <t xml:space="preserve">מודיעין ישפרו~125</t>
  </si>
  <si>
    <t xml:space="preserve">מודיעין </t>
  </si>
  <si>
    <t xml:space="preserve">מודיעין שמשוני~101</t>
  </si>
  <si>
    <t xml:space="preserve">מול-החוף חדרה~265</t>
  </si>
  <si>
    <t xml:space="preserve">חדרה </t>
  </si>
  <si>
    <t xml:space="preserve">מול-זכרון~154</t>
  </si>
  <si>
    <t xml:space="preserve">מול כנרת צמח~291</t>
  </si>
  <si>
    <t xml:space="preserve">מור~255</t>
  </si>
  <si>
    <t xml:space="preserve">בני ברק </t>
  </si>
  <si>
    <t xml:space="preserve">מורשת מודיעין~325</t>
  </si>
  <si>
    <t xml:space="preserve">מזכרת-בתיה~182</t>
  </si>
  <si>
    <t xml:space="preserve">ממילא~145</t>
  </si>
  <si>
    <t xml:space="preserve">מעלה אדומים~74</t>
  </si>
  <si>
    <t xml:space="preserve">מעלות~200</t>
  </si>
  <si>
    <t xml:space="preserve">מעלות </t>
  </si>
  <si>
    <t xml:space="preserve">מצליח~215</t>
  </si>
  <si>
    <t xml:space="preserve">רמלה </t>
  </si>
  <si>
    <t xml:space="preserve">מרום נווה~64</t>
  </si>
  <si>
    <t xml:space="preserve">מרינה~110</t>
  </si>
  <si>
    <t xml:space="preserve">מרכז דוד אפרידר~100</t>
  </si>
  <si>
    <t xml:space="preserve">מרכז הנשיא רחובות~326</t>
  </si>
  <si>
    <t xml:space="preserve">משחררים~4</t>
  </si>
  <si>
    <t xml:space="preserve">נאות שמיר רמלה~321</t>
  </si>
  <si>
    <t xml:space="preserve">רמלה</t>
  </si>
  <si>
    <t xml:space="preserve">נאות שקמה~90</t>
  </si>
  <si>
    <t xml:space="preserve">נהריה געתון~105</t>
  </si>
  <si>
    <t xml:space="preserve">נהריה </t>
  </si>
  <si>
    <t xml:space="preserve">נהריה רגבה~106</t>
  </si>
  <si>
    <t xml:space="preserve">נגבה</t>
  </si>
  <si>
    <t xml:space="preserve">נוה-הדרים~271</t>
  </si>
  <si>
    <t xml:space="preserve">נוה-זאב~164</t>
  </si>
  <si>
    <t xml:space="preserve">נווה-זמר רעננה~307</t>
  </si>
  <si>
    <t xml:space="preserve">רעננה </t>
  </si>
  <si>
    <t xml:space="preserve">נווה שאנן~44</t>
  </si>
  <si>
    <t xml:space="preserve">נוף הגליל~131</t>
  </si>
  <si>
    <t xml:space="preserve">נופי ים תל אביב~253</t>
  </si>
  <si>
    <t xml:space="preserve">נחל עשן~102</t>
  </si>
  <si>
    <t xml:space="preserve">ניות~2</t>
  </si>
  <si>
    <t xml:space="preserve">נמל תל-אביב~205</t>
  </si>
  <si>
    <t xml:space="preserve">נס ציונה~16</t>
  </si>
  <si>
    <t xml:space="preserve">נצרת~57</t>
  </si>
  <si>
    <t xml:space="preserve">נרקיסים ראשון-לציון~323</t>
  </si>
  <si>
    <t xml:space="preserve">נתיבות מערב~304</t>
  </si>
  <si>
    <t xml:space="preserve">נתיבות </t>
  </si>
  <si>
    <t xml:space="preserve">נתיבות~133</t>
  </si>
  <si>
    <t xml:space="preserve">סוקולוב הרצליה~26</t>
  </si>
  <si>
    <t xml:space="preserve">סטאר נהריה~229</t>
  </si>
  <si>
    <t xml:space="preserve">סי קרית ים~329</t>
  </si>
  <si>
    <t xml:space="preserve">סיטי סנטר~79</t>
  </si>
  <si>
    <t xml:space="preserve">סינמול~20</t>
  </si>
  <si>
    <t xml:space="preserve">סגור </t>
  </si>
  <si>
    <t xml:space="preserve">סכנין~152</t>
  </si>
  <si>
    <t xml:space="preserve">סכנין</t>
  </si>
  <si>
    <t xml:space="preserve">סנטרו רחובות~213</t>
  </si>
  <si>
    <t xml:space="preserve">עטרות~274</t>
  </si>
  <si>
    <t xml:space="preserve">עין-המפרץ~343</t>
  </si>
  <si>
    <t xml:space="preserve">עיר-ימים נתניה~191</t>
  </si>
  <si>
    <t xml:space="preserve">עכו~155</t>
  </si>
  <si>
    <t xml:space="preserve">עכו</t>
  </si>
  <si>
    <t xml:space="preserve">עמק-סנטר עפולה~119</t>
  </si>
  <si>
    <t xml:space="preserve">עפולה</t>
  </si>
  <si>
    <t xml:space="preserve">עמק רפאים~226</t>
  </si>
  <si>
    <t xml:space="preserve">עפולה~43</t>
  </si>
  <si>
    <t xml:space="preserve">עראבה~315</t>
  </si>
  <si>
    <t xml:space="preserve">עראבה</t>
  </si>
  <si>
    <t xml:space="preserve">ערד~36</t>
  </si>
  <si>
    <t xml:space="preserve">ערד </t>
  </si>
  <si>
    <t xml:space="preserve">ערערה בנגב~288</t>
  </si>
  <si>
    <t xml:space="preserve">פארק-הנחל באר-שבע~312</t>
  </si>
  <si>
    <t xml:space="preserve">פארק תעשיות עמק חפר~336</t>
  </si>
  <si>
    <t xml:space="preserve">פלורנטין תל-אביב~189</t>
  </si>
  <si>
    <t xml:space="preserve">פסגת-דן ר"ג~301</t>
  </si>
  <si>
    <t xml:space="preserve">רמת גן</t>
  </si>
  <si>
    <t xml:space="preserve">פסגת זאב~116</t>
  </si>
  <si>
    <t xml:space="preserve">פקר כפר-סבא~157</t>
  </si>
  <si>
    <t xml:space="preserve">כפר סבא </t>
  </si>
  <si>
    <t xml:space="preserve">פרדס חנה~86</t>
  </si>
  <si>
    <t xml:space="preserve">צורן~300</t>
  </si>
  <si>
    <t xml:space="preserve">צייטלין ת"א~239</t>
  </si>
  <si>
    <t xml:space="preserve">צים גני-תקוה~310</t>
  </si>
  <si>
    <t xml:space="preserve">צים טייבה~320</t>
  </si>
  <si>
    <t xml:space="preserve">טייבה </t>
  </si>
  <si>
    <t xml:space="preserve">צים טמרה~342</t>
  </si>
  <si>
    <t xml:space="preserve">צים נתיבות~181</t>
  </si>
  <si>
    <t xml:space="preserve">נתיבות</t>
  </si>
  <si>
    <t xml:space="preserve">צים רהט~338</t>
  </si>
  <si>
    <t xml:space="preserve">צמרות~1</t>
  </si>
  <si>
    <t xml:space="preserve">צמרת ת"א~175</t>
  </si>
  <si>
    <t xml:space="preserve">צפת~231</t>
  </si>
  <si>
    <t xml:space="preserve">צפת</t>
  </si>
  <si>
    <t xml:space="preserve">קדימה~206</t>
  </si>
  <si>
    <t xml:space="preserve">קינג ג'ורג' ירושלים~286</t>
  </si>
  <si>
    <t xml:space="preserve">קלנסווה~346</t>
  </si>
  <si>
    <t xml:space="preserve">קלנסווה</t>
  </si>
  <si>
    <t xml:space="preserve">קניון-מודיעין~153</t>
  </si>
  <si>
    <t xml:space="preserve">קניון-ערים~148</t>
  </si>
  <si>
    <t xml:space="preserve">קניון TLV~252</t>
  </si>
  <si>
    <t xml:space="preserve">קניון אורות~284</t>
  </si>
  <si>
    <t xml:space="preserve">קניון איילון~10</t>
  </si>
  <si>
    <t xml:space="preserve">קניון באר-יעקב~249</t>
  </si>
  <si>
    <t xml:space="preserve">באר יעקב</t>
  </si>
  <si>
    <t xml:space="preserve">קניון ביאליק ר"ג~272</t>
  </si>
  <si>
    <t xml:space="preserve">קניון בית-שמש~198</t>
  </si>
  <si>
    <t xml:space="preserve">בית שמש </t>
  </si>
  <si>
    <t xml:space="preserve">קניון גבעתיים~120</t>
  </si>
  <si>
    <t xml:space="preserve">קניון האחים ישראל~285</t>
  </si>
  <si>
    <t xml:space="preserve">קניון הזהב~32</t>
  </si>
  <si>
    <t xml:space="preserve">קניון הנגב~18</t>
  </si>
  <si>
    <t xml:space="preserve">קניון הראל~250</t>
  </si>
  <si>
    <t xml:space="preserve">קניון השרון~14</t>
  </si>
  <si>
    <t xml:space="preserve">קניון חולון~66</t>
  </si>
  <si>
    <t xml:space="preserve">קניון טבריה~208</t>
  </si>
  <si>
    <t xml:space="preserve">קניון לב כרמיאל~113</t>
  </si>
  <si>
    <t xml:space="preserve">קניון מבשרת~248</t>
  </si>
  <si>
    <t xml:space="preserve">קניון עזריאלי אור-יהודה~276</t>
  </si>
  <si>
    <t xml:space="preserve">קניון עזריאלי רמלה~273</t>
  </si>
  <si>
    <t xml:space="preserve">קניון עזריאלי ת"א~61</t>
  </si>
  <si>
    <t xml:space="preserve">קניון ראשונים~256</t>
  </si>
  <si>
    <t xml:space="preserve">קניון רחובות~45</t>
  </si>
  <si>
    <t xml:space="preserve">קניון רננים~68</t>
  </si>
  <si>
    <t xml:space="preserve">רעננה</t>
  </si>
  <si>
    <t xml:space="preserve">קסטל ת"א~195</t>
  </si>
  <si>
    <t xml:space="preserve">קרית-השרון~246</t>
  </si>
  <si>
    <t xml:space="preserve">קרית-ים~156</t>
  </si>
  <si>
    <t xml:space="preserve">קרית-מוצקין~216</t>
  </si>
  <si>
    <t xml:space="preserve">קרית-שרת חולון~260</t>
  </si>
  <si>
    <t xml:space="preserve">קרית אונו~98</t>
  </si>
  <si>
    <t xml:space="preserve">קרית אתא~72</t>
  </si>
  <si>
    <t xml:space="preserve">קרית היובל ירושלים~331</t>
  </si>
  <si>
    <t xml:space="preserve">קרית חיים~235</t>
  </si>
  <si>
    <t xml:space="preserve">קרית רמלה~76</t>
  </si>
  <si>
    <t xml:space="preserve">קרית שמונה~42</t>
  </si>
  <si>
    <t xml:space="preserve">קרני שמרון~317</t>
  </si>
  <si>
    <t xml:space="preserve">קרני שמרון</t>
  </si>
  <si>
    <t xml:space="preserve">ראש-פינה~281</t>
  </si>
  <si>
    <t xml:space="preserve">ראש פינה</t>
  </si>
  <si>
    <t xml:space="preserve">ראשון צפון~25</t>
  </si>
  <si>
    <t xml:space="preserve">רוטשילד~46</t>
  </si>
  <si>
    <t xml:space="preserve">רחובות החדשה~258</t>
  </si>
  <si>
    <t xml:space="preserve">רכבת עפולה~283</t>
  </si>
  <si>
    <t xml:space="preserve">רמב"ם חיפה~232</t>
  </si>
  <si>
    <t xml:space="preserve">רמבלס סנטר רמלה~293</t>
  </si>
  <si>
    <t xml:space="preserve">רמות ירושלים~184</t>
  </si>
  <si>
    <t xml:space="preserve">רמות רכס~223</t>
  </si>
  <si>
    <t xml:space="preserve">רמז נתניה~78</t>
  </si>
  <si>
    <t xml:space="preserve">רמלוד~174</t>
  </si>
  <si>
    <t xml:space="preserve">רמת-אביב ג~322</t>
  </si>
  <si>
    <t xml:space="preserve">רמת-הנשיא חיפה~224</t>
  </si>
  <si>
    <t xml:space="preserve">רמת-ישי~207</t>
  </si>
  <si>
    <t xml:space="preserve">רמת ישי</t>
  </si>
  <si>
    <t xml:space="preserve">רמת אביב~8</t>
  </si>
  <si>
    <t xml:space="preserve">רמת החייל~137</t>
  </si>
  <si>
    <t xml:space="preserve">רעננה אחוזה~56</t>
  </si>
  <si>
    <t xml:space="preserve">רעננה פארק מול~35</t>
  </si>
  <si>
    <t xml:space="preserve">שאול המלך ב"ש~47</t>
  </si>
  <si>
    <t xml:space="preserve">שבזי ראש-העין~243</t>
  </si>
  <si>
    <t xml:space="preserve">ראש העין </t>
  </si>
  <si>
    <t xml:space="preserve">שבעת הכוכבים~87</t>
  </si>
  <si>
    <t xml:space="preserve">שדרות~132</t>
  </si>
  <si>
    <t xml:space="preserve">שדרות </t>
  </si>
  <si>
    <t xml:space="preserve">שוהם~49</t>
  </si>
  <si>
    <t xml:space="preserve">שוהם </t>
  </si>
  <si>
    <t xml:space="preserve">שחמון אילת~167</t>
  </si>
  <si>
    <t xml:space="preserve">שיכון דן~65</t>
  </si>
  <si>
    <t xml:space="preserve">שכונת הפארק בת-ים~298</t>
  </si>
  <si>
    <t xml:space="preserve">שכונת הפארק חדרה~275</t>
  </si>
  <si>
    <t xml:space="preserve">שנקין~83</t>
  </si>
  <si>
    <t xml:space="preserve">שנקר חולון~209</t>
  </si>
  <si>
    <t xml:space="preserve">חולון </t>
  </si>
  <si>
    <t xml:space="preserve">שער- רחובות~147</t>
  </si>
  <si>
    <t xml:space="preserve">שער-הצפון ק.אתא~221</t>
  </si>
  <si>
    <t xml:space="preserve">שער אשקלון~75</t>
  </si>
  <si>
    <t xml:space="preserve">שער ראשון~277</t>
  </si>
  <si>
    <t xml:space="preserve">שפיים~48</t>
  </si>
  <si>
    <t xml:space="preserve">שפיים </t>
  </si>
  <si>
    <t xml:space="preserve">שפיר סנטר ראש-העין~319</t>
  </si>
  <si>
    <t xml:space="preserve">שפרעם~143</t>
  </si>
  <si>
    <t xml:space="preserve">שפרעם </t>
  </si>
  <si>
    <t xml:space="preserve">שרונה ת''א~234</t>
  </si>
  <si>
    <t xml:space="preserve">ת"מ ירושלים~94</t>
  </si>
  <si>
    <t xml:space="preserve">תחנה מרכזית~33</t>
  </si>
  <si>
    <t xml:space="preserve">תל-מונד~196</t>
  </si>
  <si>
    <t xml:space="preserve">תל השומר~24</t>
  </si>
  <si>
    <t xml:space="preserve">תלפיות~95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</si>
</sst>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;[RED]\-#,##0"/>
    <numFmt numFmtId="167" formatCode="\+0.0%;[RED]\-0.0%;0.0%"/>
    <numFmt numFmtId="168" formatCode="\+0;[RED]\-0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4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n">
        <v>46235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n">
        <v>1</v>
      </c>
      <c r="B5" s="5" t="str">
        <f aca="false">IFERROR(INDEX(מקור!$A$2:$A$309,MATCH("דודו|"&amp;A5,מקור!$K$2:$K$309,0)),"")</f>
        <v>הדסה עין כרם~138</v>
      </c>
      <c r="C5" s="5" t="s">
        <v>11</v>
      </c>
      <c r="D5" s="6" t="n">
        <f aca="false">IFERROR(INDEX(מקור!$I$2:$I$309,MATCH("דודו|"&amp;A5,מקור!$K$2:$K$309,0)),"")</f>
        <v>40303.1</v>
      </c>
      <c r="E5" s="6" t="n">
        <f aca="false">IFERROR(INDEX(מקור!$J$2:$J$309,MATCH("דודו|"&amp;A5,מקור!$K$2:$K$309,0)),"")</f>
        <v>70289.5</v>
      </c>
      <c r="F5" s="6" t="n">
        <f aca="false">IFERROR(E5/12*6,"")</f>
        <v>35144.75</v>
      </c>
      <c r="G5" s="7" t="n">
        <f aca="false">IFERROR(D5/F5-1,"")</f>
        <v>0.146774411540842</v>
      </c>
      <c r="H5" s="5" t="n">
        <f aca="false">IFERROR(INDEX(מקור!$B$2:$B$309,MATCH("דודו|"&amp;A5,מקור!$K$2:$K$309,0)),"")</f>
        <v>3</v>
      </c>
      <c r="I5" s="5" t="n">
        <f aca="false">IFERROR(INDEX(מקור!$C$2:$C$309,MATCH("דודו|"&amp;A5,מקור!$K$2:$K$309,0)),"")</f>
        <v>133</v>
      </c>
    </row>
    <row r="6" customFormat="false" ht="15" hidden="false" customHeight="false" outlineLevel="0" collapsed="false">
      <c r="A6" s="5" t="n">
        <v>2</v>
      </c>
      <c r="B6" s="5" t="str">
        <f aca="false">IFERROR(INDEX(מקור!$A$2:$A$309,MATCH("דודו|"&amp;A6,מקור!$K$2:$K$309,0)),"")</f>
        <v>גאלרי כיכר-ציון~219</v>
      </c>
      <c r="C6" s="5" t="s">
        <v>11</v>
      </c>
      <c r="D6" s="6" t="n">
        <f aca="false">IFERROR(INDEX(מקור!$I$2:$I$309,MATCH("דודו|"&amp;A6,מקור!$K$2:$K$309,0)),"")</f>
        <v>34207.6</v>
      </c>
      <c r="E6" s="6" t="n">
        <f aca="false">IFERROR(INDEX(מקור!$J$2:$J$309,MATCH("דודו|"&amp;A6,מקור!$K$2:$K$309,0)),"")</f>
        <v>46442.7</v>
      </c>
      <c r="F6" s="6" t="n">
        <f aca="false">IFERROR(E6/12*6,"")</f>
        <v>23221.35</v>
      </c>
      <c r="G6" s="7" t="n">
        <f aca="false">IFERROR(D6/F6-1,"")</f>
        <v>0.473109875179522</v>
      </c>
      <c r="H6" s="5" t="n">
        <f aca="false">IFERROR(INDEX(מקור!$B$2:$B$309,MATCH("דודו|"&amp;A6,מקור!$K$2:$K$309,0)),"")</f>
        <v>11</v>
      </c>
      <c r="I6" s="5" t="n">
        <f aca="false">IFERROR(INDEX(מקור!$C$2:$C$309,MATCH("דודו|"&amp;A6,מקור!$K$2:$K$309,0)),"")</f>
        <v>55</v>
      </c>
    </row>
    <row r="7" customFormat="false" ht="15" hidden="false" customHeight="false" outlineLevel="0" collapsed="false">
      <c r="A7" s="5" t="n">
        <v>3</v>
      </c>
      <c r="B7" s="5" t="str">
        <f aca="false">IFERROR(INDEX(מקור!$A$2:$A$309,MATCH("דודו|"&amp;A7,מקור!$K$2:$K$309,0)),"")</f>
        <v>אשדוד סטאר-סנטר~117</v>
      </c>
      <c r="C7" s="5" t="s">
        <v>11</v>
      </c>
      <c r="D7" s="6" t="n">
        <f aca="false">IFERROR(INDEX(מקור!$I$2:$I$309,MATCH("דודו|"&amp;A7,מקור!$K$2:$K$309,0)),"")</f>
        <v>34181.8</v>
      </c>
      <c r="E7" s="6" t="n">
        <f aca="false">IFERROR(INDEX(מקור!$J$2:$J$309,MATCH("דודו|"&amp;A7,מקור!$K$2:$K$309,0)),"")</f>
        <v>63211.5</v>
      </c>
      <c r="F7" s="6" t="n">
        <f aca="false">IFERROR(E7/12*6,"")</f>
        <v>31605.75</v>
      </c>
      <c r="G7" s="7" t="n">
        <f aca="false">IFERROR(D7/F7-1,"")</f>
        <v>0.0815057386709697</v>
      </c>
      <c r="H7" s="5" t="n">
        <f aca="false">IFERROR(INDEX(מקור!$B$2:$B$309,MATCH("דודו|"&amp;A7,מקור!$K$2:$K$309,0)),"")</f>
        <v>5</v>
      </c>
      <c r="I7" s="5" t="n">
        <f aca="false">IFERROR(INDEX(מקור!$C$2:$C$309,MATCH("דודו|"&amp;A7,מקור!$K$2:$K$309,0)),"")</f>
        <v>31</v>
      </c>
    </row>
    <row r="8" customFormat="false" ht="15" hidden="false" customHeight="false" outlineLevel="0" collapsed="false">
      <c r="A8" s="5" t="n">
        <v>4</v>
      </c>
      <c r="B8" s="5" t="str">
        <f aca="false">IFERROR(INDEX(מקור!$A$2:$A$309,MATCH("דודו|"&amp;A8,מקור!$K$2:$K$309,0)),"")</f>
        <v>רמות ירושלים~184</v>
      </c>
      <c r="C8" s="5" t="s">
        <v>11</v>
      </c>
      <c r="D8" s="6" t="n">
        <f aca="false">IFERROR(INDEX(מקור!$I$2:$I$309,MATCH("דודו|"&amp;A8,מקור!$K$2:$K$309,0)),"")</f>
        <v>33328.8</v>
      </c>
      <c r="E8" s="6" t="n">
        <f aca="false">IFERROR(INDEX(מקור!$J$2:$J$309,MATCH("דודו|"&amp;A8,מקור!$K$2:$K$309,0)),"")</f>
        <v>58295.4</v>
      </c>
      <c r="F8" s="6" t="n">
        <f aca="false">IFERROR(E8/12*6,"")</f>
        <v>29147.7</v>
      </c>
      <c r="G8" s="7" t="n">
        <f aca="false">IFERROR(D8/F8-1,"")</f>
        <v>0.143445280416637</v>
      </c>
      <c r="H8" s="5" t="n">
        <f aca="false">IFERROR(INDEX(מקור!$B$2:$B$309,MATCH("דודו|"&amp;A8,מקור!$K$2:$K$309,0)),"")</f>
        <v>24</v>
      </c>
      <c r="I8" s="5" t="n">
        <f aca="false">IFERROR(INDEX(מקור!$C$2:$C$309,MATCH("דודו|"&amp;A8,מקור!$K$2:$K$309,0)),"")</f>
        <v>63</v>
      </c>
    </row>
    <row r="9" customFormat="false" ht="15" hidden="false" customHeight="false" outlineLevel="0" collapsed="false">
      <c r="A9" s="5" t="n">
        <v>5</v>
      </c>
      <c r="B9" s="5" t="str">
        <f aca="false">IFERROR(INDEX(מקור!$A$2:$A$309,MATCH("דודו|"&amp;A9,מקור!$K$2:$K$309,0)),"")</f>
        <v>מודיעין ישפרו~125</v>
      </c>
      <c r="C9" s="5" t="s">
        <v>11</v>
      </c>
      <c r="D9" s="6" t="n">
        <f aca="false">IFERROR(INDEX(מקור!$I$2:$I$309,MATCH("דודו|"&amp;A9,מקור!$K$2:$K$309,0)),"")</f>
        <v>31106.1</v>
      </c>
      <c r="E9" s="6" t="n">
        <f aca="false">IFERROR(INDEX(מקור!$J$2:$J$309,MATCH("דודו|"&amp;A9,מקור!$K$2:$K$309,0)),"")</f>
        <v>51666.7</v>
      </c>
      <c r="F9" s="6" t="n">
        <f aca="false">IFERROR(E9/12*6,"")</f>
        <v>25833.35</v>
      </c>
      <c r="G9" s="7" t="n">
        <f aca="false">IFERROR(D9/F9-1,"")</f>
        <v>0.204106319931407</v>
      </c>
      <c r="H9" s="5" t="n">
        <f aca="false">IFERROR(INDEX(מקור!$B$2:$B$309,MATCH("דודו|"&amp;A9,מקור!$K$2:$K$309,0)),"")</f>
        <v>14</v>
      </c>
      <c r="I9" s="5" t="n">
        <f aca="false">IFERROR(INDEX(מקור!$C$2:$C$309,MATCH("דודו|"&amp;A9,מקור!$K$2:$K$309,0)),"")</f>
        <v>39</v>
      </c>
    </row>
    <row r="10" customFormat="false" ht="15" hidden="false" customHeight="false" outlineLevel="0" collapsed="false">
      <c r="A10" s="5" t="n">
        <v>6</v>
      </c>
      <c r="B10" s="5" t="str">
        <f aca="false">IFERROR(INDEX(מקור!$A$2:$A$309,MATCH("דודו|"&amp;A10,מקור!$K$2:$K$309,0)),"")</f>
        <v>קניון-מודיעין~153</v>
      </c>
      <c r="C10" s="5" t="s">
        <v>11</v>
      </c>
      <c r="D10" s="6" t="n">
        <f aca="false">IFERROR(INDEX(מקור!$I$2:$I$309,MATCH("דודו|"&amp;A10,מקור!$K$2:$K$309,0)),"")</f>
        <v>30919.3</v>
      </c>
      <c r="E10" s="6" t="n">
        <f aca="false">IFERROR(INDEX(מקור!$J$2:$J$309,MATCH("דודו|"&amp;A10,מקור!$K$2:$K$309,0)),"")</f>
        <v>52742</v>
      </c>
      <c r="F10" s="6" t="n">
        <f aca="false">IFERROR(E10/12*6,"")</f>
        <v>26371</v>
      </c>
      <c r="G10" s="7" t="n">
        <f aca="false">IFERROR(D10/F10-1,"")</f>
        <v>0.17247355049107</v>
      </c>
      <c r="H10" s="5" t="n">
        <f aca="false">IFERROR(INDEX(מקור!$B$2:$B$309,MATCH("דודו|"&amp;A10,מקור!$K$2:$K$309,0)),"")</f>
        <v>4</v>
      </c>
      <c r="I10" s="5" t="n">
        <f aca="false">IFERROR(INDEX(מקור!$C$2:$C$309,MATCH("דודו|"&amp;A10,מקור!$K$2:$K$309,0)),"")</f>
        <v>26</v>
      </c>
    </row>
    <row r="11" customFormat="false" ht="15" hidden="false" customHeight="false" outlineLevel="0" collapsed="false">
      <c r="A11" s="5" t="n">
        <v>7</v>
      </c>
      <c r="B11" s="5" t="str">
        <f aca="false">IFERROR(INDEX(מקור!$A$2:$A$309,MATCH("דודו|"&amp;A11,מקור!$K$2:$K$309,0)),"")</f>
        <v>אשקלון גירון~28</v>
      </c>
      <c r="C11" s="5" t="s">
        <v>11</v>
      </c>
      <c r="D11" s="6" t="n">
        <f aca="false">IFERROR(INDEX(מקור!$I$2:$I$309,MATCH("דודו|"&amp;A11,מקור!$K$2:$K$309,0)),"")</f>
        <v>29916.7</v>
      </c>
      <c r="E11" s="6" t="n">
        <f aca="false">IFERROR(INDEX(מקור!$J$2:$J$309,MATCH("דודו|"&amp;A11,מקור!$K$2:$K$309,0)),"")</f>
        <v>56802.8</v>
      </c>
      <c r="F11" s="6" t="n">
        <f aca="false">IFERROR(E11/12*6,"")</f>
        <v>28401.4</v>
      </c>
      <c r="G11" s="7" t="n">
        <f aca="false">IFERROR(D11/F11-1,"")</f>
        <v>0.0533530037251684</v>
      </c>
      <c r="H11" s="5" t="n">
        <f aca="false">IFERROR(INDEX(מקור!$B$2:$B$309,MATCH("דודו|"&amp;A11,מקור!$K$2:$K$309,0)),"")</f>
        <v>17</v>
      </c>
      <c r="I11" s="5" t="n">
        <f aca="false">IFERROR(INDEX(מקור!$C$2:$C$309,MATCH("דודו|"&amp;A11,מקור!$K$2:$K$309,0)),"")</f>
        <v>44</v>
      </c>
    </row>
    <row r="12" customFormat="false" ht="15" hidden="false" customHeight="false" outlineLevel="0" collapsed="false">
      <c r="A12" s="5" t="n">
        <v>8</v>
      </c>
      <c r="B12" s="5" t="str">
        <f aca="false">IFERROR(INDEX(מקור!$A$2:$A$309,MATCH("דודו|"&amp;A12,מקור!$K$2:$K$309,0)),"")</f>
        <v>גאלרי מלחה~30</v>
      </c>
      <c r="C12" s="5" t="s">
        <v>11</v>
      </c>
      <c r="D12" s="6" t="n">
        <f aca="false">IFERROR(INDEX(מקור!$I$2:$I$309,MATCH("דודו|"&amp;A12,מקור!$K$2:$K$309,0)),"")</f>
        <v>25566.1</v>
      </c>
      <c r="E12" s="6" t="n">
        <f aca="false">IFERROR(INDEX(מקור!$J$2:$J$309,MATCH("דודו|"&amp;A12,מקור!$K$2:$K$309,0)),"")</f>
        <v>52586.4</v>
      </c>
      <c r="F12" s="6" t="n">
        <f aca="false">IFERROR(E12/12*6,"")</f>
        <v>26293.2</v>
      </c>
      <c r="G12" s="7" t="n">
        <f aca="false">IFERROR(D12/F12-1,"")</f>
        <v>-0.0276535377968448</v>
      </c>
      <c r="H12" s="5" t="n">
        <f aca="false">IFERROR(INDEX(מקור!$B$2:$B$309,MATCH("דודו|"&amp;A12,מקור!$K$2:$K$309,0)),"")</f>
        <v>16</v>
      </c>
      <c r="I12" s="5" t="n">
        <f aca="false">IFERROR(INDEX(מקור!$C$2:$C$309,MATCH("דודו|"&amp;A12,מקור!$K$2:$K$309,0)),"")</f>
        <v>13</v>
      </c>
    </row>
    <row r="13" customFormat="false" ht="15" hidden="false" customHeight="false" outlineLevel="0" collapsed="false">
      <c r="A13" s="5" t="n">
        <v>9</v>
      </c>
      <c r="B13" s="5" t="str">
        <f aca="false">IFERROR(INDEX(מקור!$A$2:$A$309,MATCH("דודו|"&amp;A13,מקור!$K$2:$K$309,0)),"")</f>
        <v>קניון רחובות~45</v>
      </c>
      <c r="C13" s="5" t="s">
        <v>11</v>
      </c>
      <c r="D13" s="6" t="n">
        <f aca="false">IFERROR(INDEX(מקור!$I$2:$I$309,MATCH("דודו|"&amp;A13,מקור!$K$2:$K$309,0)),"")</f>
        <v>24091.9</v>
      </c>
      <c r="E13" s="6" t="n">
        <f aca="false">IFERROR(INDEX(מקור!$J$2:$J$309,MATCH("דודו|"&amp;A13,מקור!$K$2:$K$309,0)),"")</f>
        <v>50792.3</v>
      </c>
      <c r="F13" s="6" t="n">
        <f aca="false">IFERROR(E13/12*6,"")</f>
        <v>25396.15</v>
      </c>
      <c r="G13" s="7" t="n">
        <f aca="false">IFERROR(D13/F13-1,"")</f>
        <v>-0.0513562095041965</v>
      </c>
      <c r="H13" s="5" t="n">
        <f aca="false">IFERROR(INDEX(מקור!$B$2:$B$309,MATCH("דודו|"&amp;A13,מקור!$K$2:$K$309,0)),"")</f>
        <v>13</v>
      </c>
      <c r="I13" s="5" t="n">
        <f aca="false">IFERROR(INDEX(מקור!$C$2:$C$309,MATCH("דודו|"&amp;A13,מקור!$K$2:$K$309,0)),"")</f>
        <v>16</v>
      </c>
    </row>
    <row r="14" customFormat="false" ht="15" hidden="false" customHeight="false" outlineLevel="0" collapsed="false">
      <c r="A14" s="5" t="n">
        <v>10</v>
      </c>
      <c r="B14" s="5" t="str">
        <f aca="false">IFERROR(INDEX(מקור!$A$2:$A$309,MATCH("דודו|"&amp;A14,מקור!$K$2:$K$309,0)),"")</f>
        <v>תלפיות~95</v>
      </c>
      <c r="C14" s="5" t="s">
        <v>11</v>
      </c>
      <c r="D14" s="6" t="n">
        <f aca="false">IFERROR(INDEX(מקור!$I$2:$I$309,MATCH("דודו|"&amp;A14,מקור!$K$2:$K$309,0)),"")</f>
        <v>22454.5</v>
      </c>
      <c r="E14" s="6" t="n">
        <f aca="false">IFERROR(INDEX(מקור!$J$2:$J$309,MATCH("דודו|"&amp;A14,מקור!$K$2:$K$309,0)),"")</f>
        <v>46557.9</v>
      </c>
      <c r="F14" s="6" t="n">
        <f aca="false">IFERROR(E14/12*6,"")</f>
        <v>23278.95</v>
      </c>
      <c r="G14" s="7" t="n">
        <f aca="false">IFERROR(D14/F14-1,"")</f>
        <v>-0.0354161162767221</v>
      </c>
      <c r="H14" s="5" t="n">
        <f aca="false">IFERROR(INDEX(מקור!$B$2:$B$309,MATCH("דודו|"&amp;A14,מקור!$K$2:$K$309,0)),"")</f>
        <v>25</v>
      </c>
      <c r="I14" s="5" t="n">
        <f aca="false">IFERROR(INDEX(מקור!$C$2:$C$309,MATCH("דודו|"&amp;A14,מקור!$K$2:$K$309,0)),"")</f>
        <v>64</v>
      </c>
    </row>
    <row r="15" customFormat="false" ht="15" hidden="false" customHeight="false" outlineLevel="0" collapsed="false">
      <c r="A15" s="5" t="n">
        <v>11</v>
      </c>
      <c r="B15" s="5" t="str">
        <f aca="false">IFERROR(INDEX(מקור!$A$2:$A$309,MATCH("דודו|"&amp;A15,מקור!$K$2:$K$309,0)),"")</f>
        <v>ניות~2</v>
      </c>
      <c r="C15" s="5" t="s">
        <v>11</v>
      </c>
      <c r="D15" s="6" t="n">
        <f aca="false">IFERROR(INDEX(מקור!$I$2:$I$309,MATCH("דודו|"&amp;A15,מקור!$K$2:$K$309,0)),"")</f>
        <v>22141.7</v>
      </c>
      <c r="E15" s="6" t="n">
        <f aca="false">IFERROR(INDEX(מקור!$J$2:$J$309,MATCH("דודו|"&amp;A15,מקור!$K$2:$K$309,0)),"")</f>
        <v>42012.2</v>
      </c>
      <c r="F15" s="6" t="n">
        <f aca="false">IFERROR(E15/12*6,"")</f>
        <v>21006.1</v>
      </c>
      <c r="G15" s="7" t="n">
        <f aca="false">IFERROR(D15/F15-1,"")</f>
        <v>0.0540604871918158</v>
      </c>
      <c r="H15" s="5" t="n">
        <f aca="false">IFERROR(INDEX(מקור!$B$2:$B$309,MATCH("דודו|"&amp;A15,מקור!$K$2:$K$309,0)),"")</f>
        <v>43</v>
      </c>
      <c r="I15" s="5" t="n">
        <f aca="false">IFERROR(INDEX(מקור!$C$2:$C$309,MATCH("דודו|"&amp;A15,מקור!$K$2:$K$309,0)),"")</f>
        <v>69</v>
      </c>
    </row>
    <row r="16" customFormat="false" ht="15" hidden="false" customHeight="false" outlineLevel="0" collapsed="false">
      <c r="A16" s="5" t="n">
        <v>12</v>
      </c>
      <c r="B16" s="5" t="str">
        <f aca="false">IFERROR(INDEX(מקור!$A$2:$A$309,MATCH("דודו|"&amp;A16,מקור!$K$2:$K$309,0)),"")</f>
        <v>בילו סנטר~52</v>
      </c>
      <c r="C16" s="5" t="s">
        <v>11</v>
      </c>
      <c r="D16" s="6" t="n">
        <f aca="false">IFERROR(INDEX(מקור!$I$2:$I$309,MATCH("דודו|"&amp;A16,מקור!$K$2:$K$309,0)),"")</f>
        <v>21969.8</v>
      </c>
      <c r="E16" s="6" t="n">
        <f aca="false">IFERROR(INDEX(מקור!$J$2:$J$309,MATCH("דודו|"&amp;A16,מקור!$K$2:$K$309,0)),"")</f>
        <v>39005.8</v>
      </c>
      <c r="F16" s="6" t="n">
        <f aca="false">IFERROR(E16/12*6,"")</f>
        <v>19502.9</v>
      </c>
      <c r="G16" s="7" t="n">
        <f aca="false">IFERROR(D16/F16-1,"")</f>
        <v>0.126488881140753</v>
      </c>
      <c r="H16" s="5" t="n">
        <f aca="false">IFERROR(INDEX(מקור!$B$2:$B$309,MATCH("דודו|"&amp;A16,מקור!$K$2:$K$309,0)),"")</f>
        <v>15</v>
      </c>
      <c r="I16" s="5" t="n">
        <f aca="false">IFERROR(INDEX(מקור!$C$2:$C$309,MATCH("דודו|"&amp;A16,מקור!$K$2:$K$309,0)),"")</f>
        <v>36</v>
      </c>
    </row>
    <row r="17" customFormat="false" ht="15" hidden="false" customHeight="false" outlineLevel="0" collapsed="false">
      <c r="A17" s="5" t="n">
        <v>13</v>
      </c>
      <c r="B17" s="5" t="str">
        <f aca="false">IFERROR(INDEX(מקור!$A$2:$A$309,MATCH("דודו|"&amp;A17,מקור!$K$2:$K$309,0)),"")</f>
        <v>ביג קרית-גת~178</v>
      </c>
      <c r="C17" s="5" t="s">
        <v>11</v>
      </c>
      <c r="D17" s="6" t="n">
        <f aca="false">IFERROR(INDEX(מקור!$I$2:$I$309,MATCH("דודו|"&amp;A17,מקור!$K$2:$K$309,0)),"")</f>
        <v>21940.2</v>
      </c>
      <c r="E17" s="6" t="n">
        <f aca="false">IFERROR(INDEX(מקור!$J$2:$J$309,MATCH("דודו|"&amp;A17,מקור!$K$2:$K$309,0)),"")</f>
        <v>36086.4</v>
      </c>
      <c r="F17" s="6" t="n">
        <f aca="false">IFERROR(E17/12*6,"")</f>
        <v>18043.2</v>
      </c>
      <c r="G17" s="7" t="n">
        <f aca="false">IFERROR(D17/F17-1,"")</f>
        <v>0.21598164405427</v>
      </c>
      <c r="H17" s="5" t="n">
        <f aca="false">IFERROR(INDEX(מקור!$B$2:$B$309,MATCH("דודו|"&amp;A17,מקור!$K$2:$K$309,0)),"")</f>
        <v>27</v>
      </c>
      <c r="I17" s="5" t="n">
        <f aca="false">IFERROR(INDEX(מקור!$C$2:$C$309,MATCH("דודו|"&amp;A17,מקור!$K$2:$K$309,0)),"")</f>
        <v>50</v>
      </c>
    </row>
    <row r="18" customFormat="false" ht="15" hidden="false" customHeight="false" outlineLevel="0" collapsed="false">
      <c r="A18" s="5" t="n">
        <v>14</v>
      </c>
      <c r="B18" s="5" t="str">
        <f aca="false">IFERROR(INDEX(מקור!$A$2:$A$309,MATCH("דודו|"&amp;A18,מקור!$K$2:$K$309,0)),"")</f>
        <v>בית שמש~93</v>
      </c>
      <c r="C18" s="5" t="s">
        <v>11</v>
      </c>
      <c r="D18" s="6" t="n">
        <f aca="false">IFERROR(INDEX(מקור!$I$2:$I$309,MATCH("דודו|"&amp;A18,מקור!$K$2:$K$309,0)),"")</f>
        <v>21728.9</v>
      </c>
      <c r="E18" s="6" t="n">
        <f aca="false">IFERROR(INDEX(מקור!$J$2:$J$309,MATCH("דודו|"&amp;A18,מקור!$K$2:$K$309,0)),"")</f>
        <v>40253.2</v>
      </c>
      <c r="F18" s="6" t="n">
        <f aca="false">IFERROR(E18/12*6,"")</f>
        <v>20126.6</v>
      </c>
      <c r="G18" s="7" t="n">
        <f aca="false">IFERROR(D18/F18-1,"")</f>
        <v>0.0796110619776815</v>
      </c>
      <c r="H18" s="5" t="n">
        <f aca="false">IFERROR(INDEX(מקור!$B$2:$B$309,MATCH("דודו|"&amp;A18,מקור!$K$2:$K$309,0)),"")</f>
        <v>29</v>
      </c>
      <c r="I18" s="5" t="n">
        <f aca="false">IFERROR(INDEX(מקור!$C$2:$C$309,MATCH("דודו|"&amp;A18,מקור!$K$2:$K$309,0)),"")</f>
        <v>45</v>
      </c>
    </row>
    <row r="19" customFormat="false" ht="15" hidden="false" customHeight="false" outlineLevel="0" collapsed="false">
      <c r="A19" s="5" t="n">
        <v>15</v>
      </c>
      <c r="B19" s="5" t="str">
        <f aca="false">IFERROR(INDEX(מקור!$A$2:$A$309,MATCH("דודו|"&amp;A19,מקור!$K$2:$K$309,0)),"")</f>
        <v>ביג קסטינה~150</v>
      </c>
      <c r="C19" s="5" t="s">
        <v>11</v>
      </c>
      <c r="D19" s="6" t="n">
        <f aca="false">IFERROR(INDEX(מקור!$I$2:$I$309,MATCH("דודו|"&amp;A19,מקור!$K$2:$K$309,0)),"")</f>
        <v>20373.4</v>
      </c>
      <c r="E19" s="6" t="n">
        <f aca="false">IFERROR(INDEX(מקור!$J$2:$J$309,MATCH("דודו|"&amp;A19,מקור!$K$2:$K$309,0)),"")</f>
        <v>35954.1</v>
      </c>
      <c r="F19" s="6" t="n">
        <f aca="false">IFERROR(E19/12*6,"")</f>
        <v>17977.05</v>
      </c>
      <c r="G19" s="7" t="n">
        <f aca="false">IFERROR(D19/F19-1,"")</f>
        <v>0.133300513710537</v>
      </c>
      <c r="H19" s="5" t="n">
        <f aca="false">IFERROR(INDEX(מקור!$B$2:$B$309,MATCH("דודו|"&amp;A19,מקור!$K$2:$K$309,0)),"")</f>
        <v>28</v>
      </c>
      <c r="I19" s="5" t="n">
        <f aca="false">IFERROR(INDEX(מקור!$C$2:$C$309,MATCH("דודו|"&amp;A19,מקור!$K$2:$K$309,0)),"")</f>
        <v>30</v>
      </c>
    </row>
    <row r="20" customFormat="false" ht="15" hidden="false" customHeight="false" outlineLevel="0" collapsed="false">
      <c r="A20" s="5" t="n">
        <v>16</v>
      </c>
      <c r="B20" s="5" t="str">
        <f aca="false">IFERROR(INDEX(מקור!$A$2:$A$309,MATCH("דודו|"&amp;A20,מקור!$K$2:$K$309,0)),"")</f>
        <v>שער אשקלון~75</v>
      </c>
      <c r="C20" s="5" t="s">
        <v>11</v>
      </c>
      <c r="D20" s="6" t="n">
        <f aca="false">IFERROR(INDEX(מקור!$I$2:$I$309,MATCH("דודו|"&amp;A20,מקור!$K$2:$K$309,0)),"")</f>
        <v>19760.5</v>
      </c>
      <c r="E20" s="6" t="n">
        <f aca="false">IFERROR(INDEX(מקור!$J$2:$J$309,MATCH("דודו|"&amp;A20,מקור!$K$2:$K$309,0)),"")</f>
        <v>37059</v>
      </c>
      <c r="F20" s="6" t="n">
        <f aca="false">IFERROR(E20/12*6,"")</f>
        <v>18529.5</v>
      </c>
      <c r="G20" s="7" t="n">
        <f aca="false">IFERROR(D20/F20-1,"")</f>
        <v>0.0664346042796622</v>
      </c>
      <c r="H20" s="5" t="n">
        <f aca="false">IFERROR(INDEX(מקור!$B$2:$B$309,MATCH("דודו|"&amp;A20,מקור!$K$2:$K$309,0)),"")</f>
        <v>46</v>
      </c>
      <c r="I20" s="5" t="n">
        <f aca="false">IFERROR(INDEX(מקור!$C$2:$C$309,MATCH("דודו|"&amp;A20,מקור!$K$2:$K$309,0)),"")</f>
        <v>75</v>
      </c>
    </row>
    <row r="21" customFormat="false" ht="15" hidden="false" customHeight="false" outlineLevel="0" collapsed="false">
      <c r="A21" s="5" t="n">
        <v>17</v>
      </c>
      <c r="B21" s="5" t="str">
        <f aca="false">IFERROR(INDEX(מקור!$A$2:$A$309,MATCH("דודו|"&amp;A21,מקור!$K$2:$K$309,0)),"")</f>
        <v>בית-האומות~176</v>
      </c>
      <c r="C21" s="5" t="s">
        <v>11</v>
      </c>
      <c r="D21" s="6" t="n">
        <f aca="false">IFERROR(INDEX(מקור!$I$2:$I$309,MATCH("דודו|"&amp;A21,מקור!$K$2:$K$309,0)),"")</f>
        <v>19715.9</v>
      </c>
      <c r="E21" s="6" t="n">
        <f aca="false">IFERROR(INDEX(מקור!$J$2:$J$309,MATCH("דודו|"&amp;A21,מקור!$K$2:$K$309,0)),"")</f>
        <v>45291.6</v>
      </c>
      <c r="F21" s="6" t="n">
        <f aca="false">IFERROR(E21/12*6,"")</f>
        <v>22645.8</v>
      </c>
      <c r="G21" s="7" t="n">
        <f aca="false">IFERROR(D21/F21-1,"")</f>
        <v>-0.129379399270505</v>
      </c>
      <c r="H21" s="5" t="n">
        <f aca="false">IFERROR(INDEX(מקור!$B$2:$B$309,MATCH("דודו|"&amp;A21,מקור!$K$2:$K$309,0)),"")</f>
        <v>48</v>
      </c>
      <c r="I21" s="5" t="n">
        <f aca="false">IFERROR(INDEX(מקור!$C$2:$C$309,MATCH("דודו|"&amp;A21,מקור!$K$2:$K$309,0)),"")</f>
        <v>128</v>
      </c>
    </row>
    <row r="22" customFormat="false" ht="15" hidden="false" customHeight="false" outlineLevel="0" collapsed="false">
      <c r="A22" s="5" t="n">
        <v>18</v>
      </c>
      <c r="B22" s="5" t="str">
        <f aca="false">IFERROR(INDEX(מקור!$A$2:$A$309,MATCH("דודו|"&amp;A22,מקור!$K$2:$K$309,0)),"")</f>
        <v>מודיעין שמשוני~101</v>
      </c>
      <c r="C22" s="5" t="s">
        <v>11</v>
      </c>
      <c r="D22" s="6" t="n">
        <f aca="false">IFERROR(INDEX(מקור!$I$2:$I$309,MATCH("דודו|"&amp;A22,מקור!$K$2:$K$309,0)),"")</f>
        <v>19057.1</v>
      </c>
      <c r="E22" s="6" t="n">
        <f aca="false">IFERROR(INDEX(מקור!$J$2:$J$309,MATCH("דודו|"&amp;A22,מקור!$K$2:$K$309,0)),"")</f>
        <v>37677.9</v>
      </c>
      <c r="F22" s="6" t="n">
        <f aca="false">IFERROR(E22/12*6,"")</f>
        <v>18838.95</v>
      </c>
      <c r="G22" s="7" t="n">
        <f aca="false">IFERROR(D22/F22-1,"")</f>
        <v>0.0115797324160847</v>
      </c>
      <c r="H22" s="5" t="n">
        <f aca="false">IFERROR(INDEX(מקור!$B$2:$B$309,MATCH("דודו|"&amp;A22,מקור!$K$2:$K$309,0)),"")</f>
        <v>60</v>
      </c>
      <c r="I22" s="5" t="n">
        <f aca="false">IFERROR(INDEX(מקור!$C$2:$C$309,MATCH("דודו|"&amp;A22,מקור!$K$2:$K$309,0)),"")</f>
        <v>77</v>
      </c>
    </row>
    <row r="23" customFormat="false" ht="15" hidden="false" customHeight="false" outlineLevel="0" collapsed="false">
      <c r="A23" s="5" t="n">
        <v>19</v>
      </c>
      <c r="B23" s="5" t="str">
        <f aca="false">IFERROR(INDEX(מקור!$A$2:$A$309,MATCH("דודו|"&amp;A23,מקור!$K$2:$K$309,0)),"")</f>
        <v>התמרים אילת~144</v>
      </c>
      <c r="C23" s="5" t="s">
        <v>11</v>
      </c>
      <c r="D23" s="6" t="n">
        <f aca="false">IFERROR(INDEX(מקור!$I$2:$I$309,MATCH("דודו|"&amp;A23,מקור!$K$2:$K$309,0)),"")</f>
        <v>18749.5</v>
      </c>
      <c r="E23" s="6" t="n">
        <f aca="false">IFERROR(INDEX(מקור!$J$2:$J$309,MATCH("דודו|"&amp;A23,מקור!$K$2:$K$309,0)),"")</f>
        <v>28337.4</v>
      </c>
      <c r="F23" s="6" t="n">
        <f aca="false">IFERROR(E23/12*6,"")</f>
        <v>14168.7</v>
      </c>
      <c r="G23" s="7" t="n">
        <f aca="false">IFERROR(D23/F23-1,"")</f>
        <v>0.323304184575861</v>
      </c>
      <c r="H23" s="5" t="n">
        <f aca="false">IFERROR(INDEX(מקור!$B$2:$B$309,MATCH("דודו|"&amp;A23,מקור!$K$2:$K$309,0)),"")</f>
        <v>39</v>
      </c>
      <c r="I23" s="5" t="n">
        <f aca="false">IFERROR(INDEX(מקור!$C$2:$C$309,MATCH("דודו|"&amp;A23,מקור!$K$2:$K$309,0)),"")</f>
        <v>73</v>
      </c>
    </row>
    <row r="24" customFormat="false" ht="15" hidden="false" customHeight="false" outlineLevel="0" collapsed="false">
      <c r="A24" s="5" t="n">
        <v>20</v>
      </c>
      <c r="B24" s="5" t="str">
        <f aca="false">IFERROR(INDEX(מקור!$A$2:$A$309,MATCH("דודו|"&amp;A24,מקור!$K$2:$K$309,0)),"")</f>
        <v>אשדוד סיטי~40</v>
      </c>
      <c r="C24" s="5" t="s">
        <v>11</v>
      </c>
      <c r="D24" s="6" t="n">
        <f aca="false">IFERROR(INDEX(מקור!$I$2:$I$309,MATCH("דודו|"&amp;A24,מקור!$K$2:$K$309,0)),"")</f>
        <v>18434.6</v>
      </c>
      <c r="E24" s="6" t="n">
        <f aca="false">IFERROR(INDEX(מקור!$J$2:$J$309,MATCH("דודו|"&amp;A24,מקור!$K$2:$K$309,0)),"")</f>
        <v>36774.5</v>
      </c>
      <c r="F24" s="6" t="n">
        <f aca="false">IFERROR(E24/12*6,"")</f>
        <v>18387.25</v>
      </c>
      <c r="G24" s="7" t="n">
        <f aca="false">IFERROR(D24/F24-1,"")</f>
        <v>0.00257515397898001</v>
      </c>
      <c r="H24" s="5" t="n">
        <f aca="false">IFERROR(INDEX(מקור!$B$2:$B$309,MATCH("דודו|"&amp;A24,מקור!$K$2:$K$309,0)),"")</f>
        <v>26</v>
      </c>
      <c r="I24" s="5" t="n">
        <f aca="false">IFERROR(INDEX(מקור!$C$2:$C$309,MATCH("דודו|"&amp;A24,מקור!$K$2:$K$309,0)),"")</f>
        <v>18</v>
      </c>
    </row>
    <row r="26" customFormat="false" ht="15" hidden="false" customHeight="true" outlineLevel="0" collapsed="false">
      <c r="A26" s="8" t="s">
        <v>12</v>
      </c>
      <c r="B26" s="8"/>
      <c r="C26" s="8"/>
      <c r="D26" s="8"/>
      <c r="E26" s="8"/>
      <c r="F26" s="8"/>
      <c r="G26" s="8"/>
      <c r="H26" s="8"/>
      <c r="I26" s="8"/>
    </row>
  </sheetData>
  <mergeCells count="2">
    <mergeCell ref="A1:I1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15" hidden="false" customHeight="false" outlineLevel="0" collapsed="false">
      <c r="A1" s="1" t="s">
        <v>13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n">
        <v>46235</v>
      </c>
    </row>
    <row r="4" customFormat="false" ht="30" hidden="false" customHeight="true" outlineLevel="0" collapsed="false">
      <c r="A4" s="4" t="s">
        <v>14</v>
      </c>
      <c r="B4" s="4" t="s">
        <v>3</v>
      </c>
      <c r="C4" s="4" t="s">
        <v>15</v>
      </c>
      <c r="D4" s="4" t="s">
        <v>5</v>
      </c>
      <c r="E4" s="4" t="s">
        <v>16</v>
      </c>
      <c r="F4" s="4" t="s">
        <v>17</v>
      </c>
    </row>
    <row r="5" customFormat="false" ht="15" hidden="false" customHeight="false" outlineLevel="0" collapsed="false">
      <c r="A5" s="5" t="n">
        <v>1</v>
      </c>
      <c r="B5" s="5" t="str">
        <f aca="false">IFERROR(INDEX(מקור!$A$2:$A$309,MATCH("דודו|"&amp;A5,מקור!$L$2:$L$309,0)),"")</f>
        <v>הדסה עין כרם~138</v>
      </c>
      <c r="C5" s="5" t="n">
        <f aca="false">IFERROR(INDEX(מקור!$B$2:$B$309,MATCH("דודו|"&amp;A5,מקור!$L$2:$L$309,0)),"")</f>
        <v>3</v>
      </c>
      <c r="D5" s="6" t="n">
        <f aca="false">IFERROR(INDEX(מקור!$I$2:$I$309,MATCH("דודו|"&amp;A5,מקור!$L$2:$L$309,0)),"")</f>
        <v>40303.1</v>
      </c>
      <c r="E5" s="5" t="n">
        <f aca="false">IFERROR(INDEX(מקור!$M$2:$M$309,MATCH("דודו|"&amp;A5,מקור!$L$2:$L$309,0)),"")</f>
        <v>1</v>
      </c>
      <c r="F5" s="9" t="n">
        <f aca="false">IFERROR(E5-A5,"")</f>
        <v>0</v>
      </c>
    </row>
    <row r="6" customFormat="false" ht="15" hidden="false" customHeight="false" outlineLevel="0" collapsed="false">
      <c r="A6" s="5" t="n">
        <v>2</v>
      </c>
      <c r="B6" s="5" t="str">
        <f aca="false">IFERROR(INDEX(מקור!$A$2:$A$309,MATCH("דודו|"&amp;A6,מקור!$L$2:$L$309,0)),"")</f>
        <v>קניון-מודיעין~153</v>
      </c>
      <c r="C6" s="5" t="n">
        <f aca="false">IFERROR(INDEX(מקור!$B$2:$B$309,MATCH("דודו|"&amp;A6,מקור!$L$2:$L$309,0)),"")</f>
        <v>4</v>
      </c>
      <c r="D6" s="6" t="n">
        <f aca="false">IFERROR(INDEX(מקור!$I$2:$I$309,MATCH("דודו|"&amp;A6,מקור!$L$2:$L$309,0)),"")</f>
        <v>30919.3</v>
      </c>
      <c r="E6" s="5" t="n">
        <f aca="false">IFERROR(INDEX(מקור!$M$2:$M$309,MATCH("דודו|"&amp;A6,מקור!$L$2:$L$309,0)),"")</f>
        <v>6</v>
      </c>
      <c r="F6" s="9" t="n">
        <f aca="false">IFERROR(E6-A6,"")</f>
        <v>4</v>
      </c>
    </row>
    <row r="7" customFormat="false" ht="15" hidden="false" customHeight="false" outlineLevel="0" collapsed="false">
      <c r="A7" s="5" t="n">
        <v>3</v>
      </c>
      <c r="B7" s="5" t="str">
        <f aca="false">IFERROR(INDEX(מקור!$A$2:$A$309,MATCH("דודו|"&amp;A7,מקור!$L$2:$L$309,0)),"")</f>
        <v>אשדוד סטאר-סנטר~117</v>
      </c>
      <c r="C7" s="5" t="n">
        <f aca="false">IFERROR(INDEX(מקור!$B$2:$B$309,MATCH("דודו|"&amp;A7,מקור!$L$2:$L$309,0)),"")</f>
        <v>5</v>
      </c>
      <c r="D7" s="6" t="n">
        <f aca="false">IFERROR(INDEX(מקור!$I$2:$I$309,MATCH("דודו|"&amp;A7,מקור!$L$2:$L$309,0)),"")</f>
        <v>34181.8</v>
      </c>
      <c r="E7" s="5" t="n">
        <f aca="false">IFERROR(INDEX(מקור!$M$2:$M$309,MATCH("דודו|"&amp;A7,מקור!$L$2:$L$309,0)),"")</f>
        <v>3</v>
      </c>
      <c r="F7" s="9" t="n">
        <f aca="false">IFERROR(E7-A7,"")</f>
        <v>0</v>
      </c>
    </row>
    <row r="8" customFormat="false" ht="15" hidden="false" customHeight="false" outlineLevel="0" collapsed="false">
      <c r="A8" s="5" t="n">
        <v>4</v>
      </c>
      <c r="B8" s="5" t="str">
        <f aca="false">IFERROR(INDEX(מקור!$A$2:$A$309,MATCH("דודו|"&amp;A8,מקור!$L$2:$L$309,0)),"")</f>
        <v>גאלרי כיכר-ציון~219</v>
      </c>
      <c r="C8" s="5" t="n">
        <f aca="false">IFERROR(INDEX(מקור!$B$2:$B$309,MATCH("דודו|"&amp;A8,מקור!$L$2:$L$309,0)),"")</f>
        <v>11</v>
      </c>
      <c r="D8" s="6" t="n">
        <f aca="false">IFERROR(INDEX(מקור!$I$2:$I$309,MATCH("דודו|"&amp;A8,מקור!$L$2:$L$309,0)),"")</f>
        <v>34207.6</v>
      </c>
      <c r="E8" s="5" t="n">
        <f aca="false">IFERROR(INDEX(מקור!$M$2:$M$309,MATCH("דודו|"&amp;A8,מקור!$L$2:$L$309,0)),"")</f>
        <v>2</v>
      </c>
      <c r="F8" s="9" t="n">
        <f aca="false">IFERROR(E8-A8,"")</f>
        <v>-2</v>
      </c>
    </row>
    <row r="9" customFormat="false" ht="15" hidden="false" customHeight="false" outlineLevel="0" collapsed="false">
      <c r="A9" s="5" t="n">
        <v>5</v>
      </c>
      <c r="B9" s="5" t="str">
        <f aca="false">IFERROR(INDEX(מקור!$A$2:$A$309,MATCH("דודו|"&amp;A9,מקור!$L$2:$L$309,0)),"")</f>
        <v>קניון רחובות~45</v>
      </c>
      <c r="C9" s="5" t="n">
        <f aca="false">IFERROR(INDEX(מקור!$B$2:$B$309,MATCH("דודו|"&amp;A9,מקור!$L$2:$L$309,0)),"")</f>
        <v>13</v>
      </c>
      <c r="D9" s="6" t="n">
        <f aca="false">IFERROR(INDEX(מקור!$I$2:$I$309,MATCH("דודו|"&amp;A9,מקור!$L$2:$L$309,0)),"")</f>
        <v>24091.9</v>
      </c>
      <c r="E9" s="5" t="n">
        <f aca="false">IFERROR(INDEX(מקור!$M$2:$M$309,MATCH("דודו|"&amp;A9,מקור!$L$2:$L$309,0)),"")</f>
        <v>9</v>
      </c>
      <c r="F9" s="9" t="n">
        <f aca="false">IFERROR(E9-A9,"")</f>
        <v>4</v>
      </c>
    </row>
    <row r="10" customFormat="false" ht="15" hidden="false" customHeight="false" outlineLevel="0" collapsed="false">
      <c r="A10" s="5" t="n">
        <v>6</v>
      </c>
      <c r="B10" s="5" t="str">
        <f aca="false">IFERROR(INDEX(מקור!$A$2:$A$309,MATCH("דודו|"&amp;A10,מקור!$L$2:$L$309,0)),"")</f>
        <v>מודיעין ישפרו~125</v>
      </c>
      <c r="C10" s="5" t="n">
        <f aca="false">IFERROR(INDEX(מקור!$B$2:$B$309,MATCH("דודו|"&amp;A10,מקור!$L$2:$L$309,0)),"")</f>
        <v>14</v>
      </c>
      <c r="D10" s="6" t="n">
        <f aca="false">IFERROR(INDEX(מקור!$I$2:$I$309,MATCH("דודו|"&amp;A10,מקור!$L$2:$L$309,0)),"")</f>
        <v>31106.1</v>
      </c>
      <c r="E10" s="5" t="n">
        <f aca="false">IFERROR(INDEX(מקור!$M$2:$M$309,MATCH("דודו|"&amp;A10,מקור!$L$2:$L$309,0)),"")</f>
        <v>5</v>
      </c>
      <c r="F10" s="9" t="n">
        <f aca="false">IFERROR(E10-A10,"")</f>
        <v>-1</v>
      </c>
    </row>
    <row r="11" customFormat="false" ht="15" hidden="false" customHeight="false" outlineLevel="0" collapsed="false">
      <c r="A11" s="5" t="n">
        <v>7</v>
      </c>
      <c r="B11" s="5" t="str">
        <f aca="false">IFERROR(INDEX(מקור!$A$2:$A$309,MATCH("דודו|"&amp;A11,מקור!$L$2:$L$309,0)),"")</f>
        <v>בילו סנטר~52</v>
      </c>
      <c r="C11" s="5" t="n">
        <f aca="false">IFERROR(INDEX(מקור!$B$2:$B$309,MATCH("דודו|"&amp;A11,מקור!$L$2:$L$309,0)),"")</f>
        <v>15</v>
      </c>
      <c r="D11" s="6" t="n">
        <f aca="false">IFERROR(INDEX(מקור!$I$2:$I$309,MATCH("דודו|"&amp;A11,מקור!$L$2:$L$309,0)),"")</f>
        <v>21969.8</v>
      </c>
      <c r="E11" s="5" t="n">
        <f aca="false">IFERROR(INDEX(מקור!$M$2:$M$309,MATCH("דודו|"&amp;A11,מקור!$L$2:$L$309,0)),"")</f>
        <v>12</v>
      </c>
      <c r="F11" s="9" t="n">
        <f aca="false">IFERROR(E11-A11,"")</f>
        <v>5</v>
      </c>
    </row>
    <row r="12" customFormat="false" ht="15" hidden="false" customHeight="false" outlineLevel="0" collapsed="false">
      <c r="A12" s="5" t="n">
        <v>8</v>
      </c>
      <c r="B12" s="5" t="str">
        <f aca="false">IFERROR(INDEX(מקור!$A$2:$A$309,MATCH("דודו|"&amp;A12,מקור!$L$2:$L$309,0)),"")</f>
        <v>גאלרי מלחה~30</v>
      </c>
      <c r="C12" s="5" t="n">
        <f aca="false">IFERROR(INDEX(מקור!$B$2:$B$309,MATCH("דודו|"&amp;A12,מקור!$L$2:$L$309,0)),"")</f>
        <v>16</v>
      </c>
      <c r="D12" s="6" t="n">
        <f aca="false">IFERROR(INDEX(מקור!$I$2:$I$309,MATCH("דודו|"&amp;A12,מקור!$L$2:$L$309,0)),"")</f>
        <v>25566.1</v>
      </c>
      <c r="E12" s="5" t="n">
        <f aca="false">IFERROR(INDEX(מקור!$M$2:$M$309,MATCH("דודו|"&amp;A12,מקור!$L$2:$L$309,0)),"")</f>
        <v>8</v>
      </c>
      <c r="F12" s="9" t="n">
        <f aca="false">IFERROR(E12-A12,"")</f>
        <v>0</v>
      </c>
    </row>
    <row r="13" customFormat="false" ht="15" hidden="false" customHeight="false" outlineLevel="0" collapsed="false">
      <c r="A13" s="5" t="n">
        <v>9</v>
      </c>
      <c r="B13" s="5" t="str">
        <f aca="false">IFERROR(INDEX(מקור!$A$2:$A$309,MATCH("דודו|"&amp;A13,מקור!$L$2:$L$309,0)),"")</f>
        <v>אשקלון גירון~28</v>
      </c>
      <c r="C13" s="5" t="n">
        <f aca="false">IFERROR(INDEX(מקור!$B$2:$B$309,MATCH("דודו|"&amp;A13,מקור!$L$2:$L$309,0)),"")</f>
        <v>17</v>
      </c>
      <c r="D13" s="6" t="n">
        <f aca="false">IFERROR(INDEX(מקור!$I$2:$I$309,MATCH("דודו|"&amp;A13,מקור!$L$2:$L$309,0)),"")</f>
        <v>29916.7</v>
      </c>
      <c r="E13" s="5" t="n">
        <f aca="false">IFERROR(INDEX(מקור!$M$2:$M$309,MATCH("דודו|"&amp;A13,מקור!$L$2:$L$309,0)),"")</f>
        <v>7</v>
      </c>
      <c r="F13" s="9" t="n">
        <f aca="false">IFERROR(E13-A13,"")</f>
        <v>-2</v>
      </c>
    </row>
    <row r="14" customFormat="false" ht="15" hidden="false" customHeight="false" outlineLevel="0" collapsed="false">
      <c r="A14" s="5" t="n">
        <v>10</v>
      </c>
      <c r="B14" s="5" t="str">
        <f aca="false">IFERROR(INDEX(מקור!$A$2:$A$309,MATCH("דודו|"&amp;A14,מקור!$L$2:$L$309,0)),"")</f>
        <v>רמות ירושלים~184</v>
      </c>
      <c r="C14" s="5" t="n">
        <f aca="false">IFERROR(INDEX(מקור!$B$2:$B$309,MATCH("דודו|"&amp;A14,מקור!$L$2:$L$309,0)),"")</f>
        <v>24</v>
      </c>
      <c r="D14" s="6" t="n">
        <f aca="false">IFERROR(INDEX(מקור!$I$2:$I$309,MATCH("דודו|"&amp;A14,מקור!$L$2:$L$309,0)),"")</f>
        <v>33328.8</v>
      </c>
      <c r="E14" s="5" t="n">
        <f aca="false">IFERROR(INDEX(מקור!$M$2:$M$309,MATCH("דודו|"&amp;A14,מקור!$L$2:$L$309,0)),"")</f>
        <v>4</v>
      </c>
      <c r="F14" s="9" t="n">
        <f aca="false">IFERROR(E14-A14,"")</f>
        <v>-6</v>
      </c>
    </row>
    <row r="15" customFormat="false" ht="15" hidden="false" customHeight="false" outlineLevel="0" collapsed="false">
      <c r="A15" s="5" t="n">
        <v>11</v>
      </c>
      <c r="B15" s="5" t="str">
        <f aca="false">IFERROR(INDEX(מקור!$A$2:$A$309,MATCH("דודו|"&amp;A15,מקור!$L$2:$L$309,0)),"")</f>
        <v>תלפיות~95</v>
      </c>
      <c r="C15" s="5" t="n">
        <f aca="false">IFERROR(INDEX(מקור!$B$2:$B$309,MATCH("דודו|"&amp;A15,מקור!$L$2:$L$309,0)),"")</f>
        <v>25</v>
      </c>
      <c r="D15" s="6" t="n">
        <f aca="false">IFERROR(INDEX(מקור!$I$2:$I$309,MATCH("דודו|"&amp;A15,מקור!$L$2:$L$309,0)),"")</f>
        <v>22454.5</v>
      </c>
      <c r="E15" s="5" t="n">
        <f aca="false">IFERROR(INDEX(מקור!$M$2:$M$309,MATCH("דודו|"&amp;A15,מקור!$L$2:$L$309,0)),"")</f>
        <v>10</v>
      </c>
      <c r="F15" s="9" t="n">
        <f aca="false">IFERROR(E15-A15,"")</f>
        <v>-1</v>
      </c>
    </row>
    <row r="16" customFormat="false" ht="15" hidden="false" customHeight="false" outlineLevel="0" collapsed="false">
      <c r="A16" s="5" t="n">
        <v>12</v>
      </c>
      <c r="B16" s="5" t="str">
        <f aca="false">IFERROR(INDEX(מקור!$A$2:$A$309,MATCH("דודו|"&amp;A16,מקור!$L$2:$L$309,0)),"")</f>
        <v>אשדוד סיטי~40</v>
      </c>
      <c r="C16" s="5" t="n">
        <f aca="false">IFERROR(INDEX(מקור!$B$2:$B$309,MATCH("דודו|"&amp;A16,מקור!$L$2:$L$309,0)),"")</f>
        <v>26</v>
      </c>
      <c r="D16" s="6" t="n">
        <f aca="false">IFERROR(INDEX(מקור!$I$2:$I$309,MATCH("דודו|"&amp;A16,מקור!$L$2:$L$309,0)),"")</f>
        <v>18434.6</v>
      </c>
      <c r="E16" s="5" t="n">
        <f aca="false">IFERROR(INDEX(מקור!$M$2:$M$309,MATCH("דודו|"&amp;A16,מקור!$L$2:$L$309,0)),"")</f>
        <v>20</v>
      </c>
      <c r="F16" s="9" t="n">
        <f aca="false">IFERROR(E16-A16,"")</f>
        <v>8</v>
      </c>
    </row>
    <row r="17" customFormat="false" ht="15" hidden="false" customHeight="false" outlineLevel="0" collapsed="false">
      <c r="A17" s="5" t="n">
        <v>13</v>
      </c>
      <c r="B17" s="5" t="str">
        <f aca="false">IFERROR(INDEX(מקור!$A$2:$A$309,MATCH("דודו|"&amp;A17,מקור!$L$2:$L$309,0)),"")</f>
        <v>ביג קרית-גת~178</v>
      </c>
      <c r="C17" s="5" t="n">
        <f aca="false">IFERROR(INDEX(מקור!$B$2:$B$309,MATCH("דודו|"&amp;A17,מקור!$L$2:$L$309,0)),"")</f>
        <v>27</v>
      </c>
      <c r="D17" s="6" t="n">
        <f aca="false">IFERROR(INDEX(מקור!$I$2:$I$309,MATCH("דודו|"&amp;A17,מקור!$L$2:$L$309,0)),"")</f>
        <v>21940.2</v>
      </c>
      <c r="E17" s="5" t="n">
        <f aca="false">IFERROR(INDEX(מקור!$M$2:$M$309,MATCH("דודו|"&amp;A17,מקור!$L$2:$L$309,0)),"")</f>
        <v>13</v>
      </c>
      <c r="F17" s="9" t="n">
        <f aca="false">IFERROR(E17-A17,"")</f>
        <v>0</v>
      </c>
    </row>
    <row r="18" customFormat="false" ht="15" hidden="false" customHeight="false" outlineLevel="0" collapsed="false">
      <c r="A18" s="5" t="n">
        <v>14</v>
      </c>
      <c r="B18" s="5" t="str">
        <f aca="false">IFERROR(INDEX(מקור!$A$2:$A$309,MATCH("דודו|"&amp;A18,מקור!$L$2:$L$309,0)),"")</f>
        <v>ביג קסטינה~150</v>
      </c>
      <c r="C18" s="5" t="n">
        <f aca="false">IFERROR(INDEX(מקור!$B$2:$B$309,MATCH("דודו|"&amp;A18,מקור!$L$2:$L$309,0)),"")</f>
        <v>28</v>
      </c>
      <c r="D18" s="6" t="n">
        <f aca="false">IFERROR(INDEX(מקור!$I$2:$I$309,MATCH("דודו|"&amp;A18,מקור!$L$2:$L$309,0)),"")</f>
        <v>20373.4</v>
      </c>
      <c r="E18" s="5" t="n">
        <f aca="false">IFERROR(INDEX(מקור!$M$2:$M$309,MATCH("דודו|"&amp;A18,מקור!$L$2:$L$309,0)),"")</f>
        <v>15</v>
      </c>
      <c r="F18" s="9" t="n">
        <f aca="false">IFERROR(E18-A18,"")</f>
        <v>1</v>
      </c>
    </row>
    <row r="19" customFormat="false" ht="15" hidden="false" customHeight="false" outlineLevel="0" collapsed="false">
      <c r="A19" s="5" t="n">
        <v>15</v>
      </c>
      <c r="B19" s="5" t="str">
        <f aca="false">IFERROR(INDEX(מקור!$A$2:$A$309,MATCH("דודו|"&amp;A19,מקור!$L$2:$L$309,0)),"")</f>
        <v>בית שמש~93</v>
      </c>
      <c r="C19" s="5" t="n">
        <f aca="false">IFERROR(INDEX(מקור!$B$2:$B$309,MATCH("דודו|"&amp;A19,מקור!$L$2:$L$309,0)),"")</f>
        <v>29</v>
      </c>
      <c r="D19" s="6" t="n">
        <f aca="false">IFERROR(INDEX(מקור!$I$2:$I$309,MATCH("דודו|"&amp;A19,מקור!$L$2:$L$309,0)),"")</f>
        <v>21728.9</v>
      </c>
      <c r="E19" s="5" t="n">
        <f aca="false">IFERROR(INDEX(מקור!$M$2:$M$309,MATCH("דודו|"&amp;A19,מקור!$L$2:$L$309,0)),"")</f>
        <v>14</v>
      </c>
      <c r="F19" s="9" t="n">
        <f aca="false">IFERROR(E19-A19,"")</f>
        <v>-1</v>
      </c>
    </row>
    <row r="20" customFormat="false" ht="15" hidden="false" customHeight="false" outlineLevel="0" collapsed="false">
      <c r="A20" s="5" t="n">
        <v>16</v>
      </c>
      <c r="B20" s="5" t="str">
        <f aca="false">IFERROR(INDEX(מקור!$A$2:$A$309,MATCH("דודו|"&amp;A20,מקור!$L$2:$L$309,0)),"")</f>
        <v>ביג אילת~112</v>
      </c>
      <c r="C20" s="5" t="n">
        <f aca="false">IFERROR(INDEX(מקור!$B$2:$B$309,MATCH("דודו|"&amp;A20,מקור!$L$2:$L$309,0)),"")</f>
        <v>36</v>
      </c>
      <c r="D20" s="6" t="n">
        <f aca="false">IFERROR(INDEX(מקור!$I$2:$I$309,MATCH("דודו|"&amp;A20,מקור!$L$2:$L$309,0)),"")</f>
        <v>17265.6</v>
      </c>
      <c r="E20" s="5" t="n">
        <f aca="false">IFERROR(INDEX(מקור!$M$2:$M$309,MATCH("דודו|"&amp;A20,מקור!$L$2:$L$309,0)),"")</f>
        <v>23</v>
      </c>
      <c r="F20" s="9" t="n">
        <f aca="false">IFERROR(E20-A20,"")</f>
        <v>7</v>
      </c>
    </row>
    <row r="21" customFormat="false" ht="15" hidden="false" customHeight="false" outlineLevel="0" collapsed="false">
      <c r="A21" s="5" t="n">
        <v>17</v>
      </c>
      <c r="B21" s="5" t="str">
        <f aca="false">IFERROR(INDEX(מקור!$A$2:$A$309,MATCH("דודו|"&amp;A21,מקור!$L$2:$L$309,0)),"")</f>
        <v>התמרים אילת~144</v>
      </c>
      <c r="C21" s="5" t="n">
        <f aca="false">IFERROR(INDEX(מקור!$B$2:$B$309,MATCH("דודו|"&amp;A21,מקור!$L$2:$L$309,0)),"")</f>
        <v>39</v>
      </c>
      <c r="D21" s="6" t="n">
        <f aca="false">IFERROR(INDEX(מקור!$I$2:$I$309,MATCH("דודו|"&amp;A21,מקור!$L$2:$L$309,0)),"")</f>
        <v>18749.5</v>
      </c>
      <c r="E21" s="5" t="n">
        <f aca="false">IFERROR(INDEX(מקור!$M$2:$M$309,MATCH("דודו|"&amp;A21,מקור!$L$2:$L$309,0)),"")</f>
        <v>19</v>
      </c>
      <c r="F21" s="9" t="n">
        <f aca="false">IFERROR(E21-A21,"")</f>
        <v>2</v>
      </c>
    </row>
    <row r="22" customFormat="false" ht="15" hidden="false" customHeight="false" outlineLevel="0" collapsed="false">
      <c r="A22" s="5" t="n">
        <v>18</v>
      </c>
      <c r="B22" s="5" t="str">
        <f aca="false">IFERROR(INDEX(מקור!$A$2:$A$309,MATCH("דודו|"&amp;A22,מקור!$L$2:$L$309,0)),"")</f>
        <v>ניות~2</v>
      </c>
      <c r="C22" s="5" t="n">
        <f aca="false">IFERROR(INDEX(מקור!$B$2:$B$309,MATCH("דודו|"&amp;A22,מקור!$L$2:$L$309,0)),"")</f>
        <v>43</v>
      </c>
      <c r="D22" s="6" t="n">
        <f aca="false">IFERROR(INDEX(מקור!$I$2:$I$309,MATCH("דודו|"&amp;A22,מקור!$L$2:$L$309,0)),"")</f>
        <v>22141.7</v>
      </c>
      <c r="E22" s="5" t="n">
        <f aca="false">IFERROR(INDEX(מקור!$M$2:$M$309,MATCH("דודו|"&amp;A22,מקור!$L$2:$L$309,0)),"")</f>
        <v>11</v>
      </c>
      <c r="F22" s="9" t="n">
        <f aca="false">IFERROR(E22-A22,"")</f>
        <v>-7</v>
      </c>
    </row>
    <row r="23" customFormat="false" ht="15" hidden="false" customHeight="false" outlineLevel="0" collapsed="false">
      <c r="A23" s="5" t="n">
        <v>19</v>
      </c>
      <c r="B23" s="5" t="str">
        <f aca="false">IFERROR(INDEX(מקור!$A$2:$A$309,MATCH("דודו|"&amp;A23,מקור!$L$2:$L$309,0)),"")</f>
        <v>שער אשקלון~75</v>
      </c>
      <c r="C23" s="5" t="n">
        <f aca="false">IFERROR(INDEX(מקור!$B$2:$B$309,MATCH("דודו|"&amp;A23,מקור!$L$2:$L$309,0)),"")</f>
        <v>46</v>
      </c>
      <c r="D23" s="6" t="n">
        <f aca="false">IFERROR(INDEX(מקור!$I$2:$I$309,MATCH("דודו|"&amp;A23,מקור!$L$2:$L$309,0)),"")</f>
        <v>19760.5</v>
      </c>
      <c r="E23" s="5" t="n">
        <f aca="false">IFERROR(INDEX(מקור!$M$2:$M$309,MATCH("דודו|"&amp;A23,מקור!$L$2:$L$309,0)),"")</f>
        <v>16</v>
      </c>
      <c r="F23" s="9" t="n">
        <f aca="false">IFERROR(E23-A23,"")</f>
        <v>-3</v>
      </c>
    </row>
    <row r="24" customFormat="false" ht="15" hidden="false" customHeight="false" outlineLevel="0" collapsed="false">
      <c r="A24" s="5" t="n">
        <v>20</v>
      </c>
      <c r="B24" s="5" t="str">
        <f aca="false">IFERROR(INDEX(מקור!$A$2:$A$309,MATCH("דודו|"&amp;A24,מקור!$L$2:$L$309,0)),"")</f>
        <v>בית-האומות~176</v>
      </c>
      <c r="C24" s="5" t="n">
        <f aca="false">IFERROR(INDEX(מקור!$B$2:$B$309,MATCH("דודו|"&amp;A24,מקור!$L$2:$L$309,0)),"")</f>
        <v>48</v>
      </c>
      <c r="D24" s="6" t="n">
        <f aca="false">IFERROR(INDEX(מקור!$I$2:$I$309,MATCH("דודו|"&amp;A24,מקור!$L$2:$L$309,0)),"")</f>
        <v>19715.9</v>
      </c>
      <c r="E24" s="5" t="n">
        <f aca="false">IFERROR(INDEX(מקור!$M$2:$M$309,MATCH("דודו|"&amp;A24,מקור!$L$2:$L$309,0)),"")</f>
        <v>17</v>
      </c>
      <c r="F24" s="9" t="n">
        <f aca="false">IFERROR(E24-A24,"")</f>
        <v>-3</v>
      </c>
    </row>
    <row r="25" customFormat="false" ht="15" hidden="false" customHeight="false" outlineLevel="0" collapsed="false">
      <c r="A25" s="5" t="n">
        <v>21</v>
      </c>
      <c r="B25" s="5" t="str">
        <f aca="false">IFERROR(INDEX(מקור!$A$2:$A$309,MATCH("דודו|"&amp;A25,מקור!$L$2:$L$309,0)),"")</f>
        <v>ביג-פאשן אשדוד~230</v>
      </c>
      <c r="C25" s="5" t="n">
        <f aca="false">IFERROR(INDEX(מקור!$B$2:$B$309,MATCH("דודו|"&amp;A25,מקור!$L$2:$L$309,0)),"")</f>
        <v>53</v>
      </c>
      <c r="D25" s="6" t="n">
        <f aca="false">IFERROR(INDEX(מקור!$I$2:$I$309,MATCH("דודו|"&amp;A25,מקור!$L$2:$L$309,0)),"")</f>
        <v>17795.5</v>
      </c>
      <c r="E25" s="5" t="n">
        <f aca="false">IFERROR(INDEX(מקור!$M$2:$M$309,MATCH("דודו|"&amp;A25,מקור!$L$2:$L$309,0)),"")</f>
        <v>21</v>
      </c>
      <c r="F25" s="9" t="n">
        <f aca="false">IFERROR(E25-A25,"")</f>
        <v>0</v>
      </c>
    </row>
    <row r="26" customFormat="false" ht="15" hidden="false" customHeight="false" outlineLevel="0" collapsed="false">
      <c r="A26" s="5" t="n">
        <v>22</v>
      </c>
      <c r="B26" s="5" t="str">
        <f aca="false">IFERROR(INDEX(מקור!$A$2:$A$309,MATCH("דודו|"&amp;A26,מקור!$L$2:$L$309,0)),"")</f>
        <v>טיילת אילת~266</v>
      </c>
      <c r="C26" s="5" t="n">
        <f aca="false">IFERROR(INDEX(מקור!$B$2:$B$309,MATCH("דודו|"&amp;A26,מקור!$L$2:$L$309,0)),"")</f>
        <v>55</v>
      </c>
      <c r="D26" s="6" t="n">
        <f aca="false">IFERROR(INDEX(מקור!$I$2:$I$309,MATCH("דודו|"&amp;A26,מקור!$L$2:$L$309,0)),"")</f>
        <v>14413.6</v>
      </c>
      <c r="E26" s="5" t="n">
        <f aca="false">IFERROR(INDEX(מקור!$M$2:$M$309,MATCH("דודו|"&amp;A26,מקור!$L$2:$L$309,0)),"")</f>
        <v>25</v>
      </c>
      <c r="F26" s="9" t="n">
        <f aca="false">IFERROR(E26-A26,"")</f>
        <v>3</v>
      </c>
    </row>
    <row r="27" customFormat="false" ht="15" hidden="false" customHeight="false" outlineLevel="0" collapsed="false">
      <c r="A27" s="5" t="n">
        <v>23</v>
      </c>
      <c r="B27" s="5" t="str">
        <f aca="false">IFERROR(INDEX(מקור!$A$2:$A$309,MATCH("דודו|"&amp;A27,מקור!$L$2:$L$309,0)),"")</f>
        <v>מודיעין שמשוני~101</v>
      </c>
      <c r="C27" s="5" t="n">
        <f aca="false">IFERROR(INDEX(מקור!$B$2:$B$309,MATCH("דודו|"&amp;A27,מקור!$L$2:$L$309,0)),"")</f>
        <v>60</v>
      </c>
      <c r="D27" s="6" t="n">
        <f aca="false">IFERROR(INDEX(מקור!$I$2:$I$309,MATCH("דודו|"&amp;A27,מקור!$L$2:$L$309,0)),"")</f>
        <v>19057.1</v>
      </c>
      <c r="E27" s="5" t="n">
        <f aca="false">IFERROR(INDEX(מקור!$M$2:$M$309,MATCH("דודו|"&amp;A27,מקור!$L$2:$L$309,0)),"")</f>
        <v>18</v>
      </c>
      <c r="F27" s="9" t="n">
        <f aca="false">IFERROR(E27-A27,"")</f>
        <v>-5</v>
      </c>
    </row>
    <row r="28" customFormat="false" ht="15" hidden="false" customHeight="false" outlineLevel="0" collapsed="false">
      <c r="A28" s="5" t="n">
        <v>24</v>
      </c>
      <c r="B28" s="5" t="str">
        <f aca="false">IFERROR(INDEX(מקור!$A$2:$A$309,MATCH("דודו|"&amp;A28,מקור!$L$2:$L$309,0)),"")</f>
        <v>גאלרי מול הים~53</v>
      </c>
      <c r="C28" s="5" t="n">
        <f aca="false">IFERROR(INDEX(מקור!$B$2:$B$309,MATCH("דודו|"&amp;A28,מקור!$L$2:$L$309,0)),"")</f>
        <v>61</v>
      </c>
      <c r="D28" s="6" t="n">
        <f aca="false">IFERROR(INDEX(מקור!$I$2:$I$309,MATCH("דודו|"&amp;A28,מקור!$L$2:$L$309,0)),"")</f>
        <v>13139.5</v>
      </c>
      <c r="E28" s="5" t="n">
        <f aca="false">IFERROR(INDEX(מקור!$M$2:$M$309,MATCH("דודו|"&amp;A28,מקור!$L$2:$L$309,0)),"")</f>
        <v>31</v>
      </c>
      <c r="F28" s="9" t="n">
        <f aca="false">IFERROR(E28-A28,"")</f>
        <v>7</v>
      </c>
    </row>
    <row r="29" customFormat="false" ht="15" hidden="false" customHeight="false" outlineLevel="0" collapsed="false">
      <c r="A29" s="5" t="n">
        <v>25</v>
      </c>
      <c r="B29" s="5" t="str">
        <f aca="false">IFERROR(INDEX(מקור!$A$2:$A$309,MATCH("דודו|"&amp;A29,מקור!$L$2:$L$309,0)),"")</f>
        <v>ת"מ ירושלים~94</v>
      </c>
      <c r="C29" s="5" t="n">
        <f aca="false">IFERROR(INDEX(מקור!$B$2:$B$309,MATCH("דודו|"&amp;A29,מקור!$L$2:$L$309,0)),"")</f>
        <v>63</v>
      </c>
      <c r="D29" s="6" t="n">
        <f aca="false">IFERROR(INDEX(מקור!$I$2:$I$309,MATCH("דודו|"&amp;A29,מקור!$L$2:$L$309,0)),"")</f>
        <v>15060.5</v>
      </c>
      <c r="E29" s="5" t="n">
        <f aca="false">IFERROR(INDEX(מקור!$M$2:$M$309,MATCH("דודו|"&amp;A29,מקור!$L$2:$L$309,0)),"")</f>
        <v>24</v>
      </c>
      <c r="F29" s="9" t="n">
        <f aca="false">IFERROR(E29-A29,"")</f>
        <v>-1</v>
      </c>
    </row>
    <row r="30" customFormat="false" ht="15" hidden="false" customHeight="false" outlineLevel="0" collapsed="false">
      <c r="A30" s="5" t="n">
        <v>26</v>
      </c>
      <c r="B30" s="5" t="str">
        <f aca="false">IFERROR(INDEX(מקור!$A$2:$A$309,MATCH("דודו|"&amp;A30,מקור!$L$2:$L$309,0)),"")</f>
        <v>מעלה אדומים~74</v>
      </c>
      <c r="C30" s="5" t="n">
        <f aca="false">IFERROR(INDEX(מקור!$B$2:$B$309,MATCH("דודו|"&amp;A30,מקור!$L$2:$L$309,0)),"")</f>
        <v>66</v>
      </c>
      <c r="D30" s="6" t="n">
        <f aca="false">IFERROR(INDEX(מקור!$I$2:$I$309,MATCH("דודו|"&amp;A30,מקור!$L$2:$L$309,0)),"")</f>
        <v>17541.3</v>
      </c>
      <c r="E30" s="5" t="n">
        <f aca="false">IFERROR(INDEX(מקור!$M$2:$M$309,MATCH("דודו|"&amp;A30,מקור!$L$2:$L$309,0)),"")</f>
        <v>22</v>
      </c>
      <c r="F30" s="9" t="n">
        <f aca="false">IFERROR(E30-A30,"")</f>
        <v>-4</v>
      </c>
    </row>
    <row r="31" customFormat="false" ht="15" hidden="false" customHeight="false" outlineLevel="0" collapsed="false">
      <c r="A31" s="5" t="n">
        <v>27</v>
      </c>
      <c r="B31" s="5" t="str">
        <f aca="false">IFERROR(INDEX(מקור!$A$2:$A$309,MATCH("דודו|"&amp;A31,מקור!$L$2:$L$309,0)),"")</f>
        <v>גלובוס אשקלון~269</v>
      </c>
      <c r="C31" s="5" t="n">
        <f aca="false">IFERROR(INDEX(מקור!$B$2:$B$309,MATCH("דודו|"&amp;A31,מקור!$L$2:$L$309,0)),"")</f>
        <v>67</v>
      </c>
      <c r="D31" s="6" t="n">
        <f aca="false">IFERROR(INDEX(מקור!$I$2:$I$309,MATCH("דודו|"&amp;A31,מקור!$L$2:$L$309,0)),"")</f>
        <v>13789.2</v>
      </c>
      <c r="E31" s="5" t="n">
        <f aca="false">IFERROR(INDEX(מקור!$M$2:$M$309,MATCH("דודו|"&amp;A31,מקור!$L$2:$L$309,0)),"")</f>
        <v>28</v>
      </c>
      <c r="F31" s="9" t="n">
        <f aca="false">IFERROR(E31-A31,"")</f>
        <v>1</v>
      </c>
    </row>
    <row r="32" customFormat="false" ht="15" hidden="false" customHeight="false" outlineLevel="0" collapsed="false">
      <c r="A32" s="5" t="n">
        <v>28</v>
      </c>
      <c r="B32" s="5" t="str">
        <f aca="false">IFERROR(INDEX(מקור!$A$2:$A$309,MATCH("דודו|"&amp;A32,מקור!$L$2:$L$309,0)),"")</f>
        <v>שחמון אילת~167</v>
      </c>
      <c r="C32" s="5" t="n">
        <f aca="false">IFERROR(INDEX(מקור!$B$2:$B$309,MATCH("דודו|"&amp;A32,מקור!$L$2:$L$309,0)),"")</f>
        <v>71</v>
      </c>
      <c r="D32" s="6" t="n">
        <f aca="false">IFERROR(INDEX(מקור!$I$2:$I$309,MATCH("דודו|"&amp;A32,מקור!$L$2:$L$309,0)),"")</f>
        <v>10738.9</v>
      </c>
      <c r="E32" s="5" t="n">
        <f aca="false">IFERROR(INDEX(מקור!$M$2:$M$309,MATCH("דודו|"&amp;A32,מקור!$L$2:$L$309,0)),"")</f>
        <v>40</v>
      </c>
      <c r="F32" s="9" t="n">
        <f aca="false">IFERROR(E32-A32,"")</f>
        <v>12</v>
      </c>
    </row>
    <row r="33" customFormat="false" ht="15" hidden="false" customHeight="false" outlineLevel="0" collapsed="false">
      <c r="A33" s="5" t="n">
        <v>29</v>
      </c>
      <c r="B33" s="5" t="str">
        <f aca="false">IFERROR(INDEX(מקור!$A$2:$A$309,MATCH("דודו|"&amp;A33,מקור!$L$2:$L$309,0)),"")</f>
        <v>בית הכרם~121</v>
      </c>
      <c r="C33" s="5" t="n">
        <f aca="false">IFERROR(INDEX(מקור!$B$2:$B$309,MATCH("דודו|"&amp;A33,מקור!$L$2:$L$309,0)),"")</f>
        <v>72</v>
      </c>
      <c r="D33" s="6" t="n">
        <f aca="false">IFERROR(INDEX(מקור!$I$2:$I$309,MATCH("דודו|"&amp;A33,מקור!$L$2:$L$309,0)),"")</f>
        <v>14027.5</v>
      </c>
      <c r="E33" s="5" t="n">
        <f aca="false">IFERROR(INDEX(מקור!$M$2:$M$309,MATCH("דודו|"&amp;A33,מקור!$L$2:$L$309,0)),"")</f>
        <v>27</v>
      </c>
      <c r="F33" s="9" t="n">
        <f aca="false">IFERROR(E33-A33,"")</f>
        <v>-2</v>
      </c>
    </row>
    <row r="34" customFormat="false" ht="15" hidden="false" customHeight="false" outlineLevel="0" collapsed="false">
      <c r="A34" s="5" t="n">
        <v>30</v>
      </c>
      <c r="B34" s="5" t="str">
        <f aca="false">IFERROR(INDEX(מקור!$A$2:$A$309,MATCH("דודו|"&amp;A34,מקור!$L$2:$L$309,0)),"")</f>
        <v>שדרות~132</v>
      </c>
      <c r="C34" s="5" t="n">
        <f aca="false">IFERROR(INDEX(מקור!$B$2:$B$309,MATCH("דודו|"&amp;A34,מקור!$L$2:$L$309,0)),"")</f>
        <v>75</v>
      </c>
      <c r="D34" s="6" t="n">
        <f aca="false">IFERROR(INDEX(מקור!$I$2:$I$309,MATCH("דודו|"&amp;A34,מקור!$L$2:$L$309,0)),"")</f>
        <v>9066.9</v>
      </c>
      <c r="E34" s="5" t="n">
        <f aca="false">IFERROR(INDEX(מקור!$M$2:$M$309,MATCH("דודו|"&amp;A34,מקור!$L$2:$L$309,0)),"")</f>
        <v>46</v>
      </c>
      <c r="F34" s="9" t="n">
        <f aca="false">IFERROR(E34-A34,"")</f>
        <v>16</v>
      </c>
    </row>
    <row r="35" customFormat="false" ht="15" hidden="false" customHeight="false" outlineLevel="0" collapsed="false">
      <c r="A35" s="5" t="n">
        <v>31</v>
      </c>
      <c r="B35" s="5" t="str">
        <f aca="false">IFERROR(INDEX(מקור!$A$2:$A$309,MATCH("דודו|"&amp;A35,מקור!$L$2:$L$309,0)),"")</f>
        <v>מרכז דוד אפרידר~100</v>
      </c>
      <c r="C35" s="5" t="n">
        <f aca="false">IFERROR(INDEX(מקור!$B$2:$B$309,MATCH("דודו|"&amp;A35,מקור!$L$2:$L$309,0)),"")</f>
        <v>77</v>
      </c>
      <c r="D35" s="6" t="n">
        <f aca="false">IFERROR(INDEX(מקור!$I$2:$I$309,MATCH("דודו|"&amp;A35,מקור!$L$2:$L$309,0)),"")</f>
        <v>12396.5</v>
      </c>
      <c r="E35" s="5" t="n">
        <f aca="false">IFERROR(INDEX(מקור!$M$2:$M$309,MATCH("דודו|"&amp;A35,מקור!$L$2:$L$309,0)),"")</f>
        <v>34</v>
      </c>
      <c r="F35" s="9" t="n">
        <f aca="false">IFERROR(E35-A35,"")</f>
        <v>3</v>
      </c>
    </row>
    <row r="36" customFormat="false" ht="15" hidden="false" customHeight="false" outlineLevel="0" collapsed="false">
      <c r="A36" s="5" t="n">
        <v>32</v>
      </c>
      <c r="B36" s="5" t="str">
        <f aca="false">IFERROR(INDEX(מקור!$A$2:$A$309,MATCH("דודו|"&amp;A36,מקור!$L$2:$L$309,0)),"")</f>
        <v>סנטרו רחובות~213</v>
      </c>
      <c r="C36" s="5" t="n">
        <f aca="false">IFERROR(INDEX(מקור!$B$2:$B$309,MATCH("דודו|"&amp;A36,מקור!$L$2:$L$309,0)),"")</f>
        <v>84</v>
      </c>
      <c r="D36" s="6" t="n">
        <f aca="false">IFERROR(INDEX(מקור!$I$2:$I$309,MATCH("דודו|"&amp;A36,מקור!$L$2:$L$309,0)),"")</f>
        <v>11554.9</v>
      </c>
      <c r="E36" s="5" t="n">
        <f aca="false">IFERROR(INDEX(מקור!$M$2:$M$309,MATCH("דודו|"&amp;A36,מקור!$L$2:$L$309,0)),"")</f>
        <v>36</v>
      </c>
      <c r="F36" s="9" t="n">
        <f aca="false">IFERROR(E36-A36,"")</f>
        <v>4</v>
      </c>
    </row>
    <row r="37" customFormat="false" ht="15" hidden="false" customHeight="false" outlineLevel="0" collapsed="false">
      <c r="A37" s="5" t="n">
        <v>33</v>
      </c>
      <c r="B37" s="5" t="str">
        <f aca="false">IFERROR(INDEX(מקור!$A$2:$A$309,MATCH("דודו|"&amp;A37,מקור!$L$2:$L$309,0)),"")</f>
        <v>ממילא~145</v>
      </c>
      <c r="C37" s="5" t="n">
        <f aca="false">IFERROR(INDEX(מקור!$B$2:$B$309,MATCH("דודו|"&amp;A37,מקור!$L$2:$L$309,0)),"")</f>
        <v>85</v>
      </c>
      <c r="D37" s="6" t="n">
        <f aca="false">IFERROR(INDEX(מקור!$I$2:$I$309,MATCH("דודו|"&amp;A37,מקור!$L$2:$L$309,0)),"")</f>
        <v>14054.4</v>
      </c>
      <c r="E37" s="5" t="n">
        <f aca="false">IFERROR(INDEX(מקור!$M$2:$M$309,MATCH("דודו|"&amp;A37,מקור!$L$2:$L$309,0)),"")</f>
        <v>26</v>
      </c>
      <c r="F37" s="9" t="n">
        <f aca="false">IFERROR(E37-A37,"")</f>
        <v>-7</v>
      </c>
    </row>
    <row r="38" customFormat="false" ht="15" hidden="false" customHeight="false" outlineLevel="0" collapsed="false">
      <c r="A38" s="5" t="n">
        <v>34</v>
      </c>
      <c r="B38" s="5" t="str">
        <f aca="false">IFERROR(INDEX(מקור!$A$2:$A$309,MATCH("דודו|"&amp;A38,מקור!$L$2:$L$309,0)),"")</f>
        <v>אופקים~128</v>
      </c>
      <c r="C38" s="5" t="n">
        <f aca="false">IFERROR(INDEX(מקור!$B$2:$B$309,MATCH("דודו|"&amp;A38,מקור!$L$2:$L$309,0)),"")</f>
        <v>96</v>
      </c>
      <c r="D38" s="6" t="n">
        <f aca="false">IFERROR(INDEX(מקור!$I$2:$I$309,MATCH("דודו|"&amp;A38,מקור!$L$2:$L$309,0)),"")</f>
        <v>12889.3</v>
      </c>
      <c r="E38" s="5" t="n">
        <f aca="false">IFERROR(INDEX(מקור!$M$2:$M$309,MATCH("דודו|"&amp;A38,מקור!$L$2:$L$309,0)),"")</f>
        <v>32</v>
      </c>
      <c r="F38" s="9" t="n">
        <f aca="false">IFERROR(E38-A38,"")</f>
        <v>-2</v>
      </c>
    </row>
    <row r="39" customFormat="false" ht="15" hidden="false" customHeight="false" outlineLevel="0" collapsed="false">
      <c r="A39" s="5" t="n">
        <v>35</v>
      </c>
      <c r="B39" s="5" t="str">
        <f aca="false">IFERROR(INDEX(מקור!$A$2:$A$309,MATCH("דודו|"&amp;A39,מקור!$L$2:$L$309,0)),"")</f>
        <v>ברנע אשקלון~305</v>
      </c>
      <c r="C39" s="5" t="n">
        <f aca="false">IFERROR(INDEX(מקור!$B$2:$B$309,MATCH("דודו|"&amp;A39,מקור!$L$2:$L$309,0)),"")</f>
        <v>97</v>
      </c>
      <c r="D39" s="6" t="n">
        <f aca="false">IFERROR(INDEX(מקור!$I$2:$I$309,MATCH("דודו|"&amp;A39,מקור!$L$2:$L$309,0)),"")</f>
        <v>11597.1</v>
      </c>
      <c r="E39" s="5" t="n">
        <f aca="false">IFERROR(INDEX(מקור!$M$2:$M$309,MATCH("דודו|"&amp;A39,מקור!$L$2:$L$309,0)),"")</f>
        <v>35</v>
      </c>
      <c r="F39" s="9" t="n">
        <f aca="false">IFERROR(E39-A39,"")</f>
        <v>0</v>
      </c>
    </row>
    <row r="40" customFormat="false" ht="15" hidden="false" customHeight="false" outlineLevel="0" collapsed="false">
      <c r="A40" s="5" t="n">
        <v>36</v>
      </c>
      <c r="B40" s="5" t="str">
        <f aca="false">IFERROR(INDEX(מקור!$A$2:$A$309,MATCH("דודו|"&amp;A40,מקור!$L$2:$L$309,0)),"")</f>
        <v>פסגת זאב~116</v>
      </c>
      <c r="C40" s="5" t="n">
        <f aca="false">IFERROR(INDEX(מקור!$B$2:$B$309,MATCH("דודו|"&amp;A40,מקור!$L$2:$L$309,0)),"")</f>
        <v>98</v>
      </c>
      <c r="D40" s="6" t="n">
        <f aca="false">IFERROR(INDEX(מקור!$I$2:$I$309,MATCH("דודו|"&amp;A40,מקור!$L$2:$L$309,0)),"")</f>
        <v>13513.8</v>
      </c>
      <c r="E40" s="5" t="n">
        <f aca="false">IFERROR(INDEX(מקור!$M$2:$M$309,MATCH("דודו|"&amp;A40,מקור!$L$2:$L$309,0)),"")</f>
        <v>29</v>
      </c>
      <c r="F40" s="9" t="n">
        <f aca="false">IFERROR(E40-A40,"")</f>
        <v>-7</v>
      </c>
    </row>
    <row r="41" customFormat="false" ht="15" hidden="false" customHeight="false" outlineLevel="0" collapsed="false">
      <c r="A41" s="5" t="n">
        <v>37</v>
      </c>
      <c r="B41" s="5" t="str">
        <f aca="false">IFERROR(INDEX(מקור!$A$2:$A$309,MATCH("דודו|"&amp;A41,מקור!$L$2:$L$309,0)),"")</f>
        <v>עמק רפאים~226</v>
      </c>
      <c r="C41" s="5" t="n">
        <f aca="false">IFERROR(INDEX(מקור!$B$2:$B$309,MATCH("דודו|"&amp;A41,מקור!$L$2:$L$309,0)),"")</f>
        <v>109</v>
      </c>
      <c r="D41" s="6" t="n">
        <f aca="false">IFERROR(INDEX(מקור!$I$2:$I$309,MATCH("דודו|"&amp;A41,מקור!$L$2:$L$309,0)),"")</f>
        <v>12807.3</v>
      </c>
      <c r="E41" s="5" t="n">
        <f aca="false">IFERROR(INDEX(מקור!$M$2:$M$309,MATCH("דודו|"&amp;A41,מקור!$L$2:$L$309,0)),"")</f>
        <v>33</v>
      </c>
      <c r="F41" s="9" t="n">
        <f aca="false">IFERROR(E41-A41,"")</f>
        <v>-4</v>
      </c>
    </row>
    <row r="42" customFormat="false" ht="15" hidden="false" customHeight="false" outlineLevel="0" collapsed="false">
      <c r="A42" s="5" t="n">
        <v>38</v>
      </c>
      <c r="B42" s="5" t="str">
        <f aca="false">IFERROR(INDEX(מקור!$A$2:$A$309,MATCH("דודו|"&amp;A42,מקור!$L$2:$L$309,0)),"")</f>
        <v>קניון בית-שמש~198</v>
      </c>
      <c r="C42" s="5" t="n">
        <f aca="false">IFERROR(INDEX(מקור!$B$2:$B$309,MATCH("דודו|"&amp;A42,מקור!$L$2:$L$309,0)),"")</f>
        <v>116</v>
      </c>
      <c r="D42" s="6" t="n">
        <f aca="false">IFERROR(INDEX(מקור!$I$2:$I$309,MATCH("דודו|"&amp;A42,מקור!$L$2:$L$309,0)),"")</f>
        <v>13484.7</v>
      </c>
      <c r="E42" s="5" t="n">
        <f aca="false">IFERROR(INDEX(מקור!$M$2:$M$309,MATCH("דודו|"&amp;A42,מקור!$L$2:$L$309,0)),"")</f>
        <v>30</v>
      </c>
      <c r="F42" s="9" t="n">
        <f aca="false">IFERROR(E42-A42,"")</f>
        <v>-8</v>
      </c>
    </row>
    <row r="43" customFormat="false" ht="15" hidden="false" customHeight="false" outlineLevel="0" collapsed="false">
      <c r="A43" s="5" t="n">
        <v>39</v>
      </c>
      <c r="B43" s="5" t="str">
        <f aca="false">IFERROR(INDEX(מקור!$A$2:$A$309,MATCH("דודו|"&amp;A43,מקור!$L$2:$L$309,0)),"")</f>
        <v>קניון הראל~250</v>
      </c>
      <c r="C43" s="5" t="n">
        <f aca="false">IFERROR(INDEX(מקור!$B$2:$B$309,MATCH("דודו|"&amp;A43,מקור!$L$2:$L$309,0)),"")</f>
        <v>118</v>
      </c>
      <c r="D43" s="6" t="n">
        <f aca="false">IFERROR(INDEX(מקור!$I$2:$I$309,MATCH("דודו|"&amp;A43,מקור!$L$2:$L$309,0)),"")</f>
        <v>11342.2</v>
      </c>
      <c r="E43" s="5" t="n">
        <f aca="false">IFERROR(INDEX(מקור!$M$2:$M$309,MATCH("דודו|"&amp;A43,מקור!$L$2:$L$309,0)),"")</f>
        <v>37</v>
      </c>
      <c r="F43" s="9" t="n">
        <f aca="false">IFERROR(E43-A43,"")</f>
        <v>-2</v>
      </c>
    </row>
    <row r="44" customFormat="false" ht="15" hidden="false" customHeight="false" outlineLevel="0" collapsed="false">
      <c r="A44" s="5" t="n">
        <v>40</v>
      </c>
      <c r="B44" s="5" t="str">
        <f aca="false">IFERROR(INDEX(מקור!$A$2:$A$309,MATCH("דודו|"&amp;A44,מקור!$L$2:$L$309,0)),"")</f>
        <v>גבעת שאול~88</v>
      </c>
      <c r="C44" s="5" t="n">
        <f aca="false">IFERROR(INDEX(מקור!$B$2:$B$309,MATCH("דודו|"&amp;A44,מקור!$L$2:$L$309,0)),"")</f>
        <v>121</v>
      </c>
      <c r="D44" s="6" t="n">
        <f aca="false">IFERROR(INDEX(מקור!$I$2:$I$309,MATCH("דודו|"&amp;A44,מקור!$L$2:$L$309,0)),"")</f>
        <v>11193</v>
      </c>
      <c r="E44" s="5" t="n">
        <f aca="false">IFERROR(INDEX(מקור!$M$2:$M$309,MATCH("דודו|"&amp;A44,מקור!$L$2:$L$309,0)),"")</f>
        <v>38</v>
      </c>
      <c r="F44" s="9" t="n">
        <f aca="false">IFERROR(E44-A44,"")</f>
        <v>-2</v>
      </c>
    </row>
    <row r="45" customFormat="false" ht="15" hidden="false" customHeight="false" outlineLevel="0" collapsed="false">
      <c r="A45" s="5" t="n">
        <v>41</v>
      </c>
      <c r="B45" s="5" t="str">
        <f aca="false">IFERROR(INDEX(מקור!$A$2:$A$309,MATCH("דודו|"&amp;A45,מקור!$L$2:$L$309,0)),"")</f>
        <v>שער- רחובות~147</v>
      </c>
      <c r="C45" s="5" t="n">
        <f aca="false">IFERROR(INDEX(מקור!$B$2:$B$309,MATCH("דודו|"&amp;A45,מקור!$L$2:$L$309,0)),"")</f>
        <v>135</v>
      </c>
      <c r="D45" s="6" t="n">
        <f aca="false">IFERROR(INDEX(מקור!$I$2:$I$309,MATCH("דודו|"&amp;A45,מקור!$L$2:$L$309,0)),"")</f>
        <v>9529.3</v>
      </c>
      <c r="E45" s="5" t="n">
        <f aca="false">IFERROR(INDEX(מקור!$M$2:$M$309,MATCH("דודו|"&amp;A45,מקור!$L$2:$L$309,0)),"")</f>
        <v>43</v>
      </c>
      <c r="F45" s="9" t="n">
        <f aca="false">IFERROR(E45-A45,"")</f>
        <v>2</v>
      </c>
    </row>
    <row r="46" customFormat="false" ht="15" hidden="false" customHeight="false" outlineLevel="0" collapsed="false">
      <c r="A46" s="5" t="n">
        <v>42</v>
      </c>
      <c r="B46" s="5" t="str">
        <f aca="false">IFERROR(INDEX(מקור!$A$2:$A$309,MATCH("דודו|"&amp;A46,מקור!$L$2:$L$309,0)),"")</f>
        <v>דימונה~135</v>
      </c>
      <c r="C46" s="5" t="n">
        <f aca="false">IFERROR(INDEX(מקור!$B$2:$B$309,MATCH("דודו|"&amp;A46,מקור!$L$2:$L$309,0)),"")</f>
        <v>152</v>
      </c>
      <c r="D46" s="6" t="n">
        <f aca="false">IFERROR(INDEX(מקור!$I$2:$I$309,MATCH("דודו|"&amp;A46,מקור!$L$2:$L$309,0)),"")</f>
        <v>7642.2</v>
      </c>
      <c r="E46" s="5" t="n">
        <f aca="false">IFERROR(INDEX(מקור!$M$2:$M$309,MATCH("דודו|"&amp;A46,מקור!$L$2:$L$309,0)),"")</f>
        <v>48</v>
      </c>
      <c r="F46" s="9" t="n">
        <f aca="false">IFERROR(E46-A46,"")</f>
        <v>6</v>
      </c>
    </row>
    <row r="47" customFormat="false" ht="15" hidden="false" customHeight="false" outlineLevel="0" collapsed="false">
      <c r="A47" s="5" t="n">
        <v>43</v>
      </c>
      <c r="B47" s="5" t="str">
        <f aca="false">IFERROR(INDEX(מקור!$A$2:$A$309,MATCH("דודו|"&amp;A47,מקור!$L$2:$L$309,0)),"")</f>
        <v>צים נתיבות~181</v>
      </c>
      <c r="C47" s="5" t="n">
        <f aca="false">IFERROR(INDEX(מקור!$B$2:$B$309,MATCH("דודו|"&amp;A47,מקור!$L$2:$L$309,0)),"")</f>
        <v>154</v>
      </c>
      <c r="D47" s="6" t="n">
        <f aca="false">IFERROR(INDEX(מקור!$I$2:$I$309,MATCH("דודו|"&amp;A47,מקור!$L$2:$L$309,0)),"")</f>
        <v>8075.6</v>
      </c>
      <c r="E47" s="5" t="n">
        <f aca="false">IFERROR(INDEX(מקור!$M$2:$M$309,MATCH("דודו|"&amp;A47,מקור!$L$2:$L$309,0)),"")</f>
        <v>47</v>
      </c>
      <c r="F47" s="9" t="n">
        <f aca="false">IFERROR(E47-A47,"")</f>
        <v>4</v>
      </c>
    </row>
    <row r="48" customFormat="false" ht="15" hidden="false" customHeight="false" outlineLevel="0" collapsed="false">
      <c r="A48" s="5" t="n">
        <v>44</v>
      </c>
      <c r="B48" s="5" t="str">
        <f aca="false">IFERROR(INDEX(מקור!$A$2:$A$309,MATCH("דודו|"&amp;A48,מקור!$L$2:$L$309,0)),"")</f>
        <v>דימונה דימרי סנטר~302</v>
      </c>
      <c r="C48" s="5" t="n">
        <f aca="false">IFERROR(INDEX(מקור!$B$2:$B$309,MATCH("דודו|"&amp;A48,מקור!$L$2:$L$309,0)),"")</f>
        <v>155</v>
      </c>
      <c r="D48" s="6" t="n">
        <f aca="false">IFERROR(INDEX(מקור!$I$2:$I$309,MATCH("דודו|"&amp;A48,מקור!$L$2:$L$309,0)),"")</f>
        <v>6409.1</v>
      </c>
      <c r="E48" s="5" t="n">
        <f aca="false">IFERROR(INDEX(מקור!$M$2:$M$309,MATCH("דודו|"&amp;A48,מקור!$L$2:$L$309,0)),"")</f>
        <v>53</v>
      </c>
      <c r="F48" s="9" t="n">
        <f aca="false">IFERROR(E48-A48,"")</f>
        <v>9</v>
      </c>
    </row>
    <row r="49" customFormat="false" ht="15" hidden="false" customHeight="false" outlineLevel="0" collapsed="false">
      <c r="A49" s="5" t="n">
        <v>45</v>
      </c>
      <c r="B49" s="5" t="str">
        <f aca="false">IFERROR(INDEX(מקור!$A$2:$A$309,MATCH("דודו|"&amp;A49,מקור!$L$2:$L$309,0)),"")</f>
        <v>רחובות החדשה~258</v>
      </c>
      <c r="C49" s="5" t="n">
        <f aca="false">IFERROR(INDEX(מקור!$B$2:$B$309,MATCH("דודו|"&amp;A49,מקור!$L$2:$L$309,0)),"")</f>
        <v>156</v>
      </c>
      <c r="D49" s="6" t="n">
        <f aca="false">IFERROR(INDEX(מקור!$I$2:$I$309,MATCH("דודו|"&amp;A49,מקור!$L$2:$L$309,0)),"")</f>
        <v>9090.1</v>
      </c>
      <c r="E49" s="5" t="n">
        <f aca="false">IFERROR(INDEX(מקור!$M$2:$M$309,MATCH("דודו|"&amp;A49,מקור!$L$2:$L$309,0)),"")</f>
        <v>45</v>
      </c>
      <c r="F49" s="9" t="n">
        <f aca="false">IFERROR(E49-A49,"")</f>
        <v>0</v>
      </c>
    </row>
    <row r="50" customFormat="false" ht="15" hidden="false" customHeight="false" outlineLevel="0" collapsed="false">
      <c r="A50" s="5" t="n">
        <v>46</v>
      </c>
      <c r="B50" s="5" t="str">
        <f aca="false">IFERROR(INDEX(מקור!$A$2:$A$309,MATCH("דודו|"&amp;A50,מקור!$L$2:$L$309,0)),"")</f>
        <v>ביג כרמי-גת~334</v>
      </c>
      <c r="C50" s="5" t="n">
        <f aca="false">IFERROR(INDEX(מקור!$B$2:$B$309,MATCH("דודו|"&amp;A50,מקור!$L$2:$L$309,0)),"")</f>
        <v>158</v>
      </c>
      <c r="D50" s="6" t="n">
        <f aca="false">IFERROR(INDEX(מקור!$I$2:$I$309,MATCH("דודו|"&amp;A50,מקור!$L$2:$L$309,0)),"")</f>
        <v>9835.3</v>
      </c>
      <c r="E50" s="5" t="n">
        <f aca="false">IFERROR(INDEX(מקור!$M$2:$M$309,MATCH("דודו|"&amp;A50,מקור!$L$2:$L$309,0)),"")</f>
        <v>42</v>
      </c>
      <c r="F50" s="9" t="n">
        <f aca="false">IFERROR(E50-A50,"")</f>
        <v>-4</v>
      </c>
    </row>
    <row r="51" customFormat="false" ht="15" hidden="false" customHeight="false" outlineLevel="0" collapsed="false">
      <c r="A51" s="5" t="n">
        <v>47</v>
      </c>
      <c r="B51" s="5" t="str">
        <f aca="false">IFERROR(INDEX(מקור!$A$2:$A$309,MATCH("דודו|"&amp;A51,מקור!$L$2:$L$309,0)),"")</f>
        <v>יכין-סנטר~169</v>
      </c>
      <c r="C51" s="5" t="n">
        <f aca="false">IFERROR(INDEX(מקור!$B$2:$B$309,MATCH("דודו|"&amp;A51,מקור!$L$2:$L$309,0)),"")</f>
        <v>170</v>
      </c>
      <c r="D51" s="6" t="n">
        <f aca="false">IFERROR(INDEX(מקור!$I$2:$I$309,MATCH("דודו|"&amp;A51,מקור!$L$2:$L$309,0)),"")</f>
        <v>5519.3</v>
      </c>
      <c r="E51" s="5" t="n">
        <f aca="false">IFERROR(INDEX(מקור!$M$2:$M$309,MATCH("דודו|"&amp;A51,מקור!$L$2:$L$309,0)),"")</f>
        <v>57</v>
      </c>
      <c r="F51" s="9" t="n">
        <f aca="false">IFERROR(E51-A51,"")</f>
        <v>10</v>
      </c>
    </row>
    <row r="52" customFormat="false" ht="15" hidden="false" customHeight="false" outlineLevel="0" collapsed="false">
      <c r="A52" s="5" t="n">
        <v>48</v>
      </c>
      <c r="B52" s="5" t="str">
        <f aca="false">IFERROR(INDEX(מקור!$A$2:$A$309,MATCH("דודו|"&amp;A52,מקור!$L$2:$L$309,0)),"")</f>
        <v>נתיבות~133</v>
      </c>
      <c r="C52" s="5" t="n">
        <f aca="false">IFERROR(INDEX(מקור!$B$2:$B$309,MATCH("דודו|"&amp;A52,מקור!$L$2:$L$309,0)),"")</f>
        <v>171</v>
      </c>
      <c r="D52" s="6" t="n">
        <f aca="false">IFERROR(INDEX(מקור!$I$2:$I$309,MATCH("דודו|"&amp;A52,מקור!$L$2:$L$309,0)),"")</f>
        <v>9168.6</v>
      </c>
      <c r="E52" s="5" t="n">
        <f aca="false">IFERROR(INDEX(מקור!$M$2:$M$309,MATCH("דודו|"&amp;A52,מקור!$L$2:$L$309,0)),"")</f>
        <v>44</v>
      </c>
      <c r="F52" s="9" t="n">
        <f aca="false">IFERROR(E52-A52,"")</f>
        <v>-4</v>
      </c>
    </row>
    <row r="53" customFormat="false" ht="15" hidden="false" customHeight="false" outlineLevel="0" collapsed="false">
      <c r="A53" s="5" t="n">
        <v>49</v>
      </c>
      <c r="B53" s="5" t="str">
        <f aca="false">IFERROR(INDEX(מקור!$A$2:$A$309,MATCH("דודו|"&amp;A53,מקור!$L$2:$L$309,0)),"")</f>
        <v>מזכרת-בתיה~182</v>
      </c>
      <c r="C53" s="5" t="n">
        <f aca="false">IFERROR(INDEX(מקור!$B$2:$B$309,MATCH("דודו|"&amp;A53,מקור!$L$2:$L$309,0)),"")</f>
        <v>181</v>
      </c>
      <c r="D53" s="6" t="n">
        <f aca="false">IFERROR(INDEX(מקור!$I$2:$I$309,MATCH("דודו|"&amp;A53,מקור!$L$2:$L$309,0)),"")</f>
        <v>10901.1</v>
      </c>
      <c r="E53" s="5" t="n">
        <f aca="false">IFERROR(INDEX(מקור!$M$2:$M$309,MATCH("דודו|"&amp;A53,מקור!$L$2:$L$309,0)),"")</f>
        <v>39</v>
      </c>
      <c r="F53" s="9" t="n">
        <f aca="false">IFERROR(E53-A53,"")</f>
        <v>-10</v>
      </c>
    </row>
    <row r="54" customFormat="false" ht="15" hidden="false" customHeight="false" outlineLevel="0" collapsed="false">
      <c r="A54" s="5" t="n">
        <v>50</v>
      </c>
      <c r="B54" s="5" t="str">
        <f aca="false">IFERROR(INDEX(מקור!$A$2:$A$309,MATCH("דודו|"&amp;A54,מקור!$L$2:$L$309,0)),"")</f>
        <v>ערד~36</v>
      </c>
      <c r="C54" s="5" t="n">
        <f aca="false">IFERROR(INDEX(מקור!$B$2:$B$309,MATCH("דודו|"&amp;A54,מקור!$L$2:$L$309,0)),"")</f>
        <v>185</v>
      </c>
      <c r="D54" s="6" t="n">
        <f aca="false">IFERROR(INDEX(מקור!$I$2:$I$309,MATCH("דודו|"&amp;A54,מקור!$L$2:$L$309,0)),"")</f>
        <v>6840.4</v>
      </c>
      <c r="E54" s="5" t="n">
        <f aca="false">IFERROR(INDEX(מקור!$M$2:$M$309,MATCH("דודו|"&amp;A54,מקור!$L$2:$L$309,0)),"")</f>
        <v>52</v>
      </c>
      <c r="F54" s="9" t="n">
        <f aca="false">IFERROR(E54-A54,"")</f>
        <v>2</v>
      </c>
    </row>
    <row r="55" customFormat="false" ht="15" hidden="false" customHeight="false" outlineLevel="0" collapsed="false">
      <c r="A55" s="5" t="n">
        <v>51</v>
      </c>
      <c r="B55" s="5" t="str">
        <f aca="false">IFERROR(INDEX(מקור!$A$2:$A$309,MATCH("דודו|"&amp;A55,מקור!$L$2:$L$309,0)),"")</f>
        <v>קרית היובל ירושלים~331</v>
      </c>
      <c r="C55" s="5" t="n">
        <f aca="false">IFERROR(INDEX(מקור!$B$2:$B$309,MATCH("דודו|"&amp;A55,מקור!$L$2:$L$309,0)),"")</f>
        <v>188</v>
      </c>
      <c r="D55" s="6" t="n">
        <f aca="false">IFERROR(INDEX(מקור!$I$2:$I$309,MATCH("דודו|"&amp;A55,מקור!$L$2:$L$309,0)),"")</f>
        <v>7071.2</v>
      </c>
      <c r="E55" s="5" t="n">
        <f aca="false">IFERROR(INDEX(מקור!$M$2:$M$309,MATCH("דודו|"&amp;A55,מקור!$L$2:$L$309,0)),"")</f>
        <v>51</v>
      </c>
      <c r="F55" s="9" t="n">
        <f aca="false">IFERROR(E55-A55,"")</f>
        <v>0</v>
      </c>
    </row>
    <row r="56" customFormat="false" ht="15" hidden="false" customHeight="false" outlineLevel="0" collapsed="false">
      <c r="A56" s="5" t="n">
        <v>52</v>
      </c>
      <c r="B56" s="5" t="str">
        <f aca="false">IFERROR(INDEX(מקור!$A$2:$A$309,MATCH("דודו|"&amp;A56,מקור!$L$2:$L$309,0)),"")</f>
        <v>לב העיר קרית גת~122</v>
      </c>
      <c r="C56" s="5" t="n">
        <f aca="false">IFERROR(INDEX(מקור!$B$2:$B$309,MATCH("דודו|"&amp;A56,מקור!$L$2:$L$309,0)),"")</f>
        <v>189</v>
      </c>
      <c r="D56" s="6" t="n">
        <f aca="false">IFERROR(INDEX(מקור!$I$2:$I$309,MATCH("דודו|"&amp;A56,מקור!$L$2:$L$309,0)),"")</f>
        <v>7097.5</v>
      </c>
      <c r="E56" s="5" t="n">
        <f aca="false">IFERROR(INDEX(מקור!$M$2:$M$309,MATCH("דודו|"&amp;A56,מקור!$L$2:$L$309,0)),"")</f>
        <v>50</v>
      </c>
      <c r="F56" s="9" t="n">
        <f aca="false">IFERROR(E56-A56,"")</f>
        <v>-2</v>
      </c>
    </row>
    <row r="57" customFormat="false" ht="15" hidden="false" customHeight="false" outlineLevel="0" collapsed="false">
      <c r="A57" s="5" t="n">
        <v>53</v>
      </c>
      <c r="B57" s="5" t="str">
        <f aca="false">IFERROR(INDEX(מקור!$A$2:$A$309,MATCH("דודו|"&amp;A57,מקור!$L$2:$L$309,0)),"")</f>
        <v>הרצל רחובות~81</v>
      </c>
      <c r="C57" s="5" t="n">
        <f aca="false">IFERROR(INDEX(מקור!$B$2:$B$309,MATCH("דודו|"&amp;A57,מקור!$L$2:$L$309,0)),"")</f>
        <v>196</v>
      </c>
      <c r="D57" s="6" t="n">
        <f aca="false">IFERROR(INDEX(מקור!$I$2:$I$309,MATCH("דודו|"&amp;A57,מקור!$L$2:$L$309,0)),"")</f>
        <v>7577.1</v>
      </c>
      <c r="E57" s="5" t="n">
        <f aca="false">IFERROR(INDEX(מקור!$M$2:$M$309,MATCH("דודו|"&amp;A57,מקור!$L$2:$L$309,0)),"")</f>
        <v>49</v>
      </c>
      <c r="F57" s="9" t="n">
        <f aca="false">IFERROR(E57-A57,"")</f>
        <v>-4</v>
      </c>
    </row>
    <row r="58" customFormat="false" ht="15" hidden="false" customHeight="false" outlineLevel="0" collapsed="false">
      <c r="A58" s="5" t="n">
        <v>54</v>
      </c>
      <c r="B58" s="5" t="str">
        <f aca="false">IFERROR(INDEX(מקור!$A$2:$A$309,MATCH("דודו|"&amp;A58,מקור!$L$2:$L$309,0)),"")</f>
        <v>חוצות אשקלון~245</v>
      </c>
      <c r="C58" s="5" t="n">
        <f aca="false">IFERROR(INDEX(מקור!$B$2:$B$309,MATCH("דודו|"&amp;A58,מקור!$L$2:$L$309,0)),"")</f>
        <v>206</v>
      </c>
      <c r="D58" s="6" t="n">
        <f aca="false">IFERROR(INDEX(מקור!$I$2:$I$309,MATCH("דודו|"&amp;A58,מקור!$L$2:$L$309,0)),"")</f>
        <v>4713.3</v>
      </c>
      <c r="E58" s="5" t="n">
        <f aca="false">IFERROR(INDEX(מקור!$M$2:$M$309,MATCH("דודו|"&amp;A58,מקור!$L$2:$L$309,0)),"")</f>
        <v>60</v>
      </c>
      <c r="F58" s="9" t="n">
        <f aca="false">IFERROR(E58-A58,"")</f>
        <v>6</v>
      </c>
    </row>
    <row r="59" customFormat="false" ht="15" hidden="false" customHeight="false" outlineLevel="0" collapsed="false">
      <c r="A59" s="5" t="n">
        <v>55</v>
      </c>
      <c r="B59" s="5" t="str">
        <f aca="false">IFERROR(INDEX(מקור!$A$2:$A$309,MATCH("דודו|"&amp;A59,מקור!$L$2:$L$309,0)),"")</f>
        <v>אליהו קורן י-ם~240</v>
      </c>
      <c r="C59" s="5" t="n">
        <f aca="false">IFERROR(INDEX(מקור!$B$2:$B$309,MATCH("דודו|"&amp;A59,מקור!$L$2:$L$309,0)),"")</f>
        <v>223</v>
      </c>
      <c r="D59" s="6" t="n">
        <f aca="false">IFERROR(INDEX(מקור!$I$2:$I$309,MATCH("דודו|"&amp;A59,מקור!$L$2:$L$309,0)),"")</f>
        <v>10094.1</v>
      </c>
      <c r="E59" s="5" t="n">
        <f aca="false">IFERROR(INDEX(מקור!$M$2:$M$309,MATCH("דודו|"&amp;A59,מקור!$L$2:$L$309,0)),"")</f>
        <v>41</v>
      </c>
      <c r="F59" s="9" t="n">
        <f aca="false">IFERROR(E59-A59,"")</f>
        <v>-14</v>
      </c>
    </row>
    <row r="60" customFormat="false" ht="15" hidden="false" customHeight="false" outlineLevel="0" collapsed="false">
      <c r="A60" s="5" t="n">
        <v>56</v>
      </c>
      <c r="B60" s="5" t="str">
        <f aca="false">IFERROR(INDEX(מקור!$A$2:$A$309,MATCH("דודו|"&amp;A60,מקור!$L$2:$L$309,0)),"")</f>
        <v>מרכז הנשיא רחובות~326</v>
      </c>
      <c r="C60" s="5" t="n">
        <f aca="false">IFERROR(INDEX(מקור!$B$2:$B$309,MATCH("דודו|"&amp;A60,מקור!$L$2:$L$309,0)),"")</f>
        <v>224</v>
      </c>
      <c r="D60" s="6" t="n">
        <f aca="false">IFERROR(INDEX(מקור!$I$2:$I$309,MATCH("דודו|"&amp;A60,מקור!$L$2:$L$309,0)),"")</f>
        <v>5815.8</v>
      </c>
      <c r="E60" s="5" t="n">
        <f aca="false">IFERROR(INDEX(מקור!$M$2:$M$309,MATCH("דודו|"&amp;A60,מקור!$L$2:$L$309,0)),"")</f>
        <v>55</v>
      </c>
      <c r="F60" s="9" t="n">
        <f aca="false">IFERROR(E60-A60,"")</f>
        <v>-1</v>
      </c>
    </row>
    <row r="61" customFormat="false" ht="15" hidden="false" customHeight="false" outlineLevel="0" collapsed="false">
      <c r="A61" s="5" t="n">
        <v>57</v>
      </c>
      <c r="B61" s="5" t="str">
        <f aca="false">IFERROR(INDEX(מקור!$A$2:$A$309,MATCH("דודו|"&amp;A61,מקור!$L$2:$L$309,0)),"")</f>
        <v>אגמים אשקלון~318</v>
      </c>
      <c r="C61" s="5" t="n">
        <f aca="false">IFERROR(INDEX(מקור!$B$2:$B$309,MATCH("דודו|"&amp;A61,מקור!$L$2:$L$309,0)),"")</f>
        <v>229</v>
      </c>
      <c r="D61" s="6" t="n">
        <f aca="false">IFERROR(INDEX(מקור!$I$2:$I$309,MATCH("דודו|"&amp;A61,מקור!$L$2:$L$309,0)),"")</f>
        <v>5259.1</v>
      </c>
      <c r="E61" s="5" t="n">
        <f aca="false">IFERROR(INDEX(מקור!$M$2:$M$309,MATCH("דודו|"&amp;A61,מקור!$L$2:$L$309,0)),"")</f>
        <v>58</v>
      </c>
      <c r="F61" s="9" t="n">
        <f aca="false">IFERROR(E61-A61,"")</f>
        <v>1</v>
      </c>
    </row>
    <row r="62" customFormat="false" ht="15" hidden="false" customHeight="false" outlineLevel="0" collapsed="false">
      <c r="A62" s="5" t="n">
        <v>58</v>
      </c>
      <c r="B62" s="5" t="str">
        <f aca="false">IFERROR(INDEX(מקור!$A$2:$A$309,MATCH("דודו|"&amp;A62,מקור!$L$2:$L$309,0)),"")</f>
        <v>קניון האחים ישראל~285</v>
      </c>
      <c r="C62" s="5" t="n">
        <f aca="false">IFERROR(INDEX(מקור!$B$2:$B$309,MATCH("דודו|"&amp;A62,מקור!$L$2:$L$309,0)),"")</f>
        <v>235</v>
      </c>
      <c r="D62" s="6" t="n">
        <f aca="false">IFERROR(INDEX(מקור!$I$2:$I$309,MATCH("דודו|"&amp;A62,מקור!$L$2:$L$309,0)),"")</f>
        <v>6204.2</v>
      </c>
      <c r="E62" s="5" t="n">
        <f aca="false">IFERROR(INDEX(מקור!$M$2:$M$309,MATCH("דודו|"&amp;A62,מקור!$L$2:$L$309,0)),"")</f>
        <v>54</v>
      </c>
      <c r="F62" s="9" t="n">
        <f aca="false">IFERROR(E62-A62,"")</f>
        <v>-4</v>
      </c>
    </row>
    <row r="63" customFormat="false" ht="15" hidden="false" customHeight="false" outlineLevel="0" collapsed="false">
      <c r="A63" s="5" t="n">
        <v>59</v>
      </c>
      <c r="B63" s="5" t="str">
        <f aca="false">IFERROR(INDEX(מקור!$A$2:$A$309,MATCH("דודו|"&amp;A63,מקור!$L$2:$L$309,0)),"")</f>
        <v>בית חנינא~335</v>
      </c>
      <c r="C63" s="5" t="n">
        <f aca="false">IFERROR(INDEX(מקור!$B$2:$B$309,MATCH("דודו|"&amp;A63,מקור!$L$2:$L$309,0)),"")</f>
        <v>237</v>
      </c>
      <c r="D63" s="6" t="n">
        <f aca="false">IFERROR(INDEX(מקור!$I$2:$I$309,MATCH("דודו|"&amp;A63,מקור!$L$2:$L$309,0)),"")</f>
        <v>5642.9</v>
      </c>
      <c r="E63" s="5" t="n">
        <f aca="false">IFERROR(INDEX(מקור!$M$2:$M$309,MATCH("דודו|"&amp;A63,מקור!$L$2:$L$309,0)),"")</f>
        <v>56</v>
      </c>
      <c r="F63" s="9" t="n">
        <f aca="false">IFERROR(E63-A63,"")</f>
        <v>-3</v>
      </c>
    </row>
    <row r="64" customFormat="false" ht="15" hidden="false" customHeight="false" outlineLevel="0" collapsed="false">
      <c r="A64" s="5" t="n">
        <v>60</v>
      </c>
      <c r="B64" s="5" t="str">
        <f aca="false">IFERROR(INDEX(מקור!$A$2:$A$309,MATCH("דודו|"&amp;A64,מקור!$L$2:$L$309,0)),"")</f>
        <v>גילה~7</v>
      </c>
      <c r="C64" s="5" t="n">
        <f aca="false">IFERROR(INDEX(מקור!$B$2:$B$309,MATCH("דודו|"&amp;A64,מקור!$L$2:$L$309,0)),"")</f>
        <v>238</v>
      </c>
      <c r="D64" s="6" t="n">
        <f aca="false">IFERROR(INDEX(מקור!$I$2:$I$309,MATCH("דודו|"&amp;A64,מקור!$L$2:$L$309,0)),"")</f>
        <v>4316.1</v>
      </c>
      <c r="E64" s="5" t="n">
        <f aca="false">IFERROR(INDEX(מקור!$M$2:$M$309,MATCH("דודו|"&amp;A64,מקור!$L$2:$L$309,0)),"")</f>
        <v>61</v>
      </c>
      <c r="F64" s="9" t="n">
        <f aca="false">IFERROR(E64-A64,"")</f>
        <v>1</v>
      </c>
    </row>
    <row r="65" customFormat="false" ht="15" hidden="false" customHeight="false" outlineLevel="0" collapsed="false">
      <c r="A65" s="5" t="n">
        <v>61</v>
      </c>
      <c r="B65" s="5" t="str">
        <f aca="false">IFERROR(INDEX(מקור!$A$2:$A$309,MATCH("דודו|"&amp;A65,מקור!$L$2:$L$309,0)),"")</f>
        <v>אסף הרופא~264</v>
      </c>
      <c r="C65" s="5" t="n">
        <f aca="false">IFERROR(INDEX(מקור!$B$2:$B$309,MATCH("דודו|"&amp;A65,מקור!$L$2:$L$309,0)),"")</f>
        <v>239</v>
      </c>
      <c r="D65" s="6" t="n">
        <f aca="false">IFERROR(INDEX(מקור!$I$2:$I$309,MATCH("דודו|"&amp;A65,מקור!$L$2:$L$309,0)),"")</f>
        <v>4994.4</v>
      </c>
      <c r="E65" s="5" t="n">
        <f aca="false">IFERROR(INDEX(מקור!$M$2:$M$309,MATCH("דודו|"&amp;A65,מקור!$L$2:$L$309,0)),"")</f>
        <v>59</v>
      </c>
      <c r="F65" s="9" t="n">
        <f aca="false">IFERROR(E65-A65,"")</f>
        <v>-2</v>
      </c>
    </row>
    <row r="66" customFormat="false" ht="15" hidden="false" customHeight="false" outlineLevel="0" collapsed="false">
      <c r="A66" s="5" t="n">
        <v>62</v>
      </c>
      <c r="B66" s="5" t="str">
        <f aca="false">IFERROR(INDEX(מקור!$A$2:$A$309,MATCH("דודו|"&amp;A66,מקור!$L$2:$L$309,0)),"")</f>
        <v>קניון מבשרת~248</v>
      </c>
      <c r="C66" s="5" t="n">
        <f aca="false">IFERROR(INDEX(מקור!$B$2:$B$309,MATCH("דודו|"&amp;A66,מקור!$L$2:$L$309,0)),"")</f>
        <v>246</v>
      </c>
      <c r="D66" s="6" t="n">
        <f aca="false">IFERROR(INDEX(מקור!$I$2:$I$309,MATCH("דודו|"&amp;A66,מקור!$L$2:$L$309,0)),"")</f>
        <v>2856.9</v>
      </c>
      <c r="E66" s="5" t="n">
        <f aca="false">IFERROR(INDEX(מקור!$M$2:$M$309,MATCH("דודו|"&amp;A66,מקור!$L$2:$L$309,0)),"")</f>
        <v>65</v>
      </c>
      <c r="F66" s="9" t="n">
        <f aca="false">IFERROR(E66-A66,"")</f>
        <v>3</v>
      </c>
    </row>
    <row r="67" customFormat="false" ht="15" hidden="false" customHeight="false" outlineLevel="0" collapsed="false">
      <c r="A67" s="5" t="n">
        <v>63</v>
      </c>
      <c r="B67" s="5" t="str">
        <f aca="false">IFERROR(INDEX(מקור!$A$2:$A$309,MATCH("דודו|"&amp;A67,מקור!$L$2:$L$309,0)),"")</f>
        <v>הר-יונה~280</v>
      </c>
      <c r="C67" s="5" t="n">
        <f aca="false">IFERROR(INDEX(מקור!$B$2:$B$309,MATCH("דודו|"&amp;A67,מקור!$L$2:$L$309,0)),"")</f>
        <v>259</v>
      </c>
      <c r="D67" s="6" t="n">
        <f aca="false">IFERROR(INDEX(מקור!$I$2:$I$309,MATCH("דודו|"&amp;A67,מקור!$L$2:$L$309,0)),"")</f>
        <v>3276.5</v>
      </c>
      <c r="E67" s="5" t="n">
        <f aca="false">IFERROR(INDEX(מקור!$M$2:$M$309,MATCH("דודו|"&amp;A67,מקור!$L$2:$L$309,0)),"")</f>
        <v>63</v>
      </c>
      <c r="F67" s="9" t="n">
        <f aca="false">IFERROR(E67-A67,"")</f>
        <v>0</v>
      </c>
    </row>
    <row r="68" customFormat="false" ht="15" hidden="false" customHeight="false" outlineLevel="0" collapsed="false">
      <c r="A68" s="5" t="n">
        <v>64</v>
      </c>
      <c r="B68" s="5" t="str">
        <f aca="false">IFERROR(INDEX(מקור!$A$2:$A$309,MATCH("דודו|"&amp;A68,מקור!$L$2:$L$309,0)),"")</f>
        <v>עטרות~274</v>
      </c>
      <c r="C68" s="5" t="n">
        <f aca="false">IFERROR(INDEX(מקור!$B$2:$B$309,MATCH("דודו|"&amp;A68,מקור!$L$2:$L$309,0)),"")</f>
        <v>283</v>
      </c>
      <c r="D68" s="6" t="n">
        <f aca="false">IFERROR(INDEX(מקור!$I$2:$I$309,MATCH("דודו|"&amp;A68,מקור!$L$2:$L$309,0)),"")</f>
        <v>2637</v>
      </c>
      <c r="E68" s="5" t="n">
        <f aca="false">IFERROR(INDEX(מקור!$M$2:$M$309,MATCH("דודו|"&amp;A68,מקור!$L$2:$L$309,0)),"")</f>
        <v>66</v>
      </c>
      <c r="F68" s="9" t="n">
        <f aca="false">IFERROR(E68-A68,"")</f>
        <v>2</v>
      </c>
    </row>
    <row r="69" customFormat="false" ht="15" hidden="false" customHeight="false" outlineLevel="0" collapsed="false">
      <c r="A69" s="5" t="n">
        <v>65</v>
      </c>
      <c r="B69" s="5" t="str">
        <f aca="false">IFERROR(INDEX(מקור!$A$2:$A$309,MATCH("דודו|"&amp;A69,מקור!$L$2:$L$309,0)),"")</f>
        <v>נתיבות מערב~304</v>
      </c>
      <c r="C69" s="5" t="n">
        <f aca="false">IFERROR(INDEX(מקור!$B$2:$B$309,MATCH("דודו|"&amp;A69,מקור!$L$2:$L$309,0)),"")</f>
        <v>286</v>
      </c>
      <c r="D69" s="6" t="n">
        <f aca="false">IFERROR(INDEX(מקור!$I$2:$I$309,MATCH("דודו|"&amp;A69,מקור!$L$2:$L$309,0)),"")</f>
        <v>3663</v>
      </c>
      <c r="E69" s="5" t="n">
        <f aca="false">IFERROR(INDEX(מקור!$M$2:$M$309,MATCH("דודו|"&amp;A69,מקור!$L$2:$L$309,0)),"")</f>
        <v>62</v>
      </c>
      <c r="F69" s="9" t="n">
        <f aca="false">IFERROR(E69-A69,"")</f>
        <v>-3</v>
      </c>
    </row>
    <row r="70" customFormat="false" ht="15" hidden="false" customHeight="false" outlineLevel="0" collapsed="false">
      <c r="A70" s="5" t="n">
        <v>66</v>
      </c>
      <c r="B70" s="5" t="str">
        <f aca="false">IFERROR(INDEX(מקור!$A$2:$A$309,MATCH("דודו|"&amp;A70,מקור!$L$2:$L$309,0)),"")</f>
        <v>קינג ג'ורג' ירושלים~286</v>
      </c>
      <c r="C70" s="5" t="n">
        <f aca="false">IFERROR(INDEX(מקור!$B$2:$B$309,MATCH("דודו|"&amp;A70,מקור!$L$2:$L$309,0)),"")</f>
        <v>288</v>
      </c>
      <c r="D70" s="6" t="n">
        <f aca="false">IFERROR(INDEX(מקור!$I$2:$I$309,MATCH("דודו|"&amp;A70,מקור!$L$2:$L$309,0)),"")</f>
        <v>1835.1</v>
      </c>
      <c r="E70" s="5" t="n">
        <f aca="false">IFERROR(INDEX(מקור!$M$2:$M$309,MATCH("דודו|"&amp;A70,מקור!$L$2:$L$309,0)),"")</f>
        <v>68</v>
      </c>
      <c r="F70" s="9" t="n">
        <f aca="false">IFERROR(E70-A70,"")</f>
        <v>2</v>
      </c>
    </row>
    <row r="71" customFormat="false" ht="15" hidden="false" customHeight="false" outlineLevel="0" collapsed="false">
      <c r="A71" s="5" t="n">
        <v>67</v>
      </c>
      <c r="B71" s="5" t="str">
        <f aca="false">IFERROR(INDEX(מקור!$A$2:$A$309,MATCH("דודו|"&amp;A71,מקור!$L$2:$L$309,0)),"")</f>
        <v>מורשת מודיעין~325</v>
      </c>
      <c r="C71" s="5" t="n">
        <f aca="false">IFERROR(INDEX(מקור!$B$2:$B$309,MATCH("דודו|"&amp;A71,מקור!$L$2:$L$309,0)),"")</f>
        <v>298</v>
      </c>
      <c r="D71" s="6" t="n">
        <f aca="false">IFERROR(INDEX(מקור!$I$2:$I$309,MATCH("דודו|"&amp;A71,מקור!$L$2:$L$309,0)),"")</f>
        <v>2907.8</v>
      </c>
      <c r="E71" s="5" t="n">
        <f aca="false">IFERROR(INDEX(מקור!$M$2:$M$309,MATCH("דודו|"&amp;A71,מקור!$L$2:$L$309,0)),"")</f>
        <v>64</v>
      </c>
      <c r="F71" s="9" t="n">
        <f aca="false">IFERROR(E71-A71,"")</f>
        <v>-3</v>
      </c>
    </row>
    <row r="72" customFormat="false" ht="15" hidden="false" customHeight="false" outlineLevel="0" collapsed="false">
      <c r="A72" s="5" t="n">
        <v>68</v>
      </c>
      <c r="B72" s="5" t="str">
        <f aca="false">IFERROR(INDEX(מקור!$A$2:$A$309,MATCH("דודו|"&amp;A72,מקור!$L$2:$L$309,0)),"")</f>
        <v>אשדוד ט"ז~345</v>
      </c>
      <c r="C72" s="5" t="n">
        <f aca="false">IFERROR(INDEX(מקור!$B$2:$B$309,MATCH("דודו|"&amp;A72,מקור!$L$2:$L$309,0)),"")</f>
        <v>301</v>
      </c>
      <c r="D72" s="6" t="n">
        <f aca="false">IFERROR(INDEX(מקור!$I$2:$I$309,MATCH("דודו|"&amp;A72,מקור!$L$2:$L$309,0)),"")</f>
        <v>2594.7</v>
      </c>
      <c r="E72" s="5" t="n">
        <f aca="false">IFERROR(INDEX(מקור!$M$2:$M$309,MATCH("דודו|"&amp;A72,מקור!$L$2:$L$309,0)),"")</f>
        <v>67</v>
      </c>
      <c r="F72" s="9" t="n">
        <f aca="false">IFERROR(E72-A72,"")</f>
        <v>-1</v>
      </c>
    </row>
    <row r="74" customFormat="false" ht="45" hidden="false" customHeight="true" outlineLevel="0" collapsed="false">
      <c r="A74" s="8" t="s">
        <v>18</v>
      </c>
      <c r="B74" s="8"/>
      <c r="C74" s="8"/>
      <c r="D74" s="8"/>
      <c r="E74" s="8"/>
      <c r="F74" s="8"/>
    </row>
  </sheetData>
  <mergeCells count="2">
    <mergeCell ref="A1:F1"/>
    <mergeCell ref="A74:F74"/>
  </mergeCells>
  <conditionalFormatting sqref="A5:F72">
    <cfRule type="expression" priority="2" aboveAverage="0" equalAverage="0" bottom="0" percent="0" rank="0" text="" dxfId="0">
      <formula>AND(ISNUMBER($F5),$F5&gt;=10)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8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18"/>
    <col collapsed="false" customWidth="true" hidden="false" outlineLevel="0" max="15" min="15" style="0" width="16"/>
    <col collapsed="false" customWidth="true" hidden="false" outlineLevel="0" max="16" min="16" style="0" width="12"/>
  </cols>
  <sheetData>
    <row r="1" customFormat="false" ht="26.8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O1" s="2" t="s">
        <v>1</v>
      </c>
      <c r="P1" s="3" t="n">
        <v>46235</v>
      </c>
    </row>
    <row r="2" customFormat="false" ht="15" hidden="false" customHeight="false" outlineLevel="0" collapsed="false">
      <c r="A2" s="5" t="s">
        <v>32</v>
      </c>
      <c r="B2" s="5" t="n">
        <v>253</v>
      </c>
      <c r="C2" s="5" t="n">
        <v>223</v>
      </c>
      <c r="D2" s="5" t="s">
        <v>33</v>
      </c>
      <c r="E2" s="5" t="s">
        <v>34</v>
      </c>
      <c r="F2" s="5" t="s">
        <v>35</v>
      </c>
      <c r="G2" s="5"/>
      <c r="H2" s="5"/>
      <c r="I2" s="6" t="n">
        <v>3445</v>
      </c>
      <c r="J2" s="6" t="n">
        <v>5811.6</v>
      </c>
      <c r="K2" s="5" t="str">
        <f aca="false">IF(F2="","",TRIM(F2)&amp;"|"&amp;(SUMPRODUCT((TRIM($F$2:$F$309)=TRIM(F2))*($I$2:$I$309&gt;I2))+1))</f>
        <v>חיים|77</v>
      </c>
      <c r="L2" s="5" t="str">
        <f aca="false">IF(F2="","",TRIM(F2)&amp;"|"&amp;(SUMPRODUCT((TRIM($F$2:$F$309)=TRIM(F2))*($B$2:$B$309&lt;B2))+1))</f>
        <v>חיים|73</v>
      </c>
      <c r="M2" s="5" t="n">
        <f aca="false">IF(F2="","",SUMPRODUCT((TRIM($F$2:$F$309)=TRIM(F2))*($I$2:$I$309&gt;I2))+1)</f>
        <v>77</v>
      </c>
    </row>
    <row r="3" customFormat="false" ht="15" hidden="false" customHeight="false" outlineLevel="0" collapsed="false">
      <c r="A3" s="5" t="s">
        <v>36</v>
      </c>
      <c r="B3" s="5" t="n">
        <v>80</v>
      </c>
      <c r="C3" s="5" t="n">
        <v>145</v>
      </c>
      <c r="D3" s="5" t="s">
        <v>37</v>
      </c>
      <c r="E3" s="5" t="s">
        <v>37</v>
      </c>
      <c r="F3" s="5" t="s">
        <v>35</v>
      </c>
      <c r="G3" s="5"/>
      <c r="H3" s="5"/>
      <c r="I3" s="6" t="n">
        <v>20526</v>
      </c>
      <c r="J3" s="6" t="n">
        <v>24134.5</v>
      </c>
      <c r="K3" s="5" t="str">
        <f aca="false">IF(F3="","",TRIM(F3)&amp;"|"&amp;(SUMPRODUCT((TRIM($F$2:$F$309)=TRIM(F3))*($I$2:$I$309&gt;I3))+1))</f>
        <v>חיים|9</v>
      </c>
      <c r="L3" s="5" t="str">
        <f aca="false">IF(F3="","",TRIM(F3)&amp;"|"&amp;(SUMPRODUCT((TRIM($F$2:$F$309)=TRIM(F3))*($B$2:$B$309&lt;B3))+1))</f>
        <v>חיים|26</v>
      </c>
      <c r="M3" s="5" t="n">
        <f aca="false">IF(F3="","",SUMPRODUCT((TRIM($F$2:$F$309)=TRIM(F3))*($I$2:$I$309&gt;I3))+1)</f>
        <v>9</v>
      </c>
    </row>
    <row r="4" customFormat="false" ht="15" hidden="false" customHeight="false" outlineLevel="0" collapsed="false">
      <c r="A4" s="5" t="s">
        <v>38</v>
      </c>
      <c r="B4" s="5" t="n">
        <v>229</v>
      </c>
      <c r="C4" s="5" t="n">
        <v>227</v>
      </c>
      <c r="D4" s="5" t="s">
        <v>39</v>
      </c>
      <c r="E4" s="5" t="s">
        <v>40</v>
      </c>
      <c r="F4" s="5" t="s">
        <v>11</v>
      </c>
      <c r="G4" s="5"/>
      <c r="H4" s="5"/>
      <c r="I4" s="6" t="n">
        <v>5259.1</v>
      </c>
      <c r="J4" s="6" t="n">
        <v>17310.2</v>
      </c>
      <c r="K4" s="5" t="str">
        <f aca="false">IF(F4="","",TRIM(F4)&amp;"|"&amp;(SUMPRODUCT((TRIM($F$2:$F$309)=TRIM(F4))*($I$2:$I$309&gt;I4))+1))</f>
        <v>דודו|58</v>
      </c>
      <c r="L4" s="5" t="str">
        <f aca="false">IF(F4="","",TRIM(F4)&amp;"|"&amp;(SUMPRODUCT((TRIM($F$2:$F$309)=TRIM(F4))*($B$2:$B$309&lt;B4))+1))</f>
        <v>דודו|57</v>
      </c>
      <c r="M4" s="5" t="n">
        <f aca="false">IF(F4="","",SUMPRODUCT((TRIM($F$2:$F$309)=TRIM(F4))*($I$2:$I$309&gt;I4))+1)</f>
        <v>58</v>
      </c>
    </row>
    <row r="5" customFormat="false" ht="15" hidden="false" customHeight="false" outlineLevel="0" collapsed="false">
      <c r="A5" s="5" t="s">
        <v>41</v>
      </c>
      <c r="B5" s="5" t="n">
        <v>213</v>
      </c>
      <c r="C5" s="5" t="n">
        <v>179</v>
      </c>
      <c r="D5" s="5" t="s">
        <v>42</v>
      </c>
      <c r="E5" s="5" t="s">
        <v>34</v>
      </c>
      <c r="F5" s="5" t="s">
        <v>35</v>
      </c>
      <c r="G5" s="5"/>
      <c r="H5" s="5"/>
      <c r="I5" s="6" t="n">
        <v>8559.2</v>
      </c>
      <c r="J5" s="6" t="n">
        <v>19823.2</v>
      </c>
      <c r="K5" s="5" t="str">
        <f aca="false">IF(F5="","",TRIM(F5)&amp;"|"&amp;(SUMPRODUCT((TRIM($F$2:$F$309)=TRIM(F5))*($I$2:$I$309&gt;I5))+1))</f>
        <v>חיים|49</v>
      </c>
      <c r="L5" s="5" t="str">
        <f aca="false">IF(F5="","",TRIM(F5)&amp;"|"&amp;(SUMPRODUCT((TRIM($F$2:$F$309)=TRIM(F5))*($B$2:$B$309&lt;B5))+1))</f>
        <v>חיים|65</v>
      </c>
      <c r="M5" s="5" t="n">
        <f aca="false">IF(F5="","",SUMPRODUCT((TRIM($F$2:$F$309)=TRIM(F5))*($I$2:$I$309&gt;I5))+1)</f>
        <v>49</v>
      </c>
    </row>
    <row r="6" customFormat="false" ht="15" hidden="false" customHeight="false" outlineLevel="0" collapsed="false">
      <c r="A6" s="5" t="s">
        <v>43</v>
      </c>
      <c r="B6" s="5" t="n">
        <v>112</v>
      </c>
      <c r="C6" s="5" t="n">
        <v>93</v>
      </c>
      <c r="D6" s="5" t="s">
        <v>44</v>
      </c>
      <c r="E6" s="5" t="s">
        <v>45</v>
      </c>
      <c r="F6" s="5" t="s">
        <v>46</v>
      </c>
      <c r="G6" s="5" t="n">
        <v>12</v>
      </c>
      <c r="H6" s="5"/>
      <c r="I6" s="6" t="n">
        <v>10897.3</v>
      </c>
      <c r="J6" s="6" t="n">
        <v>18916.7</v>
      </c>
      <c r="K6" s="5" t="str">
        <f aca="false">IF(F6="","",TRIM(F6)&amp;"|"&amp;(SUMPRODUCT((TRIM($F$2:$F$309)=TRIM(F6))*($I$2:$I$309&gt;I6))+1))</f>
        <v>חדש|16</v>
      </c>
      <c r="L6" s="5" t="str">
        <f aca="false">IF(F6="","",TRIM(F6)&amp;"|"&amp;(SUMPRODUCT((TRIM($F$2:$F$309)=TRIM(F6))*($B$2:$B$309&lt;B6))+1))</f>
        <v>חדש|17</v>
      </c>
      <c r="M6" s="5" t="n">
        <f aca="false">IF(F6="","",SUMPRODUCT((TRIM($F$2:$F$309)=TRIM(F6))*($I$2:$I$309&gt;I6))+1)</f>
        <v>16</v>
      </c>
    </row>
    <row r="7" customFormat="false" ht="15" hidden="false" customHeight="false" outlineLevel="0" collapsed="false">
      <c r="A7" s="5" t="s">
        <v>47</v>
      </c>
      <c r="B7" s="5" t="n">
        <v>198</v>
      </c>
      <c r="C7" s="5" t="n">
        <v>167</v>
      </c>
      <c r="D7" s="5" t="s">
        <v>48</v>
      </c>
      <c r="E7" s="5" t="s">
        <v>49</v>
      </c>
      <c r="F7" s="5" t="s">
        <v>46</v>
      </c>
      <c r="G7" s="5"/>
      <c r="H7" s="5"/>
      <c r="I7" s="6" t="n">
        <v>8203.8</v>
      </c>
      <c r="J7" s="6" t="n">
        <v>14488.6</v>
      </c>
      <c r="K7" s="5" t="str">
        <f aca="false">IF(F7="","",TRIM(F7)&amp;"|"&amp;(SUMPRODUCT((TRIM($F$2:$F$309)=TRIM(F7))*($I$2:$I$309&gt;I7))+1))</f>
        <v>חדש|27</v>
      </c>
      <c r="L7" s="5" t="str">
        <f aca="false">IF(F7="","",TRIM(F7)&amp;"|"&amp;(SUMPRODUCT((TRIM($F$2:$F$309)=TRIM(F7))*($B$2:$B$309&lt;B7))+1))</f>
        <v>חדש|44</v>
      </c>
      <c r="M7" s="5" t="n">
        <f aca="false">IF(F7="","",SUMPRODUCT((TRIM($F$2:$F$309)=TRIM(F7))*($I$2:$I$309&gt;I7))+1)</f>
        <v>27</v>
      </c>
    </row>
    <row r="8" customFormat="false" ht="15" hidden="false" customHeight="false" outlineLevel="0" collapsed="false">
      <c r="A8" s="5" t="s">
        <v>50</v>
      </c>
      <c r="B8" s="5" t="n">
        <v>269</v>
      </c>
      <c r="C8" s="5" t="n">
        <v>235</v>
      </c>
      <c r="D8" s="5" t="s">
        <v>51</v>
      </c>
      <c r="E8" s="5" t="s">
        <v>49</v>
      </c>
      <c r="F8" s="5" t="s">
        <v>46</v>
      </c>
      <c r="G8" s="5"/>
      <c r="H8" s="5"/>
      <c r="I8" s="6" t="n">
        <v>4982.2</v>
      </c>
      <c r="J8" s="6" t="n">
        <v>9100.3</v>
      </c>
      <c r="K8" s="5" t="str">
        <f aca="false">IF(F8="","",TRIM(F8)&amp;"|"&amp;(SUMPRODUCT((TRIM($F$2:$F$309)=TRIM(F8))*($I$2:$I$309&gt;I8))+1))</f>
        <v>חדש|49</v>
      </c>
      <c r="L8" s="5" t="str">
        <f aca="false">IF(F8="","",TRIM(F8)&amp;"|"&amp;(SUMPRODUCT((TRIM($F$2:$F$309)=TRIM(F8))*($B$2:$B$309&lt;B8))+1))</f>
        <v>חדש|69</v>
      </c>
      <c r="M8" s="5" t="n">
        <f aca="false">IF(F8="","",SUMPRODUCT((TRIM($F$2:$F$309)=TRIM(F8))*($I$2:$I$309&gt;I8))+1)</f>
        <v>49</v>
      </c>
    </row>
    <row r="9" customFormat="false" ht="15" hidden="false" customHeight="false" outlineLevel="0" collapsed="false">
      <c r="A9" s="5" t="s">
        <v>52</v>
      </c>
      <c r="B9" s="5" t="n">
        <v>105</v>
      </c>
      <c r="C9" s="5" t="n">
        <v>59</v>
      </c>
      <c r="D9" s="5" t="s">
        <v>53</v>
      </c>
      <c r="E9" s="5" t="s">
        <v>54</v>
      </c>
      <c r="F9" s="5" t="s">
        <v>35</v>
      </c>
      <c r="G9" s="5" t="n">
        <v>19</v>
      </c>
      <c r="H9" s="5"/>
      <c r="I9" s="6" t="n">
        <v>12679.3</v>
      </c>
      <c r="J9" s="6" t="n">
        <v>25328.7</v>
      </c>
      <c r="K9" s="5" t="str">
        <f aca="false">IF(F9="","",TRIM(F9)&amp;"|"&amp;(SUMPRODUCT((TRIM($F$2:$F$309)=TRIM(F9))*($I$2:$I$309&gt;I9))+1))</f>
        <v>חיים|26</v>
      </c>
      <c r="L9" s="5" t="str">
        <f aca="false">IF(F9="","",TRIM(F9)&amp;"|"&amp;(SUMPRODUCT((TRIM($F$2:$F$309)=TRIM(F9))*($B$2:$B$309&lt;B9))+1))</f>
        <v>חיים|35</v>
      </c>
      <c r="M9" s="5" t="n">
        <f aca="false">IF(F9="","",SUMPRODUCT((TRIM($F$2:$F$309)=TRIM(F9))*($I$2:$I$309&gt;I9))+1)</f>
        <v>26</v>
      </c>
    </row>
    <row r="10" customFormat="false" ht="15" hidden="false" customHeight="false" outlineLevel="0" collapsed="false">
      <c r="A10" s="5" t="s">
        <v>55</v>
      </c>
      <c r="B10" s="5" t="n">
        <v>96</v>
      </c>
      <c r="C10" s="5" t="n">
        <v>94</v>
      </c>
      <c r="D10" s="5" t="s">
        <v>56</v>
      </c>
      <c r="E10" s="5" t="s">
        <v>40</v>
      </c>
      <c r="F10" s="5" t="s">
        <v>11</v>
      </c>
      <c r="G10" s="5"/>
      <c r="H10" s="5"/>
      <c r="I10" s="6" t="n">
        <v>12889.3</v>
      </c>
      <c r="J10" s="6" t="n">
        <v>13546.6</v>
      </c>
      <c r="K10" s="5" t="str">
        <f aca="false">IF(F10="","",TRIM(F10)&amp;"|"&amp;(SUMPRODUCT((TRIM($F$2:$F$309)=TRIM(F10))*($I$2:$I$309&gt;I10))+1))</f>
        <v>דודו|32</v>
      </c>
      <c r="L10" s="5" t="str">
        <f aca="false">IF(F10="","",TRIM(F10)&amp;"|"&amp;(SUMPRODUCT((TRIM($F$2:$F$309)=TRIM(F10))*($B$2:$B$309&lt;B10))+1))</f>
        <v>דודו|34</v>
      </c>
      <c r="M10" s="5" t="n">
        <f aca="false">IF(F10="","",SUMPRODUCT((TRIM($F$2:$F$309)=TRIM(F10))*($I$2:$I$309&gt;I10))+1)</f>
        <v>32</v>
      </c>
    </row>
    <row r="11" customFormat="false" ht="15" hidden="false" customHeight="false" outlineLevel="0" collapsed="false">
      <c r="A11" s="5" t="s">
        <v>57</v>
      </c>
      <c r="B11" s="5" t="n">
        <v>191</v>
      </c>
      <c r="C11" s="5" t="n">
        <v>229</v>
      </c>
      <c r="D11" s="5" t="s">
        <v>58</v>
      </c>
      <c r="E11" s="5" t="s">
        <v>54</v>
      </c>
      <c r="F11" s="5" t="s">
        <v>59</v>
      </c>
      <c r="G11" s="5"/>
      <c r="H11" s="5"/>
      <c r="I11" s="6" t="n">
        <v>6807.5</v>
      </c>
      <c r="J11" s="6" t="n">
        <v>14974.2</v>
      </c>
      <c r="K11" s="5" t="str">
        <f aca="false">IF(F11="","",TRIM(F11)&amp;"|"&amp;(SUMPRODUCT((TRIM($F$2:$F$309)=TRIM(F11))*($I$2:$I$309&gt;I11))+1))</f>
        <v>סטאס|38</v>
      </c>
      <c r="L11" s="5" t="str">
        <f aca="false">IF(F11="","",TRIM(F11)&amp;"|"&amp;(SUMPRODUCT((TRIM($F$2:$F$309)=TRIM(F11))*($B$2:$B$309&lt;B11))+1))</f>
        <v>סטאס|39</v>
      </c>
      <c r="M11" s="5" t="n">
        <f aca="false">IF(F11="","",SUMPRODUCT((TRIM($F$2:$F$309)=TRIM(F11))*($I$2:$I$309&gt;I11))+1)</f>
        <v>38</v>
      </c>
    </row>
    <row r="12" customFormat="false" ht="15" hidden="false" customHeight="false" outlineLevel="0" collapsed="false">
      <c r="A12" s="5" t="s">
        <v>60</v>
      </c>
      <c r="B12" s="5" t="n">
        <v>232</v>
      </c>
      <c r="C12" s="5" t="n">
        <v>178</v>
      </c>
      <c r="D12" s="5" t="s">
        <v>61</v>
      </c>
      <c r="E12" s="5" t="s">
        <v>54</v>
      </c>
      <c r="F12" s="5" t="s">
        <v>59</v>
      </c>
      <c r="G12" s="5"/>
      <c r="H12" s="5"/>
      <c r="I12" s="6" t="n">
        <v>5956.5</v>
      </c>
      <c r="J12" s="6" t="n">
        <v>12140.5</v>
      </c>
      <c r="K12" s="5" t="str">
        <f aca="false">IF(F12="","",TRIM(F12)&amp;"|"&amp;(SUMPRODUCT((TRIM($F$2:$F$309)=TRIM(F12))*($I$2:$I$309&gt;I12))+1))</f>
        <v>סטאס|45</v>
      </c>
      <c r="L12" s="5" t="str">
        <f aca="false">IF(F12="","",TRIM(F12)&amp;"|"&amp;(SUMPRODUCT((TRIM($F$2:$F$309)=TRIM(F12))*($B$2:$B$309&lt;B12))+1))</f>
        <v>סטאס|48</v>
      </c>
      <c r="M12" s="5" t="n">
        <f aca="false">IF(F12="","",SUMPRODUCT((TRIM($F$2:$F$309)=TRIM(F12))*($I$2:$I$309&gt;I12))+1)</f>
        <v>45</v>
      </c>
    </row>
    <row r="13" customFormat="false" ht="15" hidden="false" customHeight="false" outlineLevel="0" collapsed="false">
      <c r="A13" s="5" t="s">
        <v>62</v>
      </c>
      <c r="B13" s="5" t="n">
        <v>199</v>
      </c>
      <c r="C13" s="5" t="n">
        <v>166</v>
      </c>
      <c r="D13" s="5" t="s">
        <v>63</v>
      </c>
      <c r="E13" s="5" t="s">
        <v>54</v>
      </c>
      <c r="F13" s="5" t="s">
        <v>59</v>
      </c>
      <c r="G13" s="5"/>
      <c r="H13" s="5"/>
      <c r="I13" s="6" t="n">
        <v>6751.9</v>
      </c>
      <c r="J13" s="6" t="n">
        <v>11659.4</v>
      </c>
      <c r="K13" s="5" t="str">
        <f aca="false">IF(F13="","",TRIM(F13)&amp;"|"&amp;(SUMPRODUCT((TRIM($F$2:$F$309)=TRIM(F13))*($I$2:$I$309&gt;I13))+1))</f>
        <v>סטאס|40</v>
      </c>
      <c r="L13" s="5" t="str">
        <f aca="false">IF(F13="","",TRIM(F13)&amp;"|"&amp;(SUMPRODUCT((TRIM($F$2:$F$309)=TRIM(F13))*($B$2:$B$309&lt;B13))+1))</f>
        <v>סטאס|40</v>
      </c>
      <c r="M13" s="5" t="n">
        <f aca="false">IF(F13="","",SUMPRODUCT((TRIM($F$2:$F$309)=TRIM(F13))*($I$2:$I$309&gt;I13))+1)</f>
        <v>40</v>
      </c>
    </row>
    <row r="14" customFormat="false" ht="15" hidden="false" customHeight="false" outlineLevel="0" collapsed="false">
      <c r="A14" s="5" t="s">
        <v>64</v>
      </c>
      <c r="B14" s="5" t="n">
        <v>150</v>
      </c>
      <c r="C14" s="5" t="n">
        <v>210</v>
      </c>
      <c r="D14" s="5" t="s">
        <v>65</v>
      </c>
      <c r="E14" s="5" t="s">
        <v>54</v>
      </c>
      <c r="F14" s="5" t="s">
        <v>59</v>
      </c>
      <c r="G14" s="5"/>
      <c r="H14" s="5"/>
      <c r="I14" s="6" t="n">
        <v>10505.1</v>
      </c>
      <c r="J14" s="6" t="n">
        <v>20001.1</v>
      </c>
      <c r="K14" s="5" t="str">
        <f aca="false">IF(F14="","",TRIM(F14)&amp;"|"&amp;(SUMPRODUCT((TRIM($F$2:$F$309)=TRIM(F14))*($I$2:$I$309&gt;I14))+1))</f>
        <v>סטאס|20</v>
      </c>
      <c r="L14" s="5" t="str">
        <f aca="false">IF(F14="","",TRIM(F14)&amp;"|"&amp;(SUMPRODUCT((TRIM($F$2:$F$309)=TRIM(F14))*($B$2:$B$309&lt;B14))+1))</f>
        <v>סטאס|31</v>
      </c>
      <c r="M14" s="5" t="n">
        <f aca="false">IF(F14="","",SUMPRODUCT((TRIM($F$2:$F$309)=TRIM(F14))*($I$2:$I$309&gt;I14))+1)</f>
        <v>20</v>
      </c>
    </row>
    <row r="15" customFormat="false" ht="15" hidden="false" customHeight="false" outlineLevel="0" collapsed="false">
      <c r="A15" s="5" t="s">
        <v>66</v>
      </c>
      <c r="B15" s="5" t="n">
        <v>233</v>
      </c>
      <c r="C15" s="5" t="n">
        <v>202</v>
      </c>
      <c r="D15" s="5" t="s">
        <v>44</v>
      </c>
      <c r="E15" s="5" t="s">
        <v>45</v>
      </c>
      <c r="F15" s="5" t="s">
        <v>46</v>
      </c>
      <c r="G15" s="5"/>
      <c r="H15" s="5"/>
      <c r="I15" s="6" t="n">
        <v>7027.7</v>
      </c>
      <c r="J15" s="6" t="n">
        <v>9894.1</v>
      </c>
      <c r="K15" s="5" t="str">
        <f aca="false">IF(F15="","",TRIM(F15)&amp;"|"&amp;(SUMPRODUCT((TRIM($F$2:$F$309)=TRIM(F15))*($I$2:$I$309&gt;I15))+1))</f>
        <v>חדש|32</v>
      </c>
      <c r="L15" s="5" t="str">
        <f aca="false">IF(F15="","",TRIM(F15)&amp;"|"&amp;(SUMPRODUCT((TRIM($F$2:$F$309)=TRIM(F15))*($B$2:$B$309&lt;B15))+1))</f>
        <v>חדש|57</v>
      </c>
      <c r="M15" s="5" t="n">
        <f aca="false">IF(F15="","",SUMPRODUCT((TRIM($F$2:$F$309)=TRIM(F15))*($I$2:$I$309&gt;I15))+1)</f>
        <v>32</v>
      </c>
    </row>
    <row r="16" customFormat="false" ht="15" hidden="false" customHeight="false" outlineLevel="0" collapsed="false">
      <c r="A16" s="5" t="s">
        <v>67</v>
      </c>
      <c r="B16" s="5" t="n">
        <v>275</v>
      </c>
      <c r="C16" s="5" t="n">
        <v>291</v>
      </c>
      <c r="D16" s="5" t="s">
        <v>68</v>
      </c>
      <c r="E16" s="5" t="s">
        <v>54</v>
      </c>
      <c r="F16" s="5" t="s">
        <v>59</v>
      </c>
      <c r="G16" s="5"/>
      <c r="H16" s="5"/>
      <c r="I16" s="6" t="n">
        <v>4561.3</v>
      </c>
      <c r="J16" s="6" t="n">
        <v>8864.9</v>
      </c>
      <c r="K16" s="5" t="str">
        <f aca="false">IF(F16="","",TRIM(F16)&amp;"|"&amp;(SUMPRODUCT((TRIM($F$2:$F$309)=TRIM(F16))*($I$2:$I$309&gt;I16))+1))</f>
        <v>סטאס|51</v>
      </c>
      <c r="L16" s="5" t="str">
        <f aca="false">IF(F16="","",TRIM(F16)&amp;"|"&amp;(SUMPRODUCT((TRIM($F$2:$F$309)=TRIM(F16))*($B$2:$B$309&lt;B16))+1))</f>
        <v>סטאס|59</v>
      </c>
      <c r="M16" s="5" t="n">
        <f aca="false">IF(F16="","",SUMPRODUCT((TRIM($F$2:$F$309)=TRIM(F16))*($I$2:$I$309&gt;I16))+1)</f>
        <v>51</v>
      </c>
    </row>
    <row r="17" customFormat="false" ht="15" hidden="false" customHeight="false" outlineLevel="0" collapsed="false">
      <c r="A17" s="5" t="s">
        <v>69</v>
      </c>
      <c r="B17" s="5" t="n">
        <v>12</v>
      </c>
      <c r="C17" s="5" t="n">
        <v>25</v>
      </c>
      <c r="D17" s="5" t="s">
        <v>70</v>
      </c>
      <c r="E17" s="5" t="s">
        <v>37</v>
      </c>
      <c r="F17" s="5" t="s">
        <v>35</v>
      </c>
      <c r="G17" s="5" t="n">
        <v>10</v>
      </c>
      <c r="H17" s="5"/>
      <c r="I17" s="6" t="n">
        <v>23252.2</v>
      </c>
      <c r="J17" s="6" t="n">
        <v>52869.2</v>
      </c>
      <c r="K17" s="5" t="str">
        <f aca="false">IF(F17="","",TRIM(F17)&amp;"|"&amp;(SUMPRODUCT((TRIM($F$2:$F$309)=TRIM(F17))*($I$2:$I$309&gt;I17))+1))</f>
        <v>חיים|4</v>
      </c>
      <c r="L17" s="5" t="str">
        <f aca="false">IF(F17="","",TRIM(F17)&amp;"|"&amp;(SUMPRODUCT((TRIM($F$2:$F$309)=TRIM(F17))*($B$2:$B$309&lt;B17))+1))</f>
        <v>חיים|4</v>
      </c>
      <c r="M17" s="5" t="n">
        <f aca="false">IF(F17="","",SUMPRODUCT((TRIM($F$2:$F$309)=TRIM(F17))*($I$2:$I$309&gt;I17))+1)</f>
        <v>4</v>
      </c>
    </row>
    <row r="18" customFormat="false" ht="15" hidden="false" customHeight="false" outlineLevel="0" collapsed="false">
      <c r="A18" s="5" t="s">
        <v>71</v>
      </c>
      <c r="B18" s="5" t="n">
        <v>223</v>
      </c>
      <c r="C18" s="5" t="n">
        <v>231</v>
      </c>
      <c r="D18" s="5" t="s">
        <v>72</v>
      </c>
      <c r="E18" s="5" t="s">
        <v>72</v>
      </c>
      <c r="F18" s="5" t="s">
        <v>11</v>
      </c>
      <c r="G18" s="5"/>
      <c r="H18" s="5"/>
      <c r="I18" s="6" t="n">
        <v>10094.1</v>
      </c>
      <c r="J18" s="6" t="n">
        <v>17473.5</v>
      </c>
      <c r="K18" s="5" t="str">
        <f aca="false">IF(F18="","",TRIM(F18)&amp;"|"&amp;(SUMPRODUCT((TRIM($F$2:$F$309)=TRIM(F18))*($I$2:$I$309&gt;I18))+1))</f>
        <v>דודו|41</v>
      </c>
      <c r="L18" s="5" t="str">
        <f aca="false">IF(F18="","",TRIM(F18)&amp;"|"&amp;(SUMPRODUCT((TRIM($F$2:$F$309)=TRIM(F18))*($B$2:$B$309&lt;B18))+1))</f>
        <v>דודו|55</v>
      </c>
      <c r="M18" s="5" t="n">
        <f aca="false">IF(F18="","",SUMPRODUCT((TRIM($F$2:$F$309)=TRIM(F18))*($I$2:$I$309&gt;I18))+1)</f>
        <v>41</v>
      </c>
    </row>
    <row r="19" customFormat="false" ht="15" hidden="false" customHeight="false" outlineLevel="0" collapsed="false">
      <c r="A19" s="5" t="s">
        <v>73</v>
      </c>
      <c r="B19" s="5" t="n">
        <v>114</v>
      </c>
      <c r="C19" s="5" t="n">
        <v>96</v>
      </c>
      <c r="D19" s="5" t="s">
        <v>70</v>
      </c>
      <c r="E19" s="5" t="s">
        <v>37</v>
      </c>
      <c r="F19" s="5" t="s">
        <v>35</v>
      </c>
      <c r="G19" s="5"/>
      <c r="H19" s="5"/>
      <c r="I19" s="6" t="n">
        <v>10650.5</v>
      </c>
      <c r="J19" s="6" t="n">
        <v>23531.3</v>
      </c>
      <c r="K19" s="5" t="str">
        <f aca="false">IF(F19="","",TRIM(F19)&amp;"|"&amp;(SUMPRODUCT((TRIM($F$2:$F$309)=TRIM(F19))*($I$2:$I$309&gt;I19))+1))</f>
        <v>חיים|34</v>
      </c>
      <c r="L19" s="5" t="str">
        <f aca="false">IF(F19="","",TRIM(F19)&amp;"|"&amp;(SUMPRODUCT((TRIM($F$2:$F$309)=TRIM(F19))*($B$2:$B$309&lt;B19))+1))</f>
        <v>חיים|38</v>
      </c>
      <c r="M19" s="5" t="n">
        <f aca="false">IF(F19="","",SUMPRODUCT((TRIM($F$2:$F$309)=TRIM(F19))*($I$2:$I$309&gt;I19))+1)</f>
        <v>34</v>
      </c>
    </row>
    <row r="20" customFormat="false" ht="15" hidden="false" customHeight="false" outlineLevel="0" collapsed="false">
      <c r="A20" s="5" t="s">
        <v>74</v>
      </c>
      <c r="B20" s="5" t="n">
        <v>44</v>
      </c>
      <c r="C20" s="5" t="n">
        <v>46</v>
      </c>
      <c r="D20" s="5" t="s">
        <v>75</v>
      </c>
      <c r="E20" s="5" t="s">
        <v>54</v>
      </c>
      <c r="F20" s="5" t="s">
        <v>59</v>
      </c>
      <c r="G20" s="5" t="n">
        <v>10</v>
      </c>
      <c r="H20" s="5"/>
      <c r="I20" s="6" t="n">
        <v>13498</v>
      </c>
      <c r="J20" s="6" t="n">
        <v>30392</v>
      </c>
      <c r="K20" s="5" t="str">
        <f aca="false">IF(F20="","",TRIM(F20)&amp;"|"&amp;(SUMPRODUCT((TRIM($F$2:$F$309)=TRIM(F20))*($I$2:$I$309&gt;I20))+1))</f>
        <v>סטאס|12</v>
      </c>
      <c r="L20" s="5" t="str">
        <f aca="false">IF(F20="","",TRIM(F20)&amp;"|"&amp;(SUMPRODUCT((TRIM($F$2:$F$309)=TRIM(F20))*($B$2:$B$309&lt;B20))+1))</f>
        <v>סטאס|7</v>
      </c>
      <c r="M20" s="5" t="n">
        <f aca="false">IF(F20="","",SUMPRODUCT((TRIM($F$2:$F$309)=TRIM(F20))*($I$2:$I$309&gt;I20))+1)</f>
        <v>12</v>
      </c>
    </row>
    <row r="21" customFormat="false" ht="15" hidden="false" customHeight="false" outlineLevel="0" collapsed="false">
      <c r="A21" s="5" t="s">
        <v>76</v>
      </c>
      <c r="B21" s="5" t="n">
        <v>239</v>
      </c>
      <c r="C21" s="5" t="n">
        <v>293</v>
      </c>
      <c r="D21" s="5" t="s">
        <v>77</v>
      </c>
      <c r="E21" s="5" t="s">
        <v>54</v>
      </c>
      <c r="F21" s="5" t="s">
        <v>11</v>
      </c>
      <c r="G21" s="5"/>
      <c r="H21" s="5"/>
      <c r="I21" s="6" t="n">
        <v>4994.4</v>
      </c>
      <c r="J21" s="6" t="n">
        <v>10880.1</v>
      </c>
      <c r="K21" s="5" t="str">
        <f aca="false">IF(F21="","",TRIM(F21)&amp;"|"&amp;(SUMPRODUCT((TRIM($F$2:$F$309)=TRIM(F21))*($I$2:$I$309&gt;I21))+1))</f>
        <v>דודו|59</v>
      </c>
      <c r="L21" s="5" t="str">
        <f aca="false">IF(F21="","",TRIM(F21)&amp;"|"&amp;(SUMPRODUCT((TRIM($F$2:$F$309)=TRIM(F21))*($B$2:$B$309&lt;B21))+1))</f>
        <v>דודו|61</v>
      </c>
      <c r="M21" s="5" t="n">
        <f aca="false">IF(F21="","",SUMPRODUCT((TRIM($F$2:$F$309)=TRIM(F21))*($I$2:$I$309&gt;I21))+1)</f>
        <v>59</v>
      </c>
    </row>
    <row r="22" customFormat="false" ht="15" hidden="false" customHeight="false" outlineLevel="0" collapsed="false">
      <c r="A22" s="5" t="s">
        <v>78</v>
      </c>
      <c r="B22" s="5" t="n">
        <v>303</v>
      </c>
      <c r="C22" s="5" t="n">
        <v>304</v>
      </c>
      <c r="D22" s="5" t="s">
        <v>79</v>
      </c>
      <c r="E22" s="5" t="s">
        <v>49</v>
      </c>
      <c r="F22" s="5" t="s">
        <v>46</v>
      </c>
      <c r="G22" s="5"/>
      <c r="H22" s="5"/>
      <c r="I22" s="6" t="n">
        <v>1602.1</v>
      </c>
      <c r="J22" s="6" t="n">
        <v>3939.3</v>
      </c>
      <c r="K22" s="5" t="str">
        <f aca="false">IF(F22="","",TRIM(F22)&amp;"|"&amp;(SUMPRODUCT((TRIM($F$2:$F$309)=TRIM(F22))*($I$2:$I$309&gt;I22))+1))</f>
        <v>חדש|84</v>
      </c>
      <c r="L22" s="5" t="str">
        <f aca="false">IF(F22="","",TRIM(F22)&amp;"|"&amp;(SUMPRODUCT((TRIM($F$2:$F$309)=TRIM(F22))*($B$2:$B$309&lt;B22))+1))</f>
        <v>חדש|85</v>
      </c>
      <c r="M22" s="5" t="n">
        <f aca="false">IF(F22="","",SUMPRODUCT((TRIM($F$2:$F$309)=TRIM(F22))*($I$2:$I$309&gt;I22))+1)</f>
        <v>84</v>
      </c>
    </row>
    <row r="23" customFormat="false" ht="15" hidden="false" customHeight="false" outlineLevel="0" collapsed="false">
      <c r="A23" s="5" t="s">
        <v>80</v>
      </c>
      <c r="B23" s="5" t="n">
        <v>307</v>
      </c>
      <c r="C23" s="5" t="n">
        <v>298</v>
      </c>
      <c r="D23" s="5" t="s">
        <v>44</v>
      </c>
      <c r="E23" s="5" t="s">
        <v>45</v>
      </c>
      <c r="F23" s="5" t="s">
        <v>46</v>
      </c>
      <c r="G23" s="5"/>
      <c r="H23" s="5"/>
      <c r="I23" s="6" t="n">
        <v>1123.1</v>
      </c>
      <c r="J23" s="6" t="n">
        <v>4158.2</v>
      </c>
      <c r="K23" s="5" t="str">
        <f aca="false">IF(F23="","",TRIM(F23)&amp;"|"&amp;(SUMPRODUCT((TRIM($F$2:$F$309)=TRIM(F23))*($I$2:$I$309&gt;I23))+1))</f>
        <v>חדש|85</v>
      </c>
      <c r="L23" s="5" t="str">
        <f aca="false">IF(F23="","",TRIM(F23)&amp;"|"&amp;(SUMPRODUCT((TRIM($F$2:$F$309)=TRIM(F23))*($B$2:$B$309&lt;B23))+1))</f>
        <v>חדש|88</v>
      </c>
      <c r="M23" s="5" t="n">
        <f aca="false">IF(F23="","",SUMPRODUCT((TRIM($F$2:$F$309)=TRIM(F23))*($I$2:$I$309&gt;I23))+1)</f>
        <v>85</v>
      </c>
    </row>
    <row r="24" customFormat="false" ht="15" hidden="false" customHeight="false" outlineLevel="0" collapsed="false">
      <c r="A24" s="5" t="s">
        <v>81</v>
      </c>
      <c r="B24" s="5" t="n">
        <v>194</v>
      </c>
      <c r="C24" s="5" t="n">
        <v>157</v>
      </c>
      <c r="D24" s="5" t="s">
        <v>70</v>
      </c>
      <c r="E24" s="5" t="s">
        <v>37</v>
      </c>
      <c r="F24" s="5" t="s">
        <v>35</v>
      </c>
      <c r="G24" s="5"/>
      <c r="H24" s="5"/>
      <c r="I24" s="6" t="n">
        <v>6255.2</v>
      </c>
      <c r="J24" s="6" t="n">
        <v>20297.6</v>
      </c>
      <c r="K24" s="5" t="str">
        <f aca="false">IF(F24="","",TRIM(F24)&amp;"|"&amp;(SUMPRODUCT((TRIM($F$2:$F$309)=TRIM(F24))*($I$2:$I$309&gt;I24))+1))</f>
        <v>חיים|67</v>
      </c>
      <c r="L24" s="5" t="str">
        <f aca="false">IF(F24="","",TRIM(F24)&amp;"|"&amp;(SUMPRODUCT((TRIM($F$2:$F$309)=TRIM(F24))*($B$2:$B$309&lt;B24))+1))</f>
        <v>חיים|60</v>
      </c>
      <c r="M24" s="5" t="n">
        <f aca="false">IF(F24="","",SUMPRODUCT((TRIM($F$2:$F$309)=TRIM(F24))*($I$2:$I$309&gt;I24))+1)</f>
        <v>67</v>
      </c>
    </row>
    <row r="25" customFormat="false" ht="15" hidden="false" customHeight="false" outlineLevel="0" collapsed="false">
      <c r="A25" s="5" t="s">
        <v>82</v>
      </c>
      <c r="B25" s="5" t="n">
        <v>129</v>
      </c>
      <c r="C25" s="5" t="n">
        <v>106</v>
      </c>
      <c r="D25" s="5" t="s">
        <v>44</v>
      </c>
      <c r="E25" s="5" t="s">
        <v>45</v>
      </c>
      <c r="F25" s="5" t="s">
        <v>46</v>
      </c>
      <c r="G25" s="5" t="n">
        <v>16</v>
      </c>
      <c r="H25" s="5"/>
      <c r="I25" s="6" t="n">
        <v>59.1</v>
      </c>
      <c r="J25" s="6" t="n">
        <v>20460.6</v>
      </c>
      <c r="K25" s="5" t="str">
        <f aca="false">IF(F25="","",TRIM(F25)&amp;"|"&amp;(SUMPRODUCT((TRIM($F$2:$F$309)=TRIM(F25))*($I$2:$I$309&gt;I25))+1))</f>
        <v>חדש|87</v>
      </c>
      <c r="L25" s="5" t="str">
        <f aca="false">IF(F25="","",TRIM(F25)&amp;"|"&amp;(SUMPRODUCT((TRIM($F$2:$F$309)=TRIM(F25))*($B$2:$B$309&lt;B25))+1))</f>
        <v>חדש|22</v>
      </c>
      <c r="M25" s="5" t="n">
        <f aca="false">IF(F25="","",SUMPRODUCT((TRIM($F$2:$F$309)=TRIM(F25))*($I$2:$I$309&gt;I25))+1)</f>
        <v>87</v>
      </c>
    </row>
    <row r="26" customFormat="false" ht="15" hidden="false" customHeight="false" outlineLevel="0" collapsed="false">
      <c r="A26" s="5" t="s">
        <v>83</v>
      </c>
      <c r="B26" s="5" t="n">
        <v>301</v>
      </c>
      <c r="C26" s="5" t="n">
        <v>303</v>
      </c>
      <c r="D26" s="5" t="s">
        <v>84</v>
      </c>
      <c r="E26" s="5" t="s">
        <v>40</v>
      </c>
      <c r="F26" s="5" t="s">
        <v>11</v>
      </c>
      <c r="G26" s="5"/>
      <c r="H26" s="5"/>
      <c r="I26" s="6" t="n">
        <v>2594.7</v>
      </c>
      <c r="J26" s="6" t="n">
        <v>0</v>
      </c>
      <c r="K26" s="5" t="str">
        <f aca="false">IF(F26="","",TRIM(F26)&amp;"|"&amp;(SUMPRODUCT((TRIM($F$2:$F$309)=TRIM(F26))*($I$2:$I$309&gt;I26))+1))</f>
        <v>דודו|67</v>
      </c>
      <c r="L26" s="5" t="str">
        <f aca="false">IF(F26="","",TRIM(F26)&amp;"|"&amp;(SUMPRODUCT((TRIM($F$2:$F$309)=TRIM(F26))*($B$2:$B$309&lt;B26))+1))</f>
        <v>דודו|68</v>
      </c>
      <c r="M26" s="5" t="n">
        <f aca="false">IF(F26="","",SUMPRODUCT((TRIM($F$2:$F$309)=TRIM(F26))*($I$2:$I$309&gt;I26))+1)</f>
        <v>67</v>
      </c>
    </row>
    <row r="27" customFormat="false" ht="15" hidden="false" customHeight="false" outlineLevel="0" collapsed="false">
      <c r="A27" s="5" t="s">
        <v>85</v>
      </c>
      <c r="B27" s="5" t="n">
        <v>5</v>
      </c>
      <c r="C27" s="5" t="n">
        <v>31</v>
      </c>
      <c r="D27" s="5" t="s">
        <v>86</v>
      </c>
      <c r="E27" s="5" t="s">
        <v>40</v>
      </c>
      <c r="F27" s="5" t="s">
        <v>11</v>
      </c>
      <c r="G27" s="5" t="n">
        <v>9</v>
      </c>
      <c r="H27" s="5"/>
      <c r="I27" s="6" t="n">
        <v>34181.8</v>
      </c>
      <c r="J27" s="6" t="n">
        <v>63211.5</v>
      </c>
      <c r="K27" s="5" t="str">
        <f aca="false">IF(F27="","",TRIM(F27)&amp;"|"&amp;(SUMPRODUCT((TRIM($F$2:$F$309)=TRIM(F27))*($I$2:$I$309&gt;I27))+1))</f>
        <v>דודו|3</v>
      </c>
      <c r="L27" s="5" t="str">
        <f aca="false">IF(F27="","",TRIM(F27)&amp;"|"&amp;(SUMPRODUCT((TRIM($F$2:$F$309)=TRIM(F27))*($B$2:$B$309&lt;B27))+1))</f>
        <v>דודו|3</v>
      </c>
      <c r="M27" s="5" t="n">
        <f aca="false">IF(F27="","",SUMPRODUCT((TRIM($F$2:$F$309)=TRIM(F27))*($I$2:$I$309&gt;I27))+1)</f>
        <v>3</v>
      </c>
    </row>
    <row r="28" customFormat="false" ht="15" hidden="false" customHeight="false" outlineLevel="0" collapsed="false">
      <c r="A28" s="5" t="s">
        <v>87</v>
      </c>
      <c r="B28" s="5" t="n">
        <v>26</v>
      </c>
      <c r="C28" s="5" t="n">
        <v>18</v>
      </c>
      <c r="D28" s="5" t="s">
        <v>86</v>
      </c>
      <c r="E28" s="5" t="s">
        <v>40</v>
      </c>
      <c r="F28" s="5" t="s">
        <v>11</v>
      </c>
      <c r="G28" s="5" t="n">
        <v>6</v>
      </c>
      <c r="H28" s="5"/>
      <c r="I28" s="6" t="n">
        <v>18434.6</v>
      </c>
      <c r="J28" s="6" t="n">
        <v>36774.5</v>
      </c>
      <c r="K28" s="5" t="str">
        <f aca="false">IF(F28="","",TRIM(F28)&amp;"|"&amp;(SUMPRODUCT((TRIM($F$2:$F$309)=TRIM(F28))*($I$2:$I$309&gt;I28))+1))</f>
        <v>דודו|20</v>
      </c>
      <c r="L28" s="5" t="str">
        <f aca="false">IF(F28="","",TRIM(F28)&amp;"|"&amp;(SUMPRODUCT((TRIM($F$2:$F$309)=TRIM(F28))*($B$2:$B$309&lt;B28))+1))</f>
        <v>דודו|12</v>
      </c>
      <c r="M28" s="5" t="n">
        <f aca="false">IF(F28="","",SUMPRODUCT((TRIM($F$2:$F$309)=TRIM(F28))*($I$2:$I$309&gt;I28))+1)</f>
        <v>20</v>
      </c>
    </row>
    <row r="29" customFormat="false" ht="15" hidden="false" customHeight="false" outlineLevel="0" collapsed="false">
      <c r="A29" s="5" t="s">
        <v>88</v>
      </c>
      <c r="B29" s="5" t="n">
        <v>17</v>
      </c>
      <c r="C29" s="5" t="n">
        <v>44</v>
      </c>
      <c r="D29" s="5" t="s">
        <v>39</v>
      </c>
      <c r="E29" s="5" t="s">
        <v>40</v>
      </c>
      <c r="F29" s="5" t="s">
        <v>11</v>
      </c>
      <c r="G29" s="5" t="n">
        <v>14</v>
      </c>
      <c r="H29" s="5"/>
      <c r="I29" s="6" t="n">
        <v>29916.7</v>
      </c>
      <c r="J29" s="6" t="n">
        <v>56802.8</v>
      </c>
      <c r="K29" s="5" t="str">
        <f aca="false">IF(F29="","",TRIM(F29)&amp;"|"&amp;(SUMPRODUCT((TRIM($F$2:$F$309)=TRIM(F29))*($I$2:$I$309&gt;I29))+1))</f>
        <v>דודו|7</v>
      </c>
      <c r="L29" s="5" t="str">
        <f aca="false">IF(F29="","",TRIM(F29)&amp;"|"&amp;(SUMPRODUCT((TRIM($F$2:$F$309)=TRIM(F29))*($B$2:$B$309&lt;B29))+1))</f>
        <v>דודו|9</v>
      </c>
      <c r="M29" s="5" t="n">
        <f aca="false">IF(F29="","",SUMPRODUCT((TRIM($F$2:$F$309)=TRIM(F29))*($I$2:$I$309&gt;I29))+1)</f>
        <v>7</v>
      </c>
    </row>
    <row r="30" customFormat="false" ht="15" hidden="false" customHeight="false" outlineLevel="0" collapsed="false">
      <c r="A30" s="5" t="s">
        <v>89</v>
      </c>
      <c r="B30" s="5" t="n">
        <v>7</v>
      </c>
      <c r="C30" s="5" t="s">
        <v>90</v>
      </c>
      <c r="D30" s="5"/>
      <c r="E30" s="5"/>
      <c r="F30" s="5"/>
      <c r="G30" s="5"/>
      <c r="H30" s="5"/>
      <c r="I30" s="6"/>
      <c r="J30" s="6"/>
      <c r="K30" s="5" t="str">
        <f aca="false">IF(F30="","",TRIM(F30)&amp;"|"&amp;(SUMPRODUCT((TRIM($F$2:$F$309)=TRIM(F30))*($I$2:$I$309&gt;I30))+1))</f>
        <v/>
      </c>
      <c r="L30" s="5" t="str">
        <f aca="false">IF(F30="","",TRIM(F30)&amp;"|"&amp;(SUMPRODUCT((TRIM($F$2:$F$309)=TRIM(F30))*($B$2:$B$309&lt;B30))+1))</f>
        <v/>
      </c>
      <c r="M30" s="5" t="str">
        <f aca="false">IF(F30="","",SUMPRODUCT((TRIM($F$2:$F$309)=TRIM(F30))*($I$2:$I$309&gt;I30))+1)</f>
        <v/>
      </c>
    </row>
    <row r="31" customFormat="false" ht="15" hidden="false" customHeight="false" outlineLevel="0" collapsed="false">
      <c r="A31" s="5" t="s">
        <v>91</v>
      </c>
      <c r="B31" s="5" t="n">
        <v>267</v>
      </c>
      <c r="C31" s="5" t="n">
        <v>212</v>
      </c>
      <c r="D31" s="5" t="s">
        <v>92</v>
      </c>
      <c r="E31" s="5" t="s">
        <v>49</v>
      </c>
      <c r="F31" s="5" t="s">
        <v>46</v>
      </c>
      <c r="G31" s="5"/>
      <c r="H31" s="5"/>
      <c r="I31" s="6" t="n">
        <v>2644</v>
      </c>
      <c r="J31" s="6" t="n">
        <v>9221.4</v>
      </c>
      <c r="K31" s="5" t="str">
        <f aca="false">IF(F31="","",TRIM(F31)&amp;"|"&amp;(SUMPRODUCT((TRIM($F$2:$F$309)=TRIM(F31))*($I$2:$I$309&gt;I31))+1))</f>
        <v>חדש|76</v>
      </c>
      <c r="L31" s="5" t="str">
        <f aca="false">IF(F31="","",TRIM(F31)&amp;"|"&amp;(SUMPRODUCT((TRIM($F$2:$F$309)=TRIM(F31))*($B$2:$B$309&lt;B31))+1))</f>
        <v>חדש|68</v>
      </c>
      <c r="M31" s="5" t="n">
        <f aca="false">IF(F31="","",SUMPRODUCT((TRIM($F$2:$F$309)=TRIM(F31))*($I$2:$I$309&gt;I31))+1)</f>
        <v>76</v>
      </c>
    </row>
    <row r="32" customFormat="false" ht="15" hidden="false" customHeight="false" outlineLevel="0" collapsed="false">
      <c r="A32" s="5" t="s">
        <v>93</v>
      </c>
      <c r="B32" s="5" t="n">
        <v>218</v>
      </c>
      <c r="C32" s="5" t="n">
        <v>155</v>
      </c>
      <c r="D32" s="5" t="s">
        <v>94</v>
      </c>
      <c r="E32" s="5" t="s">
        <v>54</v>
      </c>
      <c r="F32" s="5" t="s">
        <v>59</v>
      </c>
      <c r="G32" s="5"/>
      <c r="H32" s="5"/>
      <c r="I32" s="6" t="n">
        <v>5224.1</v>
      </c>
      <c r="J32" s="6" t="n">
        <v>12498.9</v>
      </c>
      <c r="K32" s="5" t="str">
        <f aca="false">IF(F32="","",TRIM(F32)&amp;"|"&amp;(SUMPRODUCT((TRIM($F$2:$F$309)=TRIM(F32))*($I$2:$I$309&gt;I32))+1))</f>
        <v>סטאס|48</v>
      </c>
      <c r="L32" s="5" t="str">
        <f aca="false">IF(F32="","",TRIM(F32)&amp;"|"&amp;(SUMPRODUCT((TRIM($F$2:$F$309)=TRIM(F32))*($B$2:$B$309&lt;B32))+1))</f>
        <v>סטאס|45</v>
      </c>
      <c r="M32" s="5" t="n">
        <f aca="false">IF(F32="","",SUMPRODUCT((TRIM($F$2:$F$309)=TRIM(F32))*($I$2:$I$309&gt;I32))+1)</f>
        <v>48</v>
      </c>
    </row>
    <row r="33" customFormat="false" ht="15" hidden="false" customHeight="false" outlineLevel="0" collapsed="false">
      <c r="A33" s="5" t="s">
        <v>95</v>
      </c>
      <c r="B33" s="5" t="n">
        <v>90</v>
      </c>
      <c r="C33" s="5" t="n">
        <v>103</v>
      </c>
      <c r="D33" s="5" t="s">
        <v>96</v>
      </c>
      <c r="E33" s="5" t="s">
        <v>49</v>
      </c>
      <c r="F33" s="5" t="s">
        <v>46</v>
      </c>
      <c r="G33" s="5" t="n">
        <v>15</v>
      </c>
      <c r="H33" s="5"/>
      <c r="I33" s="6" t="n">
        <v>12858.5</v>
      </c>
      <c r="J33" s="6" t="n">
        <v>25510.2</v>
      </c>
      <c r="K33" s="5" t="str">
        <f aca="false">IF(F33="","",TRIM(F33)&amp;"|"&amp;(SUMPRODUCT((TRIM($F$2:$F$309)=TRIM(F33))*($I$2:$I$309&gt;I33))+1))</f>
        <v>חדש|8</v>
      </c>
      <c r="L33" s="5" t="str">
        <f aca="false">IF(F33="","",TRIM(F33)&amp;"|"&amp;(SUMPRODUCT((TRIM($F$2:$F$309)=TRIM(F33))*($B$2:$B$309&lt;B33))+1))</f>
        <v>חדש|12</v>
      </c>
      <c r="M33" s="5" t="n">
        <f aca="false">IF(F33="","",SUMPRODUCT((TRIM($F$2:$F$309)=TRIM(F33))*($I$2:$I$309&gt;I33))+1)</f>
        <v>8</v>
      </c>
    </row>
    <row r="34" customFormat="false" ht="15" hidden="false" customHeight="false" outlineLevel="0" collapsed="false">
      <c r="A34" s="5" t="s">
        <v>97</v>
      </c>
      <c r="B34" s="5" t="n">
        <v>221</v>
      </c>
      <c r="C34" s="5" t="n">
        <v>172</v>
      </c>
      <c r="D34" s="5" t="s">
        <v>98</v>
      </c>
      <c r="E34" s="5" t="s">
        <v>49</v>
      </c>
      <c r="F34" s="5" t="s">
        <v>46</v>
      </c>
      <c r="G34" s="5"/>
      <c r="H34" s="5"/>
      <c r="I34" s="6" t="n">
        <v>4315.3</v>
      </c>
      <c r="J34" s="6" t="n">
        <v>11638.9</v>
      </c>
      <c r="K34" s="5" t="str">
        <f aca="false">IF(F34="","",TRIM(F34)&amp;"|"&amp;(SUMPRODUCT((TRIM($F$2:$F$309)=TRIM(F34))*($I$2:$I$309&gt;I34))+1))</f>
        <v>חדש|57</v>
      </c>
      <c r="L34" s="5" t="str">
        <f aca="false">IF(F34="","",TRIM(F34)&amp;"|"&amp;(SUMPRODUCT((TRIM($F$2:$F$309)=TRIM(F34))*($B$2:$B$309&lt;B34))+1))</f>
        <v>חדש|51</v>
      </c>
      <c r="M34" s="5" t="n">
        <f aca="false">IF(F34="","",SUMPRODUCT((TRIM($F$2:$F$309)=TRIM(F34))*($I$2:$I$309&gt;I34))+1)</f>
        <v>57</v>
      </c>
    </row>
    <row r="35" customFormat="false" ht="15" hidden="false" customHeight="false" outlineLevel="0" collapsed="false">
      <c r="A35" s="5" t="s">
        <v>99</v>
      </c>
      <c r="B35" s="5" t="n">
        <v>227</v>
      </c>
      <c r="C35" s="5" t="n">
        <v>233</v>
      </c>
      <c r="D35" s="5" t="s">
        <v>100</v>
      </c>
      <c r="E35" s="5" t="s">
        <v>49</v>
      </c>
      <c r="F35" s="5" t="s">
        <v>46</v>
      </c>
      <c r="G35" s="5"/>
      <c r="H35" s="5"/>
      <c r="I35" s="6" t="n">
        <v>4806.5</v>
      </c>
      <c r="J35" s="6" t="n">
        <v>12817.1</v>
      </c>
      <c r="K35" s="5" t="str">
        <f aca="false">IF(F35="","",TRIM(F35)&amp;"|"&amp;(SUMPRODUCT((TRIM($F$2:$F$309)=TRIM(F35))*($I$2:$I$309&gt;I35))+1))</f>
        <v>חדש|50</v>
      </c>
      <c r="L35" s="5" t="str">
        <f aca="false">IF(F35="","",TRIM(F35)&amp;"|"&amp;(SUMPRODUCT((TRIM($F$2:$F$309)=TRIM(F35))*($B$2:$B$309&lt;B35))+1))</f>
        <v>חדש|54</v>
      </c>
      <c r="M35" s="5" t="n">
        <f aca="false">IF(F35="","",SUMPRODUCT((TRIM($F$2:$F$309)=TRIM(F35))*($I$2:$I$309&gt;I35))+1)</f>
        <v>50</v>
      </c>
    </row>
    <row r="36" customFormat="false" ht="15" hidden="false" customHeight="false" outlineLevel="0" collapsed="false">
      <c r="A36" s="5" t="s">
        <v>101</v>
      </c>
      <c r="B36" s="5" t="n">
        <v>53</v>
      </c>
      <c r="C36" s="5" t="n">
        <v>40</v>
      </c>
      <c r="D36" s="5" t="s">
        <v>84</v>
      </c>
      <c r="E36" s="5" t="s">
        <v>40</v>
      </c>
      <c r="F36" s="5" t="s">
        <v>11</v>
      </c>
      <c r="G36" s="5" t="n">
        <v>13</v>
      </c>
      <c r="H36" s="5"/>
      <c r="I36" s="6" t="n">
        <v>17795.5</v>
      </c>
      <c r="J36" s="6" t="n">
        <v>33328.1</v>
      </c>
      <c r="K36" s="5" t="str">
        <f aca="false">IF(F36="","",TRIM(F36)&amp;"|"&amp;(SUMPRODUCT((TRIM($F$2:$F$309)=TRIM(F36))*($I$2:$I$309&gt;I36))+1))</f>
        <v>דודו|21</v>
      </c>
      <c r="L36" s="5" t="str">
        <f aca="false">IF(F36="","",TRIM(F36)&amp;"|"&amp;(SUMPRODUCT((TRIM($F$2:$F$309)=TRIM(F36))*($B$2:$B$309&lt;B36))+1))</f>
        <v>דודו|21</v>
      </c>
      <c r="M36" s="5" t="n">
        <f aca="false">IF(F36="","",SUMPRODUCT((TRIM($F$2:$F$309)=TRIM(F36))*($I$2:$I$309&gt;I36))+1)</f>
        <v>21</v>
      </c>
    </row>
    <row r="37" customFormat="false" ht="15" hidden="false" customHeight="false" outlineLevel="0" collapsed="false">
      <c r="A37" s="5" t="s">
        <v>102</v>
      </c>
      <c r="B37" s="5" t="n">
        <v>174</v>
      </c>
      <c r="C37" s="5" t="n">
        <v>138</v>
      </c>
      <c r="D37" s="5" t="s">
        <v>103</v>
      </c>
      <c r="E37" s="5" t="s">
        <v>49</v>
      </c>
      <c r="F37" s="5" t="s">
        <v>46</v>
      </c>
      <c r="G37" s="5"/>
      <c r="H37" s="5"/>
      <c r="I37" s="6" t="n">
        <v>5705.4</v>
      </c>
      <c r="J37" s="6" t="n">
        <v>11722.6</v>
      </c>
      <c r="K37" s="5" t="str">
        <f aca="false">IF(F37="","",TRIM(F37)&amp;"|"&amp;(SUMPRODUCT((TRIM($F$2:$F$309)=TRIM(F37))*($I$2:$I$309&gt;I37))+1))</f>
        <v>חדש|45</v>
      </c>
      <c r="L37" s="5" t="str">
        <f aca="false">IF(F37="","",TRIM(F37)&amp;"|"&amp;(SUMPRODUCT((TRIM($F$2:$F$309)=TRIM(F37))*($B$2:$B$309&lt;B37))+1))</f>
        <v>חדש|35</v>
      </c>
      <c r="M37" s="5" t="n">
        <f aca="false">IF(F37="","",SUMPRODUCT((TRIM($F$2:$F$309)=TRIM(F37))*($I$2:$I$309&gt;I37))+1)</f>
        <v>45</v>
      </c>
    </row>
    <row r="38" customFormat="false" ht="15" hidden="false" customHeight="false" outlineLevel="0" collapsed="false">
      <c r="A38" s="5" t="s">
        <v>104</v>
      </c>
      <c r="B38" s="5" t="n">
        <v>284</v>
      </c>
      <c r="C38" s="5" t="n">
        <v>265</v>
      </c>
      <c r="D38" s="5" t="s">
        <v>105</v>
      </c>
      <c r="E38" s="5" t="s">
        <v>54</v>
      </c>
      <c r="F38" s="5" t="s">
        <v>59</v>
      </c>
      <c r="G38" s="5"/>
      <c r="H38" s="5"/>
      <c r="I38" s="6" t="n">
        <v>2316</v>
      </c>
      <c r="J38" s="6" t="n">
        <v>9819.2</v>
      </c>
      <c r="K38" s="5" t="str">
        <f aca="false">IF(F38="","",TRIM(F38)&amp;"|"&amp;(SUMPRODUCT((TRIM($F$2:$F$309)=TRIM(F38))*($I$2:$I$309&gt;I38))+1))</f>
        <v>סטאס|61</v>
      </c>
      <c r="L38" s="5" t="str">
        <f aca="false">IF(F38="","",TRIM(F38)&amp;"|"&amp;(SUMPRODUCT((TRIM($F$2:$F$309)=TRIM(F38))*($B$2:$B$309&lt;B38))+1))</f>
        <v>סטאס|60</v>
      </c>
      <c r="M38" s="5" t="n">
        <f aca="false">IF(F38="","",SUMPRODUCT((TRIM($F$2:$F$309)=TRIM(F38))*($I$2:$I$309&gt;I38))+1)</f>
        <v>61</v>
      </c>
    </row>
    <row r="39" customFormat="false" ht="15" hidden="false" customHeight="false" outlineLevel="0" collapsed="false">
      <c r="A39" s="5" t="s">
        <v>106</v>
      </c>
      <c r="B39" s="5" t="n">
        <v>214</v>
      </c>
      <c r="C39" s="5" t="n">
        <v>208</v>
      </c>
      <c r="D39" s="5" t="s">
        <v>107</v>
      </c>
      <c r="E39" s="5" t="s">
        <v>49</v>
      </c>
      <c r="F39" s="5" t="s">
        <v>46</v>
      </c>
      <c r="G39" s="5"/>
      <c r="H39" s="5"/>
      <c r="I39" s="6" t="n">
        <v>7577.7</v>
      </c>
      <c r="J39" s="6" t="n">
        <v>12491.1</v>
      </c>
      <c r="K39" s="5" t="str">
        <f aca="false">IF(F39="","",TRIM(F39)&amp;"|"&amp;(SUMPRODUCT((TRIM($F$2:$F$309)=TRIM(F39))*($I$2:$I$309&gt;I39))+1))</f>
        <v>חדש|29</v>
      </c>
      <c r="L39" s="5" t="str">
        <f aca="false">IF(F39="","",TRIM(F39)&amp;"|"&amp;(SUMPRODUCT((TRIM($F$2:$F$309)=TRIM(F39))*($B$2:$B$309&lt;B39))+1))</f>
        <v>חדש|49</v>
      </c>
      <c r="M39" s="5" t="n">
        <f aca="false">IF(F39="","",SUMPRODUCT((TRIM($F$2:$F$309)=TRIM(F39))*($I$2:$I$309&gt;I39))+1)</f>
        <v>29</v>
      </c>
    </row>
    <row r="40" customFormat="false" ht="15" hidden="false" customHeight="false" outlineLevel="0" collapsed="false">
      <c r="A40" s="5" t="s">
        <v>108</v>
      </c>
      <c r="B40" s="5" t="n">
        <v>36</v>
      </c>
      <c r="C40" s="5" t="n">
        <v>6</v>
      </c>
      <c r="D40" s="5" t="s">
        <v>109</v>
      </c>
      <c r="E40" s="5" t="s">
        <v>109</v>
      </c>
      <c r="F40" s="5" t="s">
        <v>11</v>
      </c>
      <c r="G40" s="5" t="n">
        <v>1</v>
      </c>
      <c r="H40" s="5"/>
      <c r="I40" s="6" t="n">
        <v>17265.6</v>
      </c>
      <c r="J40" s="6" t="n">
        <v>29529.4</v>
      </c>
      <c r="K40" s="5" t="str">
        <f aca="false">IF(F40="","",TRIM(F40)&amp;"|"&amp;(SUMPRODUCT((TRIM($F$2:$F$309)=TRIM(F40))*($I$2:$I$309&gt;I40))+1))</f>
        <v>דודו|23</v>
      </c>
      <c r="L40" s="5" t="str">
        <f aca="false">IF(F40="","",TRIM(F40)&amp;"|"&amp;(SUMPRODUCT((TRIM($F$2:$F$309)=TRIM(F40))*($B$2:$B$309&lt;B40))+1))</f>
        <v>דודו|16</v>
      </c>
      <c r="M40" s="5" t="n">
        <f aca="false">IF(F40="","",SUMPRODUCT((TRIM($F$2:$F$309)=TRIM(F40))*($I$2:$I$309&gt;I40))+1)</f>
        <v>23</v>
      </c>
    </row>
    <row r="41" customFormat="false" ht="15" hidden="false" customHeight="false" outlineLevel="0" collapsed="false">
      <c r="A41" s="5" t="s">
        <v>110</v>
      </c>
      <c r="B41" s="5" t="n">
        <v>1</v>
      </c>
      <c r="C41" s="5" t="n">
        <v>3</v>
      </c>
      <c r="D41" s="5" t="s">
        <v>111</v>
      </c>
      <c r="E41" s="5" t="s">
        <v>40</v>
      </c>
      <c r="F41" s="5" t="s">
        <v>59</v>
      </c>
      <c r="G41" s="5" t="n">
        <v>1</v>
      </c>
      <c r="H41" s="5"/>
      <c r="I41" s="6" t="n">
        <v>47114</v>
      </c>
      <c r="J41" s="6" t="n">
        <v>88438.1</v>
      </c>
      <c r="K41" s="5" t="str">
        <f aca="false">IF(F41="","",TRIM(F41)&amp;"|"&amp;(SUMPRODUCT((TRIM($F$2:$F$309)=TRIM(F41))*($I$2:$I$309&gt;I41))+1))</f>
        <v>סטאס|1</v>
      </c>
      <c r="L41" s="5" t="str">
        <f aca="false">IF(F41="","",TRIM(F41)&amp;"|"&amp;(SUMPRODUCT((TRIM($F$2:$F$309)=TRIM(F41))*($B$2:$B$309&lt;B41))+1))</f>
        <v>סטאס|1</v>
      </c>
      <c r="M41" s="5" t="n">
        <f aca="false">IF(F41="","",SUMPRODUCT((TRIM($F$2:$F$309)=TRIM(F41))*($I$2:$I$309&gt;I41))+1)</f>
        <v>1</v>
      </c>
    </row>
    <row r="42" customFormat="false" ht="15" hidden="false" customHeight="false" outlineLevel="0" collapsed="false">
      <c r="A42" s="5" t="s">
        <v>112</v>
      </c>
      <c r="B42" s="5" t="n">
        <v>204</v>
      </c>
      <c r="C42" s="5" t="n">
        <v>209</v>
      </c>
      <c r="D42" s="5" t="s">
        <v>113</v>
      </c>
      <c r="E42" s="5" t="s">
        <v>40</v>
      </c>
      <c r="F42" s="5" t="s">
        <v>59</v>
      </c>
      <c r="G42" s="5"/>
      <c r="H42" s="5"/>
      <c r="I42" s="6" t="n">
        <v>8972.5</v>
      </c>
      <c r="J42" s="6" t="n">
        <v>18942.1</v>
      </c>
      <c r="K42" s="5" t="str">
        <f aca="false">IF(F42="","",TRIM(F42)&amp;"|"&amp;(SUMPRODUCT((TRIM($F$2:$F$309)=TRIM(F42))*($I$2:$I$309&gt;I42))+1))</f>
        <v>סטאס|31</v>
      </c>
      <c r="L42" s="5" t="str">
        <f aca="false">IF(F42="","",TRIM(F42)&amp;"|"&amp;(SUMPRODUCT((TRIM($F$2:$F$309)=TRIM(F42))*($B$2:$B$309&lt;B42))+1))</f>
        <v>סטאס|42</v>
      </c>
      <c r="M42" s="5" t="n">
        <f aca="false">IF(F42="","",SUMPRODUCT((TRIM($F$2:$F$309)=TRIM(F42))*($I$2:$I$309&gt;I42))+1)</f>
        <v>31</v>
      </c>
    </row>
    <row r="43" customFormat="false" ht="15" hidden="false" customHeight="false" outlineLevel="0" collapsed="false">
      <c r="A43" s="5" t="s">
        <v>114</v>
      </c>
      <c r="B43" s="5" t="n">
        <v>140</v>
      </c>
      <c r="C43" s="5" t="n">
        <v>111</v>
      </c>
      <c r="D43" s="5" t="s">
        <v>115</v>
      </c>
      <c r="E43" s="5" t="s">
        <v>54</v>
      </c>
      <c r="F43" s="5" t="s">
        <v>59</v>
      </c>
      <c r="G43" s="5"/>
      <c r="H43" s="5"/>
      <c r="I43" s="6" t="n">
        <v>9214.8</v>
      </c>
      <c r="J43" s="6" t="n">
        <v>20338.3</v>
      </c>
      <c r="K43" s="5" t="str">
        <f aca="false">IF(F43="","",TRIM(F43)&amp;"|"&amp;(SUMPRODUCT((TRIM($F$2:$F$309)=TRIM(F43))*($I$2:$I$309&gt;I43))+1))</f>
        <v>סטאס|30</v>
      </c>
      <c r="L43" s="5" t="str">
        <f aca="false">IF(F43="","",TRIM(F43)&amp;"|"&amp;(SUMPRODUCT((TRIM($F$2:$F$309)=TRIM(F43))*($B$2:$B$309&lt;B43))+1))</f>
        <v>סטאס|29</v>
      </c>
      <c r="M43" s="5" t="n">
        <f aca="false">IF(F43="","",SUMPRODUCT((TRIM($F$2:$F$309)=TRIM(F43))*($I$2:$I$309&gt;I43))+1)</f>
        <v>30</v>
      </c>
    </row>
    <row r="44" customFormat="false" ht="15" hidden="false" customHeight="false" outlineLevel="0" collapsed="false">
      <c r="A44" s="5" t="s">
        <v>116</v>
      </c>
      <c r="B44" s="5" t="n">
        <v>158</v>
      </c>
      <c r="C44" s="5" t="n">
        <v>200</v>
      </c>
      <c r="D44" s="5" t="s">
        <v>117</v>
      </c>
      <c r="E44" s="5" t="s">
        <v>40</v>
      </c>
      <c r="F44" s="5" t="s">
        <v>11</v>
      </c>
      <c r="G44" s="5"/>
      <c r="H44" s="5"/>
      <c r="I44" s="6" t="n">
        <v>9835.3</v>
      </c>
      <c r="J44" s="6" t="n">
        <v>19470.7</v>
      </c>
      <c r="K44" s="5" t="str">
        <f aca="false">IF(F44="","",TRIM(F44)&amp;"|"&amp;(SUMPRODUCT((TRIM($F$2:$F$309)=TRIM(F44))*($I$2:$I$309&gt;I44))+1))</f>
        <v>דודו|42</v>
      </c>
      <c r="L44" s="5" t="str">
        <f aca="false">IF(F44="","",TRIM(F44)&amp;"|"&amp;(SUMPRODUCT((TRIM($F$2:$F$309)=TRIM(F44))*($B$2:$B$309&lt;B44))+1))</f>
        <v>דודו|46</v>
      </c>
      <c r="M44" s="5" t="n">
        <f aca="false">IF(F44="","",SUMPRODUCT((TRIM($F$2:$F$309)=TRIM(F44))*($I$2:$I$309&gt;I44))+1)</f>
        <v>42</v>
      </c>
    </row>
    <row r="45" customFormat="false" ht="15" hidden="false" customHeight="false" outlineLevel="0" collapsed="false">
      <c r="A45" s="5" t="s">
        <v>118</v>
      </c>
      <c r="B45" s="5" t="n">
        <v>277</v>
      </c>
      <c r="C45" s="5" t="n">
        <v>281</v>
      </c>
      <c r="D45" s="5" t="s">
        <v>119</v>
      </c>
      <c r="E45" s="5" t="s">
        <v>49</v>
      </c>
      <c r="F45" s="5" t="s">
        <v>46</v>
      </c>
      <c r="G45" s="5"/>
      <c r="H45" s="5"/>
      <c r="I45" s="6" t="n">
        <v>4606.7</v>
      </c>
      <c r="J45" s="6" t="n">
        <v>9257.6</v>
      </c>
      <c r="K45" s="5" t="str">
        <f aca="false">IF(F45="","",TRIM(F45)&amp;"|"&amp;(SUMPRODUCT((TRIM($F$2:$F$309)=TRIM(F45))*($I$2:$I$309&gt;I45))+1))</f>
        <v>חדש|53</v>
      </c>
      <c r="L45" s="5" t="str">
        <f aca="false">IF(F45="","",TRIM(F45)&amp;"|"&amp;(SUMPRODUCT((TRIM($F$2:$F$309)=TRIM(F45))*($B$2:$B$309&lt;B45))+1))</f>
        <v>חדש|72</v>
      </c>
      <c r="M45" s="5" t="n">
        <f aca="false">IF(F45="","",SUMPRODUCT((TRIM($F$2:$F$309)=TRIM(F45))*($I$2:$I$309&gt;I45))+1)</f>
        <v>53</v>
      </c>
    </row>
    <row r="46" customFormat="false" ht="15" hidden="false" customHeight="false" outlineLevel="0" collapsed="false">
      <c r="A46" s="5" t="s">
        <v>120</v>
      </c>
      <c r="B46" s="5" t="n">
        <v>56</v>
      </c>
      <c r="C46" s="5" t="n">
        <v>66</v>
      </c>
      <c r="D46" s="5" t="s">
        <v>42</v>
      </c>
      <c r="E46" s="5" t="s">
        <v>34</v>
      </c>
      <c r="F46" s="5" t="s">
        <v>35</v>
      </c>
      <c r="G46" s="5"/>
      <c r="H46" s="5"/>
      <c r="I46" s="6" t="n">
        <v>12492.2</v>
      </c>
      <c r="J46" s="6" t="n">
        <v>31310.4</v>
      </c>
      <c r="K46" s="5" t="str">
        <f aca="false">IF(F46="","",TRIM(F46)&amp;"|"&amp;(SUMPRODUCT((TRIM($F$2:$F$309)=TRIM(F46))*($I$2:$I$309&gt;I46))+1))</f>
        <v>חיים|28</v>
      </c>
      <c r="L46" s="5" t="str">
        <f aca="false">IF(F46="","",TRIM(F46)&amp;"|"&amp;(SUMPRODUCT((TRIM($F$2:$F$309)=TRIM(F46))*($B$2:$B$309&lt;B46))+1))</f>
        <v>חיים|16</v>
      </c>
      <c r="M46" s="5" t="n">
        <f aca="false">IF(F46="","",SUMPRODUCT((TRIM($F$2:$F$309)=TRIM(F46))*($I$2:$I$309&gt;I46))+1)</f>
        <v>28</v>
      </c>
    </row>
    <row r="47" customFormat="false" ht="15" hidden="false" customHeight="false" outlineLevel="0" collapsed="false">
      <c r="A47" s="5" t="s">
        <v>121</v>
      </c>
      <c r="B47" s="5" t="n">
        <v>157</v>
      </c>
      <c r="C47" s="5" t="n">
        <v>199</v>
      </c>
      <c r="D47" s="5" t="s">
        <v>122</v>
      </c>
      <c r="E47" s="5" t="s">
        <v>49</v>
      </c>
      <c r="F47" s="5" t="s">
        <v>46</v>
      </c>
      <c r="G47" s="5"/>
      <c r="H47" s="5"/>
      <c r="I47" s="6" t="n">
        <v>575.7</v>
      </c>
      <c r="J47" s="6" t="n">
        <v>20459.2</v>
      </c>
      <c r="K47" s="5" t="str">
        <f aca="false">IF(F47="","",TRIM(F47)&amp;"|"&amp;(SUMPRODUCT((TRIM($F$2:$F$309)=TRIM(F47))*($I$2:$I$309&gt;I47))+1))</f>
        <v>חדש|86</v>
      </c>
      <c r="L47" s="5" t="str">
        <f aca="false">IF(F47="","",TRIM(F47)&amp;"|"&amp;(SUMPRODUCT((TRIM($F$2:$F$309)=TRIM(F47))*($B$2:$B$309&lt;B47))+1))</f>
        <v>חדש|28</v>
      </c>
      <c r="M47" s="5" t="n">
        <f aca="false">IF(F47="","",SUMPRODUCT((TRIM($F$2:$F$309)=TRIM(F47))*($I$2:$I$309&gt;I47))+1)</f>
        <v>86</v>
      </c>
    </row>
    <row r="48" customFormat="false" ht="15" hidden="false" customHeight="false" outlineLevel="0" collapsed="false">
      <c r="A48" s="5" t="s">
        <v>123</v>
      </c>
      <c r="B48" s="5" t="n">
        <v>164</v>
      </c>
      <c r="C48" s="5" t="n">
        <v>186</v>
      </c>
      <c r="D48" s="5" t="s">
        <v>44</v>
      </c>
      <c r="E48" s="5" t="s">
        <v>45</v>
      </c>
      <c r="F48" s="5" t="s">
        <v>46</v>
      </c>
      <c r="G48" s="5"/>
      <c r="H48" s="5"/>
      <c r="I48" s="6" t="n">
        <v>8611.2</v>
      </c>
      <c r="J48" s="6" t="n">
        <v>13175.1</v>
      </c>
      <c r="K48" s="5" t="str">
        <f aca="false">IF(F48="","",TRIM(F48)&amp;"|"&amp;(SUMPRODUCT((TRIM($F$2:$F$309)=TRIM(F48))*($I$2:$I$309&gt;I48))+1))</f>
        <v>חדש|24</v>
      </c>
      <c r="L48" s="5" t="str">
        <f aca="false">IF(F48="","",TRIM(F48)&amp;"|"&amp;(SUMPRODUCT((TRIM($F$2:$F$309)=TRIM(F48))*($B$2:$B$309&lt;B48))+1))</f>
        <v>חדש|31</v>
      </c>
      <c r="M48" s="5" t="n">
        <f aca="false">IF(F48="","",SUMPRODUCT((TRIM($F$2:$F$309)=TRIM(F48))*($I$2:$I$309&gt;I48))+1)</f>
        <v>24</v>
      </c>
    </row>
    <row r="49" customFormat="false" ht="15" hidden="false" customHeight="false" outlineLevel="0" collapsed="false">
      <c r="A49" s="5" t="s">
        <v>124</v>
      </c>
      <c r="B49" s="5" t="n">
        <v>28</v>
      </c>
      <c r="C49" s="5" t="n">
        <v>30</v>
      </c>
      <c r="D49" s="5" t="s">
        <v>125</v>
      </c>
      <c r="E49" s="5" t="s">
        <v>40</v>
      </c>
      <c r="F49" s="5" t="s">
        <v>11</v>
      </c>
      <c r="G49" s="5" t="n">
        <v>8</v>
      </c>
      <c r="H49" s="5"/>
      <c r="I49" s="6" t="n">
        <v>20373.4</v>
      </c>
      <c r="J49" s="6" t="n">
        <v>35954.1</v>
      </c>
      <c r="K49" s="5" t="str">
        <f aca="false">IF(F49="","",TRIM(F49)&amp;"|"&amp;(SUMPRODUCT((TRIM($F$2:$F$309)=TRIM(F49))*($I$2:$I$309&gt;I49))+1))</f>
        <v>דודו|15</v>
      </c>
      <c r="L49" s="5" t="str">
        <f aca="false">IF(F49="","",TRIM(F49)&amp;"|"&amp;(SUMPRODUCT((TRIM($F$2:$F$309)=TRIM(F49))*($B$2:$B$309&lt;B49))+1))</f>
        <v>דודו|14</v>
      </c>
      <c r="M49" s="5" t="n">
        <f aca="false">IF(F49="","",SUMPRODUCT((TRIM($F$2:$F$309)=TRIM(F49))*($I$2:$I$309&gt;I49))+1)</f>
        <v>15</v>
      </c>
    </row>
    <row r="50" customFormat="false" ht="15" hidden="false" customHeight="false" outlineLevel="0" collapsed="false">
      <c r="A50" s="5" t="s">
        <v>126</v>
      </c>
      <c r="B50" s="5" t="n">
        <v>27</v>
      </c>
      <c r="C50" s="5" t="n">
        <v>50</v>
      </c>
      <c r="D50" s="5" t="s">
        <v>117</v>
      </c>
      <c r="E50" s="5" t="s">
        <v>40</v>
      </c>
      <c r="F50" s="5" t="s">
        <v>11</v>
      </c>
      <c r="G50" s="5" t="n">
        <v>17</v>
      </c>
      <c r="H50" s="5"/>
      <c r="I50" s="6" t="n">
        <v>21940.2</v>
      </c>
      <c r="J50" s="6" t="n">
        <v>36086.4</v>
      </c>
      <c r="K50" s="5" t="str">
        <f aca="false">IF(F50="","",TRIM(F50)&amp;"|"&amp;(SUMPRODUCT((TRIM($F$2:$F$309)=TRIM(F50))*($I$2:$I$309&gt;I50))+1))</f>
        <v>דודו|13</v>
      </c>
      <c r="L50" s="5" t="str">
        <f aca="false">IF(F50="","",TRIM(F50)&amp;"|"&amp;(SUMPRODUCT((TRIM($F$2:$F$309)=TRIM(F50))*($B$2:$B$309&lt;B50))+1))</f>
        <v>דודו|13</v>
      </c>
      <c r="M50" s="5" t="n">
        <f aca="false">IF(F50="","",SUMPRODUCT((TRIM($F$2:$F$309)=TRIM(F50))*($I$2:$I$309&gt;I50))+1)</f>
        <v>13</v>
      </c>
    </row>
    <row r="51" customFormat="false" ht="15" hidden="false" customHeight="false" outlineLevel="0" collapsed="false">
      <c r="A51" s="5" t="s">
        <v>127</v>
      </c>
      <c r="B51" s="5" t="n">
        <v>92</v>
      </c>
      <c r="C51" s="5" t="n">
        <v>116</v>
      </c>
      <c r="D51" s="5" t="s">
        <v>128</v>
      </c>
      <c r="E51" s="5" t="s">
        <v>49</v>
      </c>
      <c r="F51" s="5" t="s">
        <v>46</v>
      </c>
      <c r="G51" s="5" t="n">
        <v>18</v>
      </c>
      <c r="H51" s="5"/>
      <c r="I51" s="6" t="n">
        <v>11759.5</v>
      </c>
      <c r="J51" s="6" t="n">
        <v>23099.9</v>
      </c>
      <c r="K51" s="5" t="str">
        <f aca="false">IF(F51="","",TRIM(F51)&amp;"|"&amp;(SUMPRODUCT((TRIM($F$2:$F$309)=TRIM(F51))*($I$2:$I$309&gt;I51))+1))</f>
        <v>חדש|13</v>
      </c>
      <c r="L51" s="5" t="str">
        <f aca="false">IF(F51="","",TRIM(F51)&amp;"|"&amp;(SUMPRODUCT((TRIM($F$2:$F$309)=TRIM(F51))*($B$2:$B$309&lt;B51))+1))</f>
        <v>חדש|14</v>
      </c>
      <c r="M51" s="5" t="n">
        <f aca="false">IF(F51="","",SUMPRODUCT((TRIM($F$2:$F$309)=TRIM(F51))*($I$2:$I$309&gt;I51))+1)</f>
        <v>13</v>
      </c>
    </row>
    <row r="52" customFormat="false" ht="15" hidden="false" customHeight="false" outlineLevel="0" collapsed="false">
      <c r="A52" s="5" t="s">
        <v>129</v>
      </c>
      <c r="B52" s="5" t="n">
        <v>15</v>
      </c>
      <c r="C52" s="5" t="n">
        <v>36</v>
      </c>
      <c r="D52" s="5" t="s">
        <v>130</v>
      </c>
      <c r="E52" s="5" t="s">
        <v>54</v>
      </c>
      <c r="F52" s="5" t="s">
        <v>11</v>
      </c>
      <c r="G52" s="5" t="n">
        <v>10</v>
      </c>
      <c r="H52" s="5"/>
      <c r="I52" s="6" t="n">
        <v>21969.8</v>
      </c>
      <c r="J52" s="6" t="n">
        <v>39005.8</v>
      </c>
      <c r="K52" s="5" t="str">
        <f aca="false">IF(F52="","",TRIM(F52)&amp;"|"&amp;(SUMPRODUCT((TRIM($F$2:$F$309)=TRIM(F52))*($I$2:$I$309&gt;I52))+1))</f>
        <v>דודו|12</v>
      </c>
      <c r="L52" s="5" t="str">
        <f aca="false">IF(F52="","",TRIM(F52)&amp;"|"&amp;(SUMPRODUCT((TRIM($F$2:$F$309)=TRIM(F52))*($B$2:$B$309&lt;B52))+1))</f>
        <v>דודו|7</v>
      </c>
      <c r="M52" s="5" t="n">
        <f aca="false">IF(F52="","",SUMPRODUCT((TRIM($F$2:$F$309)=TRIM(F52))*($I$2:$I$309&gt;I52))+1)</f>
        <v>12</v>
      </c>
    </row>
    <row r="53" customFormat="false" ht="15" hidden="false" customHeight="false" outlineLevel="0" collapsed="false">
      <c r="A53" s="5" t="s">
        <v>131</v>
      </c>
      <c r="B53" s="5" t="n">
        <v>48</v>
      </c>
      <c r="C53" s="5" t="n">
        <v>128</v>
      </c>
      <c r="D53" s="5" t="s">
        <v>132</v>
      </c>
      <c r="E53" s="5" t="s">
        <v>72</v>
      </c>
      <c r="F53" s="5" t="s">
        <v>11</v>
      </c>
      <c r="G53" s="5"/>
      <c r="H53" s="5"/>
      <c r="I53" s="6" t="n">
        <v>19715.9</v>
      </c>
      <c r="J53" s="6" t="n">
        <v>45291.6</v>
      </c>
      <c r="K53" s="5" t="str">
        <f aca="false">IF(F53="","",TRIM(F53)&amp;"|"&amp;(SUMPRODUCT((TRIM($F$2:$F$309)=TRIM(F53))*($I$2:$I$309&gt;I53))+1))</f>
        <v>דודו|17</v>
      </c>
      <c r="L53" s="5" t="str">
        <f aca="false">IF(F53="","",TRIM(F53)&amp;"|"&amp;(SUMPRODUCT((TRIM($F$2:$F$309)=TRIM(F53))*($B$2:$B$309&lt;B53))+1))</f>
        <v>דודו|20</v>
      </c>
      <c r="M53" s="5" t="n">
        <f aca="false">IF(F53="","",SUMPRODUCT((TRIM($F$2:$F$309)=TRIM(F53))*($I$2:$I$309&gt;I53))+1)</f>
        <v>17</v>
      </c>
    </row>
    <row r="54" customFormat="false" ht="15" hidden="false" customHeight="false" outlineLevel="0" collapsed="false">
      <c r="A54" s="5" t="s">
        <v>133</v>
      </c>
      <c r="B54" s="5" t="n">
        <v>216</v>
      </c>
      <c r="C54" s="5" t="n">
        <v>224</v>
      </c>
      <c r="D54" s="5" t="s">
        <v>134</v>
      </c>
      <c r="E54" s="5" t="s">
        <v>34</v>
      </c>
      <c r="F54" s="5" t="s">
        <v>35</v>
      </c>
      <c r="G54" s="5"/>
      <c r="H54" s="5"/>
      <c r="I54" s="6" t="n">
        <v>6738.7</v>
      </c>
      <c r="J54" s="6" t="n">
        <v>16229.1</v>
      </c>
      <c r="K54" s="5" t="str">
        <f aca="false">IF(F54="","",TRIM(F54)&amp;"|"&amp;(SUMPRODUCT((TRIM($F$2:$F$309)=TRIM(F54))*($I$2:$I$309&gt;I54))+1))</f>
        <v>חיים|65</v>
      </c>
      <c r="L54" s="5" t="str">
        <f aca="false">IF(F54="","",TRIM(F54)&amp;"|"&amp;(SUMPRODUCT((TRIM($F$2:$F$309)=TRIM(F54))*($B$2:$B$309&lt;B54))+1))</f>
        <v>חיים|67</v>
      </c>
      <c r="M54" s="5" t="n">
        <f aca="false">IF(F54="","",SUMPRODUCT((TRIM($F$2:$F$309)=TRIM(F54))*($I$2:$I$309&gt;I54))+1)</f>
        <v>65</v>
      </c>
    </row>
    <row r="55" customFormat="false" ht="15" hidden="false" customHeight="false" outlineLevel="0" collapsed="false">
      <c r="A55" s="5" t="s">
        <v>135</v>
      </c>
      <c r="B55" s="5" t="n">
        <v>187</v>
      </c>
      <c r="C55" s="5" t="n">
        <v>198</v>
      </c>
      <c r="D55" s="5" t="s">
        <v>136</v>
      </c>
      <c r="E55" s="5" t="s">
        <v>49</v>
      </c>
      <c r="F55" s="5" t="s">
        <v>46</v>
      </c>
      <c r="G55" s="5"/>
      <c r="H55" s="5"/>
      <c r="I55" s="6" t="n">
        <v>5117.6</v>
      </c>
      <c r="J55" s="6" t="n">
        <v>10084</v>
      </c>
      <c r="K55" s="5" t="str">
        <f aca="false">IF(F55="","",TRIM(F55)&amp;"|"&amp;(SUMPRODUCT((TRIM($F$2:$F$309)=TRIM(F55))*($I$2:$I$309&gt;I55))+1))</f>
        <v>חדש|48</v>
      </c>
      <c r="L55" s="5" t="str">
        <f aca="false">IF(F55="","",TRIM(F55)&amp;"|"&amp;(SUMPRODUCT((TRIM($F$2:$F$309)=TRIM(F55))*($B$2:$B$309&lt;B55))+1))</f>
        <v>חדש|39</v>
      </c>
      <c r="M55" s="5" t="n">
        <f aca="false">IF(F55="","",SUMPRODUCT((TRIM($F$2:$F$309)=TRIM(F55))*($I$2:$I$309&gt;I55))+1)</f>
        <v>48</v>
      </c>
    </row>
    <row r="56" customFormat="false" ht="15" hidden="false" customHeight="false" outlineLevel="0" collapsed="false">
      <c r="A56" s="5" t="s">
        <v>137</v>
      </c>
      <c r="B56" s="5" t="n">
        <v>153</v>
      </c>
      <c r="C56" s="5" t="n">
        <v>180</v>
      </c>
      <c r="D56" s="5" t="s">
        <v>70</v>
      </c>
      <c r="E56" s="5" t="s">
        <v>37</v>
      </c>
      <c r="F56" s="5" t="s">
        <v>35</v>
      </c>
      <c r="G56" s="5"/>
      <c r="H56" s="5"/>
      <c r="I56" s="6" t="n">
        <v>3365.3</v>
      </c>
      <c r="J56" s="6" t="n">
        <v>13982.7</v>
      </c>
      <c r="K56" s="5" t="str">
        <f aca="false">IF(F56="","",TRIM(F56)&amp;"|"&amp;(SUMPRODUCT((TRIM($F$2:$F$309)=TRIM(F56))*($I$2:$I$309&gt;I56))+1))</f>
        <v>חיים|79</v>
      </c>
      <c r="L56" s="5" t="str">
        <f aca="false">IF(F56="","",TRIM(F56)&amp;"|"&amp;(SUMPRODUCT((TRIM($F$2:$F$309)=TRIM(F56))*($B$2:$B$309&lt;B56))+1))</f>
        <v>חיים|51</v>
      </c>
      <c r="M56" s="5" t="n">
        <f aca="false">IF(F56="","",SUMPRODUCT((TRIM($F$2:$F$309)=TRIM(F56))*($I$2:$I$309&gt;I56))+1)</f>
        <v>79</v>
      </c>
    </row>
    <row r="57" customFormat="false" ht="15" hidden="false" customHeight="false" outlineLevel="0" collapsed="false">
      <c r="A57" s="5" t="s">
        <v>138</v>
      </c>
      <c r="B57" s="5" t="n">
        <v>72</v>
      </c>
      <c r="C57" s="5" t="n">
        <v>74</v>
      </c>
      <c r="D57" s="5" t="s">
        <v>132</v>
      </c>
      <c r="E57" s="5" t="s">
        <v>72</v>
      </c>
      <c r="F57" s="5" t="s">
        <v>11</v>
      </c>
      <c r="G57" s="5"/>
      <c r="H57" s="5"/>
      <c r="I57" s="6" t="n">
        <v>14027.5</v>
      </c>
      <c r="J57" s="6" t="n">
        <v>28961</v>
      </c>
      <c r="K57" s="5" t="str">
        <f aca="false">IF(F57="","",TRIM(F57)&amp;"|"&amp;(SUMPRODUCT((TRIM($F$2:$F$309)=TRIM(F57))*($I$2:$I$309&gt;I57))+1))</f>
        <v>דודו|27</v>
      </c>
      <c r="L57" s="5" t="str">
        <f aca="false">IF(F57="","",TRIM(F57)&amp;"|"&amp;(SUMPRODUCT((TRIM($F$2:$F$309)=TRIM(F57))*($B$2:$B$309&lt;B57))+1))</f>
        <v>דודו|29</v>
      </c>
      <c r="M57" s="5" t="n">
        <f aca="false">IF(F57="","",SUMPRODUCT((TRIM($F$2:$F$309)=TRIM(F57))*($I$2:$I$309&gt;I57))+1)</f>
        <v>27</v>
      </c>
    </row>
    <row r="58" customFormat="false" ht="15" hidden="false" customHeight="false" outlineLevel="0" collapsed="false">
      <c r="A58" s="5" t="s">
        <v>139</v>
      </c>
      <c r="B58" s="5" t="n">
        <v>237</v>
      </c>
      <c r="C58" s="5" t="n">
        <v>228</v>
      </c>
      <c r="D58" s="5" t="s">
        <v>72</v>
      </c>
      <c r="E58" s="5" t="s">
        <v>72</v>
      </c>
      <c r="F58" s="5" t="s">
        <v>11</v>
      </c>
      <c r="G58" s="5"/>
      <c r="H58" s="5"/>
      <c r="I58" s="6" t="n">
        <v>5642.9</v>
      </c>
      <c r="J58" s="6" t="n">
        <v>11540.6</v>
      </c>
      <c r="K58" s="5" t="str">
        <f aca="false">IF(F58="","",TRIM(F58)&amp;"|"&amp;(SUMPRODUCT((TRIM($F$2:$F$309)=TRIM(F58))*($I$2:$I$309&gt;I58))+1))</f>
        <v>דודו|56</v>
      </c>
      <c r="L58" s="5" t="str">
        <f aca="false">IF(F58="","",TRIM(F58)&amp;"|"&amp;(SUMPRODUCT((TRIM($F$2:$F$309)=TRIM(F58))*($B$2:$B$309&lt;B58))+1))</f>
        <v>דודו|59</v>
      </c>
      <c r="M58" s="5" t="n">
        <f aca="false">IF(F58="","",SUMPRODUCT((TRIM($F$2:$F$309)=TRIM(F58))*($I$2:$I$309&gt;I58))+1)</f>
        <v>56</v>
      </c>
    </row>
    <row r="59" customFormat="false" ht="15" hidden="false" customHeight="false" outlineLevel="0" collapsed="false">
      <c r="A59" s="5" t="s">
        <v>140</v>
      </c>
      <c r="B59" s="5" t="n">
        <v>29</v>
      </c>
      <c r="C59" s="5" t="n">
        <v>45</v>
      </c>
      <c r="D59" s="5" t="s">
        <v>141</v>
      </c>
      <c r="E59" s="5" t="s">
        <v>72</v>
      </c>
      <c r="F59" s="5" t="s">
        <v>11</v>
      </c>
      <c r="G59" s="5" t="n">
        <v>15</v>
      </c>
      <c r="H59" s="5"/>
      <c r="I59" s="6" t="n">
        <v>21728.9</v>
      </c>
      <c r="J59" s="6" t="n">
        <v>40253.2</v>
      </c>
      <c r="K59" s="5" t="str">
        <f aca="false">IF(F59="","",TRIM(F59)&amp;"|"&amp;(SUMPRODUCT((TRIM($F$2:$F$309)=TRIM(F59))*($I$2:$I$309&gt;I59))+1))</f>
        <v>דודו|14</v>
      </c>
      <c r="L59" s="5" t="str">
        <f aca="false">IF(F59="","",TRIM(F59)&amp;"|"&amp;(SUMPRODUCT((TRIM($F$2:$F$309)=TRIM(F59))*($B$2:$B$309&lt;B59))+1))</f>
        <v>דודו|15</v>
      </c>
      <c r="M59" s="5" t="n">
        <f aca="false">IF(F59="","",SUMPRODUCT((TRIM($F$2:$F$309)=TRIM(F59))*($I$2:$I$309&gt;I59))+1)</f>
        <v>14</v>
      </c>
    </row>
    <row r="60" customFormat="false" ht="15" hidden="false" customHeight="false" outlineLevel="0" collapsed="false">
      <c r="A60" s="5" t="s">
        <v>142</v>
      </c>
      <c r="B60" s="5" t="n">
        <v>203</v>
      </c>
      <c r="C60" s="5" t="n">
        <v>107</v>
      </c>
      <c r="D60" s="5" t="s">
        <v>94</v>
      </c>
      <c r="E60" s="5" t="s">
        <v>54</v>
      </c>
      <c r="F60" s="5" t="s">
        <v>59</v>
      </c>
      <c r="G60" s="5"/>
      <c r="H60" s="5"/>
      <c r="I60" s="6" t="n">
        <v>8561.8</v>
      </c>
      <c r="J60" s="6" t="n">
        <v>14908.2</v>
      </c>
      <c r="K60" s="5" t="str">
        <f aca="false">IF(F60="","",TRIM(F60)&amp;"|"&amp;(SUMPRODUCT((TRIM($F$2:$F$309)=TRIM(F60))*($I$2:$I$309&gt;I60))+1))</f>
        <v>סטאס|32</v>
      </c>
      <c r="L60" s="5" t="str">
        <f aca="false">IF(F60="","",TRIM(F60)&amp;"|"&amp;(SUMPRODUCT((TRIM($F$2:$F$309)=TRIM(F60))*($B$2:$B$309&lt;B60))+1))</f>
        <v>סטאס|41</v>
      </c>
      <c r="M60" s="5" t="n">
        <f aca="false">IF(F60="","",SUMPRODUCT((TRIM($F$2:$F$309)=TRIM(F60))*($I$2:$I$309&gt;I60))+1)</f>
        <v>32</v>
      </c>
    </row>
    <row r="61" customFormat="false" ht="15" hidden="false" customHeight="false" outlineLevel="0" collapsed="false">
      <c r="A61" s="5" t="s">
        <v>143</v>
      </c>
      <c r="B61" s="5" t="n">
        <v>270</v>
      </c>
      <c r="C61" s="5" t="n">
        <v>242</v>
      </c>
      <c r="D61" s="5" t="s">
        <v>63</v>
      </c>
      <c r="E61" s="5" t="s">
        <v>54</v>
      </c>
      <c r="F61" s="5" t="s">
        <v>59</v>
      </c>
      <c r="G61" s="5"/>
      <c r="H61" s="5"/>
      <c r="I61" s="6" t="n">
        <v>4168.3</v>
      </c>
      <c r="J61" s="6" t="n">
        <v>9587.2</v>
      </c>
      <c r="K61" s="5" t="str">
        <f aca="false">IF(F61="","",TRIM(F61)&amp;"|"&amp;(SUMPRODUCT((TRIM($F$2:$F$309)=TRIM(F61))*($I$2:$I$309&gt;I61))+1))</f>
        <v>סטאס|53</v>
      </c>
      <c r="L61" s="5" t="str">
        <f aca="false">IF(F61="","",TRIM(F61)&amp;"|"&amp;(SUMPRODUCT((TRIM($F$2:$F$309)=TRIM(F61))*($B$2:$B$309&lt;B61))+1))</f>
        <v>סטאס|56</v>
      </c>
      <c r="M61" s="5" t="n">
        <f aca="false">IF(F61="","",SUMPRODUCT((TRIM($F$2:$F$309)=TRIM(F61))*($I$2:$I$309&gt;I61))+1)</f>
        <v>53</v>
      </c>
    </row>
    <row r="62" customFormat="false" ht="15" hidden="false" customHeight="false" outlineLevel="0" collapsed="false">
      <c r="A62" s="5" t="s">
        <v>144</v>
      </c>
      <c r="B62" s="5" t="n">
        <v>97</v>
      </c>
      <c r="C62" s="5" t="n">
        <v>38</v>
      </c>
      <c r="D62" s="5" t="s">
        <v>39</v>
      </c>
      <c r="E62" s="5" t="s">
        <v>40</v>
      </c>
      <c r="F62" s="5" t="s">
        <v>11</v>
      </c>
      <c r="G62" s="5" t="n">
        <v>11</v>
      </c>
      <c r="H62" s="5"/>
      <c r="I62" s="6" t="n">
        <v>11597.1</v>
      </c>
      <c r="J62" s="6" t="n">
        <v>22838.4</v>
      </c>
      <c r="K62" s="5" t="str">
        <f aca="false">IF(F62="","",TRIM(F62)&amp;"|"&amp;(SUMPRODUCT((TRIM($F$2:$F$309)=TRIM(F62))*($I$2:$I$309&gt;I62))+1))</f>
        <v>דודו|35</v>
      </c>
      <c r="L62" s="5" t="str">
        <f aca="false">IF(F62="","",TRIM(F62)&amp;"|"&amp;(SUMPRODUCT((TRIM($F$2:$F$309)=TRIM(F62))*($B$2:$B$309&lt;B62))+1))</f>
        <v>דודו|35</v>
      </c>
      <c r="M62" s="5" t="n">
        <f aca="false">IF(F62="","",SUMPRODUCT((TRIM($F$2:$F$309)=TRIM(F62))*($I$2:$I$309&gt;I62))+1)</f>
        <v>35</v>
      </c>
    </row>
    <row r="63" customFormat="false" ht="15" hidden="false" customHeight="false" outlineLevel="0" collapsed="false">
      <c r="A63" s="5" t="s">
        <v>145</v>
      </c>
      <c r="B63" s="5" t="n">
        <v>290</v>
      </c>
      <c r="C63" s="5" t="n">
        <v>290</v>
      </c>
      <c r="D63" s="5" t="s">
        <v>146</v>
      </c>
      <c r="E63" s="5" t="s">
        <v>49</v>
      </c>
      <c r="F63" s="5" t="s">
        <v>46</v>
      </c>
      <c r="G63" s="5"/>
      <c r="H63" s="5"/>
      <c r="I63" s="6" t="n">
        <v>2955.9</v>
      </c>
      <c r="J63" s="6" t="n">
        <v>4511.7</v>
      </c>
      <c r="K63" s="5" t="str">
        <f aca="false">IF(F63="","",TRIM(F63)&amp;"|"&amp;(SUMPRODUCT((TRIM($F$2:$F$309)=TRIM(F63))*($I$2:$I$309&gt;I63))+1))</f>
        <v>חדש|72</v>
      </c>
      <c r="L63" s="5" t="str">
        <f aca="false">IF(F63="","",TRIM(F63)&amp;"|"&amp;(SUMPRODUCT((TRIM($F$2:$F$309)=TRIM(F63))*($B$2:$B$309&lt;B63))+1))</f>
        <v>חדש|79</v>
      </c>
      <c r="M63" s="5" t="n">
        <f aca="false">IF(F63="","",SUMPRODUCT((TRIM($F$2:$F$309)=TRIM(F63))*($I$2:$I$309&gt;I63))+1)</f>
        <v>72</v>
      </c>
    </row>
    <row r="64" customFormat="false" ht="15" hidden="false" customHeight="false" outlineLevel="0" collapsed="false">
      <c r="A64" s="5" t="s">
        <v>147</v>
      </c>
      <c r="B64" s="5" t="n">
        <v>37</v>
      </c>
      <c r="C64" s="5" t="n">
        <v>19</v>
      </c>
      <c r="D64" s="5" t="s">
        <v>148</v>
      </c>
      <c r="E64" s="5" t="s">
        <v>54</v>
      </c>
      <c r="F64" s="5" t="s">
        <v>35</v>
      </c>
      <c r="G64" s="5" t="n">
        <v>5</v>
      </c>
      <c r="H64" s="5"/>
      <c r="I64" s="6" t="n">
        <v>21741</v>
      </c>
      <c r="J64" s="6" t="n">
        <v>36448.2</v>
      </c>
      <c r="K64" s="5" t="str">
        <f aca="false">IF(F64="","",TRIM(F64)&amp;"|"&amp;(SUMPRODUCT((TRIM($F$2:$F$309)=TRIM(F64))*($I$2:$I$309&gt;I64))+1))</f>
        <v>חיים|7</v>
      </c>
      <c r="L64" s="5" t="str">
        <f aca="false">IF(F64="","",TRIM(F64)&amp;"|"&amp;(SUMPRODUCT((TRIM($F$2:$F$309)=TRIM(F64))*($B$2:$B$309&lt;B64))+1))</f>
        <v>חיים|11</v>
      </c>
      <c r="M64" s="5" t="n">
        <f aca="false">IF(F64="","",SUMPRODUCT((TRIM($F$2:$F$309)=TRIM(F64))*($I$2:$I$309&gt;I64))+1)</f>
        <v>7</v>
      </c>
    </row>
    <row r="65" customFormat="false" ht="15" hidden="false" customHeight="false" outlineLevel="0" collapsed="false">
      <c r="A65" s="5" t="s">
        <v>149</v>
      </c>
      <c r="B65" s="5" t="n">
        <v>32</v>
      </c>
      <c r="C65" s="5" t="n">
        <v>21</v>
      </c>
      <c r="D65" s="5" t="s">
        <v>150</v>
      </c>
      <c r="E65" s="5" t="s">
        <v>54</v>
      </c>
      <c r="F65" s="5" t="s">
        <v>59</v>
      </c>
      <c r="G65" s="5" t="n">
        <v>5</v>
      </c>
      <c r="H65" s="5"/>
      <c r="I65" s="6" t="n">
        <v>14737.1</v>
      </c>
      <c r="J65" s="6" t="n">
        <v>31606.4</v>
      </c>
      <c r="K65" s="5" t="str">
        <f aca="false">IF(F65="","",TRIM(F65)&amp;"|"&amp;(SUMPRODUCT((TRIM($F$2:$F$309)=TRIM(F65))*($I$2:$I$309&gt;I65))+1))</f>
        <v>סטאס|8</v>
      </c>
      <c r="L65" s="5" t="str">
        <f aca="false">IF(F65="","",TRIM(F65)&amp;"|"&amp;(SUMPRODUCT((TRIM($F$2:$F$309)=TRIM(F65))*($B$2:$B$309&lt;B65))+1))</f>
        <v>סטאס|3</v>
      </c>
      <c r="M65" s="5" t="n">
        <f aca="false">IF(F65="","",SUMPRODUCT((TRIM($F$2:$F$309)=TRIM(F65))*($I$2:$I$309&gt;I65))+1)</f>
        <v>8</v>
      </c>
    </row>
    <row r="66" customFormat="false" ht="15" hidden="false" customHeight="false" outlineLevel="0" collapsed="false">
      <c r="A66" s="5" t="s">
        <v>151</v>
      </c>
      <c r="B66" s="5" t="n">
        <v>11</v>
      </c>
      <c r="C66" s="5" t="n">
        <v>55</v>
      </c>
      <c r="D66" s="5" t="s">
        <v>72</v>
      </c>
      <c r="E66" s="5" t="s">
        <v>72</v>
      </c>
      <c r="F66" s="5" t="s">
        <v>11</v>
      </c>
      <c r="G66" s="5" t="n">
        <v>18</v>
      </c>
      <c r="H66" s="5"/>
      <c r="I66" s="6" t="n">
        <v>34207.6</v>
      </c>
      <c r="J66" s="6" t="n">
        <v>46442.7</v>
      </c>
      <c r="K66" s="5" t="str">
        <f aca="false">IF(F66="","",TRIM(F66)&amp;"|"&amp;(SUMPRODUCT((TRIM($F$2:$F$309)=TRIM(F66))*($I$2:$I$309&gt;I66))+1))</f>
        <v>דודו|2</v>
      </c>
      <c r="L66" s="5" t="str">
        <f aca="false">IF(F66="","",TRIM(F66)&amp;"|"&amp;(SUMPRODUCT((TRIM($F$2:$F$309)=TRIM(F66))*($B$2:$B$309&lt;B66))+1))</f>
        <v>דודו|4</v>
      </c>
      <c r="M66" s="5" t="n">
        <f aca="false">IF(F66="","",SUMPRODUCT((TRIM($F$2:$F$309)=TRIM(F66))*($I$2:$I$309&gt;I66))+1)</f>
        <v>2</v>
      </c>
    </row>
    <row r="67" customFormat="false" ht="15" hidden="false" customHeight="false" outlineLevel="0" collapsed="false">
      <c r="A67" s="5" t="s">
        <v>152</v>
      </c>
      <c r="B67" s="5" t="n">
        <v>61</v>
      </c>
      <c r="C67" s="5" t="n">
        <v>12</v>
      </c>
      <c r="D67" s="5" t="s">
        <v>109</v>
      </c>
      <c r="E67" s="5" t="s">
        <v>109</v>
      </c>
      <c r="F67" s="5" t="s">
        <v>11</v>
      </c>
      <c r="G67" s="5" t="n">
        <v>3</v>
      </c>
      <c r="H67" s="5"/>
      <c r="I67" s="6" t="n">
        <v>13139.5</v>
      </c>
      <c r="J67" s="6" t="n">
        <v>30442.7</v>
      </c>
      <c r="K67" s="5" t="str">
        <f aca="false">IF(F67="","",TRIM(F67)&amp;"|"&amp;(SUMPRODUCT((TRIM($F$2:$F$309)=TRIM(F67))*($I$2:$I$309&gt;I67))+1))</f>
        <v>דודו|31</v>
      </c>
      <c r="L67" s="5" t="str">
        <f aca="false">IF(F67="","",TRIM(F67)&amp;"|"&amp;(SUMPRODUCT((TRIM($F$2:$F$309)=TRIM(F67))*($B$2:$B$309&lt;B67))+1))</f>
        <v>דודו|24</v>
      </c>
      <c r="M67" s="5" t="n">
        <f aca="false">IF(F67="","",SUMPRODUCT((TRIM($F$2:$F$309)=TRIM(F67))*($I$2:$I$309&gt;I67))+1)</f>
        <v>31</v>
      </c>
    </row>
    <row r="68" customFormat="false" ht="15" hidden="false" customHeight="false" outlineLevel="0" collapsed="false">
      <c r="A68" s="5" t="s">
        <v>153</v>
      </c>
      <c r="B68" s="5" t="n">
        <v>16</v>
      </c>
      <c r="C68" s="5" t="n">
        <v>13</v>
      </c>
      <c r="D68" s="5" t="s">
        <v>72</v>
      </c>
      <c r="E68" s="5" t="s">
        <v>72</v>
      </c>
      <c r="F68" s="5" t="s">
        <v>11</v>
      </c>
      <c r="G68" s="5" t="n">
        <v>4</v>
      </c>
      <c r="H68" s="5"/>
      <c r="I68" s="6" t="n">
        <v>25566.1</v>
      </c>
      <c r="J68" s="6" t="n">
        <v>52586.4</v>
      </c>
      <c r="K68" s="5" t="str">
        <f aca="false">IF(F68="","",TRIM(F68)&amp;"|"&amp;(SUMPRODUCT((TRIM($F$2:$F$309)=TRIM(F68))*($I$2:$I$309&gt;I68))+1))</f>
        <v>דודו|8</v>
      </c>
      <c r="L68" s="5" t="str">
        <f aca="false">IF(F68="","",TRIM(F68)&amp;"|"&amp;(SUMPRODUCT((TRIM($F$2:$F$309)=TRIM(F68))*($B$2:$B$309&lt;B68))+1))</f>
        <v>דודו|8</v>
      </c>
      <c r="M68" s="5" t="n">
        <f aca="false">IF(F68="","",SUMPRODUCT((TRIM($F$2:$F$309)=TRIM(F68))*($I$2:$I$309&gt;I68))+1)</f>
        <v>8</v>
      </c>
    </row>
    <row r="69" customFormat="false" ht="15" hidden="false" customHeight="false" outlineLevel="0" collapsed="false">
      <c r="A69" s="5" t="s">
        <v>154</v>
      </c>
      <c r="B69" s="5" t="n">
        <v>21</v>
      </c>
      <c r="C69" s="5" t="n">
        <v>7</v>
      </c>
      <c r="D69" s="5" t="s">
        <v>44</v>
      </c>
      <c r="E69" s="5" t="s">
        <v>45</v>
      </c>
      <c r="F69" s="5" t="s">
        <v>46</v>
      </c>
      <c r="G69" s="5" t="n">
        <v>3</v>
      </c>
      <c r="H69" s="5"/>
      <c r="I69" s="6" t="n">
        <v>12185.8</v>
      </c>
      <c r="J69" s="6" t="n">
        <v>27590.1</v>
      </c>
      <c r="K69" s="5" t="str">
        <f aca="false">IF(F69="","",TRIM(F69)&amp;"|"&amp;(SUMPRODUCT((TRIM($F$2:$F$309)=TRIM(F69))*($I$2:$I$309&gt;I69))+1))</f>
        <v>חדש|11</v>
      </c>
      <c r="L69" s="5" t="str">
        <f aca="false">IF(F69="","",TRIM(F69)&amp;"|"&amp;(SUMPRODUCT((TRIM($F$2:$F$309)=TRIM(F69))*($B$2:$B$309&lt;B69))+1))</f>
        <v>חדש|4</v>
      </c>
      <c r="M69" s="5" t="n">
        <f aca="false">IF(F69="","",SUMPRODUCT((TRIM($F$2:$F$309)=TRIM(F69))*($I$2:$I$309&gt;I69))+1)</f>
        <v>11</v>
      </c>
    </row>
    <row r="70" customFormat="false" ht="15" hidden="false" customHeight="false" outlineLevel="0" collapsed="false">
      <c r="A70" s="5" t="s">
        <v>155</v>
      </c>
      <c r="B70" s="5" t="n">
        <v>78</v>
      </c>
      <c r="C70" s="5" t="n">
        <v>81</v>
      </c>
      <c r="D70" s="5" t="s">
        <v>156</v>
      </c>
      <c r="E70" s="5" t="s">
        <v>54</v>
      </c>
      <c r="F70" s="5" t="s">
        <v>35</v>
      </c>
      <c r="G70" s="5"/>
      <c r="H70" s="5"/>
      <c r="I70" s="6" t="n">
        <v>12835.8</v>
      </c>
      <c r="J70" s="6" t="n">
        <v>28639.2</v>
      </c>
      <c r="K70" s="5" t="str">
        <f aca="false">IF(F70="","",TRIM(F70)&amp;"|"&amp;(SUMPRODUCT((TRIM($F$2:$F$309)=TRIM(F70))*($I$2:$I$309&gt;I70))+1))</f>
        <v>חיים|25</v>
      </c>
      <c r="L70" s="5" t="str">
        <f aca="false">IF(F70="","",TRIM(F70)&amp;"|"&amp;(SUMPRODUCT((TRIM($F$2:$F$309)=TRIM(F70))*($B$2:$B$309&lt;B70))+1))</f>
        <v>חיים|24</v>
      </c>
      <c r="M70" s="5" t="n">
        <f aca="false">IF(F70="","",SUMPRODUCT((TRIM($F$2:$F$309)=TRIM(F70))*($I$2:$I$309&gt;I70))+1)</f>
        <v>25</v>
      </c>
    </row>
    <row r="71" customFormat="false" ht="15" hidden="false" customHeight="false" outlineLevel="0" collapsed="false">
      <c r="A71" s="5" t="s">
        <v>157</v>
      </c>
      <c r="B71" s="5" t="n">
        <v>183</v>
      </c>
      <c r="C71" s="5" t="n">
        <v>168</v>
      </c>
      <c r="D71" s="5" t="s">
        <v>158</v>
      </c>
      <c r="E71" s="5" t="s">
        <v>54</v>
      </c>
      <c r="F71" s="5" t="s">
        <v>59</v>
      </c>
      <c r="G71" s="5"/>
      <c r="H71" s="5"/>
      <c r="I71" s="6" t="n">
        <v>6830.9</v>
      </c>
      <c r="J71" s="6" t="n">
        <v>16329.4</v>
      </c>
      <c r="K71" s="5" t="str">
        <f aca="false">IF(F71="","",TRIM(F71)&amp;"|"&amp;(SUMPRODUCT((TRIM($F$2:$F$309)=TRIM(F71))*($I$2:$I$309&gt;I71))+1))</f>
        <v>סטאס|37</v>
      </c>
      <c r="L71" s="5" t="str">
        <f aca="false">IF(F71="","",TRIM(F71)&amp;"|"&amp;(SUMPRODUCT((TRIM($F$2:$F$309)=TRIM(F71))*($B$2:$B$309&lt;B71))+1))</f>
        <v>סטאס|37</v>
      </c>
      <c r="M71" s="5" t="n">
        <f aca="false">IF(F71="","",SUMPRODUCT((TRIM($F$2:$F$309)=TRIM(F71))*($I$2:$I$309&gt;I71))+1)</f>
        <v>37</v>
      </c>
    </row>
    <row r="72" customFormat="false" ht="15" hidden="false" customHeight="false" outlineLevel="0" collapsed="false">
      <c r="A72" s="5" t="s">
        <v>159</v>
      </c>
      <c r="B72" s="5" t="n">
        <v>306</v>
      </c>
      <c r="C72" s="5" t="n">
        <v>296</v>
      </c>
      <c r="D72" s="5" t="s">
        <v>160</v>
      </c>
      <c r="E72" s="5" t="s">
        <v>45</v>
      </c>
      <c r="F72" s="5" t="s">
        <v>46</v>
      </c>
      <c r="G72" s="5"/>
      <c r="H72" s="5"/>
      <c r="I72" s="6" t="n">
        <v>1838.5</v>
      </c>
      <c r="J72" s="6" t="n">
        <v>4798.9</v>
      </c>
      <c r="K72" s="5" t="str">
        <f aca="false">IF(F72="","",TRIM(F72)&amp;"|"&amp;(SUMPRODUCT((TRIM($F$2:$F$309)=TRIM(F72))*($I$2:$I$309&gt;I72))+1))</f>
        <v>חדש|83</v>
      </c>
      <c r="L72" s="5" t="str">
        <f aca="false">IF(F72="","",TRIM(F72)&amp;"|"&amp;(SUMPRODUCT((TRIM($F$2:$F$309)=TRIM(F72))*($B$2:$B$309&lt;B72))+1))</f>
        <v>חדש|87</v>
      </c>
      <c r="M72" s="5" t="n">
        <f aca="false">IF(F72="","",SUMPRODUCT((TRIM($F$2:$F$309)=TRIM(F72))*($I$2:$I$309&gt;I72))+1)</f>
        <v>83</v>
      </c>
    </row>
    <row r="73" customFormat="false" ht="15" hidden="false" customHeight="false" outlineLevel="0" collapsed="false">
      <c r="A73" s="5" t="s">
        <v>161</v>
      </c>
      <c r="B73" s="5" t="n">
        <v>175</v>
      </c>
      <c r="C73" s="5" t="n">
        <v>158</v>
      </c>
      <c r="D73" s="5" t="s">
        <v>162</v>
      </c>
      <c r="E73" s="5" t="s">
        <v>54</v>
      </c>
      <c r="F73" s="5" t="s">
        <v>59</v>
      </c>
      <c r="G73" s="5"/>
      <c r="H73" s="5"/>
      <c r="I73" s="6" t="n">
        <v>6787.7</v>
      </c>
      <c r="J73" s="6" t="n">
        <v>18895.5</v>
      </c>
      <c r="K73" s="5" t="str">
        <f aca="false">IF(F73="","",TRIM(F73)&amp;"|"&amp;(SUMPRODUCT((TRIM($F$2:$F$309)=TRIM(F73))*($I$2:$I$309&gt;I73))+1))</f>
        <v>סטאס|39</v>
      </c>
      <c r="L73" s="5" t="str">
        <f aca="false">IF(F73="","",TRIM(F73)&amp;"|"&amp;(SUMPRODUCT((TRIM($F$2:$F$309)=TRIM(F73))*($B$2:$B$309&lt;B73))+1))</f>
        <v>סטאס|36</v>
      </c>
      <c r="M73" s="5" t="n">
        <f aca="false">IF(F73="","",SUMPRODUCT((TRIM($F$2:$F$309)=TRIM(F73))*($I$2:$I$309&gt;I73))+1)</f>
        <v>39</v>
      </c>
    </row>
    <row r="74" customFormat="false" ht="15" hidden="false" customHeight="false" outlineLevel="0" collapsed="false">
      <c r="A74" s="5" t="s">
        <v>163</v>
      </c>
      <c r="B74" s="5" t="n">
        <v>167</v>
      </c>
      <c r="C74" s="5" t="n">
        <v>144</v>
      </c>
      <c r="D74" s="5" t="s">
        <v>70</v>
      </c>
      <c r="E74" s="5" t="s">
        <v>37</v>
      </c>
      <c r="F74" s="5" t="s">
        <v>35</v>
      </c>
      <c r="G74" s="5"/>
      <c r="H74" s="5"/>
      <c r="I74" s="6" t="n">
        <v>9699.2</v>
      </c>
      <c r="J74" s="6" t="n">
        <v>21919.4</v>
      </c>
      <c r="K74" s="5" t="str">
        <f aca="false">IF(F74="","",TRIM(F74)&amp;"|"&amp;(SUMPRODUCT((TRIM($F$2:$F$309)=TRIM(F74))*($I$2:$I$309&gt;I74))+1))</f>
        <v>חיים|37</v>
      </c>
      <c r="L74" s="5" t="str">
        <f aca="false">IF(F74="","",TRIM(F74)&amp;"|"&amp;(SUMPRODUCT((TRIM($F$2:$F$309)=TRIM(F74))*($B$2:$B$309&lt;B74))+1))</f>
        <v>חיים|54</v>
      </c>
      <c r="M74" s="5" t="n">
        <f aca="false">IF(F74="","",SUMPRODUCT((TRIM($F$2:$F$309)=TRIM(F74))*($I$2:$I$309&gt;I74))+1)</f>
        <v>37</v>
      </c>
    </row>
    <row r="75" customFormat="false" ht="15" hidden="false" customHeight="false" outlineLevel="0" collapsed="false">
      <c r="A75" s="5" t="s">
        <v>164</v>
      </c>
      <c r="B75" s="5" t="n">
        <v>121</v>
      </c>
      <c r="C75" s="5" t="n">
        <v>182</v>
      </c>
      <c r="D75" s="5" t="s">
        <v>165</v>
      </c>
      <c r="E75" s="5" t="s">
        <v>72</v>
      </c>
      <c r="F75" s="5" t="s">
        <v>11</v>
      </c>
      <c r="G75" s="5"/>
      <c r="H75" s="5"/>
      <c r="I75" s="6" t="n">
        <v>11193</v>
      </c>
      <c r="J75" s="6" t="n">
        <v>25344.6</v>
      </c>
      <c r="K75" s="5" t="str">
        <f aca="false">IF(F75="","",TRIM(F75)&amp;"|"&amp;(SUMPRODUCT((TRIM($F$2:$F$309)=TRIM(F75))*($I$2:$I$309&gt;I75))+1))</f>
        <v>דודו|38</v>
      </c>
      <c r="L75" s="5" t="str">
        <f aca="false">IF(F75="","",TRIM(F75)&amp;"|"&amp;(SUMPRODUCT((TRIM($F$2:$F$309)=TRIM(F75))*($B$2:$B$309&lt;B75))+1))</f>
        <v>דודו|40</v>
      </c>
      <c r="M75" s="5" t="n">
        <f aca="false">IF(F75="","",SUMPRODUCT((TRIM($F$2:$F$309)=TRIM(F75))*($I$2:$I$309&gt;I75))+1)</f>
        <v>38</v>
      </c>
    </row>
    <row r="76" customFormat="false" ht="15" hidden="false" customHeight="false" outlineLevel="0" collapsed="false">
      <c r="A76" s="5" t="s">
        <v>166</v>
      </c>
      <c r="B76" s="5" t="n">
        <v>51</v>
      </c>
      <c r="C76" s="5" t="n">
        <v>56</v>
      </c>
      <c r="D76" s="5" t="s">
        <v>167</v>
      </c>
      <c r="E76" s="5" t="s">
        <v>40</v>
      </c>
      <c r="F76" s="5" t="s">
        <v>59</v>
      </c>
      <c r="G76" s="5" t="n">
        <v>13</v>
      </c>
      <c r="H76" s="5"/>
      <c r="I76" s="6" t="n">
        <v>15387.8</v>
      </c>
      <c r="J76" s="6" t="n">
        <v>32028.6</v>
      </c>
      <c r="K76" s="5" t="str">
        <f aca="false">IF(F76="","",TRIM(F76)&amp;"|"&amp;(SUMPRODUCT((TRIM($F$2:$F$309)=TRIM(F76))*($I$2:$I$309&gt;I76))+1))</f>
        <v>סטאס|5</v>
      </c>
      <c r="L76" s="5" t="str">
        <f aca="false">IF(F76="","",TRIM(F76)&amp;"|"&amp;(SUMPRODUCT((TRIM($F$2:$F$309)=TRIM(F76))*($B$2:$B$309&lt;B76))+1))</f>
        <v>סטאס|9</v>
      </c>
      <c r="M76" s="5" t="n">
        <f aca="false">IF(F76="","",SUMPRODUCT((TRIM($F$2:$F$309)=TRIM(F76))*($I$2:$I$309&gt;I76))+1)</f>
        <v>5</v>
      </c>
    </row>
    <row r="77" customFormat="false" ht="15" hidden="false" customHeight="false" outlineLevel="0" collapsed="false">
      <c r="A77" s="5" t="s">
        <v>168</v>
      </c>
      <c r="B77" s="5" t="n">
        <v>120</v>
      </c>
      <c r="C77" s="5" t="n">
        <v>92</v>
      </c>
      <c r="D77" s="5" t="s">
        <v>70</v>
      </c>
      <c r="E77" s="5" t="s">
        <v>37</v>
      </c>
      <c r="F77" s="5" t="s">
        <v>35</v>
      </c>
      <c r="G77" s="5"/>
      <c r="H77" s="5"/>
      <c r="I77" s="6" t="n">
        <v>7119.4</v>
      </c>
      <c r="J77" s="6" t="n">
        <v>23058.1</v>
      </c>
      <c r="K77" s="5" t="str">
        <f aca="false">IF(F77="","",TRIM(F77)&amp;"|"&amp;(SUMPRODUCT((TRIM($F$2:$F$309)=TRIM(F77))*($I$2:$I$309&gt;I77))+1))</f>
        <v>חיים|61</v>
      </c>
      <c r="L77" s="5" t="str">
        <f aca="false">IF(F77="","",TRIM(F77)&amp;"|"&amp;(SUMPRODUCT((TRIM($F$2:$F$309)=TRIM(F77))*($B$2:$B$309&lt;B77))+1))</f>
        <v>חיים|39</v>
      </c>
      <c r="M77" s="5" t="n">
        <f aca="false">IF(F77="","",SUMPRODUCT((TRIM($F$2:$F$309)=TRIM(F77))*($I$2:$I$309&gt;I77))+1)</f>
        <v>61</v>
      </c>
    </row>
    <row r="78" customFormat="false" ht="15" hidden="false" customHeight="false" outlineLevel="0" collapsed="false">
      <c r="A78" s="5" t="s">
        <v>169</v>
      </c>
      <c r="B78" s="5" t="n">
        <v>282</v>
      </c>
      <c r="C78" s="5" t="n">
        <v>274</v>
      </c>
      <c r="D78" s="5" t="s">
        <v>44</v>
      </c>
      <c r="E78" s="5" t="s">
        <v>45</v>
      </c>
      <c r="F78" s="5" t="s">
        <v>46</v>
      </c>
      <c r="G78" s="5"/>
      <c r="H78" s="5"/>
      <c r="I78" s="6" t="n">
        <v>3802.9</v>
      </c>
      <c r="J78" s="6" t="n">
        <v>9528.4</v>
      </c>
      <c r="K78" s="5" t="str">
        <f aca="false">IF(F78="","",TRIM(F78)&amp;"|"&amp;(SUMPRODUCT((TRIM($F$2:$F$309)=TRIM(F78))*($I$2:$I$309&gt;I78))+1))</f>
        <v>חדש|64</v>
      </c>
      <c r="L78" s="5" t="str">
        <f aca="false">IF(F78="","",TRIM(F78)&amp;"|"&amp;(SUMPRODUCT((TRIM($F$2:$F$309)=TRIM(F78))*($B$2:$B$309&lt;B78))+1))</f>
        <v>חדש|76</v>
      </c>
      <c r="M78" s="5" t="n">
        <f aca="false">IF(F78="","",SUMPRODUCT((TRIM($F$2:$F$309)=TRIM(F78))*($I$2:$I$309&gt;I78))+1)</f>
        <v>64</v>
      </c>
    </row>
    <row r="79" customFormat="false" ht="15" hidden="false" customHeight="false" outlineLevel="0" collapsed="false">
      <c r="A79" s="5" t="s">
        <v>170</v>
      </c>
      <c r="B79" s="5" t="n">
        <v>238</v>
      </c>
      <c r="C79" s="5" t="n">
        <v>253</v>
      </c>
      <c r="D79" s="5" t="s">
        <v>72</v>
      </c>
      <c r="E79" s="5" t="s">
        <v>72</v>
      </c>
      <c r="F79" s="5" t="s">
        <v>11</v>
      </c>
      <c r="G79" s="5"/>
      <c r="H79" s="5"/>
      <c r="I79" s="6" t="n">
        <v>4316.1</v>
      </c>
      <c r="J79" s="6" t="n">
        <v>11428.1</v>
      </c>
      <c r="K79" s="5" t="str">
        <f aca="false">IF(F79="","",TRIM(F79)&amp;"|"&amp;(SUMPRODUCT((TRIM($F$2:$F$309)=TRIM(F79))*($I$2:$I$309&gt;I79))+1))</f>
        <v>דודו|61</v>
      </c>
      <c r="L79" s="5" t="str">
        <f aca="false">IF(F79="","",TRIM(F79)&amp;"|"&amp;(SUMPRODUCT((TRIM($F$2:$F$309)=TRIM(F79))*($B$2:$B$309&lt;B79))+1))</f>
        <v>דודו|60</v>
      </c>
      <c r="M79" s="5" t="n">
        <f aca="false">IF(F79="","",SUMPRODUCT((TRIM($F$2:$F$309)=TRIM(F79))*($I$2:$I$309&gt;I79))+1)</f>
        <v>61</v>
      </c>
    </row>
    <row r="80" customFormat="false" ht="15" hidden="false" customHeight="false" outlineLevel="0" collapsed="false">
      <c r="A80" s="5" t="s">
        <v>171</v>
      </c>
      <c r="B80" s="5" t="n">
        <v>67</v>
      </c>
      <c r="C80" s="5" t="n">
        <v>109</v>
      </c>
      <c r="D80" s="5" t="s">
        <v>39</v>
      </c>
      <c r="E80" s="5" t="s">
        <v>40</v>
      </c>
      <c r="F80" s="5" t="s">
        <v>11</v>
      </c>
      <c r="G80" s="5"/>
      <c r="H80" s="5"/>
      <c r="I80" s="6" t="n">
        <v>13789.2</v>
      </c>
      <c r="J80" s="6" t="n">
        <v>23706.5</v>
      </c>
      <c r="K80" s="5" t="str">
        <f aca="false">IF(F80="","",TRIM(F80)&amp;"|"&amp;(SUMPRODUCT((TRIM($F$2:$F$309)=TRIM(F80))*($I$2:$I$309&gt;I80))+1))</f>
        <v>דודו|28</v>
      </c>
      <c r="L80" s="5" t="str">
        <f aca="false">IF(F80="","",TRIM(F80)&amp;"|"&amp;(SUMPRODUCT((TRIM($F$2:$F$309)=TRIM(F80))*($B$2:$B$309&lt;B80))+1))</f>
        <v>דודו|27</v>
      </c>
      <c r="M80" s="5" t="n">
        <f aca="false">IF(F80="","",SUMPRODUCT((TRIM($F$2:$F$309)=TRIM(F80))*($I$2:$I$309&gt;I80))+1)</f>
        <v>28</v>
      </c>
    </row>
    <row r="81" customFormat="false" ht="15" hidden="false" customHeight="false" outlineLevel="0" collapsed="false">
      <c r="A81" s="5" t="s">
        <v>172</v>
      </c>
      <c r="B81" s="5" t="n">
        <v>281</v>
      </c>
      <c r="C81" s="5" t="n">
        <v>247</v>
      </c>
      <c r="D81" s="5" t="s">
        <v>173</v>
      </c>
      <c r="E81" s="5" t="s">
        <v>54</v>
      </c>
      <c r="F81" s="5" t="s">
        <v>35</v>
      </c>
      <c r="G81" s="5"/>
      <c r="H81" s="5"/>
      <c r="I81" s="6" t="n">
        <v>3155</v>
      </c>
      <c r="J81" s="6" t="n">
        <v>11230.2</v>
      </c>
      <c r="K81" s="5" t="str">
        <f aca="false">IF(F81="","",TRIM(F81)&amp;"|"&amp;(SUMPRODUCT((TRIM($F$2:$F$309)=TRIM(F81))*($I$2:$I$309&gt;I81))+1))</f>
        <v>חיים|80</v>
      </c>
      <c r="L81" s="5" t="str">
        <f aca="false">IF(F81="","",TRIM(F81)&amp;"|"&amp;(SUMPRODUCT((TRIM($F$2:$F$309)=TRIM(F81))*($B$2:$B$309&lt;B81))+1))</f>
        <v>חיים|82</v>
      </c>
      <c r="M81" s="5" t="n">
        <f aca="false">IF(F81="","",SUMPRODUCT((TRIM($F$2:$F$309)=TRIM(F81))*($I$2:$I$309&gt;I81))+1)</f>
        <v>80</v>
      </c>
    </row>
    <row r="82" customFormat="false" ht="15" hidden="false" customHeight="false" outlineLevel="0" collapsed="false">
      <c r="A82" s="5" t="s">
        <v>174</v>
      </c>
      <c r="B82" s="5" t="n">
        <v>123</v>
      </c>
      <c r="C82" s="5" t="n">
        <v>110</v>
      </c>
      <c r="D82" s="5" t="s">
        <v>175</v>
      </c>
      <c r="E82" s="5" t="s">
        <v>40</v>
      </c>
      <c r="F82" s="5" t="s">
        <v>59</v>
      </c>
      <c r="G82" s="5"/>
      <c r="H82" s="5"/>
      <c r="I82" s="6" t="n">
        <v>11796.7</v>
      </c>
      <c r="J82" s="6" t="n">
        <v>20208.2</v>
      </c>
      <c r="K82" s="5" t="str">
        <f aca="false">IF(F82="","",TRIM(F82)&amp;"|"&amp;(SUMPRODUCT((TRIM($F$2:$F$309)=TRIM(F82))*($I$2:$I$309&gt;I82))+1))</f>
        <v>סטאס|17</v>
      </c>
      <c r="L82" s="5" t="str">
        <f aca="false">IF(F82="","",TRIM(F82)&amp;"|"&amp;(SUMPRODUCT((TRIM($F$2:$F$309)=TRIM(F82))*($B$2:$B$309&lt;B82))+1))</f>
        <v>סטאס|23</v>
      </c>
      <c r="M82" s="5" t="n">
        <f aca="false">IF(F82="","",SUMPRODUCT((TRIM($F$2:$F$309)=TRIM(F82))*($I$2:$I$309&gt;I82))+1)</f>
        <v>17</v>
      </c>
    </row>
    <row r="83" customFormat="false" ht="15" hidden="false" customHeight="false" outlineLevel="0" collapsed="false">
      <c r="A83" s="5" t="s">
        <v>176</v>
      </c>
      <c r="B83" s="5" t="n">
        <v>83</v>
      </c>
      <c r="C83" s="5" t="n">
        <v>125</v>
      </c>
      <c r="D83" s="5" t="s">
        <v>177</v>
      </c>
      <c r="E83" s="5" t="s">
        <v>49</v>
      </c>
      <c r="F83" s="5" t="s">
        <v>46</v>
      </c>
      <c r="G83" s="5" t="n">
        <v>20</v>
      </c>
      <c r="H83" s="5"/>
      <c r="I83" s="6" t="n">
        <v>12274.4</v>
      </c>
      <c r="J83" s="6" t="n">
        <v>26074.8</v>
      </c>
      <c r="K83" s="5" t="str">
        <f aca="false">IF(F83="","",TRIM(F83)&amp;"|"&amp;(SUMPRODUCT((TRIM($F$2:$F$309)=TRIM(F83))*($I$2:$I$309&gt;I83))+1))</f>
        <v>חדש|10</v>
      </c>
      <c r="L83" s="5" t="str">
        <f aca="false">IF(F83="","",TRIM(F83)&amp;"|"&amp;(SUMPRODUCT((TRIM($F$2:$F$309)=TRIM(F83))*($B$2:$B$309&lt;B83))+1))</f>
        <v>חדש|11</v>
      </c>
      <c r="M83" s="5" t="n">
        <f aca="false">IF(F83="","",SUMPRODUCT((TRIM($F$2:$F$309)=TRIM(F83))*($I$2:$I$309&gt;I83))+1)</f>
        <v>10</v>
      </c>
    </row>
    <row r="84" customFormat="false" ht="15" hidden="false" customHeight="false" outlineLevel="0" collapsed="false">
      <c r="A84" s="5" t="s">
        <v>178</v>
      </c>
      <c r="B84" s="5" t="n">
        <v>38</v>
      </c>
      <c r="C84" s="5" t="n">
        <v>34</v>
      </c>
      <c r="D84" s="5" t="s">
        <v>111</v>
      </c>
      <c r="E84" s="5" t="s">
        <v>40</v>
      </c>
      <c r="F84" s="5" t="s">
        <v>59</v>
      </c>
      <c r="G84" s="5" t="n">
        <v>7</v>
      </c>
      <c r="H84" s="5"/>
      <c r="I84" s="6" t="n">
        <v>22158.6</v>
      </c>
      <c r="J84" s="6" t="n">
        <v>37784.7</v>
      </c>
      <c r="K84" s="5" t="str">
        <f aca="false">IF(F84="","",TRIM(F84)&amp;"|"&amp;(SUMPRODUCT((TRIM($F$2:$F$309)=TRIM(F84))*($I$2:$I$309&gt;I84))+1))</f>
        <v>סטאס|4</v>
      </c>
      <c r="L84" s="5" t="str">
        <f aca="false">IF(F84="","",TRIM(F84)&amp;"|"&amp;(SUMPRODUCT((TRIM($F$2:$F$309)=TRIM(F84))*($B$2:$B$309&lt;B84))+1))</f>
        <v>סטאס|5</v>
      </c>
      <c r="M84" s="5" t="n">
        <f aca="false">IF(F84="","",SUMPRODUCT((TRIM($F$2:$F$309)=TRIM(F84))*($I$2:$I$309&gt;I84))+1)</f>
        <v>4</v>
      </c>
    </row>
    <row r="85" customFormat="false" ht="15" hidden="false" customHeight="false" outlineLevel="0" collapsed="false">
      <c r="A85" s="5" t="s">
        <v>179</v>
      </c>
      <c r="B85" s="5" t="n">
        <v>10</v>
      </c>
      <c r="C85" s="5" t="n">
        <v>4</v>
      </c>
      <c r="D85" s="5" t="s">
        <v>44</v>
      </c>
      <c r="E85" s="5" t="s">
        <v>45</v>
      </c>
      <c r="F85" s="5" t="s">
        <v>46</v>
      </c>
      <c r="G85" s="5" t="n">
        <v>2</v>
      </c>
      <c r="H85" s="5"/>
      <c r="I85" s="6" t="n">
        <v>28100.5</v>
      </c>
      <c r="J85" s="6" t="n">
        <v>55881.1</v>
      </c>
      <c r="K85" s="5" t="str">
        <f aca="false">IF(F85="","",TRIM(F85)&amp;"|"&amp;(SUMPRODUCT((TRIM($F$2:$F$309)=TRIM(F85))*($I$2:$I$309&gt;I85))+1))</f>
        <v>חדש|2</v>
      </c>
      <c r="L85" s="5" t="str">
        <f aca="false">IF(F85="","",TRIM(F85)&amp;"|"&amp;(SUMPRODUCT((TRIM($F$2:$F$309)=TRIM(F85))*($B$2:$B$309&lt;B85))+1))</f>
        <v>חדש|2</v>
      </c>
      <c r="M85" s="5" t="n">
        <f aca="false">IF(F85="","",SUMPRODUCT((TRIM($F$2:$F$309)=TRIM(F85))*($I$2:$I$309&gt;I85))+1)</f>
        <v>2</v>
      </c>
    </row>
    <row r="86" customFormat="false" ht="15" hidden="false" customHeight="false" outlineLevel="0" collapsed="false">
      <c r="A86" s="5" t="s">
        <v>180</v>
      </c>
      <c r="B86" s="5" t="n">
        <v>287</v>
      </c>
      <c r="C86" s="5" t="n">
        <v>299</v>
      </c>
      <c r="D86" s="5" t="s">
        <v>181</v>
      </c>
      <c r="E86" s="5" t="s">
        <v>49</v>
      </c>
      <c r="F86" s="5" t="s">
        <v>46</v>
      </c>
      <c r="G86" s="5"/>
      <c r="H86" s="5"/>
      <c r="I86" s="6" t="n">
        <v>2125.6</v>
      </c>
      <c r="J86" s="6" t="n">
        <v>2770.4</v>
      </c>
      <c r="K86" s="5" t="str">
        <f aca="false">IF(F86="","",TRIM(F86)&amp;"|"&amp;(SUMPRODUCT((TRIM($F$2:$F$309)=TRIM(F86))*($I$2:$I$309&gt;I86))+1))</f>
        <v>חדש|79</v>
      </c>
      <c r="L86" s="5" t="str">
        <f aca="false">IF(F86="","",TRIM(F86)&amp;"|"&amp;(SUMPRODUCT((TRIM($F$2:$F$309)=TRIM(F86))*($B$2:$B$309&lt;B86))+1))</f>
        <v>חדש|78</v>
      </c>
      <c r="M86" s="5" t="n">
        <f aca="false">IF(F86="","",SUMPRODUCT((TRIM($F$2:$F$309)=TRIM(F86))*($I$2:$I$309&gt;I86))+1)</f>
        <v>79</v>
      </c>
    </row>
    <row r="87" customFormat="false" ht="15" hidden="false" customHeight="false" outlineLevel="0" collapsed="false">
      <c r="A87" s="5" t="s">
        <v>182</v>
      </c>
      <c r="B87" s="5" t="n">
        <v>104</v>
      </c>
      <c r="C87" s="5" t="n">
        <v>124</v>
      </c>
      <c r="D87" s="5" t="s">
        <v>37</v>
      </c>
      <c r="E87" s="5" t="s">
        <v>37</v>
      </c>
      <c r="F87" s="5" t="s">
        <v>35</v>
      </c>
      <c r="G87" s="5"/>
      <c r="H87" s="5"/>
      <c r="I87" s="6" t="n">
        <v>9197.6</v>
      </c>
      <c r="J87" s="6" t="n">
        <v>23945.1</v>
      </c>
      <c r="K87" s="5" t="str">
        <f aca="false">IF(F87="","",TRIM(F87)&amp;"|"&amp;(SUMPRODUCT((TRIM($F$2:$F$309)=TRIM(F87))*($I$2:$I$309&gt;I87))+1))</f>
        <v>חיים|42</v>
      </c>
      <c r="L87" s="5" t="str">
        <f aca="false">IF(F87="","",TRIM(F87)&amp;"|"&amp;(SUMPRODUCT((TRIM($F$2:$F$309)=TRIM(F87))*($B$2:$B$309&lt;B87))+1))</f>
        <v>חיים|34</v>
      </c>
      <c r="M87" s="5" t="n">
        <f aca="false">IF(F87="","",SUMPRODUCT((TRIM($F$2:$F$309)=TRIM(F87))*($I$2:$I$309&gt;I87))+1)</f>
        <v>42</v>
      </c>
    </row>
    <row r="88" customFormat="false" ht="15" hidden="false" customHeight="false" outlineLevel="0" collapsed="false">
      <c r="A88" s="5" t="s">
        <v>183</v>
      </c>
      <c r="B88" s="5" t="n">
        <v>155</v>
      </c>
      <c r="C88" s="5" t="n">
        <v>130</v>
      </c>
      <c r="D88" s="5" t="s">
        <v>184</v>
      </c>
      <c r="E88" s="5" t="s">
        <v>40</v>
      </c>
      <c r="F88" s="5" t="s">
        <v>11</v>
      </c>
      <c r="G88" s="5"/>
      <c r="H88" s="5"/>
      <c r="I88" s="6" t="n">
        <v>6409.1</v>
      </c>
      <c r="J88" s="6" t="n">
        <v>15834.2</v>
      </c>
      <c r="K88" s="5" t="str">
        <f aca="false">IF(F88="","",TRIM(F88)&amp;"|"&amp;(SUMPRODUCT((TRIM($F$2:$F$309)=TRIM(F88))*($I$2:$I$309&gt;I88))+1))</f>
        <v>דודו|53</v>
      </c>
      <c r="L88" s="5" t="str">
        <f aca="false">IF(F88="","",TRIM(F88)&amp;"|"&amp;(SUMPRODUCT((TRIM($F$2:$F$309)=TRIM(F88))*($B$2:$B$309&lt;B88))+1))</f>
        <v>דודו|44</v>
      </c>
      <c r="M88" s="5" t="n">
        <f aca="false">IF(F88="","",SUMPRODUCT((TRIM($F$2:$F$309)=TRIM(F88))*($I$2:$I$309&gt;I88))+1)</f>
        <v>53</v>
      </c>
    </row>
    <row r="89" customFormat="false" ht="15" hidden="false" customHeight="false" outlineLevel="0" collapsed="false">
      <c r="A89" s="5" t="s">
        <v>185</v>
      </c>
      <c r="B89" s="5" t="n">
        <v>152</v>
      </c>
      <c r="C89" s="5" t="n">
        <v>244</v>
      </c>
      <c r="D89" s="5" t="s">
        <v>184</v>
      </c>
      <c r="E89" s="5" t="s">
        <v>40</v>
      </c>
      <c r="F89" s="5" t="s">
        <v>11</v>
      </c>
      <c r="G89" s="5"/>
      <c r="H89" s="5"/>
      <c r="I89" s="6" t="n">
        <v>7642.2</v>
      </c>
      <c r="J89" s="6" t="n">
        <v>14420.5</v>
      </c>
      <c r="K89" s="5" t="str">
        <f aca="false">IF(F89="","",TRIM(F89)&amp;"|"&amp;(SUMPRODUCT((TRIM($F$2:$F$309)=TRIM(F89))*($I$2:$I$309&gt;I89))+1))</f>
        <v>דודו|48</v>
      </c>
      <c r="L89" s="5" t="str">
        <f aca="false">IF(F89="","",TRIM(F89)&amp;"|"&amp;(SUMPRODUCT((TRIM($F$2:$F$309)=TRIM(F89))*($B$2:$B$309&lt;B89))+1))</f>
        <v>דודו|42</v>
      </c>
      <c r="M89" s="5" t="n">
        <f aca="false">IF(F89="","",SUMPRODUCT((TRIM($F$2:$F$309)=TRIM(F89))*($I$2:$I$309&gt;I89))+1)</f>
        <v>48</v>
      </c>
    </row>
    <row r="90" customFormat="false" ht="15" hidden="false" customHeight="false" outlineLevel="0" collapsed="false">
      <c r="A90" s="5" t="s">
        <v>186</v>
      </c>
      <c r="B90" s="5" t="n">
        <v>247</v>
      </c>
      <c r="C90" s="5" t="n">
        <v>261</v>
      </c>
      <c r="D90" s="5" t="s">
        <v>44</v>
      </c>
      <c r="E90" s="5" t="s">
        <v>45</v>
      </c>
      <c r="F90" s="5" t="s">
        <v>46</v>
      </c>
      <c r="G90" s="5"/>
      <c r="H90" s="5"/>
      <c r="I90" s="6" t="n">
        <v>4500.3</v>
      </c>
      <c r="J90" s="6" t="n">
        <v>9631.1</v>
      </c>
      <c r="K90" s="5" t="str">
        <f aca="false">IF(F90="","",TRIM(F90)&amp;"|"&amp;(SUMPRODUCT((TRIM($F$2:$F$309)=TRIM(F90))*($I$2:$I$309&gt;I90))+1))</f>
        <v>חדש|54</v>
      </c>
      <c r="L90" s="5" t="str">
        <f aca="false">IF(F90="","",TRIM(F90)&amp;"|"&amp;(SUMPRODUCT((TRIM($F$2:$F$309)=TRIM(F90))*($B$2:$B$309&lt;B90))+1))</f>
        <v>חדש|61</v>
      </c>
      <c r="M90" s="5" t="n">
        <f aca="false">IF(F90="","",SUMPRODUCT((TRIM($F$2:$F$309)=TRIM(F90))*($I$2:$I$309&gt;I90))+1)</f>
        <v>54</v>
      </c>
    </row>
    <row r="91" customFormat="false" ht="15" hidden="false" customHeight="false" outlineLevel="0" collapsed="false">
      <c r="A91" s="5" t="s">
        <v>187</v>
      </c>
      <c r="B91" s="5" t="n">
        <v>200</v>
      </c>
      <c r="C91" s="5" t="n">
        <v>173</v>
      </c>
      <c r="D91" s="5" t="s">
        <v>37</v>
      </c>
      <c r="E91" s="5" t="s">
        <v>37</v>
      </c>
      <c r="F91" s="5" t="s">
        <v>35</v>
      </c>
      <c r="G91" s="5"/>
      <c r="H91" s="5"/>
      <c r="I91" s="6" t="n">
        <v>6742.9</v>
      </c>
      <c r="J91" s="6" t="n">
        <v>14550.1</v>
      </c>
      <c r="K91" s="5" t="str">
        <f aca="false">IF(F91="","",TRIM(F91)&amp;"|"&amp;(SUMPRODUCT((TRIM($F$2:$F$309)=TRIM(F91))*($I$2:$I$309&gt;I91))+1))</f>
        <v>חיים|64</v>
      </c>
      <c r="L91" s="5" t="str">
        <f aca="false">IF(F91="","",TRIM(F91)&amp;"|"&amp;(SUMPRODUCT((TRIM($F$2:$F$309)=TRIM(F91))*($B$2:$B$309&lt;B91))+1))</f>
        <v>חיים|62</v>
      </c>
      <c r="M91" s="5" t="n">
        <f aca="false">IF(F91="","",SUMPRODUCT((TRIM($F$2:$F$309)=TRIM(F91))*($I$2:$I$309&gt;I91))+1)</f>
        <v>64</v>
      </c>
    </row>
    <row r="92" customFormat="false" ht="15" hidden="false" customHeight="false" outlineLevel="0" collapsed="false">
      <c r="A92" s="5" t="s">
        <v>188</v>
      </c>
      <c r="B92" s="5" t="n">
        <v>94</v>
      </c>
      <c r="C92" s="5" t="n">
        <v>85</v>
      </c>
      <c r="D92" s="5" t="s">
        <v>111</v>
      </c>
      <c r="E92" s="5" t="s">
        <v>40</v>
      </c>
      <c r="F92" s="5" t="s">
        <v>59</v>
      </c>
      <c r="G92" s="5" t="n">
        <v>20</v>
      </c>
      <c r="H92" s="5"/>
      <c r="I92" s="6" t="n">
        <v>13595.1</v>
      </c>
      <c r="J92" s="6" t="n">
        <v>24660</v>
      </c>
      <c r="K92" s="5" t="str">
        <f aca="false">IF(F92="","",TRIM(F92)&amp;"|"&amp;(SUMPRODUCT((TRIM($F$2:$F$309)=TRIM(F92))*($I$2:$I$309&gt;I92))+1))</f>
        <v>סטאס|11</v>
      </c>
      <c r="L92" s="5" t="str">
        <f aca="false">IF(F92="","",TRIM(F92)&amp;"|"&amp;(SUMPRODUCT((TRIM($F$2:$F$309)=TRIM(F92))*($B$2:$B$309&lt;B92))+1))</f>
        <v>סטאס|17</v>
      </c>
      <c r="M92" s="5" t="n">
        <f aca="false">IF(F92="","",SUMPRODUCT((TRIM($F$2:$F$309)=TRIM(F92))*($I$2:$I$309&gt;I92))+1)</f>
        <v>11</v>
      </c>
    </row>
    <row r="93" customFormat="false" ht="15" hidden="false" customHeight="false" outlineLevel="0" collapsed="false">
      <c r="A93" s="5" t="s">
        <v>189</v>
      </c>
      <c r="B93" s="5" t="n">
        <v>305</v>
      </c>
      <c r="C93" s="5" t="n">
        <v>295</v>
      </c>
      <c r="D93" s="5" t="s">
        <v>44</v>
      </c>
      <c r="E93" s="5" t="s">
        <v>45</v>
      </c>
      <c r="F93" s="5" t="s">
        <v>46</v>
      </c>
      <c r="G93" s="5"/>
      <c r="H93" s="5"/>
      <c r="I93" s="6" t="n">
        <v>1913.9</v>
      </c>
      <c r="J93" s="6" t="n">
        <v>0</v>
      </c>
      <c r="K93" s="5" t="str">
        <f aca="false">IF(F93="","",TRIM(F93)&amp;"|"&amp;(SUMPRODUCT((TRIM($F$2:$F$309)=TRIM(F93))*($I$2:$I$309&gt;I93))+1))</f>
        <v>חדש|82</v>
      </c>
      <c r="L93" s="5" t="str">
        <f aca="false">IF(F93="","",TRIM(F93)&amp;"|"&amp;(SUMPRODUCT((TRIM($F$2:$F$309)=TRIM(F93))*($B$2:$B$309&lt;B93))+1))</f>
        <v>חדש|86</v>
      </c>
      <c r="M93" s="5" t="n">
        <f aca="false">IF(F93="","",SUMPRODUCT((TRIM($F$2:$F$309)=TRIM(F93))*($I$2:$I$309&gt;I93))+1)</f>
        <v>82</v>
      </c>
    </row>
    <row r="94" customFormat="false" ht="15" hidden="false" customHeight="false" outlineLevel="0" collapsed="false">
      <c r="A94" s="5" t="s">
        <v>190</v>
      </c>
      <c r="B94" s="5" t="n">
        <v>30</v>
      </c>
      <c r="C94" s="5" t="n">
        <v>20</v>
      </c>
      <c r="D94" s="5" t="s">
        <v>191</v>
      </c>
      <c r="E94" s="5" t="s">
        <v>34</v>
      </c>
      <c r="F94" s="5" t="s">
        <v>35</v>
      </c>
      <c r="G94" s="5" t="n">
        <v>6</v>
      </c>
      <c r="H94" s="5"/>
      <c r="I94" s="6" t="n">
        <v>15173.8</v>
      </c>
      <c r="J94" s="6" t="n">
        <v>38918.4</v>
      </c>
      <c r="K94" s="5" t="str">
        <f aca="false">IF(F94="","",TRIM(F94)&amp;"|"&amp;(SUMPRODUCT((TRIM($F$2:$F$309)=TRIM(F94))*($I$2:$I$309&gt;I94))+1))</f>
        <v>חיים|16</v>
      </c>
      <c r="L94" s="5" t="str">
        <f aca="false">IF(F94="","",TRIM(F94)&amp;"|"&amp;(SUMPRODUCT((TRIM($F$2:$F$309)=TRIM(F94))*($B$2:$B$309&lt;B94))+1))</f>
        <v>חיים|7</v>
      </c>
      <c r="M94" s="5" t="n">
        <f aca="false">IF(F94="","",SUMPRODUCT((TRIM($F$2:$F$309)=TRIM(F94))*($I$2:$I$309&gt;I94))+1)</f>
        <v>16</v>
      </c>
    </row>
    <row r="95" customFormat="false" ht="15" hidden="false" customHeight="false" outlineLevel="0" collapsed="false">
      <c r="A95" s="5" t="s">
        <v>192</v>
      </c>
      <c r="B95" s="5" t="n">
        <v>285</v>
      </c>
      <c r="C95" s="5" t="n">
        <v>283</v>
      </c>
      <c r="D95" s="5" t="s">
        <v>44</v>
      </c>
      <c r="E95" s="5" t="s">
        <v>45</v>
      </c>
      <c r="F95" s="5" t="s">
        <v>46</v>
      </c>
      <c r="G95" s="5"/>
      <c r="H95" s="5"/>
      <c r="I95" s="6" t="n">
        <v>1996.8</v>
      </c>
      <c r="J95" s="6" t="n">
        <v>0</v>
      </c>
      <c r="K95" s="5" t="str">
        <f aca="false">IF(F95="","",TRIM(F95)&amp;"|"&amp;(SUMPRODUCT((TRIM($F$2:$F$309)=TRIM(F95))*($I$2:$I$309&gt;I95))+1))</f>
        <v>חדש|81</v>
      </c>
      <c r="L95" s="5" t="str">
        <f aca="false">IF(F95="","",TRIM(F95)&amp;"|"&amp;(SUMPRODUCT((TRIM($F$2:$F$309)=TRIM(F95))*($B$2:$B$309&lt;B95))+1))</f>
        <v>חדש|77</v>
      </c>
      <c r="M95" s="5" t="n">
        <f aca="false">IF(F95="","",SUMPRODUCT((TRIM($F$2:$F$309)=TRIM(F95))*($I$2:$I$309&gt;I95))+1)</f>
        <v>81</v>
      </c>
    </row>
    <row r="96" customFormat="false" ht="15" hidden="false" customHeight="false" outlineLevel="0" collapsed="false">
      <c r="A96" s="5" t="s">
        <v>193</v>
      </c>
      <c r="B96" s="5" t="n">
        <v>3</v>
      </c>
      <c r="C96" s="5" t="n">
        <v>133</v>
      </c>
      <c r="D96" s="5" t="s">
        <v>72</v>
      </c>
      <c r="E96" s="5" t="s">
        <v>72</v>
      </c>
      <c r="F96" s="5" t="s">
        <v>11</v>
      </c>
      <c r="G96" s="5"/>
      <c r="H96" s="5"/>
      <c r="I96" s="6" t="n">
        <v>40303.1</v>
      </c>
      <c r="J96" s="6" t="n">
        <v>70289.5</v>
      </c>
      <c r="K96" s="5" t="str">
        <f aca="false">IF(F96="","",TRIM(F96)&amp;"|"&amp;(SUMPRODUCT((TRIM($F$2:$F$309)=TRIM(F96))*($I$2:$I$309&gt;I96))+1))</f>
        <v>דודו|1</v>
      </c>
      <c r="L96" s="5" t="str">
        <f aca="false">IF(F96="","",TRIM(F96)&amp;"|"&amp;(SUMPRODUCT((TRIM($F$2:$F$309)=TRIM(F96))*($B$2:$B$309&lt;B96))+1))</f>
        <v>דודו|1</v>
      </c>
      <c r="M96" s="5" t="n">
        <f aca="false">IF(F96="","",SUMPRODUCT((TRIM($F$2:$F$309)=TRIM(F96))*($I$2:$I$309&gt;I96))+1)</f>
        <v>1</v>
      </c>
    </row>
    <row r="97" customFormat="false" ht="15" hidden="false" customHeight="false" outlineLevel="0" collapsed="false">
      <c r="A97" s="5" t="s">
        <v>194</v>
      </c>
      <c r="B97" s="5" t="n">
        <v>248</v>
      </c>
      <c r="C97" s="5" t="n">
        <v>222</v>
      </c>
      <c r="D97" s="5" t="s">
        <v>63</v>
      </c>
      <c r="E97" s="5" t="s">
        <v>54</v>
      </c>
      <c r="F97" s="5" t="s">
        <v>59</v>
      </c>
      <c r="G97" s="5"/>
      <c r="H97" s="5"/>
      <c r="I97" s="6" t="n">
        <v>5485.4</v>
      </c>
      <c r="J97" s="6" t="n">
        <v>10153</v>
      </c>
      <c r="K97" s="5" t="str">
        <f aca="false">IF(F97="","",TRIM(F97)&amp;"|"&amp;(SUMPRODUCT((TRIM($F$2:$F$309)=TRIM(F97))*($I$2:$I$309&gt;I97))+1))</f>
        <v>סטאס|47</v>
      </c>
      <c r="L97" s="5" t="str">
        <f aca="false">IF(F97="","",TRIM(F97)&amp;"|"&amp;(SUMPRODUCT((TRIM($F$2:$F$309)=TRIM(F97))*($B$2:$B$309&lt;B97))+1))</f>
        <v>סטאס|52</v>
      </c>
      <c r="M97" s="5" t="n">
        <f aca="false">IF(F97="","",SUMPRODUCT((TRIM($F$2:$F$309)=TRIM(F97))*($I$2:$I$309&gt;I97))+1)</f>
        <v>47</v>
      </c>
    </row>
    <row r="98" customFormat="false" ht="15" hidden="false" customHeight="false" outlineLevel="0" collapsed="false">
      <c r="A98" s="5" t="s">
        <v>195</v>
      </c>
      <c r="B98" s="5" t="n">
        <v>70</v>
      </c>
      <c r="C98" s="5" t="n">
        <v>33</v>
      </c>
      <c r="D98" s="5" t="s">
        <v>134</v>
      </c>
      <c r="E98" s="5" t="s">
        <v>34</v>
      </c>
      <c r="F98" s="5" t="s">
        <v>35</v>
      </c>
      <c r="G98" s="5" t="n">
        <v>13</v>
      </c>
      <c r="H98" s="5"/>
      <c r="I98" s="6" t="n">
        <v>19180.1</v>
      </c>
      <c r="J98" s="6" t="n">
        <v>36008.2</v>
      </c>
      <c r="K98" s="5" t="str">
        <f aca="false">IF(F98="","",TRIM(F98)&amp;"|"&amp;(SUMPRODUCT((TRIM($F$2:$F$309)=TRIM(F98))*($I$2:$I$309&gt;I98))+1))</f>
        <v>חיים|11</v>
      </c>
      <c r="L98" s="5" t="str">
        <f aca="false">IF(F98="","",TRIM(F98)&amp;"|"&amp;(SUMPRODUCT((TRIM($F$2:$F$309)=TRIM(F98))*($B$2:$B$309&lt;B98))+1))</f>
        <v>חיים|22</v>
      </c>
      <c r="M98" s="5" t="n">
        <f aca="false">IF(F98="","",SUMPRODUCT((TRIM($F$2:$F$309)=TRIM(F98))*($I$2:$I$309&gt;I98))+1)</f>
        <v>11</v>
      </c>
    </row>
    <row r="99" customFormat="false" ht="15" hidden="false" customHeight="false" outlineLevel="0" collapsed="false">
      <c r="A99" s="5" t="s">
        <v>196</v>
      </c>
      <c r="B99" s="5" t="n">
        <v>58</v>
      </c>
      <c r="C99" s="5" t="n">
        <v>91</v>
      </c>
      <c r="D99" s="5" t="s">
        <v>70</v>
      </c>
      <c r="E99" s="5" t="s">
        <v>37</v>
      </c>
      <c r="F99" s="5" t="s">
        <v>35</v>
      </c>
      <c r="G99" s="5"/>
      <c r="H99" s="5"/>
      <c r="I99" s="6" t="n">
        <v>12899.2</v>
      </c>
      <c r="J99" s="6" t="n">
        <v>34842.5</v>
      </c>
      <c r="K99" s="5" t="str">
        <f aca="false">IF(F99="","",TRIM(F99)&amp;"|"&amp;(SUMPRODUCT((TRIM($F$2:$F$309)=TRIM(F99))*($I$2:$I$309&gt;I99))+1))</f>
        <v>חיים|20</v>
      </c>
      <c r="L99" s="5" t="str">
        <f aca="false">IF(F99="","",TRIM(F99)&amp;"|"&amp;(SUMPRODUCT((TRIM($F$2:$F$309)=TRIM(F99))*($B$2:$B$309&lt;B99))+1))</f>
        <v>חיים|17</v>
      </c>
      <c r="M99" s="5" t="n">
        <f aca="false">IF(F99="","",SUMPRODUCT((TRIM($F$2:$F$309)=TRIM(F99))*($I$2:$I$309&gt;I99))+1)</f>
        <v>20</v>
      </c>
    </row>
    <row r="100" customFormat="false" ht="15" hidden="false" customHeight="false" outlineLevel="0" collapsed="false">
      <c r="A100" s="5" t="s">
        <v>197</v>
      </c>
      <c r="B100" s="5" t="n">
        <v>231</v>
      </c>
      <c r="C100" s="5" t="n">
        <v>230</v>
      </c>
      <c r="D100" s="5" t="s">
        <v>156</v>
      </c>
      <c r="E100" s="5" t="s">
        <v>54</v>
      </c>
      <c r="F100" s="5" t="s">
        <v>35</v>
      </c>
      <c r="G100" s="5"/>
      <c r="H100" s="5"/>
      <c r="I100" s="6" t="n">
        <v>4432.2</v>
      </c>
      <c r="J100" s="6" t="n">
        <v>12905.5</v>
      </c>
      <c r="K100" s="5" t="str">
        <f aca="false">IF(F100="","",TRIM(F100)&amp;"|"&amp;(SUMPRODUCT((TRIM($F$2:$F$309)=TRIM(F100))*($I$2:$I$309&gt;I100))+1))</f>
        <v>חיים|71</v>
      </c>
      <c r="L100" s="5" t="str">
        <f aca="false">IF(F100="","",TRIM(F100)&amp;"|"&amp;(SUMPRODUCT((TRIM($F$2:$F$309)=TRIM(F100))*($B$2:$B$309&lt;B100))+1))</f>
        <v>חיים|69</v>
      </c>
      <c r="M100" s="5" t="n">
        <f aca="false">IF(F100="","",SUMPRODUCT((TRIM($F$2:$F$309)=TRIM(F100))*($I$2:$I$309&gt;I100))+1)</f>
        <v>71</v>
      </c>
    </row>
    <row r="101" customFormat="false" ht="15" hidden="false" customHeight="false" outlineLevel="0" collapsed="false">
      <c r="A101" s="5" t="s">
        <v>198</v>
      </c>
      <c r="B101" s="5" t="n">
        <v>172</v>
      </c>
      <c r="C101" s="5" t="n">
        <v>136</v>
      </c>
      <c r="D101" s="5" t="s">
        <v>134</v>
      </c>
      <c r="E101" s="5" t="s">
        <v>34</v>
      </c>
      <c r="F101" s="5" t="s">
        <v>35</v>
      </c>
      <c r="G101" s="5"/>
      <c r="H101" s="5"/>
      <c r="I101" s="6" t="n">
        <v>6928.9</v>
      </c>
      <c r="J101" s="6" t="n">
        <v>19283.2</v>
      </c>
      <c r="K101" s="5" t="str">
        <f aca="false">IF(F101="","",TRIM(F101)&amp;"|"&amp;(SUMPRODUCT((TRIM($F$2:$F$309)=TRIM(F101))*($I$2:$I$309&gt;I101))+1))</f>
        <v>חיים|63</v>
      </c>
      <c r="L101" s="5" t="str">
        <f aca="false">IF(F101="","",TRIM(F101)&amp;"|"&amp;(SUMPRODUCT((TRIM($F$2:$F$309)=TRIM(F101))*($B$2:$B$309&lt;B101))+1))</f>
        <v>חיים|55</v>
      </c>
      <c r="M101" s="5" t="n">
        <f aca="false">IF(F101="","",SUMPRODUCT((TRIM($F$2:$F$309)=TRIM(F101))*($I$2:$I$309&gt;I101))+1)</f>
        <v>63</v>
      </c>
    </row>
    <row r="102" customFormat="false" ht="15" hidden="false" customHeight="false" outlineLevel="0" collapsed="false">
      <c r="A102" s="5" t="s">
        <v>199</v>
      </c>
      <c r="B102" s="5" t="n">
        <v>115</v>
      </c>
      <c r="C102" s="5" t="n">
        <v>132</v>
      </c>
      <c r="D102" s="5" t="s">
        <v>200</v>
      </c>
      <c r="E102" s="5" t="s">
        <v>54</v>
      </c>
      <c r="F102" s="5" t="s">
        <v>59</v>
      </c>
      <c r="G102" s="5"/>
      <c r="H102" s="5"/>
      <c r="I102" s="6" t="n">
        <v>7187.9</v>
      </c>
      <c r="J102" s="6" t="n">
        <v>19290.1</v>
      </c>
      <c r="K102" s="5" t="str">
        <f aca="false">IF(F102="","",TRIM(F102)&amp;"|"&amp;(SUMPRODUCT((TRIM($F$2:$F$309)=TRIM(F102))*($I$2:$I$309&gt;I102))+1))</f>
        <v>סטאס|36</v>
      </c>
      <c r="L102" s="5" t="str">
        <f aca="false">IF(F102="","",TRIM(F102)&amp;"|"&amp;(SUMPRODUCT((TRIM($F$2:$F$309)=TRIM(F102))*($B$2:$B$309&lt;B102))+1))</f>
        <v>סטאס|21</v>
      </c>
      <c r="M102" s="5" t="n">
        <f aca="false">IF(F102="","",SUMPRODUCT((TRIM($F$2:$F$309)=TRIM(F102))*($I$2:$I$309&gt;I102))+1)</f>
        <v>36</v>
      </c>
    </row>
    <row r="103" customFormat="false" ht="15" hidden="false" customHeight="false" outlineLevel="0" collapsed="false">
      <c r="A103" s="5" t="s">
        <v>201</v>
      </c>
      <c r="B103" s="5" t="n">
        <v>217</v>
      </c>
      <c r="C103" s="5" t="n">
        <v>218</v>
      </c>
      <c r="D103" s="5" t="s">
        <v>44</v>
      </c>
      <c r="E103" s="5" t="s">
        <v>45</v>
      </c>
      <c r="F103" s="5" t="s">
        <v>46</v>
      </c>
      <c r="G103" s="5"/>
      <c r="H103" s="5"/>
      <c r="I103" s="6" t="n">
        <v>4490.8</v>
      </c>
      <c r="J103" s="6" t="n">
        <v>11197.6</v>
      </c>
      <c r="K103" s="5" t="str">
        <f aca="false">IF(F103="","",TRIM(F103)&amp;"|"&amp;(SUMPRODUCT((TRIM($F$2:$F$309)=TRIM(F103))*($I$2:$I$309&gt;I103))+1))</f>
        <v>חדש|56</v>
      </c>
      <c r="L103" s="5" t="str">
        <f aca="false">IF(F103="","",TRIM(F103)&amp;"|"&amp;(SUMPRODUCT((TRIM($F$2:$F$309)=TRIM(F103))*($B$2:$B$309&lt;B103))+1))</f>
        <v>חדש|50</v>
      </c>
      <c r="M103" s="5" t="n">
        <f aca="false">IF(F103="","",SUMPRODUCT((TRIM($F$2:$F$309)=TRIM(F103))*($I$2:$I$309&gt;I103))+1)</f>
        <v>56</v>
      </c>
    </row>
    <row r="104" customFormat="false" ht="15" hidden="false" customHeight="false" outlineLevel="0" collapsed="false">
      <c r="A104" s="5" t="s">
        <v>202</v>
      </c>
      <c r="B104" s="5" t="n">
        <v>86</v>
      </c>
      <c r="C104" s="5" t="n">
        <v>76</v>
      </c>
      <c r="D104" s="5" t="s">
        <v>203</v>
      </c>
      <c r="E104" s="5" t="s">
        <v>40</v>
      </c>
      <c r="F104" s="5" t="s">
        <v>59</v>
      </c>
      <c r="G104" s="5" t="n">
        <v>16</v>
      </c>
      <c r="H104" s="5"/>
      <c r="I104" s="6" t="n">
        <v>9316.8</v>
      </c>
      <c r="J104" s="6" t="n">
        <v>29382.1</v>
      </c>
      <c r="K104" s="5" t="str">
        <f aca="false">IF(F104="","",TRIM(F104)&amp;"|"&amp;(SUMPRODUCT((TRIM($F$2:$F$309)=TRIM(F104))*($I$2:$I$309&gt;I104))+1))</f>
        <v>סטאס|28</v>
      </c>
      <c r="L104" s="5" t="str">
        <f aca="false">IF(F104="","",TRIM(F104)&amp;"|"&amp;(SUMPRODUCT((TRIM($F$2:$F$309)=TRIM(F104))*($B$2:$B$309&lt;B104))+1))</f>
        <v>סטאס|15</v>
      </c>
      <c r="M104" s="5" t="n">
        <f aca="false">IF(F104="","",SUMPRODUCT((TRIM($F$2:$F$309)=TRIM(F104))*($I$2:$I$309&gt;I104))+1)</f>
        <v>28</v>
      </c>
    </row>
    <row r="105" customFormat="false" ht="15" hidden="false" customHeight="false" outlineLevel="0" collapsed="false">
      <c r="A105" s="5" t="s">
        <v>204</v>
      </c>
      <c r="B105" s="5" t="n">
        <v>45</v>
      </c>
      <c r="C105" s="5" t="n">
        <v>42</v>
      </c>
      <c r="D105" s="5" t="s">
        <v>75</v>
      </c>
      <c r="E105" s="5" t="s">
        <v>54</v>
      </c>
      <c r="F105" s="5" t="s">
        <v>59</v>
      </c>
      <c r="G105" s="5" t="n">
        <v>9</v>
      </c>
      <c r="H105" s="5"/>
      <c r="I105" s="6" t="n">
        <v>14877.3</v>
      </c>
      <c r="J105" s="6" t="n">
        <v>29993.9</v>
      </c>
      <c r="K105" s="5" t="str">
        <f aca="false">IF(F105="","",TRIM(F105)&amp;"|"&amp;(SUMPRODUCT((TRIM($F$2:$F$309)=TRIM(F105))*($I$2:$I$309&gt;I105))+1))</f>
        <v>סטאס|7</v>
      </c>
      <c r="L105" s="5" t="str">
        <f aca="false">IF(F105="","",TRIM(F105)&amp;"|"&amp;(SUMPRODUCT((TRIM($F$2:$F$309)=TRIM(F105))*($B$2:$B$309&lt;B105))+1))</f>
        <v>סטאס|8</v>
      </c>
      <c r="M105" s="5" t="n">
        <f aca="false">IF(F105="","",SUMPRODUCT((TRIM($F$2:$F$309)=TRIM(F105))*($I$2:$I$309&gt;I105))+1)</f>
        <v>7</v>
      </c>
    </row>
    <row r="106" customFormat="false" ht="15" hidden="false" customHeight="false" outlineLevel="0" collapsed="false">
      <c r="A106" s="5" t="s">
        <v>205</v>
      </c>
      <c r="B106" s="5" t="n">
        <v>259</v>
      </c>
      <c r="C106" s="5" t="n">
        <v>239</v>
      </c>
      <c r="D106" s="5" t="s">
        <v>72</v>
      </c>
      <c r="E106" s="5" t="s">
        <v>72</v>
      </c>
      <c r="F106" s="5" t="s">
        <v>11</v>
      </c>
      <c r="G106" s="5"/>
      <c r="H106" s="5"/>
      <c r="I106" s="6" t="n">
        <v>3276.5</v>
      </c>
      <c r="J106" s="6" t="n">
        <v>2655</v>
      </c>
      <c r="K106" s="5" t="str">
        <f aca="false">IF(F106="","",TRIM(F106)&amp;"|"&amp;(SUMPRODUCT((TRIM($F$2:$F$309)=TRIM(F106))*($I$2:$I$309&gt;I106))+1))</f>
        <v>דודו|63</v>
      </c>
      <c r="L106" s="5" t="str">
        <f aca="false">IF(F106="","",TRIM(F106)&amp;"|"&amp;(SUMPRODUCT((TRIM($F$2:$F$309)=TRIM(F106))*($B$2:$B$309&lt;B106))+1))</f>
        <v>דודו|63</v>
      </c>
      <c r="M106" s="5" t="n">
        <f aca="false">IF(F106="","",SUMPRODUCT((TRIM($F$2:$F$309)=TRIM(F106))*($I$2:$I$309&gt;I106))+1)</f>
        <v>63</v>
      </c>
    </row>
    <row r="107" customFormat="false" ht="15" hidden="false" customHeight="false" outlineLevel="0" collapsed="false">
      <c r="A107" s="5" t="s">
        <v>206</v>
      </c>
      <c r="B107" s="5" t="n">
        <v>160</v>
      </c>
      <c r="C107" s="5" t="n">
        <v>112</v>
      </c>
      <c r="D107" s="5" t="s">
        <v>156</v>
      </c>
      <c r="E107" s="5" t="s">
        <v>54</v>
      </c>
      <c r="F107" s="5" t="s">
        <v>35</v>
      </c>
      <c r="G107" s="5"/>
      <c r="H107" s="5"/>
      <c r="I107" s="6" t="n">
        <v>-1234.2</v>
      </c>
      <c r="J107" s="6" t="n">
        <v>21184.9</v>
      </c>
      <c r="K107" s="5" t="str">
        <f aca="false">IF(F107="","",TRIM(F107)&amp;"|"&amp;(SUMPRODUCT((TRIM($F$2:$F$309)=TRIM(F107))*($I$2:$I$309&gt;I107))+1))</f>
        <v>חיים|84</v>
      </c>
      <c r="L107" s="5" t="str">
        <f aca="false">IF(F107="","",TRIM(F107)&amp;"|"&amp;(SUMPRODUCT((TRIM($F$2:$F$309)=TRIM(F107))*($B$2:$B$309&lt;B107))+1))</f>
        <v>חיים|52</v>
      </c>
      <c r="M107" s="5" t="n">
        <f aca="false">IF(F107="","",SUMPRODUCT((TRIM($F$2:$F$309)=TRIM(F107))*($I$2:$I$309&gt;I107))+1)</f>
        <v>84</v>
      </c>
    </row>
    <row r="108" customFormat="false" ht="15" hidden="false" customHeight="false" outlineLevel="0" collapsed="false">
      <c r="A108" s="5" t="s">
        <v>207</v>
      </c>
      <c r="B108" s="5" t="n">
        <v>196</v>
      </c>
      <c r="C108" s="5" t="n">
        <v>234</v>
      </c>
      <c r="D108" s="5" t="s">
        <v>77</v>
      </c>
      <c r="E108" s="5" t="s">
        <v>54</v>
      </c>
      <c r="F108" s="5" t="s">
        <v>11</v>
      </c>
      <c r="G108" s="5"/>
      <c r="H108" s="5"/>
      <c r="I108" s="6" t="n">
        <v>7577.1</v>
      </c>
      <c r="J108" s="6" t="n">
        <v>31858.7</v>
      </c>
      <c r="K108" s="5" t="str">
        <f aca="false">IF(F108="","",TRIM(F108)&amp;"|"&amp;(SUMPRODUCT((TRIM($F$2:$F$309)=TRIM(F108))*($I$2:$I$309&gt;I108))+1))</f>
        <v>דודו|49</v>
      </c>
      <c r="L108" s="5" t="str">
        <f aca="false">IF(F108="","",TRIM(F108)&amp;"|"&amp;(SUMPRODUCT((TRIM($F$2:$F$309)=TRIM(F108))*($B$2:$B$309&lt;B108))+1))</f>
        <v>דודו|53</v>
      </c>
      <c r="M108" s="5" t="n">
        <f aca="false">IF(F108="","",SUMPRODUCT((TRIM($F$2:$F$309)=TRIM(F108))*($I$2:$I$309&gt;I108))+1)</f>
        <v>49</v>
      </c>
    </row>
    <row r="109" customFormat="false" ht="15" hidden="false" customHeight="false" outlineLevel="0" collapsed="false">
      <c r="A109" s="5" t="s">
        <v>208</v>
      </c>
      <c r="B109" s="5" t="n">
        <v>88</v>
      </c>
      <c r="C109" s="5" t="n">
        <v>90</v>
      </c>
      <c r="D109" s="5" t="s">
        <v>148</v>
      </c>
      <c r="E109" s="5" t="s">
        <v>54</v>
      </c>
      <c r="F109" s="5" t="s">
        <v>35</v>
      </c>
      <c r="G109" s="5"/>
      <c r="H109" s="5"/>
      <c r="I109" s="6" t="n">
        <v>9296.4</v>
      </c>
      <c r="J109" s="6" t="n">
        <v>27082.7</v>
      </c>
      <c r="K109" s="5" t="str">
        <f aca="false">IF(F109="","",TRIM(F109)&amp;"|"&amp;(SUMPRODUCT((TRIM($F$2:$F$309)=TRIM(F109))*($I$2:$I$309&gt;I109))+1))</f>
        <v>חיים|40</v>
      </c>
      <c r="L109" s="5" t="str">
        <f aca="false">IF(F109="","",TRIM(F109)&amp;"|"&amp;(SUMPRODUCT((TRIM($F$2:$F$309)=TRIM(F109))*($B$2:$B$309&lt;B109))+1))</f>
        <v>חיים|28</v>
      </c>
      <c r="M109" s="5" t="n">
        <f aca="false">IF(F109="","",SUMPRODUCT((TRIM($F$2:$F$309)=TRIM(F109))*($I$2:$I$309&gt;I109))+1)</f>
        <v>40</v>
      </c>
    </row>
    <row r="110" customFormat="false" ht="15" hidden="false" customHeight="false" outlineLevel="0" collapsed="false">
      <c r="A110" s="5" t="s">
        <v>209</v>
      </c>
      <c r="B110" s="5" t="n">
        <v>39</v>
      </c>
      <c r="C110" s="5" t="n">
        <v>73</v>
      </c>
      <c r="D110" s="5" t="s">
        <v>109</v>
      </c>
      <c r="E110" s="5" t="s">
        <v>109</v>
      </c>
      <c r="F110" s="5" t="s">
        <v>11</v>
      </c>
      <c r="G110" s="5"/>
      <c r="H110" s="5"/>
      <c r="I110" s="6" t="n">
        <v>18749.5</v>
      </c>
      <c r="J110" s="6" t="n">
        <v>28337.4</v>
      </c>
      <c r="K110" s="5" t="str">
        <f aca="false">IF(F110="","",TRIM(F110)&amp;"|"&amp;(SUMPRODUCT((TRIM($F$2:$F$309)=TRIM(F110))*($I$2:$I$309&gt;I110))+1))</f>
        <v>דודו|19</v>
      </c>
      <c r="L110" s="5" t="str">
        <f aca="false">IF(F110="","",TRIM(F110)&amp;"|"&amp;(SUMPRODUCT((TRIM($F$2:$F$309)=TRIM(F110))*($B$2:$B$309&lt;B110))+1))</f>
        <v>דודו|17</v>
      </c>
      <c r="M110" s="5" t="n">
        <f aca="false">IF(F110="","",SUMPRODUCT((TRIM($F$2:$F$309)=TRIM(F110))*($I$2:$I$309&gt;I110))+1)</f>
        <v>19</v>
      </c>
    </row>
    <row r="111" customFormat="false" ht="15" hidden="false" customHeight="false" outlineLevel="0" collapsed="false">
      <c r="A111" s="5" t="s">
        <v>210</v>
      </c>
      <c r="B111" s="5" t="n">
        <v>106</v>
      </c>
      <c r="C111" s="5" t="n">
        <v>97</v>
      </c>
      <c r="D111" s="5" t="s">
        <v>65</v>
      </c>
      <c r="E111" s="5" t="s">
        <v>54</v>
      </c>
      <c r="F111" s="5" t="s">
        <v>59</v>
      </c>
      <c r="G111" s="5"/>
      <c r="H111" s="5"/>
      <c r="I111" s="6" t="n">
        <v>8385.5</v>
      </c>
      <c r="J111" s="6" t="n">
        <v>19530</v>
      </c>
      <c r="K111" s="5" t="str">
        <f aca="false">IF(F111="","",TRIM(F111)&amp;"|"&amp;(SUMPRODUCT((TRIM($F$2:$F$309)=TRIM(F111))*($I$2:$I$309&gt;I111))+1))</f>
        <v>סטאס|33</v>
      </c>
      <c r="L111" s="5" t="str">
        <f aca="false">IF(F111="","",TRIM(F111)&amp;"|"&amp;(SUMPRODUCT((TRIM($F$2:$F$309)=TRIM(F111))*($B$2:$B$309&lt;B111))+1))</f>
        <v>סטאס|19</v>
      </c>
      <c r="M111" s="5" t="n">
        <f aca="false">IF(F111="","",SUMPRODUCT((TRIM($F$2:$F$309)=TRIM(F111))*($I$2:$I$309&gt;I111))+1)</f>
        <v>33</v>
      </c>
    </row>
    <row r="112" customFormat="false" ht="15" hidden="false" customHeight="false" outlineLevel="0" collapsed="false">
      <c r="A112" s="5" t="s">
        <v>211</v>
      </c>
      <c r="B112" s="5" t="n">
        <v>124</v>
      </c>
      <c r="C112" s="5" t="n">
        <v>115</v>
      </c>
      <c r="D112" s="5" t="s">
        <v>42</v>
      </c>
      <c r="E112" s="5" t="s">
        <v>34</v>
      </c>
      <c r="F112" s="5" t="s">
        <v>35</v>
      </c>
      <c r="G112" s="5"/>
      <c r="H112" s="5"/>
      <c r="I112" s="6" t="n">
        <v>8648.5</v>
      </c>
      <c r="J112" s="6" t="n">
        <v>22009.2</v>
      </c>
      <c r="K112" s="5" t="str">
        <f aca="false">IF(F112="","",TRIM(F112)&amp;"|"&amp;(SUMPRODUCT((TRIM($F$2:$F$309)=TRIM(F112))*($I$2:$I$309&gt;I112))+1))</f>
        <v>חיים|47</v>
      </c>
      <c r="L112" s="5" t="str">
        <f aca="false">IF(F112="","",TRIM(F112)&amp;"|"&amp;(SUMPRODUCT((TRIM($F$2:$F$309)=TRIM(F112))*($B$2:$B$309&lt;B112))+1))</f>
        <v>חיים|41</v>
      </c>
      <c r="M112" s="5" t="n">
        <f aca="false">IF(F112="","",SUMPRODUCT((TRIM($F$2:$F$309)=TRIM(F112))*($I$2:$I$309&gt;I112))+1)</f>
        <v>47</v>
      </c>
    </row>
    <row r="113" customFormat="false" ht="15" hidden="false" customHeight="false" outlineLevel="0" collapsed="false">
      <c r="A113" s="5" t="s">
        <v>212</v>
      </c>
      <c r="B113" s="5" t="n">
        <v>251</v>
      </c>
      <c r="C113" s="5" t="n">
        <v>264</v>
      </c>
      <c r="D113" s="5" t="s">
        <v>213</v>
      </c>
      <c r="E113" s="5" t="s">
        <v>49</v>
      </c>
      <c r="F113" s="5" t="s">
        <v>46</v>
      </c>
      <c r="G113" s="5"/>
      <c r="H113" s="5"/>
      <c r="I113" s="6" t="n">
        <v>4302.1</v>
      </c>
      <c r="J113" s="6" t="n">
        <v>11704.5</v>
      </c>
      <c r="K113" s="5" t="str">
        <f aca="false">IF(F113="","",TRIM(F113)&amp;"|"&amp;(SUMPRODUCT((TRIM($F$2:$F$309)=TRIM(F113))*($I$2:$I$309&gt;I113))+1))</f>
        <v>חדש|58</v>
      </c>
      <c r="L113" s="5" t="str">
        <f aca="false">IF(F113="","",TRIM(F113)&amp;"|"&amp;(SUMPRODUCT((TRIM($F$2:$F$309)=TRIM(F113))*($B$2:$B$309&lt;B113))+1))</f>
        <v>חדש|62</v>
      </c>
      <c r="M113" s="5" t="n">
        <f aca="false">IF(F113="","",SUMPRODUCT((TRIM($F$2:$F$309)=TRIM(F113))*($I$2:$I$309&gt;I113))+1)</f>
        <v>58</v>
      </c>
    </row>
    <row r="114" customFormat="false" ht="15" hidden="false" customHeight="false" outlineLevel="0" collapsed="false">
      <c r="A114" s="5" t="s">
        <v>214</v>
      </c>
      <c r="B114" s="5" t="n">
        <v>162</v>
      </c>
      <c r="C114" s="5" t="n">
        <v>156</v>
      </c>
      <c r="D114" s="5" t="s">
        <v>215</v>
      </c>
      <c r="E114" s="5" t="s">
        <v>49</v>
      </c>
      <c r="F114" s="5" t="s">
        <v>46</v>
      </c>
      <c r="G114" s="5"/>
      <c r="H114" s="5"/>
      <c r="I114" s="6" t="n">
        <v>6487.1</v>
      </c>
      <c r="J114" s="6" t="n">
        <v>16896.6</v>
      </c>
      <c r="K114" s="5" t="str">
        <f aca="false">IF(F114="","",TRIM(F114)&amp;"|"&amp;(SUMPRODUCT((TRIM($F$2:$F$309)=TRIM(F114))*($I$2:$I$309&gt;I114))+1))</f>
        <v>חדש|37</v>
      </c>
      <c r="L114" s="5" t="str">
        <f aca="false">IF(F114="","",TRIM(F114)&amp;"|"&amp;(SUMPRODUCT((TRIM($F$2:$F$309)=TRIM(F114))*($B$2:$B$309&lt;B114))+1))</f>
        <v>חדש|30</v>
      </c>
      <c r="M114" s="5" t="n">
        <f aca="false">IF(F114="","",SUMPRODUCT((TRIM($F$2:$F$309)=TRIM(F114))*($I$2:$I$309&gt;I114))+1)</f>
        <v>37</v>
      </c>
    </row>
    <row r="115" customFormat="false" ht="15" hidden="false" customHeight="false" outlineLevel="0" collapsed="false">
      <c r="A115" s="5" t="s">
        <v>216</v>
      </c>
      <c r="B115" s="5" t="n">
        <v>206</v>
      </c>
      <c r="C115" s="5" t="n">
        <v>211</v>
      </c>
      <c r="D115" s="5" t="s">
        <v>39</v>
      </c>
      <c r="E115" s="5" t="s">
        <v>40</v>
      </c>
      <c r="F115" s="5" t="s">
        <v>11</v>
      </c>
      <c r="G115" s="5"/>
      <c r="H115" s="5"/>
      <c r="I115" s="6" t="n">
        <v>4713.3</v>
      </c>
      <c r="J115" s="6" t="n">
        <v>11455.5</v>
      </c>
      <c r="K115" s="5" t="str">
        <f aca="false">IF(F115="","",TRIM(F115)&amp;"|"&amp;(SUMPRODUCT((TRIM($F$2:$F$309)=TRIM(F115))*($I$2:$I$309&gt;I115))+1))</f>
        <v>דודו|60</v>
      </c>
      <c r="L115" s="5" t="str">
        <f aca="false">IF(F115="","",TRIM(F115)&amp;"|"&amp;(SUMPRODUCT((TRIM($F$2:$F$309)=TRIM(F115))*($B$2:$B$309&lt;B115))+1))</f>
        <v>דודו|54</v>
      </c>
      <c r="M115" s="5" t="n">
        <f aca="false">IF(F115="","",SUMPRODUCT((TRIM($F$2:$F$309)=TRIM(F115))*($I$2:$I$309&gt;I115))+1)</f>
        <v>60</v>
      </c>
    </row>
    <row r="116" customFormat="false" ht="15" hidden="false" customHeight="false" outlineLevel="0" collapsed="false">
      <c r="A116" s="5" t="s">
        <v>217</v>
      </c>
      <c r="B116" s="5" t="n">
        <v>177</v>
      </c>
      <c r="C116" s="5" t="n">
        <v>196</v>
      </c>
      <c r="D116" s="5" t="s">
        <v>44</v>
      </c>
      <c r="E116" s="5" t="s">
        <v>45</v>
      </c>
      <c r="F116" s="5" t="s">
        <v>46</v>
      </c>
      <c r="G116" s="5"/>
      <c r="H116" s="5"/>
      <c r="I116" s="6" t="n">
        <v>5895.4</v>
      </c>
      <c r="J116" s="6" t="n">
        <v>13980.6</v>
      </c>
      <c r="K116" s="5" t="str">
        <f aca="false">IF(F116="","",TRIM(F116)&amp;"|"&amp;(SUMPRODUCT((TRIM($F$2:$F$309)=TRIM(F116))*($I$2:$I$309&gt;I116))+1))</f>
        <v>חדש|43</v>
      </c>
      <c r="L116" s="5" t="str">
        <f aca="false">IF(F116="","",TRIM(F116)&amp;"|"&amp;(SUMPRODUCT((TRIM($F$2:$F$309)=TRIM(F116))*($B$2:$B$309&lt;B116))+1))</f>
        <v>חדש|36</v>
      </c>
      <c r="M116" s="5" t="n">
        <f aca="false">IF(F116="","",SUMPRODUCT((TRIM($F$2:$F$309)=TRIM(F116))*($I$2:$I$309&gt;I116))+1)</f>
        <v>43</v>
      </c>
    </row>
    <row r="117" customFormat="false" ht="15" hidden="false" customHeight="false" outlineLevel="0" collapsed="false">
      <c r="A117" s="5" t="s">
        <v>218</v>
      </c>
      <c r="B117" s="5" t="n">
        <v>22</v>
      </c>
      <c r="C117" s="5" t="n">
        <v>35</v>
      </c>
      <c r="D117" s="5" t="s">
        <v>44</v>
      </c>
      <c r="E117" s="5" t="s">
        <v>45</v>
      </c>
      <c r="F117" s="5" t="s">
        <v>46</v>
      </c>
      <c r="G117" s="5" t="n">
        <v>6</v>
      </c>
      <c r="H117" s="5"/>
      <c r="I117" s="6" t="n">
        <v>27485.2</v>
      </c>
      <c r="J117" s="6" t="n">
        <v>71520</v>
      </c>
      <c r="K117" s="5" t="str">
        <f aca="false">IF(F117="","",TRIM(F117)&amp;"|"&amp;(SUMPRODUCT((TRIM($F$2:$F$309)=TRIM(F117))*($I$2:$I$309&gt;I117))+1))</f>
        <v>חדש|3</v>
      </c>
      <c r="L117" s="5" t="str">
        <f aca="false">IF(F117="","",TRIM(F117)&amp;"|"&amp;(SUMPRODUCT((TRIM($F$2:$F$309)=TRIM(F117))*($B$2:$B$309&lt;B117))+1))</f>
        <v>חדש|5</v>
      </c>
      <c r="M117" s="5" t="n">
        <f aca="false">IF(F117="","",SUMPRODUCT((TRIM($F$2:$F$309)=TRIM(F117))*($I$2:$I$309&gt;I117))+1)</f>
        <v>3</v>
      </c>
    </row>
    <row r="118" customFormat="false" ht="15" hidden="false" customHeight="false" outlineLevel="0" collapsed="false">
      <c r="A118" s="5" t="s">
        <v>219</v>
      </c>
      <c r="B118" s="5" t="n">
        <v>289</v>
      </c>
      <c r="C118" s="5" t="n">
        <v>297</v>
      </c>
      <c r="D118" s="5" t="s">
        <v>220</v>
      </c>
      <c r="E118" s="5" t="s">
        <v>40</v>
      </c>
      <c r="F118" s="5" t="s">
        <v>59</v>
      </c>
      <c r="G118" s="5"/>
      <c r="H118" s="5"/>
      <c r="I118" s="6" t="n">
        <v>2938.3</v>
      </c>
      <c r="J118" s="6" t="n">
        <v>7293.6</v>
      </c>
      <c r="K118" s="5" t="str">
        <f aca="false">IF(F118="","",TRIM(F118)&amp;"|"&amp;(SUMPRODUCT((TRIM($F$2:$F$309)=TRIM(F118))*($I$2:$I$309&gt;I118))+1))</f>
        <v>סטאס|59</v>
      </c>
      <c r="L118" s="5" t="str">
        <f aca="false">IF(F118="","",TRIM(F118)&amp;"|"&amp;(SUMPRODUCT((TRIM($F$2:$F$309)=TRIM(F118))*($B$2:$B$309&lt;B118))+1))</f>
        <v>סטאס|61</v>
      </c>
      <c r="M118" s="5" t="n">
        <f aca="false">IF(F118="","",SUMPRODUCT((TRIM($F$2:$F$309)=TRIM(F118))*($I$2:$I$309&gt;I118))+1)</f>
        <v>59</v>
      </c>
    </row>
    <row r="119" customFormat="false" ht="15" hidden="false" customHeight="false" outlineLevel="0" collapsed="false">
      <c r="A119" s="5" t="s">
        <v>221</v>
      </c>
      <c r="B119" s="5" t="n">
        <v>228</v>
      </c>
      <c r="C119" s="5" t="n">
        <v>246</v>
      </c>
      <c r="D119" s="5" t="s">
        <v>222</v>
      </c>
      <c r="E119" s="5" t="s">
        <v>49</v>
      </c>
      <c r="F119" s="5" t="s">
        <v>46</v>
      </c>
      <c r="G119" s="5"/>
      <c r="H119" s="5"/>
      <c r="I119" s="6" t="n">
        <v>6019.6</v>
      </c>
      <c r="J119" s="6" t="n">
        <v>11354.6</v>
      </c>
      <c r="K119" s="5" t="str">
        <f aca="false">IF(F119="","",TRIM(F119)&amp;"|"&amp;(SUMPRODUCT((TRIM($F$2:$F$309)=TRIM(F119))*($I$2:$I$309&gt;I119))+1))</f>
        <v>חדש|41</v>
      </c>
      <c r="L119" s="5" t="str">
        <f aca="false">IF(F119="","",TRIM(F119)&amp;"|"&amp;(SUMPRODUCT((TRIM($F$2:$F$309)=TRIM(F119))*($B$2:$B$309&lt;B119))+1))</f>
        <v>חדש|55</v>
      </c>
      <c r="M119" s="5" t="n">
        <f aca="false">IF(F119="","",SUMPRODUCT((TRIM($F$2:$F$309)=TRIM(F119))*($I$2:$I$309&gt;I119))+1)</f>
        <v>41</v>
      </c>
    </row>
    <row r="120" customFormat="false" ht="15" hidden="false" customHeight="false" outlineLevel="0" collapsed="false">
      <c r="A120" s="5" t="s">
        <v>223</v>
      </c>
      <c r="B120" s="5" t="n">
        <v>192</v>
      </c>
      <c r="C120" s="5" t="n">
        <v>203</v>
      </c>
      <c r="D120" s="5" t="s">
        <v>224</v>
      </c>
      <c r="E120" s="5" t="s">
        <v>49</v>
      </c>
      <c r="F120" s="5" t="s">
        <v>46</v>
      </c>
      <c r="G120" s="5"/>
      <c r="H120" s="5"/>
      <c r="I120" s="6" t="n">
        <v>5794.2</v>
      </c>
      <c r="J120" s="6" t="n">
        <v>12316.3</v>
      </c>
      <c r="K120" s="5" t="str">
        <f aca="false">IF(F120="","",TRIM(F120)&amp;"|"&amp;(SUMPRODUCT((TRIM($F$2:$F$309)=TRIM(F120))*($I$2:$I$309&gt;I120))+1))</f>
        <v>חדש|44</v>
      </c>
      <c r="L120" s="5" t="str">
        <f aca="false">IF(F120="","",TRIM(F120)&amp;"|"&amp;(SUMPRODUCT((TRIM($F$2:$F$309)=TRIM(F120))*($B$2:$B$309&lt;B120))+1))</f>
        <v>חדש|41</v>
      </c>
      <c r="M120" s="5" t="n">
        <f aca="false">IF(F120="","",SUMPRODUCT((TRIM($F$2:$F$309)=TRIM(F120))*($I$2:$I$309&gt;I120))+1)</f>
        <v>44</v>
      </c>
    </row>
    <row r="121" customFormat="false" ht="15" hidden="false" customHeight="false" outlineLevel="0" collapsed="false">
      <c r="A121" s="5" t="s">
        <v>225</v>
      </c>
      <c r="B121" s="5" t="n">
        <v>211</v>
      </c>
      <c r="C121" s="5" t="n">
        <v>219</v>
      </c>
      <c r="D121" s="5" t="s">
        <v>226</v>
      </c>
      <c r="E121" s="5" t="s">
        <v>49</v>
      </c>
      <c r="F121" s="5" t="s">
        <v>46</v>
      </c>
      <c r="G121" s="5"/>
      <c r="H121" s="5"/>
      <c r="I121" s="6" t="n">
        <v>6674.5</v>
      </c>
      <c r="J121" s="6" t="n">
        <v>9384</v>
      </c>
      <c r="K121" s="5" t="str">
        <f aca="false">IF(F121="","",TRIM(F121)&amp;"|"&amp;(SUMPRODUCT((TRIM($F$2:$F$309)=TRIM(F121))*($I$2:$I$309&gt;I121))+1))</f>
        <v>חדש|35</v>
      </c>
      <c r="L121" s="5" t="str">
        <f aca="false">IF(F121="","",TRIM(F121)&amp;"|"&amp;(SUMPRODUCT((TRIM($F$2:$F$309)=TRIM(F121))*($B$2:$B$309&lt;B121))+1))</f>
        <v>חדש|48</v>
      </c>
      <c r="M121" s="5" t="n">
        <f aca="false">IF(F121="","",SUMPRODUCT((TRIM($F$2:$F$309)=TRIM(F121))*($I$2:$I$309&gt;I121))+1)</f>
        <v>35</v>
      </c>
    </row>
    <row r="122" customFormat="false" ht="15" hidden="false" customHeight="false" outlineLevel="0" collapsed="false">
      <c r="A122" s="5" t="s">
        <v>227</v>
      </c>
      <c r="B122" s="5" t="n">
        <v>184</v>
      </c>
      <c r="C122" s="5" t="n">
        <v>177</v>
      </c>
      <c r="D122" s="5" t="s">
        <v>103</v>
      </c>
      <c r="E122" s="5" t="s">
        <v>49</v>
      </c>
      <c r="F122" s="5" t="s">
        <v>46</v>
      </c>
      <c r="G122" s="5"/>
      <c r="H122" s="5"/>
      <c r="I122" s="6" t="n">
        <v>8736.8</v>
      </c>
      <c r="J122" s="6" t="n">
        <v>9093.8</v>
      </c>
      <c r="K122" s="5" t="str">
        <f aca="false">IF(F122="","",TRIM(F122)&amp;"|"&amp;(SUMPRODUCT((TRIM($F$2:$F$309)=TRIM(F122))*($I$2:$I$309&gt;I122))+1))</f>
        <v>חדש|22</v>
      </c>
      <c r="L122" s="5" t="str">
        <f aca="false">IF(F122="","",TRIM(F122)&amp;"|"&amp;(SUMPRODUCT((TRIM($F$2:$F$309)=TRIM(F122))*($B$2:$B$309&lt;B122))+1))</f>
        <v>חדש|38</v>
      </c>
      <c r="M122" s="5" t="n">
        <f aca="false">IF(F122="","",SUMPRODUCT((TRIM($F$2:$F$309)=TRIM(F122))*($I$2:$I$309&gt;I122))+1)</f>
        <v>22</v>
      </c>
    </row>
    <row r="123" customFormat="false" ht="15" hidden="false" customHeight="false" outlineLevel="0" collapsed="false">
      <c r="A123" s="5" t="s">
        <v>228</v>
      </c>
      <c r="B123" s="5" t="n">
        <v>55</v>
      </c>
      <c r="C123" s="5" t="n">
        <v>8</v>
      </c>
      <c r="D123" s="5" t="s">
        <v>109</v>
      </c>
      <c r="E123" s="5" t="s">
        <v>109</v>
      </c>
      <c r="F123" s="5" t="s">
        <v>11</v>
      </c>
      <c r="G123" s="5" t="n">
        <v>2</v>
      </c>
      <c r="H123" s="5"/>
      <c r="I123" s="6" t="n">
        <v>14413.6</v>
      </c>
      <c r="J123" s="6" t="n">
        <v>28455.3</v>
      </c>
      <c r="K123" s="5" t="str">
        <f aca="false">IF(F123="","",TRIM(F123)&amp;"|"&amp;(SUMPRODUCT((TRIM($F$2:$F$309)=TRIM(F123))*($I$2:$I$309&gt;I123))+1))</f>
        <v>דודו|25</v>
      </c>
      <c r="L123" s="5" t="str">
        <f aca="false">IF(F123="","",TRIM(F123)&amp;"|"&amp;(SUMPRODUCT((TRIM($F$2:$F$309)=TRIM(F123))*($B$2:$B$309&lt;B123))+1))</f>
        <v>דודו|22</v>
      </c>
      <c r="M123" s="5" t="n">
        <f aca="false">IF(F123="","",SUMPRODUCT((TRIM($F$2:$F$309)=TRIM(F123))*($I$2:$I$309&gt;I123))+1)</f>
        <v>25</v>
      </c>
    </row>
    <row r="124" customFormat="false" ht="15" hidden="false" customHeight="false" outlineLevel="0" collapsed="false">
      <c r="A124" s="5" t="s">
        <v>229</v>
      </c>
      <c r="B124" s="5" t="n">
        <v>297</v>
      </c>
      <c r="C124" s="5" t="n">
        <v>284</v>
      </c>
      <c r="D124" s="5" t="s">
        <v>230</v>
      </c>
      <c r="E124" s="5" t="s">
        <v>49</v>
      </c>
      <c r="F124" s="5" t="s">
        <v>46</v>
      </c>
      <c r="G124" s="5"/>
      <c r="H124" s="5"/>
      <c r="I124" s="6" t="n">
        <v>4146.8</v>
      </c>
      <c r="J124" s="6" t="n">
        <v>3773.8</v>
      </c>
      <c r="K124" s="5" t="str">
        <f aca="false">IF(F124="","",TRIM(F124)&amp;"|"&amp;(SUMPRODUCT((TRIM($F$2:$F$309)=TRIM(F124))*($I$2:$I$309&gt;I124))+1))</f>
        <v>חדש|61</v>
      </c>
      <c r="L124" s="5" t="str">
        <f aca="false">IF(F124="","",TRIM(F124)&amp;"|"&amp;(SUMPRODUCT((TRIM($F$2:$F$309)=TRIM(F124))*($B$2:$B$309&lt;B124))+1))</f>
        <v>חדש|83</v>
      </c>
      <c r="M124" s="5" t="n">
        <f aca="false">IF(F124="","",SUMPRODUCT((TRIM($F$2:$F$309)=TRIM(F124))*($I$2:$I$309&gt;I124))+1)</f>
        <v>61</v>
      </c>
    </row>
    <row r="125" customFormat="false" ht="15" hidden="false" customHeight="false" outlineLevel="0" collapsed="false">
      <c r="A125" s="5" t="s">
        <v>231</v>
      </c>
      <c r="B125" s="5" t="n">
        <v>193</v>
      </c>
      <c r="C125" s="5" t="n">
        <v>193</v>
      </c>
      <c r="D125" s="5" t="s">
        <v>44</v>
      </c>
      <c r="E125" s="5" t="s">
        <v>45</v>
      </c>
      <c r="F125" s="5" t="s">
        <v>46</v>
      </c>
      <c r="G125" s="5"/>
      <c r="H125" s="5"/>
      <c r="I125" s="6" t="n">
        <v>7011.5</v>
      </c>
      <c r="J125" s="6" t="n">
        <v>16298.9</v>
      </c>
      <c r="K125" s="5" t="str">
        <f aca="false">IF(F125="","",TRIM(F125)&amp;"|"&amp;(SUMPRODUCT((TRIM($F$2:$F$309)=TRIM(F125))*($I$2:$I$309&gt;I125))+1))</f>
        <v>חדש|33</v>
      </c>
      <c r="L125" s="5" t="str">
        <f aca="false">IF(F125="","",TRIM(F125)&amp;"|"&amp;(SUMPRODUCT((TRIM($F$2:$F$309)=TRIM(F125))*($B$2:$B$309&lt;B125))+1))</f>
        <v>חדש|42</v>
      </c>
      <c r="M125" s="5" t="n">
        <f aca="false">IF(F125="","",SUMPRODUCT((TRIM($F$2:$F$309)=TRIM(F125))*($I$2:$I$309&gt;I125))+1)</f>
        <v>33</v>
      </c>
    </row>
    <row r="126" customFormat="false" ht="15" hidden="false" customHeight="false" outlineLevel="0" collapsed="false">
      <c r="A126" s="5" t="s">
        <v>232</v>
      </c>
      <c r="B126" s="5" t="n">
        <v>278</v>
      </c>
      <c r="C126" s="5" t="n">
        <v>286</v>
      </c>
      <c r="D126" s="5" t="s">
        <v>233</v>
      </c>
      <c r="E126" s="5" t="s">
        <v>49</v>
      </c>
      <c r="F126" s="5" t="s">
        <v>46</v>
      </c>
      <c r="G126" s="5"/>
      <c r="H126" s="5"/>
      <c r="I126" s="6" t="n">
        <v>3671.3</v>
      </c>
      <c r="J126" s="6" t="n">
        <v>7085.6</v>
      </c>
      <c r="K126" s="5" t="str">
        <f aca="false">IF(F126="","",TRIM(F126)&amp;"|"&amp;(SUMPRODUCT((TRIM($F$2:$F$309)=TRIM(F126))*($I$2:$I$309&gt;I126))+1))</f>
        <v>חדש|66</v>
      </c>
      <c r="L126" s="5" t="str">
        <f aca="false">IF(F126="","",TRIM(F126)&amp;"|"&amp;(SUMPRODUCT((TRIM($F$2:$F$309)=TRIM(F126))*($B$2:$B$309&lt;B126))+1))</f>
        <v>חדש|73</v>
      </c>
      <c r="M126" s="5" t="n">
        <f aca="false">IF(F126="","",SUMPRODUCT((TRIM($F$2:$F$309)=TRIM(F126))*($I$2:$I$309&gt;I126))+1)</f>
        <v>66</v>
      </c>
    </row>
    <row r="127" customFormat="false" ht="15" hidden="false" customHeight="false" outlineLevel="0" collapsed="false">
      <c r="A127" s="5" t="s">
        <v>234</v>
      </c>
      <c r="B127" s="5" t="n">
        <v>161</v>
      </c>
      <c r="C127" s="5" t="n">
        <v>141</v>
      </c>
      <c r="D127" s="5" t="s">
        <v>235</v>
      </c>
      <c r="E127" s="5" t="s">
        <v>40</v>
      </c>
      <c r="F127" s="5" t="s">
        <v>59</v>
      </c>
      <c r="G127" s="5"/>
      <c r="H127" s="5"/>
      <c r="I127" s="6" t="n">
        <v>9303.9</v>
      </c>
      <c r="J127" s="6" t="n">
        <v>16293.9</v>
      </c>
      <c r="K127" s="5" t="str">
        <f aca="false">IF(F127="","",TRIM(F127)&amp;"|"&amp;(SUMPRODUCT((TRIM($F$2:$F$309)=TRIM(F127))*($I$2:$I$309&gt;I127))+1))</f>
        <v>סטאס|29</v>
      </c>
      <c r="L127" s="5" t="str">
        <f aca="false">IF(F127="","",TRIM(F127)&amp;"|"&amp;(SUMPRODUCT((TRIM($F$2:$F$309)=TRIM(F127))*($B$2:$B$309&lt;B127))+1))</f>
        <v>סטאס|33</v>
      </c>
      <c r="M127" s="5" t="n">
        <f aca="false">IF(F127="","",SUMPRODUCT((TRIM($F$2:$F$309)=TRIM(F127))*($I$2:$I$309&gt;I127))+1)</f>
        <v>29</v>
      </c>
    </row>
    <row r="128" customFormat="false" ht="15" hidden="false" customHeight="false" outlineLevel="0" collapsed="false">
      <c r="A128" s="5" t="s">
        <v>236</v>
      </c>
      <c r="B128" s="5" t="n">
        <v>210</v>
      </c>
      <c r="C128" s="5" t="n">
        <v>236</v>
      </c>
      <c r="D128" s="5" t="s">
        <v>70</v>
      </c>
      <c r="E128" s="5" t="s">
        <v>37</v>
      </c>
      <c r="F128" s="5" t="s">
        <v>35</v>
      </c>
      <c r="G128" s="5"/>
      <c r="H128" s="5"/>
      <c r="I128" s="6" t="n">
        <v>7198.4</v>
      </c>
      <c r="J128" s="6" t="n">
        <v>16269.8</v>
      </c>
      <c r="K128" s="5" t="str">
        <f aca="false">IF(F128="","",TRIM(F128)&amp;"|"&amp;(SUMPRODUCT((TRIM($F$2:$F$309)=TRIM(F128))*($I$2:$I$309&gt;I128))+1))</f>
        <v>חיים|60</v>
      </c>
      <c r="L128" s="5" t="str">
        <f aca="false">IF(F128="","",TRIM(F128)&amp;"|"&amp;(SUMPRODUCT((TRIM($F$2:$F$309)=TRIM(F128))*($B$2:$B$309&lt;B128))+1))</f>
        <v>חיים|64</v>
      </c>
      <c r="M128" s="5" t="n">
        <f aca="false">IF(F128="","",SUMPRODUCT((TRIM($F$2:$F$309)=TRIM(F128))*($I$2:$I$309&gt;I128))+1)</f>
        <v>60</v>
      </c>
    </row>
    <row r="129" customFormat="false" ht="15" hidden="false" customHeight="false" outlineLevel="0" collapsed="false">
      <c r="A129" s="5" t="s">
        <v>237</v>
      </c>
      <c r="B129" s="5" t="n">
        <v>279</v>
      </c>
      <c r="C129" s="5" t="s">
        <v>238</v>
      </c>
      <c r="D129" s="5" t="s">
        <v>100</v>
      </c>
      <c r="E129" s="5" t="s">
        <v>49</v>
      </c>
      <c r="F129" s="5" t="s">
        <v>46</v>
      </c>
      <c r="G129" s="5"/>
      <c r="H129" s="5"/>
      <c r="I129" s="6" t="n">
        <v>3045.7</v>
      </c>
      <c r="J129" s="6" t="n">
        <v>7242</v>
      </c>
      <c r="K129" s="5" t="str">
        <f aca="false">IF(F129="","",TRIM(F129)&amp;"|"&amp;(SUMPRODUCT((TRIM($F$2:$F$309)=TRIM(F129))*($I$2:$I$309&gt;I129))+1))</f>
        <v>חדש|71</v>
      </c>
      <c r="L129" s="5" t="str">
        <f aca="false">IF(F129="","",TRIM(F129)&amp;"|"&amp;(SUMPRODUCT((TRIM($F$2:$F$309)=TRIM(F129))*($B$2:$B$309&lt;B129))+1))</f>
        <v>חדש|74</v>
      </c>
      <c r="M129" s="5" t="n">
        <f aca="false">IF(F129="","",SUMPRODUCT((TRIM($F$2:$F$309)=TRIM(F129))*($I$2:$I$309&gt;I129))+1)</f>
        <v>71</v>
      </c>
    </row>
    <row r="130" customFormat="false" ht="15" hidden="false" customHeight="false" outlineLevel="0" collapsed="false">
      <c r="A130" s="5" t="s">
        <v>239</v>
      </c>
      <c r="B130" s="5" t="n">
        <v>170</v>
      </c>
      <c r="C130" s="5" t="n">
        <v>134</v>
      </c>
      <c r="D130" s="5" t="s">
        <v>39</v>
      </c>
      <c r="E130" s="5" t="s">
        <v>40</v>
      </c>
      <c r="F130" s="5" t="s">
        <v>11</v>
      </c>
      <c r="G130" s="5"/>
      <c r="H130" s="5"/>
      <c r="I130" s="6" t="n">
        <v>5519.3</v>
      </c>
      <c r="J130" s="6" t="n">
        <v>15986</v>
      </c>
      <c r="K130" s="5" t="str">
        <f aca="false">IF(F130="","",TRIM(F130)&amp;"|"&amp;(SUMPRODUCT((TRIM($F$2:$F$309)=TRIM(F130))*($I$2:$I$309&gt;I130))+1))</f>
        <v>דודו|57</v>
      </c>
      <c r="L130" s="5" t="str">
        <f aca="false">IF(F130="","",TRIM(F130)&amp;"|"&amp;(SUMPRODUCT((TRIM($F$2:$F$309)=TRIM(F130))*($B$2:$B$309&lt;B130))+1))</f>
        <v>דודו|47</v>
      </c>
      <c r="M130" s="5" t="n">
        <f aca="false">IF(F130="","",SUMPRODUCT((TRIM($F$2:$F$309)=TRIM(F130))*($I$2:$I$309&gt;I130))+1)</f>
        <v>57</v>
      </c>
    </row>
    <row r="131" customFormat="false" ht="15" hidden="false" customHeight="false" outlineLevel="0" collapsed="false">
      <c r="A131" s="5" t="s">
        <v>240</v>
      </c>
      <c r="B131" s="5" t="n">
        <v>49</v>
      </c>
      <c r="C131" s="5" t="n">
        <v>54</v>
      </c>
      <c r="D131" s="5" t="s">
        <v>70</v>
      </c>
      <c r="E131" s="5" t="s">
        <v>37</v>
      </c>
      <c r="F131" s="5" t="s">
        <v>35</v>
      </c>
      <c r="G131" s="5" t="n">
        <v>17</v>
      </c>
      <c r="H131" s="5"/>
      <c r="I131" s="6" t="n">
        <v>13650.8</v>
      </c>
      <c r="J131" s="6" t="n">
        <v>25569.4</v>
      </c>
      <c r="K131" s="5" t="str">
        <f aca="false">IF(F131="","",TRIM(F131)&amp;"|"&amp;(SUMPRODUCT((TRIM($F$2:$F$309)=TRIM(F131))*($I$2:$I$309&gt;I131))+1))</f>
        <v>חיים|19</v>
      </c>
      <c r="L131" s="5" t="str">
        <f aca="false">IF(F131="","",TRIM(F131)&amp;"|"&amp;(SUMPRODUCT((TRIM($F$2:$F$309)=TRIM(F131))*($B$2:$B$309&lt;B131))+1))</f>
        <v>חיים|14</v>
      </c>
      <c r="M131" s="5" t="n">
        <f aca="false">IF(F131="","",SUMPRODUCT((TRIM($F$2:$F$309)=TRIM(F131))*($I$2:$I$309&gt;I131))+1)</f>
        <v>19</v>
      </c>
    </row>
    <row r="132" customFormat="false" ht="15" hidden="false" customHeight="false" outlineLevel="0" collapsed="false">
      <c r="A132" s="5" t="s">
        <v>241</v>
      </c>
      <c r="B132" s="5" t="n">
        <v>261</v>
      </c>
      <c r="C132" s="5" t="n">
        <v>256</v>
      </c>
      <c r="D132" s="5" t="s">
        <v>242</v>
      </c>
      <c r="E132" s="5" t="s">
        <v>49</v>
      </c>
      <c r="F132" s="5" t="s">
        <v>46</v>
      </c>
      <c r="G132" s="5"/>
      <c r="H132" s="5"/>
      <c r="I132" s="6" t="n">
        <v>3401.5</v>
      </c>
      <c r="J132" s="6" t="n">
        <v>9923.8</v>
      </c>
      <c r="K132" s="5" t="str">
        <f aca="false">IF(F132="","",TRIM(F132)&amp;"|"&amp;(SUMPRODUCT((TRIM($F$2:$F$309)=TRIM(F132))*($I$2:$I$309&gt;I132))+1))</f>
        <v>חדש|68</v>
      </c>
      <c r="L132" s="5" t="str">
        <f aca="false">IF(F132="","",TRIM(F132)&amp;"|"&amp;(SUMPRODUCT((TRIM($F$2:$F$309)=TRIM(F132))*($B$2:$B$309&lt;B132))+1))</f>
        <v>חדש|66</v>
      </c>
      <c r="M132" s="5" t="n">
        <f aca="false">IF(F132="","",SUMPRODUCT((TRIM($F$2:$F$309)=TRIM(F132))*($I$2:$I$309&gt;I132))+1)</f>
        <v>68</v>
      </c>
    </row>
    <row r="133" customFormat="false" ht="15" hidden="false" customHeight="false" outlineLevel="0" collapsed="false">
      <c r="A133" s="5" t="s">
        <v>243</v>
      </c>
      <c r="B133" s="5" t="n">
        <v>139</v>
      </c>
      <c r="C133" s="5" t="n">
        <v>140</v>
      </c>
      <c r="D133" s="5" t="s">
        <v>244</v>
      </c>
      <c r="E133" s="5" t="s">
        <v>49</v>
      </c>
      <c r="F133" s="5" t="s">
        <v>46</v>
      </c>
      <c r="G133" s="5"/>
      <c r="H133" s="5"/>
      <c r="I133" s="6" t="n">
        <v>9756.3</v>
      </c>
      <c r="J133" s="6" t="n">
        <v>14412.6</v>
      </c>
      <c r="K133" s="5" t="str">
        <f aca="false">IF(F133="","",TRIM(F133)&amp;"|"&amp;(SUMPRODUCT((TRIM($F$2:$F$309)=TRIM(F133))*($I$2:$I$309&gt;I133))+1))</f>
        <v>חדש|18</v>
      </c>
      <c r="L133" s="5" t="str">
        <f aca="false">IF(F133="","",TRIM(F133)&amp;"|"&amp;(SUMPRODUCT((TRIM($F$2:$F$309)=TRIM(F133))*($B$2:$B$309&lt;B133))+1))</f>
        <v>חדש|25</v>
      </c>
      <c r="M133" s="5" t="n">
        <f aca="false">IF(F133="","",SUMPRODUCT((TRIM($F$2:$F$309)=TRIM(F133))*($I$2:$I$309&gt;I133))+1)</f>
        <v>18</v>
      </c>
    </row>
    <row r="134" customFormat="false" ht="15" hidden="false" customHeight="false" outlineLevel="0" collapsed="false">
      <c r="A134" s="5" t="s">
        <v>245</v>
      </c>
      <c r="B134" s="5" t="n">
        <v>76</v>
      </c>
      <c r="C134" s="5" t="n">
        <v>120</v>
      </c>
      <c r="D134" s="5" t="s">
        <v>246</v>
      </c>
      <c r="E134" s="5" t="s">
        <v>54</v>
      </c>
      <c r="F134" s="5" t="s">
        <v>35</v>
      </c>
      <c r="G134" s="5"/>
      <c r="H134" s="5"/>
      <c r="I134" s="6" t="n">
        <v>12849.9</v>
      </c>
      <c r="J134" s="6" t="n">
        <v>28814</v>
      </c>
      <c r="K134" s="5" t="str">
        <f aca="false">IF(F134="","",TRIM(F134)&amp;"|"&amp;(SUMPRODUCT((TRIM($F$2:$F$309)=TRIM(F134))*($I$2:$I$309&gt;I134))+1))</f>
        <v>חיים|23</v>
      </c>
      <c r="L134" s="5" t="str">
        <f aca="false">IF(F134="","",TRIM(F134)&amp;"|"&amp;(SUMPRODUCT((TRIM($F$2:$F$309)=TRIM(F134))*($B$2:$B$309&lt;B134))+1))</f>
        <v>חיים|23</v>
      </c>
      <c r="M134" s="5" t="n">
        <f aca="false">IF(F134="","",SUMPRODUCT((TRIM($F$2:$F$309)=TRIM(F134))*($I$2:$I$309&gt;I134))+1)</f>
        <v>23</v>
      </c>
    </row>
    <row r="135" customFormat="false" ht="15" hidden="false" customHeight="false" outlineLevel="0" collapsed="false">
      <c r="A135" s="5" t="s">
        <v>247</v>
      </c>
      <c r="B135" s="5" t="n">
        <v>300</v>
      </c>
      <c r="C135" s="5" t="n">
        <v>302</v>
      </c>
      <c r="D135" s="5" t="s">
        <v>248</v>
      </c>
      <c r="E135" s="5" t="s">
        <v>40</v>
      </c>
      <c r="F135" s="5" t="s">
        <v>59</v>
      </c>
      <c r="G135" s="5"/>
      <c r="H135" s="5"/>
      <c r="I135" s="6" t="n">
        <v>2833.1</v>
      </c>
      <c r="J135" s="6" t="n">
        <v>3023.6</v>
      </c>
      <c r="K135" s="5" t="str">
        <f aca="false">IF(F135="","",TRIM(F135)&amp;"|"&amp;(SUMPRODUCT((TRIM($F$2:$F$309)=TRIM(F135))*($I$2:$I$309&gt;I135))+1))</f>
        <v>סטאס|60</v>
      </c>
      <c r="L135" s="5" t="str">
        <f aca="false">IF(F135="","",TRIM(F135)&amp;"|"&amp;(SUMPRODUCT((TRIM($F$2:$F$309)=TRIM(F135))*($B$2:$B$309&lt;B135))+1))</f>
        <v>סטאס|65</v>
      </c>
      <c r="M135" s="5" t="n">
        <f aca="false">IF(F135="","",SUMPRODUCT((TRIM($F$2:$F$309)=TRIM(F135))*($I$2:$I$309&gt;I135))+1)</f>
        <v>60</v>
      </c>
    </row>
    <row r="136" customFormat="false" ht="15" hidden="false" customHeight="false" outlineLevel="0" collapsed="false">
      <c r="A136" s="5" t="s">
        <v>249</v>
      </c>
      <c r="B136" s="5" t="n">
        <v>207</v>
      </c>
      <c r="C136" s="5" t="n">
        <v>204</v>
      </c>
      <c r="D136" s="5" t="s">
        <v>250</v>
      </c>
      <c r="E136" s="5" t="s">
        <v>34</v>
      </c>
      <c r="F136" s="5" t="s">
        <v>59</v>
      </c>
      <c r="G136" s="5"/>
      <c r="H136" s="5"/>
      <c r="I136" s="6" t="n">
        <v>6620.3</v>
      </c>
      <c r="J136" s="6" t="n">
        <v>20377.8</v>
      </c>
      <c r="K136" s="5" t="str">
        <f aca="false">IF(F136="","",TRIM(F136)&amp;"|"&amp;(SUMPRODUCT((TRIM($F$2:$F$309)=TRIM(F136))*($I$2:$I$309&gt;I136))+1))</f>
        <v>סטאס|43</v>
      </c>
      <c r="L136" s="5" t="str">
        <f aca="false">IF(F136="","",TRIM(F136)&amp;"|"&amp;(SUMPRODUCT((TRIM($F$2:$F$309)=TRIM(F136))*($B$2:$B$309&lt;B136))+1))</f>
        <v>סטאס|43</v>
      </c>
      <c r="M136" s="5" t="n">
        <f aca="false">IF(F136="","",SUMPRODUCT((TRIM($F$2:$F$309)=TRIM(F136))*($I$2:$I$309&gt;I136))+1)</f>
        <v>43</v>
      </c>
    </row>
    <row r="137" customFormat="false" ht="15" hidden="false" customHeight="false" outlineLevel="0" collapsed="false">
      <c r="A137" s="5" t="s">
        <v>251</v>
      </c>
      <c r="B137" s="5" t="n">
        <v>142</v>
      </c>
      <c r="C137" s="5" t="n">
        <v>162</v>
      </c>
      <c r="D137" s="5" t="s">
        <v>61</v>
      </c>
      <c r="E137" s="5" t="s">
        <v>54</v>
      </c>
      <c r="F137" s="5" t="s">
        <v>59</v>
      </c>
      <c r="G137" s="5"/>
      <c r="H137" s="5"/>
      <c r="I137" s="6" t="n">
        <v>10779.5</v>
      </c>
      <c r="J137" s="6" t="n">
        <v>23957.6</v>
      </c>
      <c r="K137" s="5" t="str">
        <f aca="false">IF(F137="","",TRIM(F137)&amp;"|"&amp;(SUMPRODUCT((TRIM($F$2:$F$309)=TRIM(F137))*($I$2:$I$309&gt;I137))+1))</f>
        <v>סטאס|18</v>
      </c>
      <c r="L137" s="5" t="str">
        <f aca="false">IF(F137="","",TRIM(F137)&amp;"|"&amp;(SUMPRODUCT((TRIM($F$2:$F$309)=TRIM(F137))*($B$2:$B$309&lt;B137))+1))</f>
        <v>סטאס|30</v>
      </c>
      <c r="M137" s="5" t="n">
        <f aca="false">IF(F137="","",SUMPRODUCT((TRIM($F$2:$F$309)=TRIM(F137))*($I$2:$I$309&gt;I137))+1)</f>
        <v>18</v>
      </c>
    </row>
    <row r="138" customFormat="false" ht="15" hidden="false" customHeight="false" outlineLevel="0" collapsed="false">
      <c r="A138" s="5" t="s">
        <v>252</v>
      </c>
      <c r="B138" s="5" t="n">
        <v>136</v>
      </c>
      <c r="C138" s="5" t="n">
        <v>149</v>
      </c>
      <c r="D138" s="5" t="s">
        <v>70</v>
      </c>
      <c r="E138" s="5" t="s">
        <v>37</v>
      </c>
      <c r="F138" s="5" t="s">
        <v>35</v>
      </c>
      <c r="G138" s="5"/>
      <c r="H138" s="5"/>
      <c r="I138" s="6" t="n">
        <v>9241</v>
      </c>
      <c r="J138" s="6" t="n">
        <v>28621.5</v>
      </c>
      <c r="K138" s="5" t="str">
        <f aca="false">IF(F138="","",TRIM(F138)&amp;"|"&amp;(SUMPRODUCT((TRIM($F$2:$F$309)=TRIM(F138))*($I$2:$I$309&gt;I138))+1))</f>
        <v>חיים|41</v>
      </c>
      <c r="L138" s="5" t="str">
        <f aca="false">IF(F138="","",TRIM(F138)&amp;"|"&amp;(SUMPRODUCT((TRIM($F$2:$F$309)=TRIM(F138))*($B$2:$B$309&lt;B138))+1))</f>
        <v>חיים|42</v>
      </c>
      <c r="M138" s="5" t="n">
        <f aca="false">IF(F138="","",SUMPRODUCT((TRIM($F$2:$F$309)=TRIM(F138))*($I$2:$I$309&gt;I138))+1)</f>
        <v>41</v>
      </c>
    </row>
    <row r="139" customFormat="false" ht="15" hidden="false" customHeight="false" outlineLevel="0" collapsed="false">
      <c r="A139" s="5" t="s">
        <v>253</v>
      </c>
      <c r="B139" s="5" t="n">
        <v>101</v>
      </c>
      <c r="C139" s="5" t="n">
        <v>62</v>
      </c>
      <c r="D139" s="5" t="s">
        <v>63</v>
      </c>
      <c r="E139" s="5" t="s">
        <v>54</v>
      </c>
      <c r="F139" s="5" t="s">
        <v>59</v>
      </c>
      <c r="G139" s="5" t="n">
        <v>14</v>
      </c>
      <c r="H139" s="5"/>
      <c r="I139" s="6" t="n">
        <v>15109.5</v>
      </c>
      <c r="J139" s="6" t="n">
        <v>28653</v>
      </c>
      <c r="K139" s="5" t="str">
        <f aca="false">IF(F139="","",TRIM(F139)&amp;"|"&amp;(SUMPRODUCT((TRIM($F$2:$F$309)=TRIM(F139))*($I$2:$I$309&gt;I139))+1))</f>
        <v>סטאס|6</v>
      </c>
      <c r="L139" s="5" t="str">
        <f aca="false">IF(F139="","",TRIM(F139)&amp;"|"&amp;(SUMPRODUCT((TRIM($F$2:$F$309)=TRIM(F139))*($B$2:$B$309&lt;B139))+1))</f>
        <v>סטאס|18</v>
      </c>
      <c r="M139" s="5" t="n">
        <f aca="false">IF(F139="","",SUMPRODUCT((TRIM($F$2:$F$309)=TRIM(F139))*($I$2:$I$309&gt;I139))+1)</f>
        <v>6</v>
      </c>
    </row>
    <row r="140" customFormat="false" ht="15" hidden="false" customHeight="false" outlineLevel="0" collapsed="false">
      <c r="A140" s="5" t="s">
        <v>254</v>
      </c>
      <c r="B140" s="5" t="n">
        <v>222</v>
      </c>
      <c r="C140" s="5" t="n">
        <v>194</v>
      </c>
      <c r="D140" s="5" t="s">
        <v>42</v>
      </c>
      <c r="E140" s="5" t="s">
        <v>34</v>
      </c>
      <c r="F140" s="5" t="s">
        <v>35</v>
      </c>
      <c r="G140" s="5"/>
      <c r="H140" s="5"/>
      <c r="I140" s="6" t="n">
        <v>7316.3</v>
      </c>
      <c r="J140" s="6" t="n">
        <v>13179.6</v>
      </c>
      <c r="K140" s="5" t="str">
        <f aca="false">IF(F140="","",TRIM(F140)&amp;"|"&amp;(SUMPRODUCT((TRIM($F$2:$F$309)=TRIM(F140))*($I$2:$I$309&gt;I140))+1))</f>
        <v>חיים|59</v>
      </c>
      <c r="L140" s="5" t="str">
        <f aca="false">IF(F140="","",TRIM(F140)&amp;"|"&amp;(SUMPRODUCT((TRIM($F$2:$F$309)=TRIM(F140))*($B$2:$B$309&lt;B140))+1))</f>
        <v>חיים|68</v>
      </c>
      <c r="M140" s="5" t="n">
        <f aca="false">IF(F140="","",SUMPRODUCT((TRIM($F$2:$F$309)=TRIM(F140))*($I$2:$I$309&gt;I140))+1)</f>
        <v>59</v>
      </c>
    </row>
    <row r="141" customFormat="false" ht="15" hidden="false" customHeight="false" outlineLevel="0" collapsed="false">
      <c r="A141" s="5" t="s">
        <v>255</v>
      </c>
      <c r="B141" s="5" t="n">
        <v>107</v>
      </c>
      <c r="C141" s="5" t="n">
        <v>88</v>
      </c>
      <c r="D141" s="5" t="s">
        <v>256</v>
      </c>
      <c r="E141" s="5" t="s">
        <v>34</v>
      </c>
      <c r="F141" s="5" t="s">
        <v>35</v>
      </c>
      <c r="G141" s="5"/>
      <c r="H141" s="5"/>
      <c r="I141" s="6" t="n">
        <v>9150.1</v>
      </c>
      <c r="J141" s="6" t="n">
        <v>22163.6</v>
      </c>
      <c r="K141" s="5" t="str">
        <f aca="false">IF(F141="","",TRIM(F141)&amp;"|"&amp;(SUMPRODUCT((TRIM($F$2:$F$309)=TRIM(F141))*($I$2:$I$309&gt;I141))+1))</f>
        <v>חיים|44</v>
      </c>
      <c r="L141" s="5" t="str">
        <f aca="false">IF(F141="","",TRIM(F141)&amp;"|"&amp;(SUMPRODUCT((TRIM($F$2:$F$309)=TRIM(F141))*($B$2:$B$309&lt;B141))+1))</f>
        <v>חיים|36</v>
      </c>
      <c r="M141" s="5" t="n">
        <f aca="false">IF(F141="","",SUMPRODUCT((TRIM($F$2:$F$309)=TRIM(F141))*($I$2:$I$309&gt;I141))+1)</f>
        <v>44</v>
      </c>
    </row>
    <row r="142" customFormat="false" ht="15" hidden="false" customHeight="false" outlineLevel="0" collapsed="false">
      <c r="A142" s="5" t="s">
        <v>257</v>
      </c>
      <c r="B142" s="5" t="n">
        <v>264</v>
      </c>
      <c r="C142" s="5" t="n">
        <v>258</v>
      </c>
      <c r="D142" s="5" t="s">
        <v>258</v>
      </c>
      <c r="E142" s="5" t="s">
        <v>49</v>
      </c>
      <c r="F142" s="5" t="s">
        <v>46</v>
      </c>
      <c r="G142" s="5"/>
      <c r="H142" s="5"/>
      <c r="I142" s="6" t="n">
        <v>3691.4</v>
      </c>
      <c r="J142" s="6" t="n">
        <v>14059.2</v>
      </c>
      <c r="K142" s="5" t="str">
        <f aca="false">IF(F142="","",TRIM(F142)&amp;"|"&amp;(SUMPRODUCT((TRIM($F$2:$F$309)=TRIM(F142))*($I$2:$I$309&gt;I142))+1))</f>
        <v>חדש|65</v>
      </c>
      <c r="L142" s="5" t="str">
        <f aca="false">IF(F142="","",TRIM(F142)&amp;"|"&amp;(SUMPRODUCT((TRIM($F$2:$F$309)=TRIM(F142))*($B$2:$B$309&lt;B142))+1))</f>
        <v>חדש|67</v>
      </c>
      <c r="M142" s="5" t="n">
        <f aca="false">IF(F142="","",SUMPRODUCT((TRIM($F$2:$F$309)=TRIM(F142))*($I$2:$I$309&gt;I142))+1)</f>
        <v>65</v>
      </c>
    </row>
    <row r="143" customFormat="false" ht="15" hidden="false" customHeight="false" outlineLevel="0" collapsed="false">
      <c r="A143" s="5" t="s">
        <v>259</v>
      </c>
      <c r="B143" s="5" t="n">
        <v>292</v>
      </c>
      <c r="C143" s="5" t="n">
        <v>275</v>
      </c>
      <c r="D143" s="5" t="s">
        <v>260</v>
      </c>
      <c r="E143" s="5" t="s">
        <v>49</v>
      </c>
      <c r="F143" s="5" t="s">
        <v>46</v>
      </c>
      <c r="G143" s="5"/>
      <c r="H143" s="5"/>
      <c r="I143" s="6" t="n">
        <v>2461.2</v>
      </c>
      <c r="J143" s="6" t="n">
        <v>5550.9</v>
      </c>
      <c r="K143" s="5" t="str">
        <f aca="false">IF(F143="","",TRIM(F143)&amp;"|"&amp;(SUMPRODUCT((TRIM($F$2:$F$309)=TRIM(F143))*($I$2:$I$309&gt;I143))+1))</f>
        <v>חדש|77</v>
      </c>
      <c r="L143" s="5" t="str">
        <f aca="false">IF(F143="","",TRIM(F143)&amp;"|"&amp;(SUMPRODUCT((TRIM($F$2:$F$309)=TRIM(F143))*($B$2:$B$309&lt;B143))+1))</f>
        <v>חדש|81</v>
      </c>
      <c r="M143" s="5" t="n">
        <f aca="false">IF(F143="","",SUMPRODUCT((TRIM($F$2:$F$309)=TRIM(F143))*($I$2:$I$309&gt;I143))+1)</f>
        <v>77</v>
      </c>
    </row>
    <row r="144" customFormat="false" ht="15" hidden="false" customHeight="false" outlineLevel="0" collapsed="false">
      <c r="A144" s="5" t="s">
        <v>261</v>
      </c>
      <c r="B144" s="5" t="n">
        <v>225</v>
      </c>
      <c r="C144" s="5" t="n">
        <v>190</v>
      </c>
      <c r="D144" s="5" t="s">
        <v>262</v>
      </c>
      <c r="E144" s="5" t="s">
        <v>49</v>
      </c>
      <c r="F144" s="5" t="s">
        <v>46</v>
      </c>
      <c r="G144" s="5"/>
      <c r="H144" s="5"/>
      <c r="I144" s="6" t="n">
        <v>3225.6</v>
      </c>
      <c r="J144" s="6" t="n">
        <v>7878.1</v>
      </c>
      <c r="K144" s="5" t="str">
        <f aca="false">IF(F144="","",TRIM(F144)&amp;"|"&amp;(SUMPRODUCT((TRIM($F$2:$F$309)=TRIM(F144))*($I$2:$I$309&gt;I144))+1))</f>
        <v>חדש|69</v>
      </c>
      <c r="L144" s="5" t="str">
        <f aca="false">IF(F144="","",TRIM(F144)&amp;"|"&amp;(SUMPRODUCT((TRIM($F$2:$F$309)=TRIM(F144))*($B$2:$B$309&lt;B144))+1))</f>
        <v>חדש|52</v>
      </c>
      <c r="M144" s="5" t="n">
        <f aca="false">IF(F144="","",SUMPRODUCT((TRIM($F$2:$F$309)=TRIM(F144))*($I$2:$I$309&gt;I144))+1)</f>
        <v>69</v>
      </c>
    </row>
    <row r="145" customFormat="false" ht="15" hidden="false" customHeight="false" outlineLevel="0" collapsed="false">
      <c r="A145" s="5" t="s">
        <v>263</v>
      </c>
      <c r="B145" s="5" t="n">
        <v>240</v>
      </c>
      <c r="C145" s="5" t="n">
        <v>220</v>
      </c>
      <c r="D145" s="5" t="s">
        <v>256</v>
      </c>
      <c r="E145" s="5" t="s">
        <v>34</v>
      </c>
      <c r="F145" s="5" t="s">
        <v>35</v>
      </c>
      <c r="G145" s="5"/>
      <c r="H145" s="5"/>
      <c r="I145" s="6" t="n">
        <v>4964.5</v>
      </c>
      <c r="J145" s="6" t="n">
        <v>12046.9</v>
      </c>
      <c r="K145" s="5" t="str">
        <f aca="false">IF(F145="","",TRIM(F145)&amp;"|"&amp;(SUMPRODUCT((TRIM($F$2:$F$309)=TRIM(F145))*($I$2:$I$309&gt;I145))+1))</f>
        <v>חיים|70</v>
      </c>
      <c r="L145" s="5" t="str">
        <f aca="false">IF(F145="","",TRIM(F145)&amp;"|"&amp;(SUMPRODUCT((TRIM($F$2:$F$309)=TRIM(F145))*($B$2:$B$309&lt;B145))+1))</f>
        <v>חיים|70</v>
      </c>
      <c r="M145" s="5" t="n">
        <f aca="false">IF(F145="","",SUMPRODUCT((TRIM($F$2:$F$309)=TRIM(F145))*($I$2:$I$309&gt;I145))+1)</f>
        <v>70</v>
      </c>
    </row>
    <row r="146" customFormat="false" ht="15" hidden="false" customHeight="false" outlineLevel="0" collapsed="false">
      <c r="A146" s="5" t="s">
        <v>264</v>
      </c>
      <c r="B146" s="5" t="n">
        <v>9</v>
      </c>
      <c r="C146" s="5" t="n">
        <v>2</v>
      </c>
      <c r="D146" s="5" t="s">
        <v>265</v>
      </c>
      <c r="E146" s="5" t="s">
        <v>49</v>
      </c>
      <c r="F146" s="5" t="s">
        <v>46</v>
      </c>
      <c r="G146" s="5" t="n">
        <v>1</v>
      </c>
      <c r="H146" s="5"/>
      <c r="I146" s="6" t="n">
        <v>34993.6</v>
      </c>
      <c r="J146" s="6" t="n">
        <v>68657.8</v>
      </c>
      <c r="K146" s="5" t="str">
        <f aca="false">IF(F146="","",TRIM(F146)&amp;"|"&amp;(SUMPRODUCT((TRIM($F$2:$F$309)=TRIM(F146))*($I$2:$I$309&gt;I146))+1))</f>
        <v>חדש|1</v>
      </c>
      <c r="L146" s="5" t="str">
        <f aca="false">IF(F146="","",TRIM(F146)&amp;"|"&amp;(SUMPRODUCT((TRIM($F$2:$F$309)=TRIM(F146))*($B$2:$B$309&lt;B146))+1))</f>
        <v>חדש|1</v>
      </c>
      <c r="M146" s="5" t="n">
        <f aca="false">IF(F146="","",SUMPRODUCT((TRIM($F$2:$F$309)=TRIM(F146))*($I$2:$I$309&gt;I146))+1)</f>
        <v>1</v>
      </c>
    </row>
    <row r="147" customFormat="false" ht="15" hidden="false" customHeight="false" outlineLevel="0" collapsed="false">
      <c r="A147" s="5" t="s">
        <v>266</v>
      </c>
      <c r="B147" s="5" t="n">
        <v>189</v>
      </c>
      <c r="C147" s="5" t="n">
        <v>243</v>
      </c>
      <c r="D147" s="5" t="s">
        <v>117</v>
      </c>
      <c r="E147" s="5" t="s">
        <v>40</v>
      </c>
      <c r="F147" s="5" t="s">
        <v>11</v>
      </c>
      <c r="G147" s="5"/>
      <c r="H147" s="5"/>
      <c r="I147" s="6" t="n">
        <v>7097.5</v>
      </c>
      <c r="J147" s="6" t="n">
        <v>18474.4</v>
      </c>
      <c r="K147" s="5" t="str">
        <f aca="false">IF(F147="","",TRIM(F147)&amp;"|"&amp;(SUMPRODUCT((TRIM($F$2:$F$309)=TRIM(F147))*($I$2:$I$309&gt;I147))+1))</f>
        <v>דודו|50</v>
      </c>
      <c r="L147" s="5" t="str">
        <f aca="false">IF(F147="","",TRIM(F147)&amp;"|"&amp;(SUMPRODUCT((TRIM($F$2:$F$309)=TRIM(F147))*($B$2:$B$309&lt;B147))+1))</f>
        <v>דודו|52</v>
      </c>
      <c r="M147" s="5" t="n">
        <f aca="false">IF(F147="","",SUMPRODUCT((TRIM($F$2:$F$309)=TRIM(F147))*($I$2:$I$309&gt;I147))+1)</f>
        <v>50</v>
      </c>
    </row>
    <row r="148" customFormat="false" ht="15" hidden="false" customHeight="false" outlineLevel="0" collapsed="false">
      <c r="A148" s="5" t="s">
        <v>267</v>
      </c>
      <c r="B148" s="5" t="n">
        <v>149</v>
      </c>
      <c r="C148" s="5" t="n">
        <v>195</v>
      </c>
      <c r="D148" s="5" t="s">
        <v>215</v>
      </c>
      <c r="E148" s="5" t="s">
        <v>49</v>
      </c>
      <c r="F148" s="5" t="s">
        <v>46</v>
      </c>
      <c r="G148" s="5"/>
      <c r="H148" s="5"/>
      <c r="I148" s="6" t="n">
        <v>8240.9</v>
      </c>
      <c r="J148" s="6" t="n">
        <v>16536.7</v>
      </c>
      <c r="K148" s="5" t="str">
        <f aca="false">IF(F148="","",TRIM(F148)&amp;"|"&amp;(SUMPRODUCT((TRIM($F$2:$F$309)=TRIM(F148))*($I$2:$I$309&gt;I148))+1))</f>
        <v>חדש|26</v>
      </c>
      <c r="L148" s="5" t="str">
        <f aca="false">IF(F148="","",TRIM(F148)&amp;"|"&amp;(SUMPRODUCT((TRIM($F$2:$F$309)=TRIM(F148))*($B$2:$B$309&lt;B148))+1))</f>
        <v>חדש|27</v>
      </c>
      <c r="M148" s="5" t="n">
        <f aca="false">IF(F148="","",SUMPRODUCT((TRIM($F$2:$F$309)=TRIM(F148))*($I$2:$I$309&gt;I148))+1)</f>
        <v>26</v>
      </c>
    </row>
    <row r="149" customFormat="false" ht="15" hidden="false" customHeight="false" outlineLevel="0" collapsed="false">
      <c r="A149" s="5" t="s">
        <v>268</v>
      </c>
      <c r="B149" s="5" t="n">
        <v>62</v>
      </c>
      <c r="C149" s="5" t="n">
        <v>52</v>
      </c>
      <c r="D149" s="5" t="s">
        <v>68</v>
      </c>
      <c r="E149" s="5" t="s">
        <v>54</v>
      </c>
      <c r="F149" s="5" t="s">
        <v>59</v>
      </c>
      <c r="G149" s="5" t="n">
        <v>12</v>
      </c>
      <c r="H149" s="5"/>
      <c r="I149" s="6" t="n">
        <v>13300.1</v>
      </c>
      <c r="J149" s="6" t="n">
        <v>24744.6</v>
      </c>
      <c r="K149" s="5" t="str">
        <f aca="false">IF(F149="","",TRIM(F149)&amp;"|"&amp;(SUMPRODUCT((TRIM($F$2:$F$309)=TRIM(F149))*($I$2:$I$309&gt;I149))+1))</f>
        <v>סטאס|13</v>
      </c>
      <c r="L149" s="5" t="str">
        <f aca="false">IF(F149="","",TRIM(F149)&amp;"|"&amp;(SUMPRODUCT((TRIM($F$2:$F$309)=TRIM(F149))*($B$2:$B$309&lt;B149))+1))</f>
        <v>סטאס|11</v>
      </c>
      <c r="M149" s="5" t="n">
        <f aca="false">IF(F149="","",SUMPRODUCT((TRIM($F$2:$F$309)=TRIM(F149))*($I$2:$I$309&gt;I149))+1)</f>
        <v>13</v>
      </c>
    </row>
    <row r="150" customFormat="false" ht="15" hidden="false" customHeight="false" outlineLevel="0" collapsed="false">
      <c r="A150" s="5" t="s">
        <v>269</v>
      </c>
      <c r="B150" s="5" t="n">
        <v>8</v>
      </c>
      <c r="C150" s="5" t="n">
        <v>24</v>
      </c>
      <c r="D150" s="5" t="s">
        <v>70</v>
      </c>
      <c r="E150" s="5" t="s">
        <v>37</v>
      </c>
      <c r="F150" s="5" t="s">
        <v>35</v>
      </c>
      <c r="G150" s="5" t="n">
        <v>9</v>
      </c>
      <c r="H150" s="5"/>
      <c r="I150" s="6" t="n">
        <v>31153.6</v>
      </c>
      <c r="J150" s="6" t="n">
        <v>55216.1</v>
      </c>
      <c r="K150" s="5" t="str">
        <f aca="false">IF(F150="","",TRIM(F150)&amp;"|"&amp;(SUMPRODUCT((TRIM($F$2:$F$309)=TRIM(F150))*($I$2:$I$309&gt;I150))+1))</f>
        <v>חיים|2</v>
      </c>
      <c r="L150" s="5" t="str">
        <f aca="false">IF(F150="","",TRIM(F150)&amp;"|"&amp;(SUMPRODUCT((TRIM($F$2:$F$309)=TRIM(F150))*($B$2:$B$309&lt;B150))+1))</f>
        <v>חיים|3</v>
      </c>
      <c r="M150" s="5" t="n">
        <f aca="false">IF(F150="","",SUMPRODUCT((TRIM($F$2:$F$309)=TRIM(F150))*($I$2:$I$309&gt;I150))+1)</f>
        <v>2</v>
      </c>
    </row>
    <row r="151" customFormat="false" ht="15" hidden="false" customHeight="false" outlineLevel="0" collapsed="false">
      <c r="A151" s="5" t="s">
        <v>270</v>
      </c>
      <c r="B151" s="5" t="n">
        <v>145</v>
      </c>
      <c r="C151" s="5" t="n">
        <v>213</v>
      </c>
      <c r="D151" s="5" t="s">
        <v>156</v>
      </c>
      <c r="E151" s="5" t="s">
        <v>54</v>
      </c>
      <c r="F151" s="5" t="s">
        <v>35</v>
      </c>
      <c r="G151" s="5"/>
      <c r="H151" s="5"/>
      <c r="I151" s="6" t="n">
        <v>7685.8</v>
      </c>
      <c r="J151" s="6" t="n">
        <v>16818.6</v>
      </c>
      <c r="K151" s="5" t="str">
        <f aca="false">IF(F151="","",TRIM(F151)&amp;"|"&amp;(SUMPRODUCT((TRIM($F$2:$F$309)=TRIM(F151))*($I$2:$I$309&gt;I151))+1))</f>
        <v>חיים|56</v>
      </c>
      <c r="L151" s="5" t="str">
        <f aca="false">IF(F151="","",TRIM(F151)&amp;"|"&amp;(SUMPRODUCT((TRIM($F$2:$F$309)=TRIM(F151))*($B$2:$B$309&lt;B151))+1))</f>
        <v>חיים|48</v>
      </c>
      <c r="M151" s="5" t="n">
        <f aca="false">IF(F151="","",SUMPRODUCT((TRIM($F$2:$F$309)=TRIM(F151))*($I$2:$I$309&gt;I151))+1)</f>
        <v>56</v>
      </c>
    </row>
    <row r="152" customFormat="false" ht="15" hidden="false" customHeight="false" outlineLevel="0" collapsed="false">
      <c r="A152" s="5" t="s">
        <v>271</v>
      </c>
      <c r="B152" s="5" t="n">
        <v>93</v>
      </c>
      <c r="C152" s="5" t="n">
        <v>104</v>
      </c>
      <c r="D152" s="5" t="s">
        <v>37</v>
      </c>
      <c r="E152" s="5" t="s">
        <v>37</v>
      </c>
      <c r="F152" s="5" t="s">
        <v>35</v>
      </c>
      <c r="G152" s="5"/>
      <c r="H152" s="5"/>
      <c r="I152" s="6" t="n">
        <v>12271.6</v>
      </c>
      <c r="J152" s="6" t="n">
        <v>29337.2</v>
      </c>
      <c r="K152" s="5" t="str">
        <f aca="false">IF(F152="","",TRIM(F152)&amp;"|"&amp;(SUMPRODUCT((TRIM($F$2:$F$309)=TRIM(F152))*($I$2:$I$309&gt;I152))+1))</f>
        <v>חיים|29</v>
      </c>
      <c r="L152" s="5" t="str">
        <f aca="false">IF(F152="","",TRIM(F152)&amp;"|"&amp;(SUMPRODUCT((TRIM($F$2:$F$309)=TRIM(F152))*($B$2:$B$309&lt;B152))+1))</f>
        <v>חיים|29</v>
      </c>
      <c r="M152" s="5" t="n">
        <f aca="false">IF(F152="","",SUMPRODUCT((TRIM($F$2:$F$309)=TRIM(F152))*($I$2:$I$309&gt;I152))+1)</f>
        <v>29</v>
      </c>
    </row>
    <row r="153" customFormat="false" ht="15" hidden="false" customHeight="false" outlineLevel="0" collapsed="false">
      <c r="A153" s="5" t="s">
        <v>272</v>
      </c>
      <c r="B153" s="5" t="n">
        <v>147</v>
      </c>
      <c r="C153" s="5" t="n">
        <v>184</v>
      </c>
      <c r="D153" s="5" t="s">
        <v>70</v>
      </c>
      <c r="E153" s="5" t="s">
        <v>37</v>
      </c>
      <c r="F153" s="5" t="s">
        <v>35</v>
      </c>
      <c r="G153" s="5"/>
      <c r="H153" s="5"/>
      <c r="I153" s="6" t="n">
        <v>8114.3</v>
      </c>
      <c r="J153" s="6" t="n">
        <v>28386</v>
      </c>
      <c r="K153" s="5" t="str">
        <f aca="false">IF(F153="","",TRIM(F153)&amp;"|"&amp;(SUMPRODUCT((TRIM($F$2:$F$309)=TRIM(F153))*($I$2:$I$309&gt;I153))+1))</f>
        <v>חיים|54</v>
      </c>
      <c r="L153" s="5" t="str">
        <f aca="false">IF(F153="","",TRIM(F153)&amp;"|"&amp;(SUMPRODUCT((TRIM($F$2:$F$309)=TRIM(F153))*($B$2:$B$309&lt;B153))+1))</f>
        <v>חיים|49</v>
      </c>
      <c r="M153" s="5" t="n">
        <f aca="false">IF(F153="","",SUMPRODUCT((TRIM($F$2:$F$309)=TRIM(F153))*($I$2:$I$309&gt;I153))+1)</f>
        <v>54</v>
      </c>
    </row>
    <row r="154" customFormat="false" ht="15" hidden="false" customHeight="false" outlineLevel="0" collapsed="false">
      <c r="A154" s="5" t="s">
        <v>273</v>
      </c>
      <c r="B154" s="5" t="n">
        <v>130</v>
      </c>
      <c r="C154" s="5" t="n">
        <v>84</v>
      </c>
      <c r="D154" s="5" t="s">
        <v>94</v>
      </c>
      <c r="E154" s="5" t="s">
        <v>54</v>
      </c>
      <c r="F154" s="5" t="s">
        <v>59</v>
      </c>
      <c r="G154" s="5" t="n">
        <v>19</v>
      </c>
      <c r="H154" s="5"/>
      <c r="I154" s="6" t="n">
        <v>7506.2</v>
      </c>
      <c r="J154" s="6" t="n">
        <v>20746.9</v>
      </c>
      <c r="K154" s="5" t="str">
        <f aca="false">IF(F154="","",TRIM(F154)&amp;"|"&amp;(SUMPRODUCT((TRIM($F$2:$F$309)=TRIM(F154))*($I$2:$I$309&gt;I154))+1))</f>
        <v>סטאס|35</v>
      </c>
      <c r="L154" s="5" t="str">
        <f aca="false">IF(F154="","",TRIM(F154)&amp;"|"&amp;(SUMPRODUCT((TRIM($F$2:$F$309)=TRIM(F154))*($B$2:$B$309&lt;B154))+1))</f>
        <v>סטאס|26</v>
      </c>
      <c r="M154" s="5" t="n">
        <f aca="false">IF(F154="","",SUMPRODUCT((TRIM($F$2:$F$309)=TRIM(F154))*($I$2:$I$309&gt;I154))+1)</f>
        <v>35</v>
      </c>
    </row>
    <row r="155" customFormat="false" ht="15" hidden="false" customHeight="false" outlineLevel="0" collapsed="false">
      <c r="A155" s="5" t="s">
        <v>274</v>
      </c>
      <c r="B155" s="5" t="n">
        <v>202</v>
      </c>
      <c r="C155" s="5" t="n">
        <v>238</v>
      </c>
      <c r="D155" s="5" t="s">
        <v>119</v>
      </c>
      <c r="E155" s="5" t="s">
        <v>49</v>
      </c>
      <c r="F155" s="5" t="s">
        <v>46</v>
      </c>
      <c r="G155" s="5"/>
      <c r="H155" s="5"/>
      <c r="I155" s="6" t="n">
        <v>6074.4</v>
      </c>
      <c r="J155" s="6" t="n">
        <v>12991.9</v>
      </c>
      <c r="K155" s="5" t="str">
        <f aca="false">IF(F155="","",TRIM(F155)&amp;"|"&amp;(SUMPRODUCT((TRIM($F$2:$F$309)=TRIM(F155))*($I$2:$I$309&gt;I155))+1))</f>
        <v>חדש|40</v>
      </c>
      <c r="L155" s="5" t="str">
        <f aca="false">IF(F155="","",TRIM(F155)&amp;"|"&amp;(SUMPRODUCT((TRIM($F$2:$F$309)=TRIM(F155))*($B$2:$B$309&lt;B155))+1))</f>
        <v>חדש|46</v>
      </c>
      <c r="M155" s="5" t="n">
        <f aca="false">IF(F155="","",SUMPRODUCT((TRIM($F$2:$F$309)=TRIM(F155))*($I$2:$I$309&gt;I155))+1)</f>
        <v>40</v>
      </c>
    </row>
    <row r="156" customFormat="false" ht="15" hidden="false" customHeight="false" outlineLevel="0" collapsed="false">
      <c r="A156" s="5" t="s">
        <v>275</v>
      </c>
      <c r="B156" s="5" t="n">
        <v>163</v>
      </c>
      <c r="C156" s="5" t="n">
        <v>215</v>
      </c>
      <c r="D156" s="5" t="s">
        <v>61</v>
      </c>
      <c r="E156" s="5" t="s">
        <v>54</v>
      </c>
      <c r="F156" s="5" t="s">
        <v>59</v>
      </c>
      <c r="G156" s="5"/>
      <c r="H156" s="5"/>
      <c r="I156" s="6" t="n">
        <v>10470.8</v>
      </c>
      <c r="J156" s="6" t="n">
        <v>18868.1</v>
      </c>
      <c r="K156" s="5" t="str">
        <f aca="false">IF(F156="","",TRIM(F156)&amp;"|"&amp;(SUMPRODUCT((TRIM($F$2:$F$309)=TRIM(F156))*($I$2:$I$309&gt;I156))+1))</f>
        <v>סטאס|21</v>
      </c>
      <c r="L156" s="5" t="str">
        <f aca="false">IF(F156="","",TRIM(F156)&amp;"|"&amp;(SUMPRODUCT((TRIM($F$2:$F$309)=TRIM(F156))*($B$2:$B$309&lt;B156))+1))</f>
        <v>סטאס|34</v>
      </c>
      <c r="M156" s="5" t="n">
        <f aca="false">IF(F156="","",SUMPRODUCT((TRIM($F$2:$F$309)=TRIM(F156))*($I$2:$I$309&gt;I156))+1)</f>
        <v>21</v>
      </c>
    </row>
    <row r="157" customFormat="false" ht="15" hidden="false" customHeight="false" outlineLevel="0" collapsed="false">
      <c r="A157" s="5" t="s">
        <v>276</v>
      </c>
      <c r="B157" s="5" t="n">
        <v>141</v>
      </c>
      <c r="C157" s="5" t="n">
        <v>105</v>
      </c>
      <c r="D157" s="5" t="s">
        <v>37</v>
      </c>
      <c r="E157" s="5" t="s">
        <v>37</v>
      </c>
      <c r="F157" s="5" t="s">
        <v>35</v>
      </c>
      <c r="G157" s="5"/>
      <c r="H157" s="5"/>
      <c r="I157" s="6" t="n">
        <v>8628.3</v>
      </c>
      <c r="J157" s="6" t="n">
        <v>23282.2</v>
      </c>
      <c r="K157" s="5" t="str">
        <f aca="false">IF(F157="","",TRIM(F157)&amp;"|"&amp;(SUMPRODUCT((TRIM($F$2:$F$309)=TRIM(F157))*($I$2:$I$309&gt;I157))+1))</f>
        <v>חיים|48</v>
      </c>
      <c r="L157" s="5" t="str">
        <f aca="false">IF(F157="","",TRIM(F157)&amp;"|"&amp;(SUMPRODUCT((TRIM($F$2:$F$309)=TRIM(F157))*($B$2:$B$309&lt;B157))+1))</f>
        <v>חיים|45</v>
      </c>
      <c r="M157" s="5" t="n">
        <f aca="false">IF(F157="","",SUMPRODUCT((TRIM($F$2:$F$309)=TRIM(F157))*($I$2:$I$309&gt;I157))+1)</f>
        <v>48</v>
      </c>
    </row>
    <row r="158" customFormat="false" ht="15" hidden="false" customHeight="false" outlineLevel="0" collapsed="false">
      <c r="A158" s="5" t="s">
        <v>277</v>
      </c>
      <c r="B158" s="5" t="n">
        <v>249</v>
      </c>
      <c r="C158" s="5" t="n">
        <v>205</v>
      </c>
      <c r="D158" s="5" t="s">
        <v>70</v>
      </c>
      <c r="E158" s="5" t="s">
        <v>37</v>
      </c>
      <c r="F158" s="5" t="s">
        <v>35</v>
      </c>
      <c r="G158" s="5"/>
      <c r="H158" s="5"/>
      <c r="I158" s="6" t="n">
        <v>1963.9</v>
      </c>
      <c r="J158" s="6" t="n">
        <v>13990.1</v>
      </c>
      <c r="K158" s="5" t="str">
        <f aca="false">IF(F158="","",TRIM(F158)&amp;"|"&amp;(SUMPRODUCT((TRIM($F$2:$F$309)=TRIM(F158))*($I$2:$I$309&gt;I158))+1))</f>
        <v>חיים|82</v>
      </c>
      <c r="L158" s="5" t="str">
        <f aca="false">IF(F158="","",TRIM(F158)&amp;"|"&amp;(SUMPRODUCT((TRIM($F$2:$F$309)=TRIM(F158))*($B$2:$B$309&lt;B158))+1))</f>
        <v>חיים|72</v>
      </c>
      <c r="M158" s="5" t="n">
        <f aca="false">IF(F158="","",SUMPRODUCT((TRIM($F$2:$F$309)=TRIM(F158))*($I$2:$I$309&gt;I158))+1)</f>
        <v>82</v>
      </c>
    </row>
    <row r="159" customFormat="false" ht="15" hidden="false" customHeight="false" outlineLevel="0" collapsed="false">
      <c r="A159" s="5" t="s">
        <v>278</v>
      </c>
      <c r="B159" s="5" t="n">
        <v>212</v>
      </c>
      <c r="C159" s="5" t="n">
        <v>300</v>
      </c>
      <c r="D159" s="5"/>
      <c r="E159" s="5"/>
      <c r="F159" s="5"/>
      <c r="G159" s="5"/>
      <c r="H159" s="5"/>
      <c r="I159" s="6" t="n">
        <v>-11496</v>
      </c>
      <c r="J159" s="6" t="n">
        <v>59871.6</v>
      </c>
      <c r="K159" s="5" t="str">
        <f aca="false">IF(F159="","",TRIM(F159)&amp;"|"&amp;(SUMPRODUCT((TRIM($F$2:$F$309)=TRIM(F159))*($I$2:$I$309&gt;I159))+1))</f>
        <v/>
      </c>
      <c r="L159" s="5" t="str">
        <f aca="false">IF(F159="","",TRIM(F159)&amp;"|"&amp;(SUMPRODUCT((TRIM($F$2:$F$309)=TRIM(F159))*($B$2:$B$309&lt;B159))+1))</f>
        <v/>
      </c>
      <c r="M159" s="5" t="str">
        <f aca="false">IF(F159="","",SUMPRODUCT((TRIM($F$2:$F$309)=TRIM(F159))*($I$2:$I$309&gt;I159))+1)</f>
        <v/>
      </c>
    </row>
    <row r="160" customFormat="false" ht="15" hidden="false" customHeight="false" outlineLevel="0" collapsed="false">
      <c r="A160" s="5" t="s">
        <v>279</v>
      </c>
      <c r="B160" s="5" t="n">
        <v>14</v>
      </c>
      <c r="C160" s="5" t="n">
        <v>39</v>
      </c>
      <c r="D160" s="5" t="s">
        <v>280</v>
      </c>
      <c r="E160" s="5" t="s">
        <v>72</v>
      </c>
      <c r="F160" s="5" t="s">
        <v>11</v>
      </c>
      <c r="G160" s="5" t="n">
        <v>12</v>
      </c>
      <c r="H160" s="5"/>
      <c r="I160" s="6" t="n">
        <v>31106.1</v>
      </c>
      <c r="J160" s="6" t="n">
        <v>51666.7</v>
      </c>
      <c r="K160" s="5" t="str">
        <f aca="false">IF(F160="","",TRIM(F160)&amp;"|"&amp;(SUMPRODUCT((TRIM($F$2:$F$309)=TRIM(F160))*($I$2:$I$309&gt;I160))+1))</f>
        <v>דודו|5</v>
      </c>
      <c r="L160" s="5" t="str">
        <f aca="false">IF(F160="","",TRIM(F160)&amp;"|"&amp;(SUMPRODUCT((TRIM($F$2:$F$309)=TRIM(F160))*($B$2:$B$309&lt;B160))+1))</f>
        <v>דודו|6</v>
      </c>
      <c r="M160" s="5" t="n">
        <f aca="false">IF(F160="","",SUMPRODUCT((TRIM($F$2:$F$309)=TRIM(F160))*($I$2:$I$309&gt;I160))+1)</f>
        <v>5</v>
      </c>
    </row>
    <row r="161" customFormat="false" ht="15" hidden="false" customHeight="false" outlineLevel="0" collapsed="false">
      <c r="A161" s="5" t="s">
        <v>281</v>
      </c>
      <c r="B161" s="5" t="n">
        <v>60</v>
      </c>
      <c r="C161" s="5" t="n">
        <v>77</v>
      </c>
      <c r="D161" s="5" t="s">
        <v>280</v>
      </c>
      <c r="E161" s="5" t="s">
        <v>72</v>
      </c>
      <c r="F161" s="5" t="s">
        <v>11</v>
      </c>
      <c r="G161" s="5"/>
      <c r="H161" s="5"/>
      <c r="I161" s="6" t="n">
        <v>19057.1</v>
      </c>
      <c r="J161" s="6" t="n">
        <v>37677.9</v>
      </c>
      <c r="K161" s="5" t="str">
        <f aca="false">IF(F161="","",TRIM(F161)&amp;"|"&amp;(SUMPRODUCT((TRIM($F$2:$F$309)=TRIM(F161))*($I$2:$I$309&gt;I161))+1))</f>
        <v>דודו|18</v>
      </c>
      <c r="L161" s="5" t="str">
        <f aca="false">IF(F161="","",TRIM(F161)&amp;"|"&amp;(SUMPRODUCT((TRIM($F$2:$F$309)=TRIM(F161))*($B$2:$B$309&lt;B161))+1))</f>
        <v>דודו|23</v>
      </c>
      <c r="M161" s="5" t="n">
        <f aca="false">IF(F161="","",SUMPRODUCT((TRIM($F$2:$F$309)=TRIM(F161))*($I$2:$I$309&gt;I161))+1)</f>
        <v>18</v>
      </c>
    </row>
    <row r="162" customFormat="false" ht="15" hidden="false" customHeight="false" outlineLevel="0" collapsed="false">
      <c r="A162" s="5" t="s">
        <v>282</v>
      </c>
      <c r="B162" s="5" t="n">
        <v>173</v>
      </c>
      <c r="C162" s="5" t="n">
        <v>121</v>
      </c>
      <c r="D162" s="5" t="s">
        <v>283</v>
      </c>
      <c r="E162" s="5" t="s">
        <v>49</v>
      </c>
      <c r="F162" s="5" t="s">
        <v>46</v>
      </c>
      <c r="G162" s="5" t="n">
        <v>19</v>
      </c>
      <c r="H162" s="5"/>
      <c r="I162" s="6" t="n">
        <v>2869.8</v>
      </c>
      <c r="J162" s="6" t="n">
        <v>19279.9</v>
      </c>
      <c r="K162" s="5" t="str">
        <f aca="false">IF(F162="","",TRIM(F162)&amp;"|"&amp;(SUMPRODUCT((TRIM($F$2:$F$309)=TRIM(F162))*($I$2:$I$309&gt;I162))+1))</f>
        <v>חדש|74</v>
      </c>
      <c r="L162" s="5" t="str">
        <f aca="false">IF(F162="","",TRIM(F162)&amp;"|"&amp;(SUMPRODUCT((TRIM($F$2:$F$309)=TRIM(F162))*($B$2:$B$309&lt;B162))+1))</f>
        <v>חדש|34</v>
      </c>
      <c r="M162" s="5" t="n">
        <f aca="false">IF(F162="","",SUMPRODUCT((TRIM($F$2:$F$309)=TRIM(F162))*($I$2:$I$309&gt;I162))+1)</f>
        <v>74</v>
      </c>
    </row>
    <row r="163" customFormat="false" ht="15" hidden="false" customHeight="false" outlineLevel="0" collapsed="false">
      <c r="A163" s="5" t="s">
        <v>284</v>
      </c>
      <c r="B163" s="5" t="n">
        <v>113</v>
      </c>
      <c r="C163" s="5" t="n">
        <v>80</v>
      </c>
      <c r="D163" s="5" t="s">
        <v>213</v>
      </c>
      <c r="E163" s="5" t="s">
        <v>49</v>
      </c>
      <c r="F163" s="5" t="s">
        <v>46</v>
      </c>
      <c r="G163" s="5" t="n">
        <v>11</v>
      </c>
      <c r="H163" s="5"/>
      <c r="I163" s="6" t="n">
        <v>8588.3</v>
      </c>
      <c r="J163" s="6" t="n">
        <v>14437.7</v>
      </c>
      <c r="K163" s="5" t="str">
        <f aca="false">IF(F163="","",TRIM(F163)&amp;"|"&amp;(SUMPRODUCT((TRIM($F$2:$F$309)=TRIM(F163))*($I$2:$I$309&gt;I163))+1))</f>
        <v>חדש|25</v>
      </c>
      <c r="L163" s="5" t="str">
        <f aca="false">IF(F163="","",TRIM(F163)&amp;"|"&amp;(SUMPRODUCT((TRIM($F$2:$F$309)=TRIM(F163))*($B$2:$B$309&lt;B163))+1))</f>
        <v>חדש|18</v>
      </c>
      <c r="M163" s="5" t="n">
        <f aca="false">IF(F163="","",SUMPRODUCT((TRIM($F$2:$F$309)=TRIM(F163))*($I$2:$I$309&gt;I163))+1)</f>
        <v>25</v>
      </c>
    </row>
    <row r="164" customFormat="false" ht="15" hidden="false" customHeight="false" outlineLevel="0" collapsed="false">
      <c r="A164" s="5" t="s">
        <v>285</v>
      </c>
      <c r="B164" s="5" t="n">
        <v>57</v>
      </c>
      <c r="C164" s="5" t="n">
        <v>101</v>
      </c>
      <c r="D164" s="5" t="s">
        <v>103</v>
      </c>
      <c r="E164" s="5" t="s">
        <v>49</v>
      </c>
      <c r="F164" s="5" t="s">
        <v>46</v>
      </c>
      <c r="G164" s="5" t="n">
        <v>14</v>
      </c>
      <c r="H164" s="5"/>
      <c r="I164" s="6" t="n">
        <v>13634.8</v>
      </c>
      <c r="J164" s="6" t="n">
        <v>23768.6</v>
      </c>
      <c r="K164" s="5" t="str">
        <f aca="false">IF(F164="","",TRIM(F164)&amp;"|"&amp;(SUMPRODUCT((TRIM($F$2:$F$309)=TRIM(F164))*($I$2:$I$309&gt;I164))+1))</f>
        <v>חדש|5</v>
      </c>
      <c r="L164" s="5" t="str">
        <f aca="false">IF(F164="","",TRIM(F164)&amp;"|"&amp;(SUMPRODUCT((TRIM($F$2:$F$309)=TRIM(F164))*($B$2:$B$309&lt;B164))+1))</f>
        <v>חדש|8</v>
      </c>
      <c r="M164" s="5" t="n">
        <f aca="false">IF(F164="","",SUMPRODUCT((TRIM($F$2:$F$309)=TRIM(F164))*($I$2:$I$309&gt;I164))+1)</f>
        <v>5</v>
      </c>
    </row>
    <row r="165" customFormat="false" ht="15" hidden="false" customHeight="false" outlineLevel="0" collapsed="false">
      <c r="A165" s="5" t="s">
        <v>286</v>
      </c>
      <c r="B165" s="5" t="n">
        <v>110</v>
      </c>
      <c r="C165" s="5" t="n">
        <v>148</v>
      </c>
      <c r="D165" s="5" t="s">
        <v>287</v>
      </c>
      <c r="E165" s="5" t="s">
        <v>54</v>
      </c>
      <c r="F165" s="5" t="s">
        <v>35</v>
      </c>
      <c r="G165" s="5"/>
      <c r="H165" s="5"/>
      <c r="I165" s="6" t="n">
        <v>12849.6</v>
      </c>
      <c r="J165" s="6" t="n">
        <v>26963.8</v>
      </c>
      <c r="K165" s="5" t="str">
        <f aca="false">IF(F165="","",TRIM(F165)&amp;"|"&amp;(SUMPRODUCT((TRIM($F$2:$F$309)=TRIM(F165))*($I$2:$I$309&gt;I165))+1))</f>
        <v>חיים|24</v>
      </c>
      <c r="L165" s="5" t="str">
        <f aca="false">IF(F165="","",TRIM(F165)&amp;"|"&amp;(SUMPRODUCT((TRIM($F$2:$F$309)=TRIM(F165))*($B$2:$B$309&lt;B165))+1))</f>
        <v>חיים|37</v>
      </c>
      <c r="M165" s="5" t="n">
        <f aca="false">IF(F165="","",SUMPRODUCT((TRIM($F$2:$F$309)=TRIM(F165))*($I$2:$I$309&gt;I165))+1)</f>
        <v>24</v>
      </c>
    </row>
    <row r="166" customFormat="false" ht="15" hidden="false" customHeight="false" outlineLevel="0" collapsed="false">
      <c r="A166" s="5" t="s">
        <v>288</v>
      </c>
      <c r="B166" s="5" t="n">
        <v>298</v>
      </c>
      <c r="C166" s="5" t="n">
        <v>288</v>
      </c>
      <c r="D166" s="5" t="s">
        <v>280</v>
      </c>
      <c r="E166" s="5" t="s">
        <v>72</v>
      </c>
      <c r="F166" s="5" t="s">
        <v>11</v>
      </c>
      <c r="G166" s="5"/>
      <c r="H166" s="5"/>
      <c r="I166" s="6" t="n">
        <v>2907.8</v>
      </c>
      <c r="J166" s="6" t="n">
        <v>6815</v>
      </c>
      <c r="K166" s="5" t="str">
        <f aca="false">IF(F166="","",TRIM(F166)&amp;"|"&amp;(SUMPRODUCT((TRIM($F$2:$F$309)=TRIM(F166))*($I$2:$I$309&gt;I166))+1))</f>
        <v>דודו|64</v>
      </c>
      <c r="L166" s="5" t="str">
        <f aca="false">IF(F166="","",TRIM(F166)&amp;"|"&amp;(SUMPRODUCT((TRIM($F$2:$F$309)=TRIM(F166))*($B$2:$B$309&lt;B166))+1))</f>
        <v>דודו|67</v>
      </c>
      <c r="M166" s="5" t="n">
        <f aca="false">IF(F166="","",SUMPRODUCT((TRIM($F$2:$F$309)=TRIM(F166))*($I$2:$I$309&gt;I166))+1)</f>
        <v>64</v>
      </c>
    </row>
    <row r="167" customFormat="false" ht="15" hidden="false" customHeight="false" outlineLevel="0" collapsed="false">
      <c r="A167" s="5" t="s">
        <v>289</v>
      </c>
      <c r="B167" s="5" t="n">
        <v>181</v>
      </c>
      <c r="C167" s="5" t="n">
        <v>160</v>
      </c>
      <c r="D167" s="5" t="s">
        <v>77</v>
      </c>
      <c r="E167" s="5" t="s">
        <v>54</v>
      </c>
      <c r="F167" s="5" t="s">
        <v>11</v>
      </c>
      <c r="G167" s="5"/>
      <c r="H167" s="5"/>
      <c r="I167" s="6" t="n">
        <v>10901.1</v>
      </c>
      <c r="J167" s="6" t="n">
        <v>22230.3</v>
      </c>
      <c r="K167" s="5" t="str">
        <f aca="false">IF(F167="","",TRIM(F167)&amp;"|"&amp;(SUMPRODUCT((TRIM($F$2:$F$309)=TRIM(F167))*($I$2:$I$309&gt;I167))+1))</f>
        <v>דודו|39</v>
      </c>
      <c r="L167" s="5" t="str">
        <f aca="false">IF(F167="","",TRIM(F167)&amp;"|"&amp;(SUMPRODUCT((TRIM($F$2:$F$309)=TRIM(F167))*($B$2:$B$309&lt;B167))+1))</f>
        <v>דודו|49</v>
      </c>
      <c r="M167" s="5" t="n">
        <f aca="false">IF(F167="","",SUMPRODUCT((TRIM($F$2:$F$309)=TRIM(F167))*($I$2:$I$309&gt;I167))+1)</f>
        <v>39</v>
      </c>
    </row>
    <row r="168" customFormat="false" ht="15" hidden="false" customHeight="false" outlineLevel="0" collapsed="false">
      <c r="A168" s="5" t="s">
        <v>290</v>
      </c>
      <c r="B168" s="5" t="n">
        <v>85</v>
      </c>
      <c r="C168" s="5" t="n">
        <v>126</v>
      </c>
      <c r="D168" s="5" t="s">
        <v>72</v>
      </c>
      <c r="E168" s="5" t="s">
        <v>72</v>
      </c>
      <c r="F168" s="5" t="s">
        <v>11</v>
      </c>
      <c r="G168" s="5"/>
      <c r="H168" s="5"/>
      <c r="I168" s="6" t="n">
        <v>14054.4</v>
      </c>
      <c r="J168" s="6" t="n">
        <v>29037.3</v>
      </c>
      <c r="K168" s="5" t="str">
        <f aca="false">IF(F168="","",TRIM(F168)&amp;"|"&amp;(SUMPRODUCT((TRIM($F$2:$F$309)=TRIM(F168))*($I$2:$I$309&gt;I168))+1))</f>
        <v>דודו|26</v>
      </c>
      <c r="L168" s="5" t="str">
        <f aca="false">IF(F168="","",TRIM(F168)&amp;"|"&amp;(SUMPRODUCT((TRIM($F$2:$F$309)=TRIM(F168))*($B$2:$B$309&lt;B168))+1))</f>
        <v>דודו|33</v>
      </c>
      <c r="M168" s="5" t="n">
        <f aca="false">IF(F168="","",SUMPRODUCT((TRIM($F$2:$F$309)=TRIM(F168))*($I$2:$I$309&gt;I168))+1)</f>
        <v>26</v>
      </c>
    </row>
    <row r="169" customFormat="false" ht="15" hidden="false" customHeight="false" outlineLevel="0" collapsed="false">
      <c r="A169" s="5" t="s">
        <v>291</v>
      </c>
      <c r="B169" s="5" t="n">
        <v>66</v>
      </c>
      <c r="C169" s="5" t="n">
        <v>99</v>
      </c>
      <c r="D169" s="5" t="s">
        <v>72</v>
      </c>
      <c r="E169" s="5" t="s">
        <v>72</v>
      </c>
      <c r="F169" s="5" t="s">
        <v>11</v>
      </c>
      <c r="G169" s="5"/>
      <c r="H169" s="5"/>
      <c r="I169" s="6" t="n">
        <v>17541.3</v>
      </c>
      <c r="J169" s="6" t="n">
        <v>28284.4</v>
      </c>
      <c r="K169" s="5" t="str">
        <f aca="false">IF(F169="","",TRIM(F169)&amp;"|"&amp;(SUMPRODUCT((TRIM($F$2:$F$309)=TRIM(F169))*($I$2:$I$309&gt;I169))+1))</f>
        <v>דודו|22</v>
      </c>
      <c r="L169" s="5" t="str">
        <f aca="false">IF(F169="","",TRIM(F169)&amp;"|"&amp;(SUMPRODUCT((TRIM($F$2:$F$309)=TRIM(F169))*($B$2:$B$309&lt;B169))+1))</f>
        <v>דודו|26</v>
      </c>
      <c r="M169" s="5" t="n">
        <f aca="false">IF(F169="","",SUMPRODUCT((TRIM($F$2:$F$309)=TRIM(F169))*($I$2:$I$309&gt;I169))+1)</f>
        <v>22</v>
      </c>
    </row>
    <row r="170" customFormat="false" ht="15" hidden="false" customHeight="false" outlineLevel="0" collapsed="false">
      <c r="A170" s="5" t="s">
        <v>292</v>
      </c>
      <c r="B170" s="5" t="n">
        <v>168</v>
      </c>
      <c r="C170" s="5" t="n">
        <v>165</v>
      </c>
      <c r="D170" s="5" t="s">
        <v>293</v>
      </c>
      <c r="E170" s="5" t="s">
        <v>49</v>
      </c>
      <c r="F170" s="5" t="s">
        <v>46</v>
      </c>
      <c r="G170" s="5"/>
      <c r="H170" s="5"/>
      <c r="I170" s="6" t="n">
        <v>6641.7</v>
      </c>
      <c r="J170" s="6" t="n">
        <v>12592.1</v>
      </c>
      <c r="K170" s="5" t="str">
        <f aca="false">IF(F170="","",TRIM(F170)&amp;"|"&amp;(SUMPRODUCT((TRIM($F$2:$F$309)=TRIM(F170))*($I$2:$I$309&gt;I170))+1))</f>
        <v>חדש|36</v>
      </c>
      <c r="L170" s="5" t="str">
        <f aca="false">IF(F170="","",TRIM(F170)&amp;"|"&amp;(SUMPRODUCT((TRIM($F$2:$F$309)=TRIM(F170))*($B$2:$B$309&lt;B170))+1))</f>
        <v>חדש|32</v>
      </c>
      <c r="M170" s="5" t="n">
        <f aca="false">IF(F170="","",SUMPRODUCT((TRIM($F$2:$F$309)=TRIM(F170))*($I$2:$I$309&gt;I170))+1)</f>
        <v>36</v>
      </c>
    </row>
    <row r="171" customFormat="false" ht="15" hidden="false" customHeight="false" outlineLevel="0" collapsed="false">
      <c r="A171" s="5" t="s">
        <v>294</v>
      </c>
      <c r="B171" s="5" t="n">
        <v>250</v>
      </c>
      <c r="C171" s="5" t="n">
        <v>259</v>
      </c>
      <c r="D171" s="5" t="s">
        <v>295</v>
      </c>
      <c r="E171" s="5" t="s">
        <v>54</v>
      </c>
      <c r="F171" s="5" t="s">
        <v>59</v>
      </c>
      <c r="G171" s="5"/>
      <c r="H171" s="5"/>
      <c r="I171" s="6" t="n">
        <v>4472.9</v>
      </c>
      <c r="J171" s="6" t="n">
        <v>10436.8</v>
      </c>
      <c r="K171" s="5" t="str">
        <f aca="false">IF(F171="","",TRIM(F171)&amp;"|"&amp;(SUMPRODUCT((TRIM($F$2:$F$309)=TRIM(F171))*($I$2:$I$309&gt;I171))+1))</f>
        <v>סטאס|52</v>
      </c>
      <c r="L171" s="5" t="str">
        <f aca="false">IF(F171="","",TRIM(F171)&amp;"|"&amp;(SUMPRODUCT((TRIM($F$2:$F$309)=TRIM(F171))*($B$2:$B$309&lt;B171))+1))</f>
        <v>סטאס|53</v>
      </c>
      <c r="M171" s="5" t="n">
        <f aca="false">IF(F171="","",SUMPRODUCT((TRIM($F$2:$F$309)=TRIM(F171))*($I$2:$I$309&gt;I171))+1)</f>
        <v>52</v>
      </c>
    </row>
    <row r="172" customFormat="false" ht="15" hidden="false" customHeight="false" outlineLevel="0" collapsed="false">
      <c r="A172" s="5" t="s">
        <v>296</v>
      </c>
      <c r="B172" s="5" t="n">
        <v>89</v>
      </c>
      <c r="C172" s="5" t="n">
        <v>15</v>
      </c>
      <c r="D172" s="5" t="s">
        <v>61</v>
      </c>
      <c r="E172" s="5" t="s">
        <v>54</v>
      </c>
      <c r="F172" s="5" t="s">
        <v>59</v>
      </c>
      <c r="G172" s="5" t="n">
        <v>4</v>
      </c>
      <c r="H172" s="5"/>
      <c r="I172" s="6" t="n">
        <v>9878.4</v>
      </c>
      <c r="J172" s="6" t="n">
        <v>22163.2</v>
      </c>
      <c r="K172" s="5" t="str">
        <f aca="false">IF(F172="","",TRIM(F172)&amp;"|"&amp;(SUMPRODUCT((TRIM($F$2:$F$309)=TRIM(F172))*($I$2:$I$309&gt;I172))+1))</f>
        <v>סטאס|24</v>
      </c>
      <c r="L172" s="5" t="str">
        <f aca="false">IF(F172="","",TRIM(F172)&amp;"|"&amp;(SUMPRODUCT((TRIM($F$2:$F$309)=TRIM(F172))*($B$2:$B$309&lt;B172))+1))</f>
        <v>סטאס|16</v>
      </c>
      <c r="M172" s="5" t="n">
        <f aca="false">IF(F172="","",SUMPRODUCT((TRIM($F$2:$F$309)=TRIM(F172))*($I$2:$I$309&gt;I172))+1)</f>
        <v>24</v>
      </c>
    </row>
    <row r="173" customFormat="false" ht="15" hidden="false" customHeight="false" outlineLevel="0" collapsed="false">
      <c r="A173" s="5" t="s">
        <v>297</v>
      </c>
      <c r="B173" s="5" t="n">
        <v>195</v>
      </c>
      <c r="C173" s="5" t="n">
        <v>250</v>
      </c>
      <c r="D173" s="5" t="s">
        <v>148</v>
      </c>
      <c r="E173" s="5" t="s">
        <v>54</v>
      </c>
      <c r="F173" s="5" t="s">
        <v>35</v>
      </c>
      <c r="G173" s="5"/>
      <c r="H173" s="5"/>
      <c r="I173" s="6" t="n">
        <v>11678.9</v>
      </c>
      <c r="J173" s="6" t="n">
        <v>16747.8</v>
      </c>
      <c r="K173" s="5" t="str">
        <f aca="false">IF(F173="","",TRIM(F173)&amp;"|"&amp;(SUMPRODUCT((TRIM($F$2:$F$309)=TRIM(F173))*($I$2:$I$309&gt;I173))+1))</f>
        <v>חיים|30</v>
      </c>
      <c r="L173" s="5" t="str">
        <f aca="false">IF(F173="","",TRIM(F173)&amp;"|"&amp;(SUMPRODUCT((TRIM($F$2:$F$309)=TRIM(F173))*($B$2:$B$309&lt;B173))+1))</f>
        <v>חיים|61</v>
      </c>
      <c r="M173" s="5" t="n">
        <f aca="false">IF(F173="","",SUMPRODUCT((TRIM($F$2:$F$309)=TRIM(F173))*($I$2:$I$309&gt;I173))+1)</f>
        <v>30</v>
      </c>
    </row>
    <row r="174" customFormat="false" ht="15" hidden="false" customHeight="false" outlineLevel="0" collapsed="false">
      <c r="A174" s="5" t="s">
        <v>298</v>
      </c>
      <c r="B174" s="5" t="n">
        <v>77</v>
      </c>
      <c r="C174" s="5" t="n">
        <v>102</v>
      </c>
      <c r="D174" s="5" t="s">
        <v>39</v>
      </c>
      <c r="E174" s="5" t="s">
        <v>40</v>
      </c>
      <c r="F174" s="5" t="s">
        <v>11</v>
      </c>
      <c r="G174" s="5"/>
      <c r="H174" s="5"/>
      <c r="I174" s="6" t="n">
        <v>12396.5</v>
      </c>
      <c r="J174" s="6" t="n">
        <v>24221.5</v>
      </c>
      <c r="K174" s="5" t="str">
        <f aca="false">IF(F174="","",TRIM(F174)&amp;"|"&amp;(SUMPRODUCT((TRIM($F$2:$F$309)=TRIM(F174))*($I$2:$I$309&gt;I174))+1))</f>
        <v>דודו|34</v>
      </c>
      <c r="L174" s="5" t="str">
        <f aca="false">IF(F174="","",TRIM(F174)&amp;"|"&amp;(SUMPRODUCT((TRIM($F$2:$F$309)=TRIM(F174))*($B$2:$B$309&lt;B174))+1))</f>
        <v>דודו|31</v>
      </c>
      <c r="M174" s="5" t="n">
        <f aca="false">IF(F174="","",SUMPRODUCT((TRIM($F$2:$F$309)=TRIM(F174))*($I$2:$I$309&gt;I174))+1)</f>
        <v>34</v>
      </c>
    </row>
    <row r="175" customFormat="false" ht="15" hidden="false" customHeight="false" outlineLevel="0" collapsed="false">
      <c r="A175" s="5" t="s">
        <v>299</v>
      </c>
      <c r="B175" s="5" t="n">
        <v>224</v>
      </c>
      <c r="C175" s="5" t="n">
        <v>174</v>
      </c>
      <c r="D175" s="5" t="s">
        <v>130</v>
      </c>
      <c r="E175" s="5" t="s">
        <v>54</v>
      </c>
      <c r="F175" s="5" t="s">
        <v>11</v>
      </c>
      <c r="G175" s="5"/>
      <c r="H175" s="5"/>
      <c r="I175" s="6" t="n">
        <v>5815.8</v>
      </c>
      <c r="J175" s="6" t="n">
        <v>12988</v>
      </c>
      <c r="K175" s="5" t="str">
        <f aca="false">IF(F175="","",TRIM(F175)&amp;"|"&amp;(SUMPRODUCT((TRIM($F$2:$F$309)=TRIM(F175))*($I$2:$I$309&gt;I175))+1))</f>
        <v>דודו|55</v>
      </c>
      <c r="L175" s="5" t="str">
        <f aca="false">IF(F175="","",TRIM(F175)&amp;"|"&amp;(SUMPRODUCT((TRIM($F$2:$F$309)=TRIM(F175))*($B$2:$B$309&lt;B175))+1))</f>
        <v>דודו|56</v>
      </c>
      <c r="M175" s="5" t="n">
        <f aca="false">IF(F175="","",SUMPRODUCT((TRIM($F$2:$F$309)=TRIM(F175))*($I$2:$I$309&gt;I175))+1)</f>
        <v>55</v>
      </c>
    </row>
    <row r="176" customFormat="false" ht="15" hidden="false" customHeight="false" outlineLevel="0" collapsed="false">
      <c r="A176" s="5" t="s">
        <v>300</v>
      </c>
      <c r="B176" s="5" t="n">
        <v>42</v>
      </c>
      <c r="C176" s="5" t="n">
        <v>41</v>
      </c>
      <c r="D176" s="5" t="s">
        <v>111</v>
      </c>
      <c r="E176" s="5" t="s">
        <v>40</v>
      </c>
      <c r="F176" s="5" t="s">
        <v>59</v>
      </c>
      <c r="G176" s="5" t="n">
        <v>8</v>
      </c>
      <c r="H176" s="5"/>
      <c r="I176" s="6" t="n">
        <v>11827.5</v>
      </c>
      <c r="J176" s="6" t="n">
        <v>28219.1</v>
      </c>
      <c r="K176" s="5" t="str">
        <f aca="false">IF(F176="","",TRIM(F176)&amp;"|"&amp;(SUMPRODUCT((TRIM($F$2:$F$309)=TRIM(F176))*($I$2:$I$309&gt;I176))+1))</f>
        <v>סטאס|16</v>
      </c>
      <c r="L176" s="5" t="str">
        <f aca="false">IF(F176="","",TRIM(F176)&amp;"|"&amp;(SUMPRODUCT((TRIM($F$2:$F$309)=TRIM(F176))*($B$2:$B$309&lt;B176))+1))</f>
        <v>סטאס|6</v>
      </c>
      <c r="M176" s="5" t="n">
        <f aca="false">IF(F176="","",SUMPRODUCT((TRIM($F$2:$F$309)=TRIM(F176))*($I$2:$I$309&gt;I176))+1)</f>
        <v>16</v>
      </c>
    </row>
    <row r="177" customFormat="false" ht="15" hidden="false" customHeight="false" outlineLevel="0" collapsed="false">
      <c r="A177" s="5" t="s">
        <v>301</v>
      </c>
      <c r="B177" s="5" t="n">
        <v>272</v>
      </c>
      <c r="C177" s="5" t="n">
        <v>249</v>
      </c>
      <c r="D177" s="5" t="s">
        <v>302</v>
      </c>
      <c r="E177" s="5" t="s">
        <v>54</v>
      </c>
      <c r="F177" s="5" t="s">
        <v>59</v>
      </c>
      <c r="G177" s="5"/>
      <c r="H177" s="5"/>
      <c r="I177" s="6" t="n">
        <v>1539.2</v>
      </c>
      <c r="J177" s="6" t="n">
        <v>7396.8</v>
      </c>
      <c r="K177" s="5" t="str">
        <f aca="false">IF(F177="","",TRIM(F177)&amp;"|"&amp;(SUMPRODUCT((TRIM($F$2:$F$309)=TRIM(F177))*($I$2:$I$309&gt;I177))+1))</f>
        <v>סטאס|66</v>
      </c>
      <c r="L177" s="5" t="str">
        <f aca="false">IF(F177="","",TRIM(F177)&amp;"|"&amp;(SUMPRODUCT((TRIM($F$2:$F$309)=TRIM(F177))*($B$2:$B$309&lt;B177))+1))</f>
        <v>סטאס|58</v>
      </c>
      <c r="M177" s="5" t="n">
        <f aca="false">IF(F177="","",SUMPRODUCT((TRIM($F$2:$F$309)=TRIM(F177))*($I$2:$I$309&gt;I177))+1)</f>
        <v>66</v>
      </c>
    </row>
    <row r="178" customFormat="false" ht="15" hidden="false" customHeight="false" outlineLevel="0" collapsed="false">
      <c r="A178" s="5" t="s">
        <v>303</v>
      </c>
      <c r="B178" s="5" t="n">
        <v>243</v>
      </c>
      <c r="C178" s="5" t="n">
        <v>257</v>
      </c>
      <c r="D178" s="5" t="s">
        <v>156</v>
      </c>
      <c r="E178" s="5" t="s">
        <v>54</v>
      </c>
      <c r="F178" s="5" t="s">
        <v>35</v>
      </c>
      <c r="G178" s="5"/>
      <c r="H178" s="5"/>
      <c r="I178" s="6" t="n">
        <v>3760.4</v>
      </c>
      <c r="J178" s="6" t="n">
        <v>10267.8</v>
      </c>
      <c r="K178" s="5" t="str">
        <f aca="false">IF(F178="","",TRIM(F178)&amp;"|"&amp;(SUMPRODUCT((TRIM($F$2:$F$309)=TRIM(F178))*($I$2:$I$309&gt;I178))+1))</f>
        <v>חיים|73</v>
      </c>
      <c r="L178" s="5" t="str">
        <f aca="false">IF(F178="","",TRIM(F178)&amp;"|"&amp;(SUMPRODUCT((TRIM($F$2:$F$309)=TRIM(F178))*($B$2:$B$309&lt;B178))+1))</f>
        <v>חיים|71</v>
      </c>
      <c r="M178" s="5" t="n">
        <f aca="false">IF(F178="","",SUMPRODUCT((TRIM($F$2:$F$309)=TRIM(F178))*($I$2:$I$309&gt;I178))+1)</f>
        <v>73</v>
      </c>
    </row>
    <row r="179" customFormat="false" ht="15" hidden="false" customHeight="false" outlineLevel="0" collapsed="false">
      <c r="A179" s="5" t="s">
        <v>304</v>
      </c>
      <c r="B179" s="5" t="n">
        <v>82</v>
      </c>
      <c r="C179" s="5" t="n">
        <v>51</v>
      </c>
      <c r="D179" s="5" t="s">
        <v>305</v>
      </c>
      <c r="E179" s="5" t="s">
        <v>49</v>
      </c>
      <c r="F179" s="5" t="s">
        <v>46</v>
      </c>
      <c r="G179" s="5" t="n">
        <v>8</v>
      </c>
      <c r="H179" s="5"/>
      <c r="I179" s="6" t="n">
        <v>8662.6</v>
      </c>
      <c r="J179" s="6" t="n">
        <v>24785.8</v>
      </c>
      <c r="K179" s="5" t="str">
        <f aca="false">IF(F179="","",TRIM(F179)&amp;"|"&amp;(SUMPRODUCT((TRIM($F$2:$F$309)=TRIM(F179))*($I$2:$I$309&gt;I179))+1))</f>
        <v>חדש|23</v>
      </c>
      <c r="L179" s="5" t="str">
        <f aca="false">IF(F179="","",TRIM(F179)&amp;"|"&amp;(SUMPRODUCT((TRIM($F$2:$F$309)=TRIM(F179))*($B$2:$B$309&lt;B179))+1))</f>
        <v>חדש|10</v>
      </c>
      <c r="M179" s="5" t="n">
        <f aca="false">IF(F179="","",SUMPRODUCT((TRIM($F$2:$F$309)=TRIM(F179))*($I$2:$I$309&gt;I179))+1)</f>
        <v>23</v>
      </c>
    </row>
    <row r="180" customFormat="false" ht="15" hidden="false" customHeight="false" outlineLevel="0" collapsed="false">
      <c r="A180" s="5" t="s">
        <v>306</v>
      </c>
      <c r="B180" s="5" t="n">
        <v>133</v>
      </c>
      <c r="C180" s="5" t="n">
        <v>57</v>
      </c>
      <c r="D180" s="5" t="s">
        <v>307</v>
      </c>
      <c r="E180" s="5" t="s">
        <v>49</v>
      </c>
      <c r="F180" s="5" t="s">
        <v>46</v>
      </c>
      <c r="G180" s="5" t="n">
        <v>9</v>
      </c>
      <c r="H180" s="5"/>
      <c r="I180" s="6" t="n">
        <v>6828.2</v>
      </c>
      <c r="J180" s="6" t="n">
        <v>22135.3</v>
      </c>
      <c r="K180" s="5" t="str">
        <f aca="false">IF(F180="","",TRIM(F180)&amp;"|"&amp;(SUMPRODUCT((TRIM($F$2:$F$309)=TRIM(F180))*($I$2:$I$309&gt;I180))+1))</f>
        <v>חדש|34</v>
      </c>
      <c r="L180" s="5" t="str">
        <f aca="false">IF(F180="","",TRIM(F180)&amp;"|"&amp;(SUMPRODUCT((TRIM($F$2:$F$309)=TRIM(F180))*($B$2:$B$309&lt;B180))+1))</f>
        <v>חדש|24</v>
      </c>
      <c r="M180" s="5" t="n">
        <f aca="false">IF(F180="","",SUMPRODUCT((TRIM($F$2:$F$309)=TRIM(F180))*($I$2:$I$309&gt;I180))+1)</f>
        <v>34</v>
      </c>
    </row>
    <row r="181" customFormat="false" ht="15" hidden="false" customHeight="false" outlineLevel="0" collapsed="false">
      <c r="A181" s="5" t="s">
        <v>308</v>
      </c>
      <c r="B181" s="5" t="n">
        <v>273</v>
      </c>
      <c r="C181" s="5" t="n">
        <v>270</v>
      </c>
      <c r="D181" s="5" t="s">
        <v>156</v>
      </c>
      <c r="E181" s="5" t="s">
        <v>54</v>
      </c>
      <c r="F181" s="5" t="s">
        <v>35</v>
      </c>
      <c r="G181" s="5"/>
      <c r="H181" s="5"/>
      <c r="I181" s="6" t="n">
        <v>2082.9</v>
      </c>
      <c r="J181" s="6" t="n">
        <v>9178.6</v>
      </c>
      <c r="K181" s="5" t="str">
        <f aca="false">IF(F181="","",TRIM(F181)&amp;"|"&amp;(SUMPRODUCT((TRIM($F$2:$F$309)=TRIM(F181))*($I$2:$I$309&gt;I181))+1))</f>
        <v>חיים|81</v>
      </c>
      <c r="L181" s="5" t="str">
        <f aca="false">IF(F181="","",TRIM(F181)&amp;"|"&amp;(SUMPRODUCT((TRIM($F$2:$F$309)=TRIM(F181))*($B$2:$B$309&lt;B181))+1))</f>
        <v>חיים|81</v>
      </c>
      <c r="M181" s="5" t="n">
        <f aca="false">IF(F181="","",SUMPRODUCT((TRIM($F$2:$F$309)=TRIM(F181))*($I$2:$I$309&gt;I181))+1)</f>
        <v>81</v>
      </c>
    </row>
    <row r="182" customFormat="false" ht="15" hidden="false" customHeight="false" outlineLevel="0" collapsed="false">
      <c r="A182" s="5" t="s">
        <v>309</v>
      </c>
      <c r="B182" s="5" t="n">
        <v>128</v>
      </c>
      <c r="C182" s="5" t="n">
        <v>98</v>
      </c>
      <c r="D182" s="5" t="s">
        <v>111</v>
      </c>
      <c r="E182" s="5" t="s">
        <v>40</v>
      </c>
      <c r="F182" s="5" t="s">
        <v>59</v>
      </c>
      <c r="G182" s="5"/>
      <c r="H182" s="5"/>
      <c r="I182" s="6" t="n">
        <v>5947.8</v>
      </c>
      <c r="J182" s="6" t="n">
        <v>22226.6</v>
      </c>
      <c r="K182" s="5" t="str">
        <f aca="false">IF(F182="","",TRIM(F182)&amp;"|"&amp;(SUMPRODUCT((TRIM($F$2:$F$309)=TRIM(F182))*($I$2:$I$309&gt;I182))+1))</f>
        <v>סטאס|46</v>
      </c>
      <c r="L182" s="5" t="str">
        <f aca="false">IF(F182="","",TRIM(F182)&amp;"|"&amp;(SUMPRODUCT((TRIM($F$2:$F$309)=TRIM(F182))*($B$2:$B$309&lt;B182))+1))</f>
        <v>סטאס|25</v>
      </c>
      <c r="M182" s="5" t="n">
        <f aca="false">IF(F182="","",SUMPRODUCT((TRIM($F$2:$F$309)=TRIM(F182))*($I$2:$I$309&gt;I182))+1)</f>
        <v>46</v>
      </c>
    </row>
    <row r="183" customFormat="false" ht="15" hidden="false" customHeight="false" outlineLevel="0" collapsed="false">
      <c r="A183" s="5" t="s">
        <v>310</v>
      </c>
      <c r="B183" s="5" t="n">
        <v>176</v>
      </c>
      <c r="C183" s="5" t="n">
        <v>89</v>
      </c>
      <c r="D183" s="5" t="s">
        <v>311</v>
      </c>
      <c r="E183" s="5" t="s">
        <v>54</v>
      </c>
      <c r="F183" s="5" t="s">
        <v>35</v>
      </c>
      <c r="G183" s="5"/>
      <c r="H183" s="5"/>
      <c r="I183" s="6" t="n">
        <v>7094.3</v>
      </c>
      <c r="J183" s="6" t="n">
        <v>15864.1</v>
      </c>
      <c r="K183" s="5" t="str">
        <f aca="false">IF(F183="","",TRIM(F183)&amp;"|"&amp;(SUMPRODUCT((TRIM($F$2:$F$309)=TRIM(F183))*($I$2:$I$309&gt;I183))+1))</f>
        <v>חיים|62</v>
      </c>
      <c r="L183" s="5" t="str">
        <f aca="false">IF(F183="","",TRIM(F183)&amp;"|"&amp;(SUMPRODUCT((TRIM($F$2:$F$309)=TRIM(F183))*($B$2:$B$309&lt;B183))+1))</f>
        <v>חיים|56</v>
      </c>
      <c r="M183" s="5" t="n">
        <f aca="false">IF(F183="","",SUMPRODUCT((TRIM($F$2:$F$309)=TRIM(F183))*($I$2:$I$309&gt;I183))+1)</f>
        <v>62</v>
      </c>
    </row>
    <row r="184" customFormat="false" ht="15" hidden="false" customHeight="false" outlineLevel="0" collapsed="false">
      <c r="A184" s="5" t="s">
        <v>312</v>
      </c>
      <c r="B184" s="5" t="n">
        <v>125</v>
      </c>
      <c r="C184" s="5" t="n">
        <v>127</v>
      </c>
      <c r="D184" s="5" t="s">
        <v>44</v>
      </c>
      <c r="E184" s="5" t="s">
        <v>45</v>
      </c>
      <c r="F184" s="5" t="s">
        <v>46</v>
      </c>
      <c r="G184" s="5"/>
      <c r="H184" s="5"/>
      <c r="I184" s="6" t="n">
        <v>9284.9</v>
      </c>
      <c r="J184" s="6" t="n">
        <v>18589.8</v>
      </c>
      <c r="K184" s="5" t="str">
        <f aca="false">IF(F184="","",TRIM(F184)&amp;"|"&amp;(SUMPRODUCT((TRIM($F$2:$F$309)=TRIM(F184))*($I$2:$I$309&gt;I184))+1))</f>
        <v>חדש|20</v>
      </c>
      <c r="L184" s="5" t="str">
        <f aca="false">IF(F184="","",TRIM(F184)&amp;"|"&amp;(SUMPRODUCT((TRIM($F$2:$F$309)=TRIM(F184))*($B$2:$B$309&lt;B184))+1))</f>
        <v>חדש|20</v>
      </c>
      <c r="M184" s="5" t="n">
        <f aca="false">IF(F184="","",SUMPRODUCT((TRIM($F$2:$F$309)=TRIM(F184))*($I$2:$I$309&gt;I184))+1)</f>
        <v>20</v>
      </c>
    </row>
    <row r="185" customFormat="false" ht="15" hidden="false" customHeight="false" outlineLevel="0" collapsed="false">
      <c r="A185" s="5" t="s">
        <v>313</v>
      </c>
      <c r="B185" s="5" t="n">
        <v>65</v>
      </c>
      <c r="C185" s="5" t="n">
        <v>29</v>
      </c>
      <c r="D185" s="5" t="s">
        <v>98</v>
      </c>
      <c r="E185" s="5" t="s">
        <v>49</v>
      </c>
      <c r="F185" s="5" t="s">
        <v>46</v>
      </c>
      <c r="G185" s="5" t="n">
        <v>5</v>
      </c>
      <c r="H185" s="5"/>
      <c r="I185" s="6" t="n">
        <v>11409.4</v>
      </c>
      <c r="J185" s="6" t="n">
        <v>26552.2</v>
      </c>
      <c r="K185" s="5" t="str">
        <f aca="false">IF(F185="","",TRIM(F185)&amp;"|"&amp;(SUMPRODUCT((TRIM($F$2:$F$309)=TRIM(F185))*($I$2:$I$309&gt;I185))+1))</f>
        <v>חדש|14</v>
      </c>
      <c r="L185" s="5" t="str">
        <f aca="false">IF(F185="","",TRIM(F185)&amp;"|"&amp;(SUMPRODUCT((TRIM($F$2:$F$309)=TRIM(F185))*($B$2:$B$309&lt;B185))+1))</f>
        <v>חדש|9</v>
      </c>
      <c r="M185" s="5" t="n">
        <f aca="false">IF(F185="","",SUMPRODUCT((TRIM($F$2:$F$309)=TRIM(F185))*($I$2:$I$309&gt;I185))+1)</f>
        <v>14</v>
      </c>
    </row>
    <row r="186" customFormat="false" ht="15" hidden="false" customHeight="false" outlineLevel="0" collapsed="false">
      <c r="A186" s="5" t="s">
        <v>314</v>
      </c>
      <c r="B186" s="5" t="n">
        <v>182</v>
      </c>
      <c r="C186" s="5" t="n">
        <v>82</v>
      </c>
      <c r="D186" s="5" t="s">
        <v>70</v>
      </c>
      <c r="E186" s="5" t="s">
        <v>37</v>
      </c>
      <c r="F186" s="5" t="s">
        <v>35</v>
      </c>
      <c r="G186" s="5"/>
      <c r="H186" s="5"/>
      <c r="I186" s="6" t="n">
        <v>8219.3</v>
      </c>
      <c r="J186" s="6" t="n">
        <v>19441.4</v>
      </c>
      <c r="K186" s="5" t="str">
        <f aca="false">IF(F186="","",TRIM(F186)&amp;"|"&amp;(SUMPRODUCT((TRIM($F$2:$F$309)=TRIM(F186))*($I$2:$I$309&gt;I186))+1))</f>
        <v>חיים|53</v>
      </c>
      <c r="L186" s="5" t="str">
        <f aca="false">IF(F186="","",TRIM(F186)&amp;"|"&amp;(SUMPRODUCT((TRIM($F$2:$F$309)=TRIM(F186))*($B$2:$B$309&lt;B186))+1))</f>
        <v>חיים|59</v>
      </c>
      <c r="M186" s="5" t="n">
        <f aca="false">IF(F186="","",SUMPRODUCT((TRIM($F$2:$F$309)=TRIM(F186))*($I$2:$I$309&gt;I186))+1)</f>
        <v>53</v>
      </c>
    </row>
    <row r="187" customFormat="false" ht="15" hidden="false" customHeight="false" outlineLevel="0" collapsed="false">
      <c r="A187" s="5" t="s">
        <v>315</v>
      </c>
      <c r="B187" s="5" t="n">
        <v>165</v>
      </c>
      <c r="C187" s="5" t="n">
        <v>147</v>
      </c>
      <c r="D187" s="5" t="s">
        <v>111</v>
      </c>
      <c r="E187" s="5" t="s">
        <v>40</v>
      </c>
      <c r="F187" s="5" t="s">
        <v>59</v>
      </c>
      <c r="G187" s="5"/>
      <c r="H187" s="5"/>
      <c r="I187" s="6" t="n">
        <v>9470.5</v>
      </c>
      <c r="J187" s="6" t="n">
        <v>18362.9</v>
      </c>
      <c r="K187" s="5" t="str">
        <f aca="false">IF(F187="","",TRIM(F187)&amp;"|"&amp;(SUMPRODUCT((TRIM($F$2:$F$309)=TRIM(F187))*($I$2:$I$309&gt;I187))+1))</f>
        <v>סטאס|26</v>
      </c>
      <c r="L187" s="5" t="str">
        <f aca="false">IF(F187="","",TRIM(F187)&amp;"|"&amp;(SUMPRODUCT((TRIM($F$2:$F$309)=TRIM(F187))*($B$2:$B$309&lt;B187))+1))</f>
        <v>סטאס|35</v>
      </c>
      <c r="M187" s="5" t="n">
        <f aca="false">IF(F187="","",SUMPRODUCT((TRIM($F$2:$F$309)=TRIM(F187))*($I$2:$I$309&gt;I187))+1)</f>
        <v>26</v>
      </c>
    </row>
    <row r="188" customFormat="false" ht="15" hidden="false" customHeight="false" outlineLevel="0" collapsed="false">
      <c r="A188" s="5" t="s">
        <v>316</v>
      </c>
      <c r="B188" s="5" t="n">
        <v>43</v>
      </c>
      <c r="C188" s="5" t="n">
        <v>69</v>
      </c>
      <c r="D188" s="5" t="s">
        <v>132</v>
      </c>
      <c r="E188" s="5" t="s">
        <v>72</v>
      </c>
      <c r="F188" s="5" t="s">
        <v>11</v>
      </c>
      <c r="G188" s="5"/>
      <c r="H188" s="5"/>
      <c r="I188" s="6" t="n">
        <v>22141.7</v>
      </c>
      <c r="J188" s="6" t="n">
        <v>42012.2</v>
      </c>
      <c r="K188" s="5" t="str">
        <f aca="false">IF(F188="","",TRIM(F188)&amp;"|"&amp;(SUMPRODUCT((TRIM($F$2:$F$309)=TRIM(F188))*($I$2:$I$309&gt;I188))+1))</f>
        <v>דודו|11</v>
      </c>
      <c r="L188" s="5" t="str">
        <f aca="false">IF(F188="","",TRIM(F188)&amp;"|"&amp;(SUMPRODUCT((TRIM($F$2:$F$309)=TRIM(F188))*($B$2:$B$309&lt;B188))+1))</f>
        <v>דודו|18</v>
      </c>
      <c r="M188" s="5" t="n">
        <f aca="false">IF(F188="","",SUMPRODUCT((TRIM($F$2:$F$309)=TRIM(F188))*($I$2:$I$309&gt;I188))+1)</f>
        <v>11</v>
      </c>
    </row>
    <row r="189" customFormat="false" ht="15" hidden="false" customHeight="false" outlineLevel="0" collapsed="false">
      <c r="A189" s="5" t="s">
        <v>317</v>
      </c>
      <c r="B189" s="5" t="n">
        <v>262</v>
      </c>
      <c r="C189" s="5" t="n">
        <v>267</v>
      </c>
      <c r="D189" s="5" t="s">
        <v>70</v>
      </c>
      <c r="E189" s="5" t="s">
        <v>37</v>
      </c>
      <c r="F189" s="5" t="s">
        <v>35</v>
      </c>
      <c r="G189" s="5"/>
      <c r="H189" s="5"/>
      <c r="I189" s="6" t="n">
        <v>4017</v>
      </c>
      <c r="J189" s="6" t="n">
        <v>12606.9</v>
      </c>
      <c r="K189" s="5" t="str">
        <f aca="false">IF(F189="","",TRIM(F189)&amp;"|"&amp;(SUMPRODUCT((TRIM($F$2:$F$309)=TRIM(F189))*($I$2:$I$309&gt;I189))+1))</f>
        <v>חיים|72</v>
      </c>
      <c r="L189" s="5" t="str">
        <f aca="false">IF(F189="","",TRIM(F189)&amp;"|"&amp;(SUMPRODUCT((TRIM($F$2:$F$309)=TRIM(F189))*($B$2:$B$309&lt;B189))+1))</f>
        <v>חיים|77</v>
      </c>
      <c r="M189" s="5" t="n">
        <f aca="false">IF(F189="","",SUMPRODUCT((TRIM($F$2:$F$309)=TRIM(F189))*($I$2:$I$309&gt;I189))+1)</f>
        <v>72</v>
      </c>
    </row>
    <row r="190" customFormat="false" ht="15" hidden="false" customHeight="false" outlineLevel="0" collapsed="false">
      <c r="A190" s="5" t="s">
        <v>318</v>
      </c>
      <c r="B190" s="5" t="n">
        <v>31</v>
      </c>
      <c r="C190" s="5" t="n">
        <v>32</v>
      </c>
      <c r="D190" s="5" t="s">
        <v>246</v>
      </c>
      <c r="E190" s="5" t="s">
        <v>54</v>
      </c>
      <c r="F190" s="5" t="s">
        <v>35</v>
      </c>
      <c r="G190" s="5" t="n">
        <v>12</v>
      </c>
      <c r="H190" s="5"/>
      <c r="I190" s="6" t="n">
        <v>17937.3</v>
      </c>
      <c r="J190" s="6" t="n">
        <v>35996</v>
      </c>
      <c r="K190" s="5" t="str">
        <f aca="false">IF(F190="","",TRIM(F190)&amp;"|"&amp;(SUMPRODUCT((TRIM($F$2:$F$309)=TRIM(F190))*($I$2:$I$309&gt;I190))+1))</f>
        <v>חיים|13</v>
      </c>
      <c r="L190" s="5" t="str">
        <f aca="false">IF(F190="","",TRIM(F190)&amp;"|"&amp;(SUMPRODUCT((TRIM($F$2:$F$309)=TRIM(F190))*($B$2:$B$309&lt;B190))+1))</f>
        <v>חיים|8</v>
      </c>
      <c r="M190" s="5" t="n">
        <f aca="false">IF(F190="","",SUMPRODUCT((TRIM($F$2:$F$309)=TRIM(F190))*($I$2:$I$309&gt;I190))+1)</f>
        <v>13</v>
      </c>
    </row>
    <row r="191" customFormat="false" ht="15" hidden="false" customHeight="false" outlineLevel="0" collapsed="false">
      <c r="A191" s="5" t="s">
        <v>319</v>
      </c>
      <c r="B191" s="5" t="n">
        <v>131</v>
      </c>
      <c r="C191" s="5" t="n">
        <v>153</v>
      </c>
      <c r="D191" s="5" t="s">
        <v>98</v>
      </c>
      <c r="E191" s="5" t="s">
        <v>49</v>
      </c>
      <c r="F191" s="5" t="s">
        <v>46</v>
      </c>
      <c r="G191" s="5"/>
      <c r="H191" s="5"/>
      <c r="I191" s="6" t="n">
        <v>6132.5</v>
      </c>
      <c r="J191" s="6" t="n">
        <v>12998.8</v>
      </c>
      <c r="K191" s="5" t="str">
        <f aca="false">IF(F191="","",TRIM(F191)&amp;"|"&amp;(SUMPRODUCT((TRIM($F$2:$F$309)=TRIM(F191))*($I$2:$I$309&gt;I191))+1))</f>
        <v>חדש|38</v>
      </c>
      <c r="L191" s="5" t="str">
        <f aca="false">IF(F191="","",TRIM(F191)&amp;"|"&amp;(SUMPRODUCT((TRIM($F$2:$F$309)=TRIM(F191))*($B$2:$B$309&lt;B191))+1))</f>
        <v>חדש|23</v>
      </c>
      <c r="M191" s="5" t="n">
        <f aca="false">IF(F191="","",SUMPRODUCT((TRIM($F$2:$F$309)=TRIM(F191))*($I$2:$I$309&gt;I191))+1)</f>
        <v>38</v>
      </c>
    </row>
    <row r="192" customFormat="false" ht="15" hidden="false" customHeight="false" outlineLevel="0" collapsed="false">
      <c r="A192" s="5" t="s">
        <v>320</v>
      </c>
      <c r="B192" s="5" t="n">
        <v>209</v>
      </c>
      <c r="C192" s="5" t="n">
        <v>119</v>
      </c>
      <c r="D192" s="5" t="s">
        <v>156</v>
      </c>
      <c r="E192" s="5" t="s">
        <v>54</v>
      </c>
      <c r="F192" s="5" t="s">
        <v>35</v>
      </c>
      <c r="G192" s="5"/>
      <c r="H192" s="5"/>
      <c r="I192" s="6" t="n">
        <v>6528.4</v>
      </c>
      <c r="J192" s="6" t="n">
        <v>12273.7</v>
      </c>
      <c r="K192" s="5" t="str">
        <f aca="false">IF(F192="","",TRIM(F192)&amp;"|"&amp;(SUMPRODUCT((TRIM($F$2:$F$309)=TRIM(F192))*($I$2:$I$309&gt;I192))+1))</f>
        <v>חיים|66</v>
      </c>
      <c r="L192" s="5" t="str">
        <f aca="false">IF(F192="","",TRIM(F192)&amp;"|"&amp;(SUMPRODUCT((TRIM($F$2:$F$309)=TRIM(F192))*($B$2:$B$309&lt;B192))+1))</f>
        <v>חיים|63</v>
      </c>
      <c r="M192" s="5" t="n">
        <f aca="false">IF(F192="","",SUMPRODUCT((TRIM($F$2:$F$309)=TRIM(F192))*($I$2:$I$309&gt;I192))+1)</f>
        <v>66</v>
      </c>
    </row>
    <row r="193" customFormat="false" ht="15" hidden="false" customHeight="false" outlineLevel="0" collapsed="false">
      <c r="A193" s="5" t="s">
        <v>321</v>
      </c>
      <c r="B193" s="5" t="n">
        <v>286</v>
      </c>
      <c r="C193" s="5" t="n">
        <v>266</v>
      </c>
      <c r="D193" s="5" t="s">
        <v>322</v>
      </c>
      <c r="E193" s="5" t="s">
        <v>40</v>
      </c>
      <c r="F193" s="5" t="s">
        <v>11</v>
      </c>
      <c r="G193" s="5"/>
      <c r="H193" s="5"/>
      <c r="I193" s="6" t="n">
        <v>3663</v>
      </c>
      <c r="J193" s="6" t="n">
        <v>9185.3</v>
      </c>
      <c r="K193" s="5" t="str">
        <f aca="false">IF(F193="","",TRIM(F193)&amp;"|"&amp;(SUMPRODUCT((TRIM($F$2:$F$309)=TRIM(F193))*($I$2:$I$309&gt;I193))+1))</f>
        <v>דודו|62</v>
      </c>
      <c r="L193" s="5" t="str">
        <f aca="false">IF(F193="","",TRIM(F193)&amp;"|"&amp;(SUMPRODUCT((TRIM($F$2:$F$309)=TRIM(F193))*($B$2:$B$309&lt;B193))+1))</f>
        <v>דודו|65</v>
      </c>
      <c r="M193" s="5" t="n">
        <f aca="false">IF(F193="","",SUMPRODUCT((TRIM($F$2:$F$309)=TRIM(F193))*($I$2:$I$309&gt;I193))+1)</f>
        <v>62</v>
      </c>
    </row>
    <row r="194" customFormat="false" ht="15" hidden="false" customHeight="false" outlineLevel="0" collapsed="false">
      <c r="A194" s="5" t="s">
        <v>323</v>
      </c>
      <c r="B194" s="5" t="n">
        <v>171</v>
      </c>
      <c r="C194" s="5" t="n">
        <v>214</v>
      </c>
      <c r="D194" s="5" t="s">
        <v>322</v>
      </c>
      <c r="E194" s="5" t="s">
        <v>40</v>
      </c>
      <c r="F194" s="5" t="s">
        <v>11</v>
      </c>
      <c r="G194" s="5"/>
      <c r="H194" s="5"/>
      <c r="I194" s="6" t="n">
        <v>9168.6</v>
      </c>
      <c r="J194" s="6" t="n">
        <v>19476.1</v>
      </c>
      <c r="K194" s="5" t="str">
        <f aca="false">IF(F194="","",TRIM(F194)&amp;"|"&amp;(SUMPRODUCT((TRIM($F$2:$F$309)=TRIM(F194))*($I$2:$I$309&gt;I194))+1))</f>
        <v>דודו|44</v>
      </c>
      <c r="L194" s="5" t="str">
        <f aca="false">IF(F194="","",TRIM(F194)&amp;"|"&amp;(SUMPRODUCT((TRIM($F$2:$F$309)=TRIM(F194))*($B$2:$B$309&lt;B194))+1))</f>
        <v>דודו|48</v>
      </c>
      <c r="M194" s="5" t="n">
        <f aca="false">IF(F194="","",SUMPRODUCT((TRIM($F$2:$F$309)=TRIM(F194))*($I$2:$I$309&gt;I194))+1)</f>
        <v>44</v>
      </c>
    </row>
    <row r="195" customFormat="false" ht="15" hidden="false" customHeight="false" outlineLevel="0" collapsed="false">
      <c r="A195" s="5" t="s">
        <v>324</v>
      </c>
      <c r="B195" s="5" t="n">
        <v>69</v>
      </c>
      <c r="C195" s="5" t="n">
        <v>58</v>
      </c>
      <c r="D195" s="5" t="s">
        <v>148</v>
      </c>
      <c r="E195" s="5" t="s">
        <v>54</v>
      </c>
      <c r="F195" s="5" t="s">
        <v>35</v>
      </c>
      <c r="G195" s="5" t="n">
        <v>18</v>
      </c>
      <c r="H195" s="5"/>
      <c r="I195" s="6" t="n">
        <v>10665</v>
      </c>
      <c r="J195" s="6" t="n">
        <v>41380.3</v>
      </c>
      <c r="K195" s="5" t="str">
        <f aca="false">IF(F195="","",TRIM(F195)&amp;"|"&amp;(SUMPRODUCT((TRIM($F$2:$F$309)=TRIM(F195))*($I$2:$I$309&gt;I195))+1))</f>
        <v>חיים|33</v>
      </c>
      <c r="L195" s="5" t="str">
        <f aca="false">IF(F195="","",TRIM(F195)&amp;"|"&amp;(SUMPRODUCT((TRIM($F$2:$F$309)=TRIM(F195))*($B$2:$B$309&lt;B195))+1))</f>
        <v>חיים|21</v>
      </c>
      <c r="M195" s="5" t="n">
        <f aca="false">IF(F195="","",SUMPRODUCT((TRIM($F$2:$F$309)=TRIM(F195))*($I$2:$I$309&gt;I195))+1)</f>
        <v>33</v>
      </c>
    </row>
    <row r="196" customFormat="false" ht="15" hidden="false" customHeight="false" outlineLevel="0" collapsed="false">
      <c r="A196" s="5" t="s">
        <v>325</v>
      </c>
      <c r="B196" s="5" t="n">
        <v>226</v>
      </c>
      <c r="C196" s="5" t="n">
        <v>181</v>
      </c>
      <c r="D196" s="5" t="s">
        <v>305</v>
      </c>
      <c r="E196" s="5" t="s">
        <v>49</v>
      </c>
      <c r="F196" s="5" t="s">
        <v>46</v>
      </c>
      <c r="G196" s="5"/>
      <c r="H196" s="5"/>
      <c r="I196" s="6" t="n">
        <v>4153.7</v>
      </c>
      <c r="J196" s="6" t="n">
        <v>10569.5</v>
      </c>
      <c r="K196" s="5" t="str">
        <f aca="false">IF(F196="","",TRIM(F196)&amp;"|"&amp;(SUMPRODUCT((TRIM($F$2:$F$309)=TRIM(F196))*($I$2:$I$309&gt;I196))+1))</f>
        <v>חדש|60</v>
      </c>
      <c r="L196" s="5" t="str">
        <f aca="false">IF(F196="","",TRIM(F196)&amp;"|"&amp;(SUMPRODUCT((TRIM($F$2:$F$309)=TRIM(F196))*($B$2:$B$309&lt;B196))+1))</f>
        <v>חדש|53</v>
      </c>
      <c r="M196" s="5" t="n">
        <f aca="false">IF(F196="","",SUMPRODUCT((TRIM($F$2:$F$309)=TRIM(F196))*($I$2:$I$309&gt;I196))+1)</f>
        <v>60</v>
      </c>
    </row>
    <row r="197" customFormat="false" ht="15" hidden="false" customHeight="false" outlineLevel="0" collapsed="false">
      <c r="A197" s="5" t="s">
        <v>326</v>
      </c>
      <c r="B197" s="5" t="n">
        <v>276</v>
      </c>
      <c r="C197" s="5" t="n">
        <v>271</v>
      </c>
      <c r="D197" s="5" t="s">
        <v>44</v>
      </c>
      <c r="E197" s="5" t="s">
        <v>45</v>
      </c>
      <c r="F197" s="5" t="s">
        <v>46</v>
      </c>
      <c r="G197" s="5"/>
      <c r="H197" s="5"/>
      <c r="I197" s="6" t="n">
        <v>2909.4</v>
      </c>
      <c r="J197" s="6" t="n">
        <v>8083.7</v>
      </c>
      <c r="K197" s="5" t="str">
        <f aca="false">IF(F197="","",TRIM(F197)&amp;"|"&amp;(SUMPRODUCT((TRIM($F$2:$F$309)=TRIM(F197))*($I$2:$I$309&gt;I197))+1))</f>
        <v>חדש|73</v>
      </c>
      <c r="L197" s="5" t="str">
        <f aca="false">IF(F197="","",TRIM(F197)&amp;"|"&amp;(SUMPRODUCT((TRIM($F$2:$F$309)=TRIM(F197))*($B$2:$B$309&lt;B197))+1))</f>
        <v>חדש|71</v>
      </c>
      <c r="M197" s="5" t="n">
        <f aca="false">IF(F197="","",SUMPRODUCT((TRIM($F$2:$F$309)=TRIM(F197))*($I$2:$I$309&gt;I197))+1)</f>
        <v>73</v>
      </c>
    </row>
    <row r="198" customFormat="false" ht="15" hidden="false" customHeight="false" outlineLevel="0" collapsed="false">
      <c r="A198" s="5" t="s">
        <v>327</v>
      </c>
      <c r="B198" s="5" t="n">
        <v>179</v>
      </c>
      <c r="C198" s="5" t="n">
        <v>237</v>
      </c>
      <c r="D198" s="5" t="s">
        <v>44</v>
      </c>
      <c r="E198" s="5" t="s">
        <v>45</v>
      </c>
      <c r="F198" s="5" t="s">
        <v>46</v>
      </c>
      <c r="G198" s="5"/>
      <c r="H198" s="5"/>
      <c r="I198" s="6" t="n">
        <v>7406.6</v>
      </c>
      <c r="J198" s="6" t="n">
        <v>22307.5</v>
      </c>
      <c r="K198" s="5" t="str">
        <f aca="false">IF(F198="","",TRIM(F198)&amp;"|"&amp;(SUMPRODUCT((TRIM($F$2:$F$309)=TRIM(F198))*($I$2:$I$309&gt;I198))+1))</f>
        <v>חדש|30</v>
      </c>
      <c r="L198" s="5" t="str">
        <f aca="false">IF(F198="","",TRIM(F198)&amp;"|"&amp;(SUMPRODUCT((TRIM($F$2:$F$309)=TRIM(F198))*($B$2:$B$309&lt;B198))+1))</f>
        <v>חדש|37</v>
      </c>
      <c r="M198" s="5" t="n">
        <f aca="false">IF(F198="","",SUMPRODUCT((TRIM($F$2:$F$309)=TRIM(F198))*($I$2:$I$309&gt;I198))+1)</f>
        <v>30</v>
      </c>
    </row>
    <row r="199" customFormat="false" ht="15" hidden="false" customHeight="false" outlineLevel="0" collapsed="false">
      <c r="A199" s="5" t="s">
        <v>328</v>
      </c>
      <c r="B199" s="5" t="n">
        <v>280</v>
      </c>
      <c r="C199" s="5" t="n">
        <v>294</v>
      </c>
      <c r="D199" s="5" t="s">
        <v>44</v>
      </c>
      <c r="E199" s="5" t="s">
        <v>45</v>
      </c>
      <c r="F199" s="5" t="s">
        <v>46</v>
      </c>
      <c r="G199" s="5"/>
      <c r="H199" s="5" t="s">
        <v>329</v>
      </c>
      <c r="I199" s="6" t="n">
        <v>-3933.6</v>
      </c>
      <c r="J199" s="6" t="n">
        <v>13132.1</v>
      </c>
      <c r="K199" s="5" t="str">
        <f aca="false">IF(F199="","",TRIM(F199)&amp;"|"&amp;(SUMPRODUCT((TRIM($F$2:$F$309)=TRIM(F199))*($I$2:$I$309&gt;I199))+1))</f>
        <v>חדש|88</v>
      </c>
      <c r="L199" s="5" t="str">
        <f aca="false">IF(F199="","",TRIM(F199)&amp;"|"&amp;(SUMPRODUCT((TRIM($F$2:$F$309)=TRIM(F199))*($B$2:$B$309&lt;B199))+1))</f>
        <v>חדש|75</v>
      </c>
      <c r="M199" s="5" t="n">
        <f aca="false">IF(F199="","",SUMPRODUCT((TRIM($F$2:$F$309)=TRIM(F199))*($I$2:$I$309&gt;I199))+1)</f>
        <v>88</v>
      </c>
    </row>
    <row r="200" customFormat="false" ht="15" hidden="false" customHeight="false" outlineLevel="0" collapsed="false">
      <c r="A200" s="5" t="s">
        <v>330</v>
      </c>
      <c r="B200" s="5" t="n">
        <v>291</v>
      </c>
      <c r="C200" s="5" t="n">
        <v>279</v>
      </c>
      <c r="D200" s="5" t="s">
        <v>331</v>
      </c>
      <c r="E200" s="5" t="s">
        <v>49</v>
      </c>
      <c r="F200" s="5" t="s">
        <v>46</v>
      </c>
      <c r="G200" s="5"/>
      <c r="H200" s="5"/>
      <c r="I200" s="6" t="n">
        <v>3501.5</v>
      </c>
      <c r="J200" s="6" t="n">
        <v>7479.6</v>
      </c>
      <c r="K200" s="5" t="str">
        <f aca="false">IF(F200="","",TRIM(F200)&amp;"|"&amp;(SUMPRODUCT((TRIM($F$2:$F$309)=TRIM(F200))*($I$2:$I$309&gt;I200))+1))</f>
        <v>חדש|67</v>
      </c>
      <c r="L200" s="5" t="str">
        <f aca="false">IF(F200="","",TRIM(F200)&amp;"|"&amp;(SUMPRODUCT((TRIM($F$2:$F$309)=TRIM(F200))*($B$2:$B$309&lt;B200))+1))</f>
        <v>חדש|80</v>
      </c>
      <c r="M200" s="5" t="n">
        <f aca="false">IF(F200="","",SUMPRODUCT((TRIM($F$2:$F$309)=TRIM(F200))*($I$2:$I$309&gt;I200))+1)</f>
        <v>67</v>
      </c>
    </row>
    <row r="201" customFormat="false" ht="15" hidden="false" customHeight="false" outlineLevel="0" collapsed="false">
      <c r="A201" s="5" t="s">
        <v>332</v>
      </c>
      <c r="B201" s="5" t="n">
        <v>84</v>
      </c>
      <c r="C201" s="5" t="n">
        <v>67</v>
      </c>
      <c r="D201" s="5" t="s">
        <v>77</v>
      </c>
      <c r="E201" s="5" t="s">
        <v>54</v>
      </c>
      <c r="F201" s="5" t="s">
        <v>11</v>
      </c>
      <c r="G201" s="5"/>
      <c r="H201" s="5"/>
      <c r="I201" s="6" t="n">
        <v>11554.9</v>
      </c>
      <c r="J201" s="6" t="n">
        <v>20992.4</v>
      </c>
      <c r="K201" s="5" t="str">
        <f aca="false">IF(F201="","",TRIM(F201)&amp;"|"&amp;(SUMPRODUCT((TRIM($F$2:$F$309)=TRIM(F201))*($I$2:$I$309&gt;I201))+1))</f>
        <v>דודו|36</v>
      </c>
      <c r="L201" s="5" t="str">
        <f aca="false">IF(F201="","",TRIM(F201)&amp;"|"&amp;(SUMPRODUCT((TRIM($F$2:$F$309)=TRIM(F201))*($B$2:$B$309&lt;B201))+1))</f>
        <v>דודו|32</v>
      </c>
      <c r="M201" s="5" t="n">
        <f aca="false">IF(F201="","",SUMPRODUCT((TRIM($F$2:$F$309)=TRIM(F201))*($I$2:$I$309&gt;I201))+1)</f>
        <v>36</v>
      </c>
    </row>
    <row r="202" customFormat="false" ht="15" hidden="false" customHeight="false" outlineLevel="0" collapsed="false">
      <c r="A202" s="5" t="s">
        <v>333</v>
      </c>
      <c r="B202" s="5" t="n">
        <v>283</v>
      </c>
      <c r="C202" s="5" t="n">
        <v>292</v>
      </c>
      <c r="D202" s="5" t="s">
        <v>72</v>
      </c>
      <c r="E202" s="5" t="s">
        <v>72</v>
      </c>
      <c r="F202" s="5" t="s">
        <v>11</v>
      </c>
      <c r="G202" s="5"/>
      <c r="H202" s="5"/>
      <c r="I202" s="6" t="n">
        <v>2637</v>
      </c>
      <c r="J202" s="6" t="n">
        <v>7486.3</v>
      </c>
      <c r="K202" s="5" t="str">
        <f aca="false">IF(F202="","",TRIM(F202)&amp;"|"&amp;(SUMPRODUCT((TRIM($F$2:$F$309)=TRIM(F202))*($I$2:$I$309&gt;I202))+1))</f>
        <v>דודו|66</v>
      </c>
      <c r="L202" s="5" t="str">
        <f aca="false">IF(F202="","",TRIM(F202)&amp;"|"&amp;(SUMPRODUCT((TRIM($F$2:$F$309)=TRIM(F202))*($B$2:$B$309&lt;B202))+1))</f>
        <v>דודו|64</v>
      </c>
      <c r="M202" s="5" t="n">
        <f aca="false">IF(F202="","",SUMPRODUCT((TRIM($F$2:$F$309)=TRIM(F202))*($I$2:$I$309&gt;I202))+1)</f>
        <v>66</v>
      </c>
    </row>
    <row r="203" customFormat="false" ht="15" hidden="false" customHeight="false" outlineLevel="0" collapsed="false">
      <c r="A203" s="5" t="s">
        <v>334</v>
      </c>
      <c r="B203" s="5" t="n">
        <v>296</v>
      </c>
      <c r="C203" s="5" t="n">
        <v>301</v>
      </c>
      <c r="D203" s="5" t="s">
        <v>44</v>
      </c>
      <c r="E203" s="5" t="s">
        <v>45</v>
      </c>
      <c r="F203" s="5" t="s">
        <v>46</v>
      </c>
      <c r="G203" s="5"/>
      <c r="H203" s="5"/>
      <c r="I203" s="6" t="n">
        <v>2746</v>
      </c>
      <c r="J203" s="6" t="n">
        <v>0</v>
      </c>
      <c r="K203" s="5" t="str">
        <f aca="false">IF(F203="","",TRIM(F203)&amp;"|"&amp;(SUMPRODUCT((TRIM($F$2:$F$309)=TRIM(F203))*($I$2:$I$309&gt;I203))+1))</f>
        <v>חדש|75</v>
      </c>
      <c r="L203" s="5" t="str">
        <f aca="false">IF(F203="","",TRIM(F203)&amp;"|"&amp;(SUMPRODUCT((TRIM($F$2:$F$309)=TRIM(F203))*($B$2:$B$309&lt;B203))+1))</f>
        <v>חדש|82</v>
      </c>
      <c r="M203" s="5" t="n">
        <f aca="false">IF(F203="","",SUMPRODUCT((TRIM($F$2:$F$309)=TRIM(F203))*($I$2:$I$309&gt;I203))+1)</f>
        <v>75</v>
      </c>
    </row>
    <row r="204" customFormat="false" ht="15" hidden="false" customHeight="false" outlineLevel="0" collapsed="false">
      <c r="A204" s="5" t="s">
        <v>335</v>
      </c>
      <c r="B204" s="5" t="n">
        <v>59</v>
      </c>
      <c r="C204" s="5" t="n">
        <v>37</v>
      </c>
      <c r="D204" s="5" t="s">
        <v>42</v>
      </c>
      <c r="E204" s="5" t="s">
        <v>34</v>
      </c>
      <c r="F204" s="5" t="s">
        <v>35</v>
      </c>
      <c r="G204" s="5" t="n">
        <v>14</v>
      </c>
      <c r="H204" s="5"/>
      <c r="I204" s="6" t="n">
        <v>15375.4</v>
      </c>
      <c r="J204" s="6" t="n">
        <v>34052.6</v>
      </c>
      <c r="K204" s="5" t="str">
        <f aca="false">IF(F204="","",TRIM(F204)&amp;"|"&amp;(SUMPRODUCT((TRIM($F$2:$F$309)=TRIM(F204))*($I$2:$I$309&gt;I204))+1))</f>
        <v>חיים|15</v>
      </c>
      <c r="L204" s="5" t="str">
        <f aca="false">IF(F204="","",TRIM(F204)&amp;"|"&amp;(SUMPRODUCT((TRIM($F$2:$F$309)=TRIM(F204))*($B$2:$B$309&lt;B204))+1))</f>
        <v>חיים|18</v>
      </c>
      <c r="M204" s="5" t="n">
        <f aca="false">IF(F204="","",SUMPRODUCT((TRIM($F$2:$F$309)=TRIM(F204))*($I$2:$I$309&gt;I204))+1)</f>
        <v>15</v>
      </c>
    </row>
    <row r="205" customFormat="false" ht="15" hidden="false" customHeight="false" outlineLevel="0" collapsed="false">
      <c r="A205" s="5" t="s">
        <v>336</v>
      </c>
      <c r="B205" s="5" t="n">
        <v>260</v>
      </c>
      <c r="C205" s="5" t="n">
        <v>185</v>
      </c>
      <c r="D205" s="5" t="s">
        <v>337</v>
      </c>
      <c r="E205" s="5" t="s">
        <v>49</v>
      </c>
      <c r="F205" s="5" t="s">
        <v>46</v>
      </c>
      <c r="G205" s="5"/>
      <c r="H205" s="5"/>
      <c r="I205" s="6" t="n">
        <v>2372.2</v>
      </c>
      <c r="J205" s="6" t="n">
        <v>11156.2</v>
      </c>
      <c r="K205" s="5" t="str">
        <f aca="false">IF(F205="","",TRIM(F205)&amp;"|"&amp;(SUMPRODUCT((TRIM($F$2:$F$309)=TRIM(F205))*($I$2:$I$309&gt;I205))+1))</f>
        <v>חדש|78</v>
      </c>
      <c r="L205" s="5" t="str">
        <f aca="false">IF(F205="","",TRIM(F205)&amp;"|"&amp;(SUMPRODUCT((TRIM($F$2:$F$309)=TRIM(F205))*($B$2:$B$309&lt;B205))+1))</f>
        <v>חדש|65</v>
      </c>
      <c r="M205" s="5" t="n">
        <f aca="false">IF(F205="","",SUMPRODUCT((TRIM($F$2:$F$309)=TRIM(F205))*($I$2:$I$309&gt;I205))+1)</f>
        <v>78</v>
      </c>
    </row>
    <row r="206" customFormat="false" ht="15" hidden="false" customHeight="false" outlineLevel="0" collapsed="false">
      <c r="A206" s="5" t="s">
        <v>338</v>
      </c>
      <c r="B206" s="5" t="n">
        <v>40</v>
      </c>
      <c r="C206" s="5" t="n">
        <v>47</v>
      </c>
      <c r="D206" s="5" t="s">
        <v>339</v>
      </c>
      <c r="E206" s="5" t="s">
        <v>49</v>
      </c>
      <c r="F206" s="5" t="s">
        <v>46</v>
      </c>
      <c r="G206" s="5" t="n">
        <v>7</v>
      </c>
      <c r="H206" s="5"/>
      <c r="I206" s="6" t="n">
        <v>13583.7</v>
      </c>
      <c r="J206" s="6" t="n">
        <v>26666</v>
      </c>
      <c r="K206" s="5" t="str">
        <f aca="false">IF(F206="","",TRIM(F206)&amp;"|"&amp;(SUMPRODUCT((TRIM($F$2:$F$309)=TRIM(F206))*($I$2:$I$309&gt;I206))+1))</f>
        <v>חדש|6</v>
      </c>
      <c r="L206" s="5" t="str">
        <f aca="false">IF(F206="","",TRIM(F206)&amp;"|"&amp;(SUMPRODUCT((TRIM($F$2:$F$309)=TRIM(F206))*($B$2:$B$309&lt;B206))+1))</f>
        <v>חדש|6</v>
      </c>
      <c r="M206" s="5" t="n">
        <f aca="false">IF(F206="","",SUMPRODUCT((TRIM($F$2:$F$309)=TRIM(F206))*($I$2:$I$309&gt;I206))+1)</f>
        <v>6</v>
      </c>
    </row>
    <row r="207" customFormat="false" ht="15" hidden="false" customHeight="false" outlineLevel="0" collapsed="false">
      <c r="A207" s="5" t="s">
        <v>340</v>
      </c>
      <c r="B207" s="5" t="n">
        <v>109</v>
      </c>
      <c r="C207" s="5" t="n">
        <v>245</v>
      </c>
      <c r="D207" s="5" t="s">
        <v>72</v>
      </c>
      <c r="E207" s="5" t="s">
        <v>72</v>
      </c>
      <c r="F207" s="5" t="s">
        <v>11</v>
      </c>
      <c r="G207" s="5"/>
      <c r="H207" s="5"/>
      <c r="I207" s="6" t="n">
        <v>12807.3</v>
      </c>
      <c r="J207" s="6" t="n">
        <v>26317.6</v>
      </c>
      <c r="K207" s="5" t="str">
        <f aca="false">IF(F207="","",TRIM(F207)&amp;"|"&amp;(SUMPRODUCT((TRIM($F$2:$F$309)=TRIM(F207))*($I$2:$I$309&gt;I207))+1))</f>
        <v>דודו|33</v>
      </c>
      <c r="L207" s="5" t="str">
        <f aca="false">IF(F207="","",TRIM(F207)&amp;"|"&amp;(SUMPRODUCT((TRIM($F$2:$F$309)=TRIM(F207))*($B$2:$B$309&lt;B207))+1))</f>
        <v>דודו|37</v>
      </c>
      <c r="M207" s="5" t="n">
        <f aca="false">IF(F207="","",SUMPRODUCT((TRIM($F$2:$F$309)=TRIM(F207))*($I$2:$I$309&gt;I207))+1)</f>
        <v>33</v>
      </c>
    </row>
    <row r="208" customFormat="false" ht="15" hidden="false" customHeight="false" outlineLevel="0" collapsed="false">
      <c r="A208" s="5" t="s">
        <v>341</v>
      </c>
      <c r="B208" s="5" t="n">
        <v>119</v>
      </c>
      <c r="C208" s="5" t="n">
        <v>159</v>
      </c>
      <c r="D208" s="5" t="s">
        <v>100</v>
      </c>
      <c r="E208" s="5" t="s">
        <v>49</v>
      </c>
      <c r="F208" s="5" t="s">
        <v>46</v>
      </c>
      <c r="G208" s="5"/>
      <c r="H208" s="5"/>
      <c r="I208" s="6" t="n">
        <v>9223.7</v>
      </c>
      <c r="J208" s="6" t="n">
        <v>17242.2</v>
      </c>
      <c r="K208" s="5" t="str">
        <f aca="false">IF(F208="","",TRIM(F208)&amp;"|"&amp;(SUMPRODUCT((TRIM($F$2:$F$309)=TRIM(F208))*($I$2:$I$309&gt;I208))+1))</f>
        <v>חדש|21</v>
      </c>
      <c r="L208" s="5" t="str">
        <f aca="false">IF(F208="","",TRIM(F208)&amp;"|"&amp;(SUMPRODUCT((TRIM($F$2:$F$309)=TRIM(F208))*($B$2:$B$309&lt;B208))+1))</f>
        <v>חדש|19</v>
      </c>
      <c r="M208" s="5" t="n">
        <f aca="false">IF(F208="","",SUMPRODUCT((TRIM($F$2:$F$309)=TRIM(F208))*($I$2:$I$309&gt;I208))+1)</f>
        <v>21</v>
      </c>
    </row>
    <row r="209" customFormat="false" ht="15" hidden="false" customHeight="false" outlineLevel="0" collapsed="false">
      <c r="A209" s="5" t="s">
        <v>342</v>
      </c>
      <c r="B209" s="5" t="n">
        <v>274</v>
      </c>
      <c r="C209" s="5" t="n">
        <v>263</v>
      </c>
      <c r="D209" s="5" t="s">
        <v>343</v>
      </c>
      <c r="E209" s="5" t="s">
        <v>49</v>
      </c>
      <c r="F209" s="5" t="s">
        <v>46</v>
      </c>
      <c r="G209" s="5"/>
      <c r="H209" s="5"/>
      <c r="I209" s="6" t="n">
        <v>4497.4</v>
      </c>
      <c r="J209" s="6" t="n">
        <v>5168.8</v>
      </c>
      <c r="K209" s="5" t="str">
        <f aca="false">IF(F209="","",TRIM(F209)&amp;"|"&amp;(SUMPRODUCT((TRIM($F$2:$F$309)=TRIM(F209))*($I$2:$I$309&gt;I209))+1))</f>
        <v>חדש|55</v>
      </c>
      <c r="L209" s="5" t="str">
        <f aca="false">IF(F209="","",TRIM(F209)&amp;"|"&amp;(SUMPRODUCT((TRIM($F$2:$F$309)=TRIM(F209))*($B$2:$B$309&lt;B209))+1))</f>
        <v>חדש|70</v>
      </c>
      <c r="M209" s="5" t="n">
        <f aca="false">IF(F209="","",SUMPRODUCT((TRIM($F$2:$F$309)=TRIM(F209))*($I$2:$I$309&gt;I209))+1)</f>
        <v>55</v>
      </c>
    </row>
    <row r="210" customFormat="false" ht="15" hidden="false" customHeight="false" outlineLevel="0" collapsed="false">
      <c r="A210" s="5" t="s">
        <v>344</v>
      </c>
      <c r="B210" s="5" t="n">
        <v>185</v>
      </c>
      <c r="C210" s="5" t="n">
        <v>225</v>
      </c>
      <c r="D210" s="5" t="s">
        <v>345</v>
      </c>
      <c r="E210" s="5" t="s">
        <v>54</v>
      </c>
      <c r="F210" s="5" t="s">
        <v>11</v>
      </c>
      <c r="G210" s="5"/>
      <c r="H210" s="5"/>
      <c r="I210" s="6" t="n">
        <v>6840.4</v>
      </c>
      <c r="J210" s="6" t="n">
        <v>13276.6</v>
      </c>
      <c r="K210" s="5" t="str">
        <f aca="false">IF(F210="","",TRIM(F210)&amp;"|"&amp;(SUMPRODUCT((TRIM($F$2:$F$309)=TRIM(F210))*($I$2:$I$309&gt;I210))+1))</f>
        <v>דודו|52</v>
      </c>
      <c r="L210" s="5" t="str">
        <f aca="false">IF(F210="","",TRIM(F210)&amp;"|"&amp;(SUMPRODUCT((TRIM($F$2:$F$309)=TRIM(F210))*($B$2:$B$309&lt;B210))+1))</f>
        <v>דודו|50</v>
      </c>
      <c r="M210" s="5" t="n">
        <f aca="false">IF(F210="","",SUMPRODUCT((TRIM($F$2:$F$309)=TRIM(F210))*($I$2:$I$309&gt;I210))+1)</f>
        <v>52</v>
      </c>
    </row>
    <row r="211" customFormat="false" ht="15" hidden="false" customHeight="false" outlineLevel="0" collapsed="false">
      <c r="A211" s="5" t="s">
        <v>346</v>
      </c>
      <c r="B211" s="5" t="n">
        <v>302</v>
      </c>
      <c r="C211" s="5" t="n">
        <v>306</v>
      </c>
      <c r="D211" s="5" t="s">
        <v>111</v>
      </c>
      <c r="E211" s="5" t="s">
        <v>40</v>
      </c>
      <c r="F211" s="5" t="s">
        <v>59</v>
      </c>
      <c r="G211" s="5"/>
      <c r="H211" s="5"/>
      <c r="I211" s="6" t="n">
        <v>2241.4</v>
      </c>
      <c r="J211" s="6" t="n">
        <v>3222.2</v>
      </c>
      <c r="K211" s="5" t="str">
        <f aca="false">IF(F211="","",TRIM(F211)&amp;"|"&amp;(SUMPRODUCT((TRIM($F$2:$F$309)=TRIM(F211))*($I$2:$I$309&gt;I211))+1))</f>
        <v>סטאס|62</v>
      </c>
      <c r="L211" s="5" t="str">
        <f aca="false">IF(F211="","",TRIM(F211)&amp;"|"&amp;(SUMPRODUCT((TRIM($F$2:$F$309)=TRIM(F211))*($B$2:$B$309&lt;B211))+1))</f>
        <v>סטאס|66</v>
      </c>
      <c r="M211" s="5" t="n">
        <f aca="false">IF(F211="","",SUMPRODUCT((TRIM($F$2:$F$309)=TRIM(F211))*($I$2:$I$309&gt;I211))+1)</f>
        <v>62</v>
      </c>
    </row>
    <row r="212" customFormat="false" ht="15" hidden="false" customHeight="false" outlineLevel="0" collapsed="false">
      <c r="A212" s="5" t="s">
        <v>347</v>
      </c>
      <c r="B212" s="5" t="n">
        <v>294</v>
      </c>
      <c r="C212" s="5" t="n">
        <v>289</v>
      </c>
      <c r="D212" s="5" t="s">
        <v>248</v>
      </c>
      <c r="E212" s="5" t="s">
        <v>40</v>
      </c>
      <c r="F212" s="5" t="s">
        <v>59</v>
      </c>
      <c r="G212" s="5"/>
      <c r="H212" s="5"/>
      <c r="I212" s="6" t="n">
        <v>1935.6</v>
      </c>
      <c r="J212" s="6" t="n">
        <v>5034</v>
      </c>
      <c r="K212" s="5" t="str">
        <f aca="false">IF(F212="","",TRIM(F212)&amp;"|"&amp;(SUMPRODUCT((TRIM($F$2:$F$309)=TRIM(F212))*($I$2:$I$309&gt;I212))+1))</f>
        <v>סטאס|65</v>
      </c>
      <c r="L212" s="5" t="str">
        <f aca="false">IF(F212="","",TRIM(F212)&amp;"|"&amp;(SUMPRODUCT((TRIM($F$2:$F$309)=TRIM(F212))*($B$2:$B$309&lt;B212))+1))</f>
        <v>סטאס|63</v>
      </c>
      <c r="M212" s="5" t="n">
        <f aca="false">IF(F212="","",SUMPRODUCT((TRIM($F$2:$F$309)=TRIM(F212))*($I$2:$I$309&gt;I212))+1)</f>
        <v>65</v>
      </c>
    </row>
    <row r="213" customFormat="false" ht="15" hidden="false" customHeight="false" outlineLevel="0" collapsed="false">
      <c r="A213" s="5" t="s">
        <v>348</v>
      </c>
      <c r="B213" s="5" t="n">
        <v>304</v>
      </c>
      <c r="C213" s="5" t="n">
        <v>305</v>
      </c>
      <c r="D213" s="5" t="s">
        <v>42</v>
      </c>
      <c r="E213" s="5" t="s">
        <v>34</v>
      </c>
      <c r="F213" s="5" t="s">
        <v>35</v>
      </c>
      <c r="G213" s="5"/>
      <c r="H213" s="5"/>
      <c r="I213" s="6" t="n">
        <v>3661.3</v>
      </c>
      <c r="J213" s="6" t="n">
        <v>5600.3</v>
      </c>
      <c r="K213" s="5" t="str">
        <f aca="false">IF(F213="","",TRIM(F213)&amp;"|"&amp;(SUMPRODUCT((TRIM($F$2:$F$309)=TRIM(F213))*($I$2:$I$309&gt;I213))+1))</f>
        <v>חיים|75</v>
      </c>
      <c r="L213" s="5" t="str">
        <f aca="false">IF(F213="","",TRIM(F213)&amp;"|"&amp;(SUMPRODUCT((TRIM($F$2:$F$309)=TRIM(F213))*($B$2:$B$309&lt;B213))+1))</f>
        <v>חיים|83</v>
      </c>
      <c r="M213" s="5" t="n">
        <f aca="false">IF(F213="","",SUMPRODUCT((TRIM($F$2:$F$309)=TRIM(F213))*($I$2:$I$309&gt;I213))+1)</f>
        <v>75</v>
      </c>
    </row>
    <row r="214" customFormat="false" ht="15" hidden="false" customHeight="false" outlineLevel="0" collapsed="false">
      <c r="A214" s="5" t="s">
        <v>349</v>
      </c>
      <c r="B214" s="5" t="n">
        <v>268</v>
      </c>
      <c r="C214" s="5" t="n">
        <v>183</v>
      </c>
      <c r="D214" s="5" t="s">
        <v>37</v>
      </c>
      <c r="E214" s="5" t="s">
        <v>37</v>
      </c>
      <c r="F214" s="5" t="s">
        <v>35</v>
      </c>
      <c r="G214" s="5"/>
      <c r="H214" s="5"/>
      <c r="I214" s="6" t="n">
        <v>985.9</v>
      </c>
      <c r="J214" s="6" t="n">
        <v>3502.7</v>
      </c>
      <c r="K214" s="5" t="str">
        <f aca="false">IF(F214="","",TRIM(F214)&amp;"|"&amp;(SUMPRODUCT((TRIM($F$2:$F$309)=TRIM(F214))*($I$2:$I$309&gt;I214))+1))</f>
        <v>חיים|83</v>
      </c>
      <c r="L214" s="5" t="str">
        <f aca="false">IF(F214="","",TRIM(F214)&amp;"|"&amp;(SUMPRODUCT((TRIM($F$2:$F$309)=TRIM(F214))*($B$2:$B$309&lt;B214))+1))</f>
        <v>חיים|80</v>
      </c>
      <c r="M214" s="5" t="n">
        <f aca="false">IF(F214="","",SUMPRODUCT((TRIM($F$2:$F$309)=TRIM(F214))*($I$2:$I$309&gt;I214))+1)</f>
        <v>83</v>
      </c>
    </row>
    <row r="215" customFormat="false" ht="15" hidden="false" customHeight="false" outlineLevel="0" collapsed="false">
      <c r="A215" s="5" t="s">
        <v>350</v>
      </c>
      <c r="B215" s="5" t="n">
        <v>252</v>
      </c>
      <c r="C215" s="5" t="n">
        <v>241</v>
      </c>
      <c r="D215" s="5" t="s">
        <v>351</v>
      </c>
      <c r="E215" s="5" t="s">
        <v>54</v>
      </c>
      <c r="F215" s="5" t="s">
        <v>59</v>
      </c>
      <c r="G215" s="5"/>
      <c r="H215" s="5"/>
      <c r="I215" s="6" t="n">
        <v>4893.5</v>
      </c>
      <c r="J215" s="6" t="n">
        <v>15179</v>
      </c>
      <c r="K215" s="5" t="str">
        <f aca="false">IF(F215="","",TRIM(F215)&amp;"|"&amp;(SUMPRODUCT((TRIM($F$2:$F$309)=TRIM(F215))*($I$2:$I$309&gt;I215))+1))</f>
        <v>סטאס|50</v>
      </c>
      <c r="L215" s="5" t="str">
        <f aca="false">IF(F215="","",TRIM(F215)&amp;"|"&amp;(SUMPRODUCT((TRIM($F$2:$F$309)=TRIM(F215))*($B$2:$B$309&lt;B215))+1))</f>
        <v>סטאס|54</v>
      </c>
      <c r="M215" s="5" t="n">
        <f aca="false">IF(F215="","",SUMPRODUCT((TRIM($F$2:$F$309)=TRIM(F215))*($I$2:$I$309&gt;I215))+1)</f>
        <v>50</v>
      </c>
    </row>
    <row r="216" customFormat="false" ht="15" hidden="false" customHeight="false" outlineLevel="0" collapsed="false">
      <c r="A216" s="5" t="s">
        <v>352</v>
      </c>
      <c r="B216" s="5" t="n">
        <v>98</v>
      </c>
      <c r="C216" s="5" t="n">
        <v>146</v>
      </c>
      <c r="D216" s="5" t="s">
        <v>72</v>
      </c>
      <c r="E216" s="5" t="s">
        <v>72</v>
      </c>
      <c r="F216" s="5" t="s">
        <v>11</v>
      </c>
      <c r="G216" s="5"/>
      <c r="H216" s="5"/>
      <c r="I216" s="6" t="n">
        <v>13513.8</v>
      </c>
      <c r="J216" s="6" t="n">
        <v>28096.6</v>
      </c>
      <c r="K216" s="5" t="str">
        <f aca="false">IF(F216="","",TRIM(F216)&amp;"|"&amp;(SUMPRODUCT((TRIM($F$2:$F$309)=TRIM(F216))*($I$2:$I$309&gt;I216))+1))</f>
        <v>דודו|29</v>
      </c>
      <c r="L216" s="5" t="str">
        <f aca="false">IF(F216="","",TRIM(F216)&amp;"|"&amp;(SUMPRODUCT((TRIM($F$2:$F$309)=TRIM(F216))*($B$2:$B$309&lt;B216))+1))</f>
        <v>דודו|36</v>
      </c>
      <c r="M216" s="5" t="n">
        <f aca="false">IF(F216="","",SUMPRODUCT((TRIM($F$2:$F$309)=TRIM(F216))*($I$2:$I$309&gt;I216))+1)</f>
        <v>29</v>
      </c>
    </row>
    <row r="217" customFormat="false" ht="15" hidden="false" customHeight="false" outlineLevel="0" collapsed="false">
      <c r="A217" s="5" t="s">
        <v>353</v>
      </c>
      <c r="B217" s="5" t="n">
        <v>35</v>
      </c>
      <c r="C217" s="5" t="n">
        <v>22</v>
      </c>
      <c r="D217" s="5" t="s">
        <v>354</v>
      </c>
      <c r="E217" s="5" t="s">
        <v>34</v>
      </c>
      <c r="F217" s="5" t="s">
        <v>35</v>
      </c>
      <c r="G217" s="5" t="n">
        <v>7</v>
      </c>
      <c r="H217" s="5"/>
      <c r="I217" s="6" t="n">
        <v>18410.7</v>
      </c>
      <c r="J217" s="6" t="n">
        <v>38331.4</v>
      </c>
      <c r="K217" s="5" t="str">
        <f aca="false">IF(F217="","",TRIM(F217)&amp;"|"&amp;(SUMPRODUCT((TRIM($F$2:$F$309)=TRIM(F217))*($I$2:$I$309&gt;I217))+1))</f>
        <v>חיים|12</v>
      </c>
      <c r="L217" s="5" t="str">
        <f aca="false">IF(F217="","",TRIM(F217)&amp;"|"&amp;(SUMPRODUCT((TRIM($F$2:$F$309)=TRIM(F217))*($B$2:$B$309&lt;B217))+1))</f>
        <v>חיים|10</v>
      </c>
      <c r="M217" s="5" t="n">
        <f aca="false">IF(F217="","",SUMPRODUCT((TRIM($F$2:$F$309)=TRIM(F217))*($I$2:$I$309&gt;I217))+1)</f>
        <v>12</v>
      </c>
    </row>
    <row r="218" customFormat="false" ht="15" hidden="false" customHeight="false" outlineLevel="0" collapsed="false">
      <c r="A218" s="5" t="s">
        <v>355</v>
      </c>
      <c r="B218" s="5" t="n">
        <v>126</v>
      </c>
      <c r="C218" s="5" t="n">
        <v>142</v>
      </c>
      <c r="D218" s="5" t="s">
        <v>122</v>
      </c>
      <c r="E218" s="5" t="s">
        <v>49</v>
      </c>
      <c r="F218" s="5" t="s">
        <v>46</v>
      </c>
      <c r="G218" s="5"/>
      <c r="H218" s="5"/>
      <c r="I218" s="6" t="n">
        <v>9684.3</v>
      </c>
      <c r="J218" s="6" t="n">
        <v>21221</v>
      </c>
      <c r="K218" s="5" t="str">
        <f aca="false">IF(F218="","",TRIM(F218)&amp;"|"&amp;(SUMPRODUCT((TRIM($F$2:$F$309)=TRIM(F218))*($I$2:$I$309&gt;I218))+1))</f>
        <v>חדש|19</v>
      </c>
      <c r="L218" s="5" t="str">
        <f aca="false">IF(F218="","",TRIM(F218)&amp;"|"&amp;(SUMPRODUCT((TRIM($F$2:$F$309)=TRIM(F218))*($B$2:$B$309&lt;B218))+1))</f>
        <v>חדש|21</v>
      </c>
      <c r="M218" s="5" t="n">
        <f aca="false">IF(F218="","",SUMPRODUCT((TRIM($F$2:$F$309)=TRIM(F218))*($I$2:$I$309&gt;I218))+1)</f>
        <v>19</v>
      </c>
    </row>
    <row r="219" customFormat="false" ht="15" hidden="false" customHeight="false" outlineLevel="0" collapsed="false">
      <c r="A219" s="5" t="s">
        <v>356</v>
      </c>
      <c r="B219" s="5" t="n">
        <v>178</v>
      </c>
      <c r="C219" s="5" t="n">
        <v>188</v>
      </c>
      <c r="D219" s="5" t="s">
        <v>42</v>
      </c>
      <c r="E219" s="5" t="s">
        <v>34</v>
      </c>
      <c r="F219" s="5" t="s">
        <v>35</v>
      </c>
      <c r="G219" s="5"/>
      <c r="H219" s="5"/>
      <c r="I219" s="6" t="n">
        <v>8677.3</v>
      </c>
      <c r="J219" s="6" t="n">
        <v>16293.9</v>
      </c>
      <c r="K219" s="5" t="str">
        <f aca="false">IF(F219="","",TRIM(F219)&amp;"|"&amp;(SUMPRODUCT((TRIM($F$2:$F$309)=TRIM(F219))*($I$2:$I$309&gt;I219))+1))</f>
        <v>חיים|46</v>
      </c>
      <c r="L219" s="5" t="str">
        <f aca="false">IF(F219="","",TRIM(F219)&amp;"|"&amp;(SUMPRODUCT((TRIM($F$2:$F$309)=TRIM(F219))*($B$2:$B$309&lt;B219))+1))</f>
        <v>חיים|57</v>
      </c>
      <c r="M219" s="5" t="n">
        <f aca="false">IF(F219="","",SUMPRODUCT((TRIM($F$2:$F$309)=TRIM(F219))*($I$2:$I$309&gt;I219))+1)</f>
        <v>46</v>
      </c>
    </row>
    <row r="220" customFormat="false" ht="15" hidden="false" customHeight="false" outlineLevel="0" collapsed="false">
      <c r="A220" s="5" t="s">
        <v>357</v>
      </c>
      <c r="B220" s="5" t="n">
        <v>265</v>
      </c>
      <c r="C220" s="5" t="n">
        <v>254</v>
      </c>
      <c r="D220" s="5" t="s">
        <v>70</v>
      </c>
      <c r="E220" s="5" t="s">
        <v>37</v>
      </c>
      <c r="F220" s="5" t="s">
        <v>35</v>
      </c>
      <c r="G220" s="5"/>
      <c r="H220" s="5"/>
      <c r="I220" s="6" t="n">
        <v>3406.3</v>
      </c>
      <c r="J220" s="6" t="n">
        <v>7851.2</v>
      </c>
      <c r="K220" s="5" t="str">
        <f aca="false">IF(F220="","",TRIM(F220)&amp;"|"&amp;(SUMPRODUCT((TRIM($F$2:$F$309)=TRIM(F220))*($I$2:$I$309&gt;I220))+1))</f>
        <v>חיים|78</v>
      </c>
      <c r="L220" s="5" t="str">
        <f aca="false">IF(F220="","",TRIM(F220)&amp;"|"&amp;(SUMPRODUCT((TRIM($F$2:$F$309)=TRIM(F220))*($B$2:$B$309&lt;B220))+1))</f>
        <v>חיים|78</v>
      </c>
      <c r="M220" s="5" t="n">
        <f aca="false">IF(F220="","",SUMPRODUCT((TRIM($F$2:$F$309)=TRIM(F220))*($I$2:$I$309&gt;I220))+1)</f>
        <v>78</v>
      </c>
    </row>
    <row r="221" customFormat="false" ht="15" hidden="false" customHeight="false" outlineLevel="0" collapsed="false">
      <c r="A221" s="5" t="s">
        <v>358</v>
      </c>
      <c r="B221" s="5" t="n">
        <v>127</v>
      </c>
      <c r="C221" s="5" t="n">
        <v>79</v>
      </c>
      <c r="D221" s="5" t="s">
        <v>63</v>
      </c>
      <c r="E221" s="5" t="s">
        <v>54</v>
      </c>
      <c r="F221" s="5" t="s">
        <v>59</v>
      </c>
      <c r="G221" s="5" t="n">
        <v>18</v>
      </c>
      <c r="H221" s="5"/>
      <c r="I221" s="6" t="n">
        <v>10270.4</v>
      </c>
      <c r="J221" s="6" t="n">
        <v>21781.8</v>
      </c>
      <c r="K221" s="5" t="str">
        <f aca="false">IF(F221="","",TRIM(F221)&amp;"|"&amp;(SUMPRODUCT((TRIM($F$2:$F$309)=TRIM(F221))*($I$2:$I$309&gt;I221))+1))</f>
        <v>סטאס|23</v>
      </c>
      <c r="L221" s="5" t="str">
        <f aca="false">IF(F221="","",TRIM(F221)&amp;"|"&amp;(SUMPRODUCT((TRIM($F$2:$F$309)=TRIM(F221))*($B$2:$B$309&lt;B221))+1))</f>
        <v>סטאס|24</v>
      </c>
      <c r="M221" s="5" t="n">
        <f aca="false">IF(F221="","",SUMPRODUCT((TRIM($F$2:$F$309)=TRIM(F221))*($I$2:$I$309&gt;I221))+1)</f>
        <v>23</v>
      </c>
    </row>
    <row r="222" customFormat="false" ht="15" hidden="false" customHeight="false" outlineLevel="0" collapsed="false">
      <c r="A222" s="5" t="s">
        <v>359</v>
      </c>
      <c r="B222" s="5" t="n">
        <v>295</v>
      </c>
      <c r="C222" s="5" t="n">
        <v>277</v>
      </c>
      <c r="D222" s="5" t="s">
        <v>360</v>
      </c>
      <c r="E222" s="5" t="s">
        <v>34</v>
      </c>
      <c r="F222" s="5" t="s">
        <v>59</v>
      </c>
      <c r="G222" s="5"/>
      <c r="H222" s="5"/>
      <c r="I222" s="6" t="n">
        <v>4084</v>
      </c>
      <c r="J222" s="6" t="n">
        <v>9353.6</v>
      </c>
      <c r="K222" s="5" t="str">
        <f aca="false">IF(F222="","",TRIM(F222)&amp;"|"&amp;(SUMPRODUCT((TRIM($F$2:$F$309)=TRIM(F222))*($I$2:$I$309&gt;I222))+1))</f>
        <v>סטאס|54</v>
      </c>
      <c r="L222" s="5" t="str">
        <f aca="false">IF(F222="","",TRIM(F222)&amp;"|"&amp;(SUMPRODUCT((TRIM($F$2:$F$309)=TRIM(F222))*($B$2:$B$309&lt;B222))+1))</f>
        <v>סטאס|64</v>
      </c>
      <c r="M222" s="5" t="n">
        <f aca="false">IF(F222="","",SUMPRODUCT((TRIM($F$2:$F$309)=TRIM(F222))*($I$2:$I$309&gt;I222))+1)</f>
        <v>54</v>
      </c>
    </row>
    <row r="223" customFormat="false" ht="15" hidden="false" customHeight="false" outlineLevel="0" collapsed="false">
      <c r="A223" s="5" t="s">
        <v>361</v>
      </c>
      <c r="B223" s="5" t="n">
        <v>299</v>
      </c>
      <c r="C223" s="5" t="n">
        <v>287</v>
      </c>
      <c r="D223" s="5" t="s">
        <v>233</v>
      </c>
      <c r="E223" s="5" t="s">
        <v>49</v>
      </c>
      <c r="F223" s="5" t="s">
        <v>46</v>
      </c>
      <c r="G223" s="5"/>
      <c r="H223" s="5"/>
      <c r="I223" s="6" t="n">
        <v>2036.2</v>
      </c>
      <c r="J223" s="6" t="n">
        <v>0</v>
      </c>
      <c r="K223" s="5" t="str">
        <f aca="false">IF(F223="","",TRIM(F223)&amp;"|"&amp;(SUMPRODUCT((TRIM($F$2:$F$309)=TRIM(F223))*($I$2:$I$309&gt;I223))+1))</f>
        <v>חדש|80</v>
      </c>
      <c r="L223" s="5" t="str">
        <f aca="false">IF(F223="","",TRIM(F223)&amp;"|"&amp;(SUMPRODUCT((TRIM($F$2:$F$309)=TRIM(F223))*($B$2:$B$309&lt;B223))+1))</f>
        <v>חדש|84</v>
      </c>
      <c r="M223" s="5" t="n">
        <f aca="false">IF(F223="","",SUMPRODUCT((TRIM($F$2:$F$309)=TRIM(F223))*($I$2:$I$309&gt;I223))+1)</f>
        <v>80</v>
      </c>
    </row>
    <row r="224" customFormat="false" ht="15" hidden="false" customHeight="false" outlineLevel="0" collapsed="false">
      <c r="A224" s="5" t="s">
        <v>362</v>
      </c>
      <c r="B224" s="5" t="n">
        <v>154</v>
      </c>
      <c r="C224" s="5" t="n">
        <v>175</v>
      </c>
      <c r="D224" s="5" t="s">
        <v>363</v>
      </c>
      <c r="E224" s="5" t="s">
        <v>40</v>
      </c>
      <c r="F224" s="5" t="s">
        <v>11</v>
      </c>
      <c r="G224" s="5"/>
      <c r="H224" s="5"/>
      <c r="I224" s="6" t="n">
        <v>8075.6</v>
      </c>
      <c r="J224" s="6" t="n">
        <v>13370.5</v>
      </c>
      <c r="K224" s="5" t="str">
        <f aca="false">IF(F224="","",TRIM(F224)&amp;"|"&amp;(SUMPRODUCT((TRIM($F$2:$F$309)=TRIM(F224))*($I$2:$I$309&gt;I224))+1))</f>
        <v>דודו|47</v>
      </c>
      <c r="L224" s="5" t="str">
        <f aca="false">IF(F224="","",TRIM(F224)&amp;"|"&amp;(SUMPRODUCT((TRIM($F$2:$F$309)=TRIM(F224))*($B$2:$B$309&lt;B224))+1))</f>
        <v>דודו|43</v>
      </c>
      <c r="M224" s="5" t="n">
        <f aca="false">IF(F224="","",SUMPRODUCT((TRIM($F$2:$F$309)=TRIM(F224))*($I$2:$I$309&gt;I224))+1)</f>
        <v>47</v>
      </c>
    </row>
    <row r="225" customFormat="false" ht="15" hidden="false" customHeight="false" outlineLevel="0" collapsed="false">
      <c r="A225" s="5" t="s">
        <v>364</v>
      </c>
      <c r="B225" s="5" t="n">
        <v>293</v>
      </c>
      <c r="C225" s="5" t="n">
        <v>280</v>
      </c>
      <c r="D225" s="5" t="s">
        <v>248</v>
      </c>
      <c r="E225" s="5" t="s">
        <v>40</v>
      </c>
      <c r="F225" s="5" t="s">
        <v>59</v>
      </c>
      <c r="G225" s="5"/>
      <c r="H225" s="5"/>
      <c r="I225" s="6" t="n">
        <v>1938</v>
      </c>
      <c r="J225" s="6" t="n">
        <v>10747.5</v>
      </c>
      <c r="K225" s="5" t="str">
        <f aca="false">IF(F225="","",TRIM(F225)&amp;"|"&amp;(SUMPRODUCT((TRIM($F$2:$F$309)=TRIM(F225))*($I$2:$I$309&gt;I225))+1))</f>
        <v>סטאס|64</v>
      </c>
      <c r="L225" s="5" t="str">
        <f aca="false">IF(F225="","",TRIM(F225)&amp;"|"&amp;(SUMPRODUCT((TRIM($F$2:$F$309)=TRIM(F225))*($B$2:$B$309&lt;B225))+1))</f>
        <v>סטאס|62</v>
      </c>
      <c r="M225" s="5" t="n">
        <f aca="false">IF(F225="","",SUMPRODUCT((TRIM($F$2:$F$309)=TRIM(F225))*($I$2:$I$309&gt;I225))+1)</f>
        <v>64</v>
      </c>
    </row>
    <row r="226" customFormat="false" ht="15" hidden="false" customHeight="false" outlineLevel="0" collapsed="false">
      <c r="A226" s="5" t="s">
        <v>365</v>
      </c>
      <c r="B226" s="5" t="n">
        <v>34</v>
      </c>
      <c r="C226" s="5" t="n">
        <v>9</v>
      </c>
      <c r="D226" s="5" t="s">
        <v>37</v>
      </c>
      <c r="E226" s="5" t="s">
        <v>37</v>
      </c>
      <c r="F226" s="5" t="s">
        <v>35</v>
      </c>
      <c r="G226" s="5" t="n">
        <v>2</v>
      </c>
      <c r="H226" s="5"/>
      <c r="I226" s="6" t="n">
        <v>21752.6</v>
      </c>
      <c r="J226" s="6" t="n">
        <v>54474.6</v>
      </c>
      <c r="K226" s="5" t="str">
        <f aca="false">IF(F226="","",TRIM(F226)&amp;"|"&amp;(SUMPRODUCT((TRIM($F$2:$F$309)=TRIM(F226))*($I$2:$I$309&gt;I226))+1))</f>
        <v>חיים|6</v>
      </c>
      <c r="L226" s="5" t="str">
        <f aca="false">IF(F226="","",TRIM(F226)&amp;"|"&amp;(SUMPRODUCT((TRIM($F$2:$F$309)=TRIM(F226))*($B$2:$B$309&lt;B226))+1))</f>
        <v>חיים|9</v>
      </c>
      <c r="M226" s="5" t="n">
        <f aca="false">IF(F226="","",SUMPRODUCT((TRIM($F$2:$F$309)=TRIM(F226))*($I$2:$I$309&gt;I226))+1)</f>
        <v>6</v>
      </c>
    </row>
    <row r="227" customFormat="false" ht="15" hidden="false" customHeight="false" outlineLevel="0" collapsed="false">
      <c r="A227" s="5" t="s">
        <v>366</v>
      </c>
      <c r="B227" s="5" t="n">
        <v>254</v>
      </c>
      <c r="C227" s="5" t="n">
        <v>216</v>
      </c>
      <c r="D227" s="5" t="s">
        <v>37</v>
      </c>
      <c r="E227" s="5" t="s">
        <v>37</v>
      </c>
      <c r="F227" s="5" t="s">
        <v>35</v>
      </c>
      <c r="G227" s="5"/>
      <c r="H227" s="5"/>
      <c r="I227" s="6" t="n">
        <v>3752.3</v>
      </c>
      <c r="J227" s="6" t="n">
        <v>9282.3</v>
      </c>
      <c r="K227" s="5" t="str">
        <f aca="false">IF(F227="","",TRIM(F227)&amp;"|"&amp;(SUMPRODUCT((TRIM($F$2:$F$309)=TRIM(F227))*($I$2:$I$309&gt;I227))+1))</f>
        <v>חיים|74</v>
      </c>
      <c r="L227" s="5" t="str">
        <f aca="false">IF(F227="","",TRIM(F227)&amp;"|"&amp;(SUMPRODUCT((TRIM($F$2:$F$309)=TRIM(F227))*($B$2:$B$309&lt;B227))+1))</f>
        <v>חיים|74</v>
      </c>
      <c r="M227" s="5" t="n">
        <f aca="false">IF(F227="","",SUMPRODUCT((TRIM($F$2:$F$309)=TRIM(F227))*($I$2:$I$309&gt;I227))+1)</f>
        <v>74</v>
      </c>
    </row>
    <row r="228" customFormat="false" ht="15" hidden="false" customHeight="false" outlineLevel="0" collapsed="false">
      <c r="A228" s="5" t="s">
        <v>367</v>
      </c>
      <c r="B228" s="5" t="n">
        <v>159</v>
      </c>
      <c r="C228" s="5" t="n">
        <v>197</v>
      </c>
      <c r="D228" s="5" t="s">
        <v>368</v>
      </c>
      <c r="E228" s="5" t="s">
        <v>49</v>
      </c>
      <c r="F228" s="5" t="s">
        <v>46</v>
      </c>
      <c r="G228" s="5"/>
      <c r="H228" s="5"/>
      <c r="I228" s="6" t="n">
        <v>4043.1</v>
      </c>
      <c r="J228" s="6" t="n">
        <v>13608.5</v>
      </c>
      <c r="K228" s="5" t="str">
        <f aca="false">IF(F228="","",TRIM(F228)&amp;"|"&amp;(SUMPRODUCT((TRIM($F$2:$F$309)=TRIM(F228))*($I$2:$I$309&gt;I228))+1))</f>
        <v>חדש|62</v>
      </c>
      <c r="L228" s="5" t="str">
        <f aca="false">IF(F228="","",TRIM(F228)&amp;"|"&amp;(SUMPRODUCT((TRIM($F$2:$F$309)=TRIM(F228))*($B$2:$B$309&lt;B228))+1))</f>
        <v>חדש|29</v>
      </c>
      <c r="M228" s="5" t="n">
        <f aca="false">IF(F228="","",SUMPRODUCT((TRIM($F$2:$F$309)=TRIM(F228))*($I$2:$I$309&gt;I228))+1)</f>
        <v>62</v>
      </c>
    </row>
    <row r="229" customFormat="false" ht="15" hidden="false" customHeight="false" outlineLevel="0" collapsed="false">
      <c r="A229" s="5" t="s">
        <v>369</v>
      </c>
      <c r="B229" s="5" t="n">
        <v>102</v>
      </c>
      <c r="C229" s="5" t="n">
        <v>117</v>
      </c>
      <c r="D229" s="5" t="s">
        <v>42</v>
      </c>
      <c r="E229" s="5" t="s">
        <v>34</v>
      </c>
      <c r="F229" s="5" t="s">
        <v>35</v>
      </c>
      <c r="G229" s="5"/>
      <c r="H229" s="5"/>
      <c r="I229" s="6" t="n">
        <v>9412.2</v>
      </c>
      <c r="J229" s="6" t="n">
        <v>19171.2</v>
      </c>
      <c r="K229" s="5" t="str">
        <f aca="false">IF(F229="","",TRIM(F229)&amp;"|"&amp;(SUMPRODUCT((TRIM($F$2:$F$309)=TRIM(F229))*($I$2:$I$309&gt;I229))+1))</f>
        <v>חיים|38</v>
      </c>
      <c r="L229" s="5" t="str">
        <f aca="false">IF(F229="","",TRIM(F229)&amp;"|"&amp;(SUMPRODUCT((TRIM($F$2:$F$309)=TRIM(F229))*($B$2:$B$309&lt;B229))+1))</f>
        <v>חיים|33</v>
      </c>
      <c r="M229" s="5" t="n">
        <f aca="false">IF(F229="","",SUMPRODUCT((TRIM($F$2:$F$309)=TRIM(F229))*($I$2:$I$309&gt;I229))+1)</f>
        <v>38</v>
      </c>
    </row>
    <row r="230" customFormat="false" ht="15" hidden="false" customHeight="false" outlineLevel="0" collapsed="false">
      <c r="A230" s="5" t="s">
        <v>370</v>
      </c>
      <c r="B230" s="5" t="n">
        <v>288</v>
      </c>
      <c r="C230" s="5" t="n">
        <v>260</v>
      </c>
      <c r="D230" s="5" t="s">
        <v>72</v>
      </c>
      <c r="E230" s="5" t="s">
        <v>72</v>
      </c>
      <c r="F230" s="5" t="s">
        <v>11</v>
      </c>
      <c r="G230" s="5"/>
      <c r="H230" s="5"/>
      <c r="I230" s="6" t="n">
        <v>1835.1</v>
      </c>
      <c r="J230" s="6" t="n">
        <v>2534.6</v>
      </c>
      <c r="K230" s="5" t="str">
        <f aca="false">IF(F230="","",TRIM(F230)&amp;"|"&amp;(SUMPRODUCT((TRIM($F$2:$F$309)=TRIM(F230))*($I$2:$I$309&gt;I230))+1))</f>
        <v>דודו|68</v>
      </c>
      <c r="L230" s="5" t="str">
        <f aca="false">IF(F230="","",TRIM(F230)&amp;"|"&amp;(SUMPRODUCT((TRIM($F$2:$F$309)=TRIM(F230))*($B$2:$B$309&lt;B230))+1))</f>
        <v>דודו|66</v>
      </c>
      <c r="M230" s="5" t="n">
        <f aca="false">IF(F230="","",SUMPRODUCT((TRIM($F$2:$F$309)=TRIM(F230))*($I$2:$I$309&gt;I230))+1)</f>
        <v>68</v>
      </c>
    </row>
    <row r="231" customFormat="false" ht="15" hidden="false" customHeight="false" outlineLevel="0" collapsed="false">
      <c r="A231" s="5" t="s">
        <v>371</v>
      </c>
      <c r="B231" s="5" t="n">
        <v>308</v>
      </c>
      <c r="C231" s="5" t="n">
        <v>307</v>
      </c>
      <c r="D231" s="5" t="s">
        <v>372</v>
      </c>
      <c r="E231" s="5" t="s">
        <v>34</v>
      </c>
      <c r="F231" s="5" t="s">
        <v>35</v>
      </c>
      <c r="G231" s="5"/>
      <c r="H231" s="5"/>
      <c r="I231" s="6" t="n">
        <v>9165.2</v>
      </c>
      <c r="J231" s="6" t="n">
        <v>0</v>
      </c>
      <c r="K231" s="5" t="str">
        <f aca="false">IF(F231="","",TRIM(F231)&amp;"|"&amp;(SUMPRODUCT((TRIM($F$2:$F$309)=TRIM(F231))*($I$2:$I$309&gt;I231))+1))</f>
        <v>חיים|43</v>
      </c>
      <c r="L231" s="5" t="str">
        <f aca="false">IF(F231="","",TRIM(F231)&amp;"|"&amp;(SUMPRODUCT((TRIM($F$2:$F$309)=TRIM(F231))*($B$2:$B$309&lt;B231))+1))</f>
        <v>חיים|84</v>
      </c>
      <c r="M231" s="5" t="n">
        <f aca="false">IF(F231="","",SUMPRODUCT((TRIM($F$2:$F$309)=TRIM(F231))*($I$2:$I$309&gt;I231))+1)</f>
        <v>43</v>
      </c>
    </row>
    <row r="232" customFormat="false" ht="15" hidden="false" customHeight="false" outlineLevel="0" collapsed="false">
      <c r="A232" s="5" t="s">
        <v>373</v>
      </c>
      <c r="B232" s="5" t="n">
        <v>4</v>
      </c>
      <c r="C232" s="5" t="n">
        <v>26</v>
      </c>
      <c r="D232" s="5" t="s">
        <v>280</v>
      </c>
      <c r="E232" s="5" t="s">
        <v>72</v>
      </c>
      <c r="F232" s="5" t="s">
        <v>11</v>
      </c>
      <c r="G232" s="5" t="n">
        <v>7</v>
      </c>
      <c r="H232" s="5"/>
      <c r="I232" s="6" t="n">
        <v>30919.3</v>
      </c>
      <c r="J232" s="6" t="n">
        <v>52742</v>
      </c>
      <c r="K232" s="5" t="str">
        <f aca="false">IF(F232="","",TRIM(F232)&amp;"|"&amp;(SUMPRODUCT((TRIM($F$2:$F$309)=TRIM(F232))*($I$2:$I$309&gt;I232))+1))</f>
        <v>דודו|6</v>
      </c>
      <c r="L232" s="5" t="str">
        <f aca="false">IF(F232="","",TRIM(F232)&amp;"|"&amp;(SUMPRODUCT((TRIM($F$2:$F$309)=TRIM(F232))*($B$2:$B$309&lt;B232))+1))</f>
        <v>דודו|2</v>
      </c>
      <c r="M232" s="5" t="n">
        <f aca="false">IF(F232="","",SUMPRODUCT((TRIM($F$2:$F$309)=TRIM(F232))*($I$2:$I$309&gt;I232))+1)</f>
        <v>6</v>
      </c>
    </row>
    <row r="233" customFormat="false" ht="15" hidden="false" customHeight="false" outlineLevel="0" collapsed="false">
      <c r="A233" s="5" t="s">
        <v>374</v>
      </c>
      <c r="B233" s="5" t="n">
        <v>148</v>
      </c>
      <c r="C233" s="5" t="n">
        <v>161</v>
      </c>
      <c r="D233" s="5" t="s">
        <v>256</v>
      </c>
      <c r="E233" s="5" t="s">
        <v>34</v>
      </c>
      <c r="F233" s="5" t="s">
        <v>35</v>
      </c>
      <c r="G233" s="5"/>
      <c r="H233" s="5"/>
      <c r="I233" s="6" t="n">
        <v>10735.7</v>
      </c>
      <c r="J233" s="6" t="n">
        <v>25241.1</v>
      </c>
      <c r="K233" s="5" t="str">
        <f aca="false">IF(F233="","",TRIM(F233)&amp;"|"&amp;(SUMPRODUCT((TRIM($F$2:$F$309)=TRIM(F233))*($I$2:$I$309&gt;I233))+1))</f>
        <v>חיים|32</v>
      </c>
      <c r="L233" s="5" t="str">
        <f aca="false">IF(F233="","",TRIM(F233)&amp;"|"&amp;(SUMPRODUCT((TRIM($F$2:$F$309)=TRIM(F233))*($B$2:$B$309&lt;B233))+1))</f>
        <v>חיים|50</v>
      </c>
      <c r="M233" s="5" t="n">
        <f aca="false">IF(F233="","",SUMPRODUCT((TRIM($F$2:$F$309)=TRIM(F233))*($I$2:$I$309&gt;I233))+1)</f>
        <v>32</v>
      </c>
    </row>
    <row r="234" customFormat="false" ht="15" hidden="false" customHeight="false" outlineLevel="0" collapsed="false">
      <c r="A234" s="5" t="s">
        <v>375</v>
      </c>
      <c r="B234" s="5" t="n">
        <v>137</v>
      </c>
      <c r="C234" s="5" t="n">
        <v>113</v>
      </c>
      <c r="D234" s="5" t="s">
        <v>37</v>
      </c>
      <c r="E234" s="5" t="s">
        <v>37</v>
      </c>
      <c r="F234" s="5" t="s">
        <v>35</v>
      </c>
      <c r="G234" s="5"/>
      <c r="H234" s="5"/>
      <c r="I234" s="6" t="n">
        <v>8073.3</v>
      </c>
      <c r="J234" s="6" t="n">
        <v>18875.9</v>
      </c>
      <c r="K234" s="5" t="str">
        <f aca="false">IF(F234="","",TRIM(F234)&amp;"|"&amp;(SUMPRODUCT((TRIM($F$2:$F$309)=TRIM(F234))*($I$2:$I$309&gt;I234))+1))</f>
        <v>חיים|55</v>
      </c>
      <c r="L234" s="5" t="str">
        <f aca="false">IF(F234="","",TRIM(F234)&amp;"|"&amp;(SUMPRODUCT((TRIM($F$2:$F$309)=TRIM(F234))*($B$2:$B$309&lt;B234))+1))</f>
        <v>חיים|43</v>
      </c>
      <c r="M234" s="5" t="n">
        <f aca="false">IF(F234="","",SUMPRODUCT((TRIM($F$2:$F$309)=TRIM(F234))*($I$2:$I$309&gt;I234))+1)</f>
        <v>55</v>
      </c>
    </row>
    <row r="235" customFormat="false" ht="15" hidden="false" customHeight="false" outlineLevel="0" collapsed="false">
      <c r="A235" s="5" t="s">
        <v>376</v>
      </c>
      <c r="B235" s="5" t="n">
        <v>201</v>
      </c>
      <c r="C235" s="5" t="n">
        <v>232</v>
      </c>
      <c r="D235" s="5" t="s">
        <v>107</v>
      </c>
      <c r="E235" s="5" t="s">
        <v>49</v>
      </c>
      <c r="F235" s="5" t="s">
        <v>46</v>
      </c>
      <c r="G235" s="5"/>
      <c r="H235" s="5"/>
      <c r="I235" s="6" t="n">
        <v>5965.9</v>
      </c>
      <c r="J235" s="6" t="n">
        <v>17801.6</v>
      </c>
      <c r="K235" s="5" t="str">
        <f aca="false">IF(F235="","",TRIM(F235)&amp;"|"&amp;(SUMPRODUCT((TRIM($F$2:$F$309)=TRIM(F235))*($I$2:$I$309&gt;I235))+1))</f>
        <v>חדש|42</v>
      </c>
      <c r="L235" s="5" t="str">
        <f aca="false">IF(F235="","",TRIM(F235)&amp;"|"&amp;(SUMPRODUCT((TRIM($F$2:$F$309)=TRIM(F235))*($B$2:$B$309&lt;B235))+1))</f>
        <v>חדש|45</v>
      </c>
      <c r="M235" s="5" t="n">
        <f aca="false">IF(F235="","",SUMPRODUCT((TRIM($F$2:$F$309)=TRIM(F235))*($I$2:$I$309&gt;I235))+1)</f>
        <v>42</v>
      </c>
    </row>
    <row r="236" customFormat="false" ht="15" hidden="false" customHeight="false" outlineLevel="0" collapsed="false">
      <c r="A236" s="5" t="s">
        <v>377</v>
      </c>
      <c r="B236" s="5" t="n">
        <v>18</v>
      </c>
      <c r="C236" s="5" t="n">
        <v>10</v>
      </c>
      <c r="D236" s="5" t="s">
        <v>351</v>
      </c>
      <c r="E236" s="5" t="s">
        <v>54</v>
      </c>
      <c r="F236" s="5" t="s">
        <v>59</v>
      </c>
      <c r="G236" s="5" t="n">
        <v>3</v>
      </c>
      <c r="H236" s="5"/>
      <c r="I236" s="6" t="n">
        <v>26015</v>
      </c>
      <c r="J236" s="6" t="n">
        <v>70042.1</v>
      </c>
      <c r="K236" s="5" t="str">
        <f aca="false">IF(F236="","",TRIM(F236)&amp;"|"&amp;(SUMPRODUCT((TRIM($F$2:$F$309)=TRIM(F236))*($I$2:$I$309&gt;I236))+1))</f>
        <v>סטאס|2</v>
      </c>
      <c r="L236" s="5" t="str">
        <f aca="false">IF(F236="","",TRIM(F236)&amp;"|"&amp;(SUMPRODUCT((TRIM($F$2:$F$309)=TRIM(F236))*($B$2:$B$309&lt;B236))+1))</f>
        <v>סטאס|2</v>
      </c>
      <c r="M236" s="5" t="n">
        <f aca="false">IF(F236="","",SUMPRODUCT((TRIM($F$2:$F$309)=TRIM(F236))*($I$2:$I$309&gt;I236))+1)</f>
        <v>2</v>
      </c>
    </row>
    <row r="237" customFormat="false" ht="15" hidden="false" customHeight="false" outlineLevel="0" collapsed="false">
      <c r="A237" s="5" t="s">
        <v>378</v>
      </c>
      <c r="B237" s="5" t="n">
        <v>143</v>
      </c>
      <c r="C237" s="5" t="n">
        <v>129</v>
      </c>
      <c r="D237" s="5" t="s">
        <v>379</v>
      </c>
      <c r="E237" s="5" t="s">
        <v>54</v>
      </c>
      <c r="F237" s="5" t="s">
        <v>35</v>
      </c>
      <c r="G237" s="5"/>
      <c r="H237" s="5"/>
      <c r="I237" s="6" t="n">
        <v>8390.2</v>
      </c>
      <c r="J237" s="6" t="n">
        <v>20465.2</v>
      </c>
      <c r="K237" s="5" t="str">
        <f aca="false">IF(F237="","",TRIM(F237)&amp;"|"&amp;(SUMPRODUCT((TRIM($F$2:$F$309)=TRIM(F237))*($I$2:$I$309&gt;I237))+1))</f>
        <v>חיים|51</v>
      </c>
      <c r="L237" s="5" t="str">
        <f aca="false">IF(F237="","",TRIM(F237)&amp;"|"&amp;(SUMPRODUCT((TRIM($F$2:$F$309)=TRIM(F237))*($B$2:$B$309&lt;B237))+1))</f>
        <v>חיים|46</v>
      </c>
      <c r="M237" s="5" t="n">
        <f aca="false">IF(F237="","",SUMPRODUCT((TRIM($F$2:$F$309)=TRIM(F237))*($I$2:$I$309&gt;I237))+1)</f>
        <v>51</v>
      </c>
    </row>
    <row r="238" customFormat="false" ht="15" hidden="false" customHeight="false" outlineLevel="0" collapsed="false">
      <c r="A238" s="5" t="s">
        <v>380</v>
      </c>
      <c r="B238" s="5" t="n">
        <v>244</v>
      </c>
      <c r="C238" s="5" t="n">
        <v>221</v>
      </c>
      <c r="D238" s="5" t="s">
        <v>61</v>
      </c>
      <c r="E238" s="5" t="s">
        <v>54</v>
      </c>
      <c r="F238" s="5" t="s">
        <v>59</v>
      </c>
      <c r="G238" s="5"/>
      <c r="H238" s="5"/>
      <c r="I238" s="6" t="n">
        <v>3487.5</v>
      </c>
      <c r="J238" s="6" t="n">
        <v>9368</v>
      </c>
      <c r="K238" s="5" t="str">
        <f aca="false">IF(F238="","",TRIM(F238)&amp;"|"&amp;(SUMPRODUCT((TRIM($F$2:$F$309)=TRIM(F238))*($I$2:$I$309&gt;I238))+1))</f>
        <v>סטאס|58</v>
      </c>
      <c r="L238" s="5" t="str">
        <f aca="false">IF(F238="","",TRIM(F238)&amp;"|"&amp;(SUMPRODUCT((TRIM($F$2:$F$309)=TRIM(F238))*($B$2:$B$309&lt;B238))+1))</f>
        <v>סטאס|50</v>
      </c>
      <c r="M238" s="5" t="n">
        <f aca="false">IF(F238="","",SUMPRODUCT((TRIM($F$2:$F$309)=TRIM(F238))*($I$2:$I$309&gt;I238))+1)</f>
        <v>58</v>
      </c>
    </row>
    <row r="239" customFormat="false" ht="15" hidden="false" customHeight="false" outlineLevel="0" collapsed="false">
      <c r="A239" s="5" t="s">
        <v>381</v>
      </c>
      <c r="B239" s="5" t="n">
        <v>116</v>
      </c>
      <c r="C239" s="5" t="n">
        <v>192</v>
      </c>
      <c r="D239" s="5" t="s">
        <v>382</v>
      </c>
      <c r="E239" s="5" t="s">
        <v>72</v>
      </c>
      <c r="F239" s="5" t="s">
        <v>11</v>
      </c>
      <c r="G239" s="5"/>
      <c r="H239" s="5"/>
      <c r="I239" s="6" t="n">
        <v>13484.7</v>
      </c>
      <c r="J239" s="6" t="n">
        <v>28489.4</v>
      </c>
      <c r="K239" s="5" t="str">
        <f aca="false">IF(F239="","",TRIM(F239)&amp;"|"&amp;(SUMPRODUCT((TRIM($F$2:$F$309)=TRIM(F239))*($I$2:$I$309&gt;I239))+1))</f>
        <v>דודו|30</v>
      </c>
      <c r="L239" s="5" t="str">
        <f aca="false">IF(F239="","",TRIM(F239)&amp;"|"&amp;(SUMPRODUCT((TRIM($F$2:$F$309)=TRIM(F239))*($B$2:$B$309&lt;B239))+1))</f>
        <v>דודו|38</v>
      </c>
      <c r="M239" s="5" t="n">
        <f aca="false">IF(F239="","",SUMPRODUCT((TRIM($F$2:$F$309)=TRIM(F239))*($I$2:$I$309&gt;I239))+1)</f>
        <v>30</v>
      </c>
    </row>
    <row r="240" customFormat="false" ht="15" hidden="false" customHeight="false" outlineLevel="0" collapsed="false">
      <c r="A240" s="5" t="s">
        <v>383</v>
      </c>
      <c r="B240" s="5" t="n">
        <v>74</v>
      </c>
      <c r="C240" s="5" t="n">
        <v>27</v>
      </c>
      <c r="D240" s="5" t="s">
        <v>94</v>
      </c>
      <c r="E240" s="5" t="s">
        <v>54</v>
      </c>
      <c r="F240" s="5" t="s">
        <v>59</v>
      </c>
      <c r="G240" s="5" t="n">
        <v>6</v>
      </c>
      <c r="H240" s="5"/>
      <c r="I240" s="6" t="n">
        <v>10776</v>
      </c>
      <c r="J240" s="6" t="n">
        <v>26589</v>
      </c>
      <c r="K240" s="5" t="str">
        <f aca="false">IF(F240="","",TRIM(F240)&amp;"|"&amp;(SUMPRODUCT((TRIM($F$2:$F$309)=TRIM(F240))*($I$2:$I$309&gt;I240))+1))</f>
        <v>סטאס|19</v>
      </c>
      <c r="L240" s="5" t="str">
        <f aca="false">IF(F240="","",TRIM(F240)&amp;"|"&amp;(SUMPRODUCT((TRIM($F$2:$F$309)=TRIM(F240))*($B$2:$B$309&lt;B240))+1))</f>
        <v>סטאס|13</v>
      </c>
      <c r="M240" s="5" t="n">
        <f aca="false">IF(F240="","",SUMPRODUCT((TRIM($F$2:$F$309)=TRIM(F240))*($I$2:$I$309&gt;I240))+1)</f>
        <v>19</v>
      </c>
    </row>
    <row r="241" customFormat="false" ht="15" hidden="false" customHeight="false" outlineLevel="0" collapsed="false">
      <c r="A241" s="5" t="s">
        <v>384</v>
      </c>
      <c r="B241" s="5" t="n">
        <v>235</v>
      </c>
      <c r="C241" s="5" t="n">
        <v>269</v>
      </c>
      <c r="D241" s="5" t="s">
        <v>72</v>
      </c>
      <c r="E241" s="5" t="s">
        <v>72</v>
      </c>
      <c r="F241" s="5" t="s">
        <v>11</v>
      </c>
      <c r="G241" s="5"/>
      <c r="H241" s="5"/>
      <c r="I241" s="6" t="n">
        <v>6204.2</v>
      </c>
      <c r="J241" s="6" t="n">
        <v>11348.6</v>
      </c>
      <c r="K241" s="5" t="str">
        <f aca="false">IF(F241="","",TRIM(F241)&amp;"|"&amp;(SUMPRODUCT((TRIM($F$2:$F$309)=TRIM(F241))*($I$2:$I$309&gt;I241))+1))</f>
        <v>דודו|54</v>
      </c>
      <c r="L241" s="5" t="str">
        <f aca="false">IF(F241="","",TRIM(F241)&amp;"|"&amp;(SUMPRODUCT((TRIM($F$2:$F$309)=TRIM(F241))*($B$2:$B$309&lt;B241))+1))</f>
        <v>דודו|58</v>
      </c>
      <c r="M241" s="5" t="n">
        <f aca="false">IF(F241="","",SUMPRODUCT((TRIM($F$2:$F$309)=TRIM(F241))*($I$2:$I$309&gt;I241))+1)</f>
        <v>54</v>
      </c>
    </row>
    <row r="242" customFormat="false" ht="15" hidden="false" customHeight="false" outlineLevel="0" collapsed="false">
      <c r="A242" s="5" t="s">
        <v>385</v>
      </c>
      <c r="B242" s="5" t="n">
        <v>87</v>
      </c>
      <c r="C242" s="5" t="n">
        <v>53</v>
      </c>
      <c r="D242" s="5" t="s">
        <v>156</v>
      </c>
      <c r="E242" s="5" t="s">
        <v>54</v>
      </c>
      <c r="F242" s="5" t="s">
        <v>35</v>
      </c>
      <c r="G242" s="5" t="n">
        <v>16</v>
      </c>
      <c r="H242" s="5"/>
      <c r="I242" s="6" t="n">
        <v>9303.7</v>
      </c>
      <c r="J242" s="6" t="n">
        <v>27468.7</v>
      </c>
      <c r="K242" s="5" t="str">
        <f aca="false">IF(F242="","",TRIM(F242)&amp;"|"&amp;(SUMPRODUCT((TRIM($F$2:$F$309)=TRIM(F242))*($I$2:$I$309&gt;I242))+1))</f>
        <v>חיים|39</v>
      </c>
      <c r="L242" s="5" t="str">
        <f aca="false">IF(F242="","",TRIM(F242)&amp;"|"&amp;(SUMPRODUCT((TRIM($F$2:$F$309)=TRIM(F242))*($B$2:$B$309&lt;B242))+1))</f>
        <v>חיים|27</v>
      </c>
      <c r="M242" s="5" t="n">
        <f aca="false">IF(F242="","",SUMPRODUCT((TRIM($F$2:$F$309)=TRIM(F242))*($I$2:$I$309&gt;I242))+1)</f>
        <v>39</v>
      </c>
    </row>
    <row r="243" customFormat="false" ht="15" hidden="false" customHeight="false" outlineLevel="0" collapsed="false">
      <c r="A243" s="5" t="s">
        <v>386</v>
      </c>
      <c r="B243" s="5" t="n">
        <v>73</v>
      </c>
      <c r="C243" s="5" t="n">
        <v>100</v>
      </c>
      <c r="D243" s="5" t="s">
        <v>111</v>
      </c>
      <c r="E243" s="5" t="s">
        <v>40</v>
      </c>
      <c r="F243" s="5" t="s">
        <v>59</v>
      </c>
      <c r="G243" s="5"/>
      <c r="H243" s="5"/>
      <c r="I243" s="6" t="n">
        <v>14260.7</v>
      </c>
      <c r="J243" s="6" t="n">
        <v>29054.5</v>
      </c>
      <c r="K243" s="5" t="str">
        <f aca="false">IF(F243="","",TRIM(F243)&amp;"|"&amp;(SUMPRODUCT((TRIM($F$2:$F$309)=TRIM(F243))*($I$2:$I$309&gt;I243))+1))</f>
        <v>סטאס|10</v>
      </c>
      <c r="L243" s="5" t="str">
        <f aca="false">IF(F243="","",TRIM(F243)&amp;"|"&amp;(SUMPRODUCT((TRIM($F$2:$F$309)=TRIM(F243))*($B$2:$B$309&lt;B243))+1))</f>
        <v>סטאס|12</v>
      </c>
      <c r="M243" s="5" t="n">
        <f aca="false">IF(F243="","",SUMPRODUCT((TRIM($F$2:$F$309)=TRIM(F243))*($I$2:$I$309&gt;I243))+1)</f>
        <v>10</v>
      </c>
    </row>
    <row r="244" customFormat="false" ht="15" hidden="false" customHeight="false" outlineLevel="0" collapsed="false">
      <c r="A244" s="5" t="s">
        <v>387</v>
      </c>
      <c r="B244" s="5" t="n">
        <v>118</v>
      </c>
      <c r="C244" s="5" t="n">
        <v>152</v>
      </c>
      <c r="D244" s="5" t="s">
        <v>72</v>
      </c>
      <c r="E244" s="5" t="s">
        <v>72</v>
      </c>
      <c r="F244" s="5" t="s">
        <v>11</v>
      </c>
      <c r="G244" s="5"/>
      <c r="H244" s="5"/>
      <c r="I244" s="6" t="n">
        <v>11342.2</v>
      </c>
      <c r="J244" s="6" t="n">
        <v>23771</v>
      </c>
      <c r="K244" s="5" t="str">
        <f aca="false">IF(F244="","",TRIM(F244)&amp;"|"&amp;(SUMPRODUCT((TRIM($F$2:$F$309)=TRIM(F244))*($I$2:$I$309&gt;I244))+1))</f>
        <v>דודו|37</v>
      </c>
      <c r="L244" s="5" t="str">
        <f aca="false">IF(F244="","",TRIM(F244)&amp;"|"&amp;(SUMPRODUCT((TRIM($F$2:$F$309)=TRIM(F244))*($B$2:$B$309&lt;B244))+1))</f>
        <v>דודו|39</v>
      </c>
      <c r="M244" s="5" t="n">
        <f aca="false">IF(F244="","",SUMPRODUCT((TRIM($F$2:$F$309)=TRIM(F244))*($I$2:$I$309&gt;I244))+1)</f>
        <v>37</v>
      </c>
    </row>
    <row r="245" customFormat="false" ht="15" hidden="false" customHeight="false" outlineLevel="0" collapsed="false">
      <c r="A245" s="5" t="s">
        <v>388</v>
      </c>
      <c r="B245" s="5" t="n">
        <v>95</v>
      </c>
      <c r="C245" s="5" t="n">
        <v>70</v>
      </c>
      <c r="D245" s="5" t="s">
        <v>191</v>
      </c>
      <c r="E245" s="5" t="s">
        <v>34</v>
      </c>
      <c r="F245" s="5" t="s">
        <v>35</v>
      </c>
      <c r="G245" s="5"/>
      <c r="H245" s="5"/>
      <c r="I245" s="6" t="n">
        <v>12660.6</v>
      </c>
      <c r="J245" s="6" t="n">
        <v>22457</v>
      </c>
      <c r="K245" s="5" t="str">
        <f aca="false">IF(F245="","",TRIM(F245)&amp;"|"&amp;(SUMPRODUCT((TRIM($F$2:$F$309)=TRIM(F245))*($I$2:$I$309&gt;I245))+1))</f>
        <v>חיים|27</v>
      </c>
      <c r="L245" s="5" t="str">
        <f aca="false">IF(F245="","",TRIM(F245)&amp;"|"&amp;(SUMPRODUCT((TRIM($F$2:$F$309)=TRIM(F245))*($B$2:$B$309&lt;B245))+1))</f>
        <v>חיים|30</v>
      </c>
      <c r="M245" s="5" t="n">
        <f aca="false">IF(F245="","",SUMPRODUCT((TRIM($F$2:$F$309)=TRIM(F245))*($I$2:$I$309&gt;I245))+1)</f>
        <v>27</v>
      </c>
    </row>
    <row r="246" customFormat="false" ht="15" hidden="false" customHeight="false" outlineLevel="0" collapsed="false">
      <c r="A246" s="5" t="s">
        <v>389</v>
      </c>
      <c r="B246" s="5" t="n">
        <v>33</v>
      </c>
      <c r="C246" s="5" t="n">
        <v>5</v>
      </c>
      <c r="D246" s="5" t="s">
        <v>65</v>
      </c>
      <c r="E246" s="5" t="s">
        <v>54</v>
      </c>
      <c r="F246" s="5" t="s">
        <v>59</v>
      </c>
      <c r="G246" s="5" t="n">
        <v>2</v>
      </c>
      <c r="H246" s="5"/>
      <c r="I246" s="6" t="n">
        <v>25006.2</v>
      </c>
      <c r="J246" s="6" t="n">
        <v>44336.6</v>
      </c>
      <c r="K246" s="5" t="str">
        <f aca="false">IF(F246="","",TRIM(F246)&amp;"|"&amp;(SUMPRODUCT((TRIM($F$2:$F$309)=TRIM(F246))*($I$2:$I$309&gt;I246))+1))</f>
        <v>סטאס|3</v>
      </c>
      <c r="L246" s="5" t="str">
        <f aca="false">IF(F246="","",TRIM(F246)&amp;"|"&amp;(SUMPRODUCT((TRIM($F$2:$F$309)=TRIM(F246))*($B$2:$B$309&lt;B246))+1))</f>
        <v>סטאס|4</v>
      </c>
      <c r="M246" s="5" t="n">
        <f aca="false">IF(F246="","",SUMPRODUCT((TRIM($F$2:$F$309)=TRIM(F246))*($I$2:$I$309&gt;I246))+1)</f>
        <v>3</v>
      </c>
    </row>
    <row r="247" customFormat="false" ht="15" hidden="false" customHeight="false" outlineLevel="0" collapsed="false">
      <c r="A247" s="5" t="s">
        <v>390</v>
      </c>
      <c r="B247" s="5" t="n">
        <v>230</v>
      </c>
      <c r="C247" s="5" t="n">
        <v>251</v>
      </c>
      <c r="D247" s="5" t="s">
        <v>103</v>
      </c>
      <c r="E247" s="5" t="s">
        <v>49</v>
      </c>
      <c r="F247" s="5" t="s">
        <v>46</v>
      </c>
      <c r="G247" s="5"/>
      <c r="H247" s="5"/>
      <c r="I247" s="6" t="n">
        <v>4670.7</v>
      </c>
      <c r="J247" s="6" t="n">
        <v>10428.9</v>
      </c>
      <c r="K247" s="5" t="str">
        <f aca="false">IF(F247="","",TRIM(F247)&amp;"|"&amp;(SUMPRODUCT((TRIM($F$2:$F$309)=TRIM(F247))*($I$2:$I$309&gt;I247))+1))</f>
        <v>חדש|52</v>
      </c>
      <c r="L247" s="5" t="str">
        <f aca="false">IF(F247="","",TRIM(F247)&amp;"|"&amp;(SUMPRODUCT((TRIM($F$2:$F$309)=TRIM(F247))*($B$2:$B$309&lt;B247))+1))</f>
        <v>חדש|56</v>
      </c>
      <c r="M247" s="5" t="n">
        <f aca="false">IF(F247="","",SUMPRODUCT((TRIM($F$2:$F$309)=TRIM(F247))*($I$2:$I$309&gt;I247))+1)</f>
        <v>52</v>
      </c>
    </row>
    <row r="248" customFormat="false" ht="15" hidden="false" customHeight="false" outlineLevel="0" collapsed="false">
      <c r="A248" s="5" t="s">
        <v>391</v>
      </c>
      <c r="B248" s="5" t="n">
        <v>146</v>
      </c>
      <c r="C248" s="5" t="n">
        <v>217</v>
      </c>
      <c r="D248" s="5" t="s">
        <v>265</v>
      </c>
      <c r="E248" s="5" t="s">
        <v>49</v>
      </c>
      <c r="F248" s="5" t="s">
        <v>46</v>
      </c>
      <c r="G248" s="5"/>
      <c r="H248" s="5"/>
      <c r="I248" s="6" t="n">
        <v>12825.6</v>
      </c>
      <c r="J248" s="6" t="n">
        <v>12492.9</v>
      </c>
      <c r="K248" s="5" t="str">
        <f aca="false">IF(F248="","",TRIM(F248)&amp;"|"&amp;(SUMPRODUCT((TRIM($F$2:$F$309)=TRIM(F248))*($I$2:$I$309&gt;I248))+1))</f>
        <v>חדש|9</v>
      </c>
      <c r="L248" s="5" t="str">
        <f aca="false">IF(F248="","",TRIM(F248)&amp;"|"&amp;(SUMPRODUCT((TRIM($F$2:$F$309)=TRIM(F248))*($B$2:$B$309&lt;B248))+1))</f>
        <v>חדש|26</v>
      </c>
      <c r="M248" s="5" t="n">
        <f aca="false">IF(F248="","",SUMPRODUCT((TRIM($F$2:$F$309)=TRIM(F248))*($I$2:$I$309&gt;I248))+1)</f>
        <v>9</v>
      </c>
    </row>
    <row r="249" customFormat="false" ht="15" hidden="false" customHeight="false" outlineLevel="0" collapsed="false">
      <c r="A249" s="5" t="s">
        <v>392</v>
      </c>
      <c r="B249" s="5" t="n">
        <v>246</v>
      </c>
      <c r="C249" s="5" t="n">
        <v>226</v>
      </c>
      <c r="D249" s="5" t="s">
        <v>72</v>
      </c>
      <c r="E249" s="5" t="s">
        <v>72</v>
      </c>
      <c r="F249" s="5" t="s">
        <v>11</v>
      </c>
      <c r="G249" s="5"/>
      <c r="H249" s="5"/>
      <c r="I249" s="6" t="n">
        <v>2856.9</v>
      </c>
      <c r="J249" s="6" t="n">
        <v>16006.4</v>
      </c>
      <c r="K249" s="5" t="str">
        <f aca="false">IF(F249="","",TRIM(F249)&amp;"|"&amp;(SUMPRODUCT((TRIM($F$2:$F$309)=TRIM(F249))*($I$2:$I$309&gt;I249))+1))</f>
        <v>דודו|65</v>
      </c>
      <c r="L249" s="5" t="str">
        <f aca="false">IF(F249="","",TRIM(F249)&amp;"|"&amp;(SUMPRODUCT((TRIM($F$2:$F$309)=TRIM(F249))*($B$2:$B$309&lt;B249))+1))</f>
        <v>דודו|62</v>
      </c>
      <c r="M249" s="5" t="n">
        <f aca="false">IF(F249="","",SUMPRODUCT((TRIM($F$2:$F$309)=TRIM(F249))*($I$2:$I$309&gt;I249))+1)</f>
        <v>65</v>
      </c>
    </row>
    <row r="250" customFormat="false" ht="15" hidden="false" customHeight="false" outlineLevel="0" collapsed="false">
      <c r="A250" s="5" t="s">
        <v>393</v>
      </c>
      <c r="B250" s="5" t="n">
        <v>245</v>
      </c>
      <c r="C250" s="5" t="n">
        <v>248</v>
      </c>
      <c r="D250" s="5" t="s">
        <v>105</v>
      </c>
      <c r="E250" s="5" t="s">
        <v>54</v>
      </c>
      <c r="F250" s="5" t="s">
        <v>59</v>
      </c>
      <c r="G250" s="5"/>
      <c r="H250" s="5"/>
      <c r="I250" s="6" t="n">
        <v>3631.9</v>
      </c>
      <c r="J250" s="6" t="n">
        <v>12296.8</v>
      </c>
      <c r="K250" s="5" t="str">
        <f aca="false">IF(F250="","",TRIM(F250)&amp;"|"&amp;(SUMPRODUCT((TRIM($F$2:$F$309)=TRIM(F250))*($I$2:$I$309&gt;I250))+1))</f>
        <v>סטאס|57</v>
      </c>
      <c r="L250" s="5" t="str">
        <f aca="false">IF(F250="","",TRIM(F250)&amp;"|"&amp;(SUMPRODUCT((TRIM($F$2:$F$309)=TRIM(F250))*($B$2:$B$309&lt;B250))+1))</f>
        <v>סטאס|51</v>
      </c>
      <c r="M250" s="5" t="n">
        <f aca="false">IF(F250="","",SUMPRODUCT((TRIM($F$2:$F$309)=TRIM(F250))*($I$2:$I$309&gt;I250))+1)</f>
        <v>57</v>
      </c>
    </row>
    <row r="251" customFormat="false" ht="15" hidden="false" customHeight="false" outlineLevel="0" collapsed="false">
      <c r="A251" s="5" t="s">
        <v>394</v>
      </c>
      <c r="B251" s="5" t="n">
        <v>186</v>
      </c>
      <c r="C251" s="5" t="n">
        <v>189</v>
      </c>
      <c r="D251" s="5" t="s">
        <v>295</v>
      </c>
      <c r="E251" s="5" t="s">
        <v>54</v>
      </c>
      <c r="F251" s="5" t="s">
        <v>59</v>
      </c>
      <c r="G251" s="5"/>
      <c r="H251" s="5"/>
      <c r="I251" s="6" t="n">
        <v>6748</v>
      </c>
      <c r="J251" s="6" t="n">
        <v>14815.6</v>
      </c>
      <c r="K251" s="5" t="str">
        <f aca="false">IF(F251="","",TRIM(F251)&amp;"|"&amp;(SUMPRODUCT((TRIM($F$2:$F$309)=TRIM(F251))*($I$2:$I$309&gt;I251))+1))</f>
        <v>סטאס|41</v>
      </c>
      <c r="L251" s="5" t="str">
        <f aca="false">IF(F251="","",TRIM(F251)&amp;"|"&amp;(SUMPRODUCT((TRIM($F$2:$F$309)=TRIM(F251))*($B$2:$B$309&lt;B251))+1))</f>
        <v>סטאס|38</v>
      </c>
      <c r="M251" s="5" t="n">
        <f aca="false">IF(F251="","",SUMPRODUCT((TRIM($F$2:$F$309)=TRIM(F251))*($I$2:$I$309&gt;I251))+1)</f>
        <v>41</v>
      </c>
    </row>
    <row r="252" customFormat="false" ht="15" hidden="false" customHeight="false" outlineLevel="0" collapsed="false">
      <c r="A252" s="5" t="s">
        <v>395</v>
      </c>
      <c r="B252" s="5" t="n">
        <v>52</v>
      </c>
      <c r="C252" s="5" t="n">
        <v>43</v>
      </c>
      <c r="D252" s="5" t="s">
        <v>37</v>
      </c>
      <c r="E252" s="5" t="s">
        <v>37</v>
      </c>
      <c r="F252" s="5" t="s">
        <v>35</v>
      </c>
      <c r="G252" s="5" t="n">
        <v>15</v>
      </c>
      <c r="H252" s="5"/>
      <c r="I252" s="6" t="n">
        <v>12862</v>
      </c>
      <c r="J252" s="6" t="n">
        <v>28237.9</v>
      </c>
      <c r="K252" s="5" t="str">
        <f aca="false">IF(F252="","",TRIM(F252)&amp;"|"&amp;(SUMPRODUCT((TRIM($F$2:$F$309)=TRIM(F252))*($I$2:$I$309&gt;I252))+1))</f>
        <v>חיים|21</v>
      </c>
      <c r="L252" s="5" t="str">
        <f aca="false">IF(F252="","",TRIM(F252)&amp;"|"&amp;(SUMPRODUCT((TRIM($F$2:$F$309)=TRIM(F252))*($B$2:$B$309&lt;B252))+1))</f>
        <v>חיים|15</v>
      </c>
      <c r="M252" s="5" t="n">
        <f aca="false">IF(F252="","",SUMPRODUCT((TRIM($F$2:$F$309)=TRIM(F252))*($I$2:$I$309&gt;I252))+1)</f>
        <v>21</v>
      </c>
    </row>
    <row r="253" customFormat="false" ht="15" hidden="false" customHeight="false" outlineLevel="0" collapsed="false">
      <c r="A253" s="5" t="s">
        <v>396</v>
      </c>
      <c r="B253" s="5" t="n">
        <v>122</v>
      </c>
      <c r="C253" s="5" t="n">
        <v>71</v>
      </c>
      <c r="D253" s="5" t="s">
        <v>156</v>
      </c>
      <c r="E253" s="5" t="s">
        <v>54</v>
      </c>
      <c r="F253" s="5" t="s">
        <v>35</v>
      </c>
      <c r="G253" s="5"/>
      <c r="H253" s="5"/>
      <c r="I253" s="6" t="n">
        <v>9007.1</v>
      </c>
      <c r="J253" s="6" t="n">
        <v>19859.3</v>
      </c>
      <c r="K253" s="5" t="str">
        <f aca="false">IF(F253="","",TRIM(F253)&amp;"|"&amp;(SUMPRODUCT((TRIM($F$2:$F$309)=TRIM(F253))*($I$2:$I$309&gt;I253))+1))</f>
        <v>חיים|45</v>
      </c>
      <c r="L253" s="5" t="str">
        <f aca="false">IF(F253="","",TRIM(F253)&amp;"|"&amp;(SUMPRODUCT((TRIM($F$2:$F$309)=TRIM(F253))*($B$2:$B$309&lt;B253))+1))</f>
        <v>חיים|40</v>
      </c>
      <c r="M253" s="5" t="n">
        <f aca="false">IF(F253="","",SUMPRODUCT((TRIM($F$2:$F$309)=TRIM(F253))*($I$2:$I$309&gt;I253))+1)</f>
        <v>45</v>
      </c>
    </row>
    <row r="254" customFormat="false" ht="15" hidden="false" customHeight="false" outlineLevel="0" collapsed="false">
      <c r="A254" s="5" t="s">
        <v>397</v>
      </c>
      <c r="B254" s="5" t="n">
        <v>13</v>
      </c>
      <c r="C254" s="5" t="n">
        <v>16</v>
      </c>
      <c r="D254" s="5" t="s">
        <v>130</v>
      </c>
      <c r="E254" s="5" t="s">
        <v>54</v>
      </c>
      <c r="F254" s="5" t="s">
        <v>11</v>
      </c>
      <c r="G254" s="5" t="n">
        <v>5</v>
      </c>
      <c r="H254" s="5"/>
      <c r="I254" s="6" t="n">
        <v>24091.9</v>
      </c>
      <c r="J254" s="6" t="n">
        <v>50792.3</v>
      </c>
      <c r="K254" s="5" t="str">
        <f aca="false">IF(F254="","",TRIM(F254)&amp;"|"&amp;(SUMPRODUCT((TRIM($F$2:$F$309)=TRIM(F254))*($I$2:$I$309&gt;I254))+1))</f>
        <v>דודו|9</v>
      </c>
      <c r="L254" s="5" t="str">
        <f aca="false">IF(F254="","",TRIM(F254)&amp;"|"&amp;(SUMPRODUCT((TRIM($F$2:$F$309)=TRIM(F254))*($B$2:$B$309&lt;B254))+1))</f>
        <v>דודו|5</v>
      </c>
      <c r="M254" s="5" t="n">
        <f aca="false">IF(F254="","",SUMPRODUCT((TRIM($F$2:$F$309)=TRIM(F254))*($I$2:$I$309&gt;I254))+1)</f>
        <v>9</v>
      </c>
    </row>
    <row r="255" customFormat="false" ht="15" hidden="false" customHeight="false" outlineLevel="0" collapsed="false">
      <c r="A255" s="5" t="s">
        <v>398</v>
      </c>
      <c r="B255" s="5" t="n">
        <v>79</v>
      </c>
      <c r="C255" s="5" t="n">
        <v>68</v>
      </c>
      <c r="D255" s="5" t="s">
        <v>399</v>
      </c>
      <c r="E255" s="5" t="s">
        <v>54</v>
      </c>
      <c r="F255" s="5" t="s">
        <v>35</v>
      </c>
      <c r="G255" s="5"/>
      <c r="H255" s="5"/>
      <c r="I255" s="6" t="n">
        <v>14425.5</v>
      </c>
      <c r="J255" s="6" t="n">
        <v>27258.3</v>
      </c>
      <c r="K255" s="5" t="str">
        <f aca="false">IF(F255="","",TRIM(F255)&amp;"|"&amp;(SUMPRODUCT((TRIM($F$2:$F$309)=TRIM(F255))*($I$2:$I$309&gt;I255))+1))</f>
        <v>חיים|17</v>
      </c>
      <c r="L255" s="5" t="str">
        <f aca="false">IF(F255="","",TRIM(F255)&amp;"|"&amp;(SUMPRODUCT((TRIM($F$2:$F$309)=TRIM(F255))*($B$2:$B$309&lt;B255))+1))</f>
        <v>חיים|25</v>
      </c>
      <c r="M255" s="5" t="n">
        <f aca="false">IF(F255="","",SUMPRODUCT((TRIM($F$2:$F$309)=TRIM(F255))*($I$2:$I$309&gt;I255))+1)</f>
        <v>17</v>
      </c>
    </row>
    <row r="256" customFormat="false" ht="15" hidden="false" customHeight="false" outlineLevel="0" collapsed="false">
      <c r="A256" s="5" t="s">
        <v>400</v>
      </c>
      <c r="B256" s="5" t="n">
        <v>266</v>
      </c>
      <c r="C256" s="5" t="n">
        <v>252</v>
      </c>
      <c r="D256" s="5" t="s">
        <v>37</v>
      </c>
      <c r="E256" s="5" t="s">
        <v>37</v>
      </c>
      <c r="F256" s="5" t="s">
        <v>35</v>
      </c>
      <c r="G256" s="5"/>
      <c r="H256" s="5"/>
      <c r="I256" s="6" t="n">
        <v>5400.4</v>
      </c>
      <c r="J256" s="6" t="n">
        <v>5818.3</v>
      </c>
      <c r="K256" s="5" t="str">
        <f aca="false">IF(F256="","",TRIM(F256)&amp;"|"&amp;(SUMPRODUCT((TRIM($F$2:$F$309)=TRIM(F256))*($I$2:$I$309&gt;I256))+1))</f>
        <v>חיים|69</v>
      </c>
      <c r="L256" s="5" t="str">
        <f aca="false">IF(F256="","",TRIM(F256)&amp;"|"&amp;(SUMPRODUCT((TRIM($F$2:$F$309)=TRIM(F256))*($B$2:$B$309&lt;B256))+1))</f>
        <v>חיים|79</v>
      </c>
      <c r="M256" s="5" t="n">
        <f aca="false">IF(F256="","",SUMPRODUCT((TRIM($F$2:$F$309)=TRIM(F256))*($I$2:$I$309&gt;I256))+1)</f>
        <v>69</v>
      </c>
    </row>
    <row r="257" customFormat="false" ht="15" hidden="false" customHeight="false" outlineLevel="0" collapsed="false">
      <c r="A257" s="5" t="s">
        <v>401</v>
      </c>
      <c r="B257" s="5" t="n">
        <v>258</v>
      </c>
      <c r="C257" s="5" t="n">
        <v>262</v>
      </c>
      <c r="D257" s="5" t="s">
        <v>42</v>
      </c>
      <c r="E257" s="5" t="s">
        <v>34</v>
      </c>
      <c r="F257" s="5" t="s">
        <v>35</v>
      </c>
      <c r="G257" s="5"/>
      <c r="H257" s="5"/>
      <c r="I257" s="6" t="n">
        <v>3657.3</v>
      </c>
      <c r="J257" s="6" t="n">
        <v>8616.9</v>
      </c>
      <c r="K257" s="5" t="str">
        <f aca="false">IF(F257="","",TRIM(F257)&amp;"|"&amp;(SUMPRODUCT((TRIM($F$2:$F$309)=TRIM(F257))*($I$2:$I$309&gt;I257))+1))</f>
        <v>חיים|76</v>
      </c>
      <c r="L257" s="5" t="str">
        <f aca="false">IF(F257="","",TRIM(F257)&amp;"|"&amp;(SUMPRODUCT((TRIM($F$2:$F$309)=TRIM(F257))*($B$2:$B$309&lt;B257))+1))</f>
        <v>חיים|76</v>
      </c>
      <c r="M257" s="5" t="n">
        <f aca="false">IF(F257="","",SUMPRODUCT((TRIM($F$2:$F$309)=TRIM(F257))*($I$2:$I$309&gt;I257))+1)</f>
        <v>76</v>
      </c>
    </row>
    <row r="258" customFormat="false" ht="15" hidden="false" customHeight="false" outlineLevel="0" collapsed="false">
      <c r="A258" s="5" t="s">
        <v>402</v>
      </c>
      <c r="B258" s="5" t="n">
        <v>205</v>
      </c>
      <c r="C258" s="5" t="n">
        <v>191</v>
      </c>
      <c r="D258" s="5" t="s">
        <v>44</v>
      </c>
      <c r="E258" s="5" t="s">
        <v>45</v>
      </c>
      <c r="F258" s="5" t="s">
        <v>46</v>
      </c>
      <c r="G258" s="5"/>
      <c r="H258" s="5"/>
      <c r="I258" s="6" t="n">
        <v>4008.4</v>
      </c>
      <c r="J258" s="6" t="n">
        <v>10869.1</v>
      </c>
      <c r="K258" s="5" t="str">
        <f aca="false">IF(F258="","",TRIM(F258)&amp;"|"&amp;(SUMPRODUCT((TRIM($F$2:$F$309)=TRIM(F258))*($I$2:$I$309&gt;I258))+1))</f>
        <v>חדש|63</v>
      </c>
      <c r="L258" s="5" t="str">
        <f aca="false">IF(F258="","",TRIM(F258)&amp;"|"&amp;(SUMPRODUCT((TRIM($F$2:$F$309)=TRIM(F258))*($B$2:$B$309&lt;B258))+1))</f>
        <v>חדש|47</v>
      </c>
      <c r="M258" s="5" t="n">
        <f aca="false">IF(F258="","",SUMPRODUCT((TRIM($F$2:$F$309)=TRIM(F258))*($I$2:$I$309&gt;I258))+1)</f>
        <v>63</v>
      </c>
    </row>
    <row r="259" customFormat="false" ht="15" hidden="false" customHeight="false" outlineLevel="0" collapsed="false">
      <c r="A259" s="5" t="s">
        <v>403</v>
      </c>
      <c r="B259" s="5" t="n">
        <v>234</v>
      </c>
      <c r="C259" s="5" t="n">
        <v>201</v>
      </c>
      <c r="D259" s="5" t="s">
        <v>44</v>
      </c>
      <c r="E259" s="5" t="s">
        <v>45</v>
      </c>
      <c r="F259" s="5" t="s">
        <v>46</v>
      </c>
      <c r="G259" s="5"/>
      <c r="H259" s="5"/>
      <c r="I259" s="6" t="n">
        <v>4270.3</v>
      </c>
      <c r="J259" s="6" t="n">
        <v>13102.2</v>
      </c>
      <c r="K259" s="5" t="str">
        <f aca="false">IF(F259="","",TRIM(F259)&amp;"|"&amp;(SUMPRODUCT((TRIM($F$2:$F$309)=TRIM(F259))*($I$2:$I$309&gt;I259))+1))</f>
        <v>חדש|59</v>
      </c>
      <c r="L259" s="5" t="str">
        <f aca="false">IF(F259="","",TRIM(F259)&amp;"|"&amp;(SUMPRODUCT((TRIM($F$2:$F$309)=TRIM(F259))*($B$2:$B$309&lt;B259))+1))</f>
        <v>חדש|58</v>
      </c>
      <c r="M259" s="5" t="n">
        <f aca="false">IF(F259="","",SUMPRODUCT((TRIM($F$2:$F$309)=TRIM(F259))*($I$2:$I$309&gt;I259))+1)</f>
        <v>59</v>
      </c>
    </row>
    <row r="260" customFormat="false" ht="15" hidden="false" customHeight="false" outlineLevel="0" collapsed="false">
      <c r="A260" s="5" t="s">
        <v>404</v>
      </c>
      <c r="B260" s="5" t="n">
        <v>208</v>
      </c>
      <c r="C260" s="5" t="n">
        <v>176</v>
      </c>
      <c r="D260" s="5" t="s">
        <v>65</v>
      </c>
      <c r="E260" s="5" t="s">
        <v>54</v>
      </c>
      <c r="F260" s="5" t="s">
        <v>59</v>
      </c>
      <c r="G260" s="5"/>
      <c r="H260" s="5"/>
      <c r="I260" s="6" t="n">
        <v>6701.9</v>
      </c>
      <c r="J260" s="6" t="n">
        <v>13417.3</v>
      </c>
      <c r="K260" s="5" t="str">
        <f aca="false">IF(F260="","",TRIM(F260)&amp;"|"&amp;(SUMPRODUCT((TRIM($F$2:$F$309)=TRIM(F260))*($I$2:$I$309&gt;I260))+1))</f>
        <v>סטאס|42</v>
      </c>
      <c r="L260" s="5" t="str">
        <f aca="false">IF(F260="","",TRIM(F260)&amp;"|"&amp;(SUMPRODUCT((TRIM($F$2:$F$309)=TRIM(F260))*($B$2:$B$309&lt;B260))+1))</f>
        <v>סטאס|44</v>
      </c>
      <c r="M260" s="5" t="n">
        <f aca="false">IF(F260="","",SUMPRODUCT((TRIM($F$2:$F$309)=TRIM(F260))*($I$2:$I$309&gt;I260))+1)</f>
        <v>42</v>
      </c>
    </row>
    <row r="261" customFormat="false" ht="15" hidden="false" customHeight="false" outlineLevel="0" collapsed="false">
      <c r="A261" s="5" t="s">
        <v>405</v>
      </c>
      <c r="B261" s="5" t="n">
        <v>19</v>
      </c>
      <c r="C261" s="5" t="n">
        <v>14</v>
      </c>
      <c r="D261" s="5" t="s">
        <v>51</v>
      </c>
      <c r="E261" s="5" t="s">
        <v>49</v>
      </c>
      <c r="F261" s="5" t="s">
        <v>46</v>
      </c>
      <c r="G261" s="5" t="n">
        <v>4</v>
      </c>
      <c r="H261" s="5"/>
      <c r="I261" s="6" t="n">
        <v>24423.9</v>
      </c>
      <c r="J261" s="6" t="n">
        <v>40948.7</v>
      </c>
      <c r="K261" s="5" t="str">
        <f aca="false">IF(F261="","",TRIM(F261)&amp;"|"&amp;(SUMPRODUCT((TRIM($F$2:$F$309)=TRIM(F261))*($I$2:$I$309&gt;I261))+1))</f>
        <v>חדש|4</v>
      </c>
      <c r="L261" s="5" t="str">
        <f aca="false">IF(F261="","",TRIM(F261)&amp;"|"&amp;(SUMPRODUCT((TRIM($F$2:$F$309)=TRIM(F261))*($B$2:$B$309&lt;B261))+1))</f>
        <v>חדש|3</v>
      </c>
      <c r="M261" s="5" t="n">
        <f aca="false">IF(F261="","",SUMPRODUCT((TRIM($F$2:$F$309)=TRIM(F261))*($I$2:$I$309&gt;I261))+1)</f>
        <v>4</v>
      </c>
    </row>
    <row r="262" customFormat="false" ht="15" hidden="false" customHeight="false" outlineLevel="0" collapsed="false">
      <c r="A262" s="5" t="s">
        <v>406</v>
      </c>
      <c r="B262" s="5" t="n">
        <v>50</v>
      </c>
      <c r="C262" s="5" t="n">
        <v>60</v>
      </c>
      <c r="D262" s="5" t="s">
        <v>44</v>
      </c>
      <c r="E262" s="5" t="s">
        <v>45</v>
      </c>
      <c r="F262" s="5" t="s">
        <v>46</v>
      </c>
      <c r="G262" s="5" t="n">
        <v>10</v>
      </c>
      <c r="H262" s="5"/>
      <c r="I262" s="6" t="n">
        <v>12978.5</v>
      </c>
      <c r="J262" s="6" t="n">
        <v>23283.7</v>
      </c>
      <c r="K262" s="5" t="str">
        <f aca="false">IF(F262="","",TRIM(F262)&amp;"|"&amp;(SUMPRODUCT((TRIM($F$2:$F$309)=TRIM(F262))*($I$2:$I$309&gt;I262))+1))</f>
        <v>חדש|7</v>
      </c>
      <c r="L262" s="5" t="str">
        <f aca="false">IF(F262="","",TRIM(F262)&amp;"|"&amp;(SUMPRODUCT((TRIM($F$2:$F$309)=TRIM(F262))*($B$2:$B$309&lt;B262))+1))</f>
        <v>חדש|7</v>
      </c>
      <c r="M262" s="5" t="n">
        <f aca="false">IF(F262="","",SUMPRODUCT((TRIM($F$2:$F$309)=TRIM(F262))*($I$2:$I$309&gt;I262))+1)</f>
        <v>7</v>
      </c>
    </row>
    <row r="263" customFormat="false" ht="15" hidden="false" customHeight="false" outlineLevel="0" collapsed="false">
      <c r="A263" s="5" t="s">
        <v>407</v>
      </c>
      <c r="B263" s="5" t="n">
        <v>188</v>
      </c>
      <c r="C263" s="5" t="n">
        <v>255</v>
      </c>
      <c r="D263" s="5" t="s">
        <v>72</v>
      </c>
      <c r="E263" s="5" t="s">
        <v>72</v>
      </c>
      <c r="F263" s="5" t="s">
        <v>11</v>
      </c>
      <c r="G263" s="5"/>
      <c r="H263" s="5"/>
      <c r="I263" s="6" t="n">
        <v>7071.2</v>
      </c>
      <c r="J263" s="6" t="n">
        <v>12606.8</v>
      </c>
      <c r="K263" s="5" t="str">
        <f aca="false">IF(F263="","",TRIM(F263)&amp;"|"&amp;(SUMPRODUCT((TRIM($F$2:$F$309)=TRIM(F263))*($I$2:$I$309&gt;I263))+1))</f>
        <v>דודו|51</v>
      </c>
      <c r="L263" s="5" t="str">
        <f aca="false">IF(F263="","",TRIM(F263)&amp;"|"&amp;(SUMPRODUCT((TRIM($F$2:$F$309)=TRIM(F263))*($B$2:$B$309&lt;B263))+1))</f>
        <v>דודו|51</v>
      </c>
      <c r="M263" s="5" t="n">
        <f aca="false">IF(F263="","",SUMPRODUCT((TRIM($F$2:$F$309)=TRIM(F263))*($I$2:$I$309&gt;I263))+1)</f>
        <v>51</v>
      </c>
    </row>
    <row r="264" customFormat="false" ht="15" hidden="false" customHeight="false" outlineLevel="0" collapsed="false">
      <c r="A264" s="5" t="s">
        <v>408</v>
      </c>
      <c r="B264" s="5" t="n">
        <v>190</v>
      </c>
      <c r="C264" s="5" t="n">
        <v>143</v>
      </c>
      <c r="D264" s="5" t="s">
        <v>44</v>
      </c>
      <c r="E264" s="5" t="s">
        <v>45</v>
      </c>
      <c r="F264" s="5" t="s">
        <v>46</v>
      </c>
      <c r="G264" s="5"/>
      <c r="H264" s="5"/>
      <c r="I264" s="6" t="n">
        <v>7301.7</v>
      </c>
      <c r="J264" s="6" t="n">
        <v>20345.7</v>
      </c>
      <c r="K264" s="5" t="str">
        <f aca="false">IF(F264="","",TRIM(F264)&amp;"|"&amp;(SUMPRODUCT((TRIM($F$2:$F$309)=TRIM(F264))*($I$2:$I$309&gt;I264))+1))</f>
        <v>חדש|31</v>
      </c>
      <c r="L264" s="5" t="str">
        <f aca="false">IF(F264="","",TRIM(F264)&amp;"|"&amp;(SUMPRODUCT((TRIM($F$2:$F$309)=TRIM(F264))*($B$2:$B$309&lt;B264))+1))</f>
        <v>חדש|40</v>
      </c>
      <c r="M264" s="5" t="n">
        <f aca="false">IF(F264="","",SUMPRODUCT((TRIM($F$2:$F$309)=TRIM(F264))*($I$2:$I$309&gt;I264))+1)</f>
        <v>31</v>
      </c>
    </row>
    <row r="265" customFormat="false" ht="15" hidden="false" customHeight="false" outlineLevel="0" collapsed="false">
      <c r="A265" s="5" t="s">
        <v>409</v>
      </c>
      <c r="B265" s="5" t="n">
        <v>242</v>
      </c>
      <c r="C265" s="5" t="n">
        <v>268</v>
      </c>
      <c r="D265" s="5" t="s">
        <v>295</v>
      </c>
      <c r="E265" s="5" t="s">
        <v>54</v>
      </c>
      <c r="F265" s="5" t="s">
        <v>59</v>
      </c>
      <c r="G265" s="5"/>
      <c r="H265" s="5"/>
      <c r="I265" s="6" t="n">
        <v>2163.9</v>
      </c>
      <c r="J265" s="6" t="n">
        <v>14365.7</v>
      </c>
      <c r="K265" s="5" t="str">
        <f aca="false">IF(F265="","",TRIM(F265)&amp;"|"&amp;(SUMPRODUCT((TRIM($F$2:$F$309)=TRIM(F265))*($I$2:$I$309&gt;I265))+1))</f>
        <v>סטאס|63</v>
      </c>
      <c r="L265" s="5" t="str">
        <f aca="false">IF(F265="","",TRIM(F265)&amp;"|"&amp;(SUMPRODUCT((TRIM($F$2:$F$309)=TRIM(F265))*($B$2:$B$309&lt;B265))+1))</f>
        <v>סטאס|49</v>
      </c>
      <c r="M265" s="5" t="n">
        <f aca="false">IF(F265="","",SUMPRODUCT((TRIM($F$2:$F$309)=TRIM(F265))*($I$2:$I$309&gt;I265))+1)</f>
        <v>63</v>
      </c>
    </row>
    <row r="266" customFormat="false" ht="15" hidden="false" customHeight="false" outlineLevel="0" collapsed="false">
      <c r="A266" s="5" t="s">
        <v>410</v>
      </c>
      <c r="B266" s="5" t="n">
        <v>169</v>
      </c>
      <c r="C266" s="5" t="n">
        <v>164</v>
      </c>
      <c r="D266" s="5" t="s">
        <v>128</v>
      </c>
      <c r="E266" s="5" t="s">
        <v>49</v>
      </c>
      <c r="F266" s="5" t="s">
        <v>46</v>
      </c>
      <c r="G266" s="5"/>
      <c r="H266" s="5"/>
      <c r="I266" s="6" t="n">
        <v>6120.2</v>
      </c>
      <c r="J266" s="6" t="n">
        <v>17178.9</v>
      </c>
      <c r="K266" s="5" t="str">
        <f aca="false">IF(F266="","",TRIM(F266)&amp;"|"&amp;(SUMPRODUCT((TRIM($F$2:$F$309)=TRIM(F266))*($I$2:$I$309&gt;I266))+1))</f>
        <v>חדש|39</v>
      </c>
      <c r="L266" s="5" t="str">
        <f aca="false">IF(F266="","",TRIM(F266)&amp;"|"&amp;(SUMPRODUCT((TRIM($F$2:$F$309)=TRIM(F266))*($B$2:$B$309&lt;B266))+1))</f>
        <v>חדש|33</v>
      </c>
      <c r="M266" s="5" t="n">
        <f aca="false">IF(F266="","",SUMPRODUCT((TRIM($F$2:$F$309)=TRIM(F266))*($I$2:$I$309&gt;I266))+1)</f>
        <v>39</v>
      </c>
    </row>
    <row r="267" customFormat="false" ht="15" hidden="false" customHeight="false" outlineLevel="0" collapsed="false">
      <c r="A267" s="5" t="s">
        <v>411</v>
      </c>
      <c r="B267" s="5" t="n">
        <v>271</v>
      </c>
      <c r="C267" s="5" t="n">
        <v>285</v>
      </c>
      <c r="D267" s="5" t="s">
        <v>412</v>
      </c>
      <c r="E267" s="5" t="s">
        <v>34</v>
      </c>
      <c r="F267" s="5" t="s">
        <v>59</v>
      </c>
      <c r="G267" s="5"/>
      <c r="H267" s="5"/>
      <c r="I267" s="6" t="n">
        <v>3938.1</v>
      </c>
      <c r="J267" s="6" t="n">
        <v>6297.5</v>
      </c>
      <c r="K267" s="5" t="str">
        <f aca="false">IF(F267="","",TRIM(F267)&amp;"|"&amp;(SUMPRODUCT((TRIM($F$2:$F$309)=TRIM(F267))*($I$2:$I$309&gt;I267))+1))</f>
        <v>סטאס|55</v>
      </c>
      <c r="L267" s="5" t="str">
        <f aca="false">IF(F267="","",TRIM(F267)&amp;"|"&amp;(SUMPRODUCT((TRIM($F$2:$F$309)=TRIM(F267))*($B$2:$B$309&lt;B267))+1))</f>
        <v>סטאס|57</v>
      </c>
      <c r="M267" s="5" t="n">
        <f aca="false">IF(F267="","",SUMPRODUCT((TRIM($F$2:$F$309)=TRIM(F267))*($I$2:$I$309&gt;I267))+1)</f>
        <v>55</v>
      </c>
    </row>
    <row r="268" customFormat="false" ht="15" hidden="false" customHeight="false" outlineLevel="0" collapsed="false">
      <c r="A268" s="5" t="s">
        <v>413</v>
      </c>
      <c r="B268" s="5" t="n">
        <v>241</v>
      </c>
      <c r="C268" s="5" t="n">
        <v>207</v>
      </c>
      <c r="D268" s="5" t="s">
        <v>414</v>
      </c>
      <c r="E268" s="5" t="s">
        <v>49</v>
      </c>
      <c r="F268" s="5" t="s">
        <v>46</v>
      </c>
      <c r="G268" s="5"/>
      <c r="H268" s="5"/>
      <c r="I268" s="6" t="n">
        <v>3177</v>
      </c>
      <c r="J268" s="6" t="n">
        <v>10616.7</v>
      </c>
      <c r="K268" s="5" t="str">
        <f aca="false">IF(F268="","",TRIM(F268)&amp;"|"&amp;(SUMPRODUCT((TRIM($F$2:$F$309)=TRIM(F268))*($I$2:$I$309&gt;I268))+1))</f>
        <v>חדש|70</v>
      </c>
      <c r="L268" s="5" t="str">
        <f aca="false">IF(F268="","",TRIM(F268)&amp;"|"&amp;(SUMPRODUCT((TRIM($F$2:$F$309)=TRIM(F268))*($B$2:$B$309&lt;B268))+1))</f>
        <v>חדש|60</v>
      </c>
      <c r="M268" s="5" t="n">
        <f aca="false">IF(F268="","",SUMPRODUCT((TRIM($F$2:$F$309)=TRIM(F268))*($I$2:$I$309&gt;I268))+1)</f>
        <v>70</v>
      </c>
    </row>
    <row r="269" customFormat="false" ht="15" hidden="false" customHeight="false" outlineLevel="0" collapsed="false">
      <c r="A269" s="5" t="s">
        <v>415</v>
      </c>
      <c r="B269" s="5" t="n">
        <v>23</v>
      </c>
      <c r="C269" s="5" t="n">
        <v>23</v>
      </c>
      <c r="D269" s="5" t="s">
        <v>156</v>
      </c>
      <c r="E269" s="5" t="s">
        <v>54</v>
      </c>
      <c r="F269" s="5" t="s">
        <v>35</v>
      </c>
      <c r="G269" s="5" t="n">
        <v>8</v>
      </c>
      <c r="H269" s="5"/>
      <c r="I269" s="6" t="n">
        <v>19507.5</v>
      </c>
      <c r="J269" s="6" t="n">
        <v>48087.6</v>
      </c>
      <c r="K269" s="5" t="str">
        <f aca="false">IF(F269="","",TRIM(F269)&amp;"|"&amp;(SUMPRODUCT((TRIM($F$2:$F$309)=TRIM(F269))*($I$2:$I$309&gt;I269))+1))</f>
        <v>חיים|10</v>
      </c>
      <c r="L269" s="5" t="str">
        <f aca="false">IF(F269="","",TRIM(F269)&amp;"|"&amp;(SUMPRODUCT((TRIM($F$2:$F$309)=TRIM(F269))*($B$2:$B$309&lt;B269))+1))</f>
        <v>חיים|6</v>
      </c>
      <c r="M269" s="5" t="n">
        <f aca="false">IF(F269="","",SUMPRODUCT((TRIM($F$2:$F$309)=TRIM(F269))*($I$2:$I$309&gt;I269))+1)</f>
        <v>10</v>
      </c>
    </row>
    <row r="270" customFormat="false" ht="15" hidden="false" customHeight="false" outlineLevel="0" collapsed="false">
      <c r="A270" s="5" t="s">
        <v>416</v>
      </c>
      <c r="B270" s="5" t="n">
        <v>138</v>
      </c>
      <c r="C270" s="5" t="n">
        <v>72</v>
      </c>
      <c r="D270" s="5" t="s">
        <v>156</v>
      </c>
      <c r="E270" s="5" t="s">
        <v>54</v>
      </c>
      <c r="F270" s="5" t="s">
        <v>35</v>
      </c>
      <c r="G270" s="5"/>
      <c r="H270" s="5"/>
      <c r="I270" s="6" t="n">
        <v>8419</v>
      </c>
      <c r="J270" s="6" t="n">
        <v>19042.4</v>
      </c>
      <c r="K270" s="5" t="str">
        <f aca="false">IF(F270="","",TRIM(F270)&amp;"|"&amp;(SUMPRODUCT((TRIM($F$2:$F$309)=TRIM(F270))*($I$2:$I$309&gt;I270))+1))</f>
        <v>חיים|50</v>
      </c>
      <c r="L270" s="5" t="str">
        <f aca="false">IF(F270="","",TRIM(F270)&amp;"|"&amp;(SUMPRODUCT((TRIM($F$2:$F$309)=TRIM(F270))*($B$2:$B$309&lt;B270))+1))</f>
        <v>חיים|44</v>
      </c>
      <c r="M270" s="5" t="n">
        <f aca="false">IF(F270="","",SUMPRODUCT((TRIM($F$2:$F$309)=TRIM(F270))*($I$2:$I$309&gt;I270))+1)</f>
        <v>50</v>
      </c>
    </row>
    <row r="271" customFormat="false" ht="15" hidden="false" customHeight="false" outlineLevel="0" collapsed="false">
      <c r="A271" s="5" t="s">
        <v>417</v>
      </c>
      <c r="B271" s="5" t="n">
        <v>156</v>
      </c>
      <c r="C271" s="5" t="n">
        <v>169</v>
      </c>
      <c r="D271" s="5" t="s">
        <v>77</v>
      </c>
      <c r="E271" s="5" t="s">
        <v>54</v>
      </c>
      <c r="F271" s="5" t="s">
        <v>11</v>
      </c>
      <c r="G271" s="5"/>
      <c r="H271" s="5"/>
      <c r="I271" s="6" t="n">
        <v>9090.1</v>
      </c>
      <c r="J271" s="6" t="n">
        <v>19282.8</v>
      </c>
      <c r="K271" s="5" t="str">
        <f aca="false">IF(F271="","",TRIM(F271)&amp;"|"&amp;(SUMPRODUCT((TRIM($F$2:$F$309)=TRIM(F271))*($I$2:$I$309&gt;I271))+1))</f>
        <v>דודו|45</v>
      </c>
      <c r="L271" s="5" t="str">
        <f aca="false">IF(F271="","",TRIM(F271)&amp;"|"&amp;(SUMPRODUCT((TRIM($F$2:$F$309)=TRIM(F271))*($B$2:$B$309&lt;B271))+1))</f>
        <v>דודו|45</v>
      </c>
      <c r="M271" s="5" t="n">
        <f aca="false">IF(F271="","",SUMPRODUCT((TRIM($F$2:$F$309)=TRIM(F271))*($I$2:$I$309&gt;I271))+1)</f>
        <v>45</v>
      </c>
    </row>
    <row r="272" customFormat="false" ht="15" hidden="false" customHeight="false" outlineLevel="0" collapsed="false">
      <c r="A272" s="5" t="s">
        <v>418</v>
      </c>
      <c r="B272" s="5" t="n">
        <v>257</v>
      </c>
      <c r="C272" s="5" t="n">
        <v>272</v>
      </c>
      <c r="D272" s="5" t="s">
        <v>100</v>
      </c>
      <c r="E272" s="5" t="s">
        <v>49</v>
      </c>
      <c r="F272" s="5" t="s">
        <v>46</v>
      </c>
      <c r="G272" s="5"/>
      <c r="H272" s="5"/>
      <c r="I272" s="6" t="n">
        <v>5585.2</v>
      </c>
      <c r="J272" s="6" t="n">
        <v>13814</v>
      </c>
      <c r="K272" s="5" t="str">
        <f aca="false">IF(F272="","",TRIM(F272)&amp;"|"&amp;(SUMPRODUCT((TRIM($F$2:$F$309)=TRIM(F272))*($I$2:$I$309&gt;I272))+1))</f>
        <v>חדש|46</v>
      </c>
      <c r="L272" s="5" t="str">
        <f aca="false">IF(F272="","",TRIM(F272)&amp;"|"&amp;(SUMPRODUCT((TRIM($F$2:$F$309)=TRIM(F272))*($B$2:$B$309&lt;B272))+1))</f>
        <v>חדש|64</v>
      </c>
      <c r="M272" s="5" t="n">
        <f aca="false">IF(F272="","",SUMPRODUCT((TRIM($F$2:$F$309)=TRIM(F272))*($I$2:$I$309&gt;I272))+1)</f>
        <v>46</v>
      </c>
    </row>
    <row r="273" customFormat="false" ht="15" hidden="false" customHeight="false" outlineLevel="0" collapsed="false">
      <c r="A273" s="5" t="s">
        <v>419</v>
      </c>
      <c r="B273" s="5" t="n">
        <v>111</v>
      </c>
      <c r="C273" s="5" t="n">
        <v>171</v>
      </c>
      <c r="D273" s="5" t="s">
        <v>44</v>
      </c>
      <c r="E273" s="5" t="s">
        <v>45</v>
      </c>
      <c r="F273" s="5" t="s">
        <v>46</v>
      </c>
      <c r="G273" s="5"/>
      <c r="H273" s="5"/>
      <c r="I273" s="6" t="n">
        <v>10966.4</v>
      </c>
      <c r="J273" s="6" t="n">
        <v>21280.9</v>
      </c>
      <c r="K273" s="5" t="str">
        <f aca="false">IF(F273="","",TRIM(F273)&amp;"|"&amp;(SUMPRODUCT((TRIM($F$2:$F$309)=TRIM(F273))*($I$2:$I$309&gt;I273))+1))</f>
        <v>חדש|15</v>
      </c>
      <c r="L273" s="5" t="str">
        <f aca="false">IF(F273="","",TRIM(F273)&amp;"|"&amp;(SUMPRODUCT((TRIM($F$2:$F$309)=TRIM(F273))*($B$2:$B$309&lt;B273))+1))</f>
        <v>חדש|16</v>
      </c>
      <c r="M273" s="5" t="n">
        <f aca="false">IF(F273="","",SUMPRODUCT((TRIM($F$2:$F$309)=TRIM(F273))*($I$2:$I$309&gt;I273))+1)</f>
        <v>15</v>
      </c>
    </row>
    <row r="274" customFormat="false" ht="15" hidden="false" customHeight="false" outlineLevel="0" collapsed="false">
      <c r="A274" s="5" t="s">
        <v>420</v>
      </c>
      <c r="B274" s="5" t="n">
        <v>263</v>
      </c>
      <c r="C274" s="5" t="n">
        <v>282</v>
      </c>
      <c r="D274" s="5" t="s">
        <v>302</v>
      </c>
      <c r="E274" s="5" t="s">
        <v>54</v>
      </c>
      <c r="F274" s="5" t="s">
        <v>59</v>
      </c>
      <c r="G274" s="5"/>
      <c r="H274" s="5"/>
      <c r="I274" s="6" t="n">
        <v>3673.4</v>
      </c>
      <c r="J274" s="6" t="n">
        <v>9550.1</v>
      </c>
      <c r="K274" s="5" t="str">
        <f aca="false">IF(F274="","",TRIM(F274)&amp;"|"&amp;(SUMPRODUCT((TRIM($F$2:$F$309)=TRIM(F274))*($I$2:$I$309&gt;I274))+1))</f>
        <v>סטאס|56</v>
      </c>
      <c r="L274" s="5" t="str">
        <f aca="false">IF(F274="","",TRIM(F274)&amp;"|"&amp;(SUMPRODUCT((TRIM($F$2:$F$309)=TRIM(F274))*($B$2:$B$309&lt;B274))+1))</f>
        <v>סטאס|55</v>
      </c>
      <c r="M274" s="5" t="n">
        <f aca="false">IF(F274="","",SUMPRODUCT((TRIM($F$2:$F$309)=TRIM(F274))*($I$2:$I$309&gt;I274))+1)</f>
        <v>56</v>
      </c>
    </row>
    <row r="275" customFormat="false" ht="15" hidden="false" customHeight="false" outlineLevel="0" collapsed="false">
      <c r="A275" s="5" t="s">
        <v>421</v>
      </c>
      <c r="B275" s="5" t="n">
        <v>24</v>
      </c>
      <c r="C275" s="5" t="n">
        <v>63</v>
      </c>
      <c r="D275" s="5" t="s">
        <v>72</v>
      </c>
      <c r="E275" s="5" t="s">
        <v>72</v>
      </c>
      <c r="F275" s="5" t="s">
        <v>11</v>
      </c>
      <c r="G275" s="5" t="n">
        <v>19</v>
      </c>
      <c r="H275" s="5"/>
      <c r="I275" s="6" t="n">
        <v>33328.8</v>
      </c>
      <c r="J275" s="6" t="n">
        <v>58295.4</v>
      </c>
      <c r="K275" s="5" t="str">
        <f aca="false">IF(F275="","",TRIM(F275)&amp;"|"&amp;(SUMPRODUCT((TRIM($F$2:$F$309)=TRIM(F275))*($I$2:$I$309&gt;I275))+1))</f>
        <v>דודו|4</v>
      </c>
      <c r="L275" s="5" t="str">
        <f aca="false">IF(F275="","",TRIM(F275)&amp;"|"&amp;(SUMPRODUCT((TRIM($F$2:$F$309)=TRIM(F275))*($B$2:$B$309&lt;B275))+1))</f>
        <v>דודו|10</v>
      </c>
      <c r="M275" s="5" t="n">
        <f aca="false">IF(F275="","",SUMPRODUCT((TRIM($F$2:$F$309)=TRIM(F275))*($I$2:$I$309&gt;I275))+1)</f>
        <v>4</v>
      </c>
    </row>
    <row r="276" customFormat="false" ht="15" hidden="false" customHeight="false" outlineLevel="0" collapsed="false">
      <c r="A276" s="5" t="s">
        <v>422</v>
      </c>
      <c r="B276" s="5" t="n">
        <v>151</v>
      </c>
      <c r="C276" s="5" t="n">
        <v>135</v>
      </c>
      <c r="D276" s="5" t="s">
        <v>111</v>
      </c>
      <c r="E276" s="5" t="s">
        <v>40</v>
      </c>
      <c r="F276" s="5" t="s">
        <v>59</v>
      </c>
      <c r="G276" s="5"/>
      <c r="H276" s="5"/>
      <c r="I276" s="6" t="n">
        <v>10460</v>
      </c>
      <c r="J276" s="6" t="n">
        <v>22074.3</v>
      </c>
      <c r="K276" s="5" t="str">
        <f aca="false">IF(F276="","",TRIM(F276)&amp;"|"&amp;(SUMPRODUCT((TRIM($F$2:$F$309)=TRIM(F276))*($I$2:$I$309&gt;I276))+1))</f>
        <v>סטאס|22</v>
      </c>
      <c r="L276" s="5" t="str">
        <f aca="false">IF(F276="","",TRIM(F276)&amp;"|"&amp;(SUMPRODUCT((TRIM($F$2:$F$309)=TRIM(F276))*($B$2:$B$309&lt;B276))+1))</f>
        <v>סטאס|32</v>
      </c>
      <c r="M276" s="5" t="n">
        <f aca="false">IF(F276="","",SUMPRODUCT((TRIM($F$2:$F$309)=TRIM(F276))*($I$2:$I$309&gt;I276))+1)</f>
        <v>22</v>
      </c>
    </row>
    <row r="277" customFormat="false" ht="15" hidden="false" customHeight="false" outlineLevel="0" collapsed="false">
      <c r="A277" s="5" t="s">
        <v>423</v>
      </c>
      <c r="B277" s="5" t="n">
        <v>68</v>
      </c>
      <c r="C277" s="5" t="n">
        <v>87</v>
      </c>
      <c r="D277" s="5" t="s">
        <v>191</v>
      </c>
      <c r="E277" s="5" t="s">
        <v>34</v>
      </c>
      <c r="F277" s="5" t="s">
        <v>35</v>
      </c>
      <c r="G277" s="5"/>
      <c r="H277" s="5"/>
      <c r="I277" s="6" t="n">
        <v>9716.7</v>
      </c>
      <c r="J277" s="6" t="n">
        <v>22927</v>
      </c>
      <c r="K277" s="5" t="str">
        <f aca="false">IF(F277="","",TRIM(F277)&amp;"|"&amp;(SUMPRODUCT((TRIM($F$2:$F$309)=TRIM(F277))*($I$2:$I$309&gt;I277))+1))</f>
        <v>חיים|36</v>
      </c>
      <c r="L277" s="5" t="str">
        <f aca="false">IF(F277="","",TRIM(F277)&amp;"|"&amp;(SUMPRODUCT((TRIM($F$2:$F$309)=TRIM(F277))*($B$2:$B$309&lt;B277))+1))</f>
        <v>חיים|20</v>
      </c>
      <c r="M277" s="5" t="n">
        <f aca="false">IF(F277="","",SUMPRODUCT((TRIM($F$2:$F$309)=TRIM(F277))*($I$2:$I$309&gt;I277))+1)</f>
        <v>36</v>
      </c>
    </row>
    <row r="278" customFormat="false" ht="15" hidden="false" customHeight="false" outlineLevel="0" collapsed="false">
      <c r="A278" s="5" t="s">
        <v>424</v>
      </c>
      <c r="B278" s="5" t="n">
        <v>81</v>
      </c>
      <c r="C278" s="5" t="n">
        <v>78</v>
      </c>
      <c r="D278" s="5" t="s">
        <v>295</v>
      </c>
      <c r="E278" s="5" t="s">
        <v>54</v>
      </c>
      <c r="F278" s="5" t="s">
        <v>59</v>
      </c>
      <c r="G278" s="5" t="n">
        <v>17</v>
      </c>
      <c r="H278" s="5"/>
      <c r="I278" s="6" t="n">
        <v>11966.1</v>
      </c>
      <c r="J278" s="6" t="n">
        <v>25143.3</v>
      </c>
      <c r="K278" s="5" t="str">
        <f aca="false">IF(F278="","",TRIM(F278)&amp;"|"&amp;(SUMPRODUCT((TRIM($F$2:$F$309)=TRIM(F278))*($I$2:$I$309&gt;I278))+1))</f>
        <v>סטאס|15</v>
      </c>
      <c r="L278" s="5" t="str">
        <f aca="false">IF(F278="","",TRIM(F278)&amp;"|"&amp;(SUMPRODUCT((TRIM($F$2:$F$309)=TRIM(F278))*($B$2:$B$309&lt;B278))+1))</f>
        <v>סטאס|14</v>
      </c>
      <c r="M278" s="5" t="n">
        <f aca="false">IF(F278="","",SUMPRODUCT((TRIM($F$2:$F$309)=TRIM(F278))*($I$2:$I$309&gt;I278))+1)</f>
        <v>15</v>
      </c>
    </row>
    <row r="279" customFormat="false" ht="15" hidden="false" customHeight="false" outlineLevel="0" collapsed="false">
      <c r="A279" s="5" t="s">
        <v>425</v>
      </c>
      <c r="B279" s="5" t="n">
        <v>100</v>
      </c>
      <c r="C279" s="5" t="n">
        <v>61</v>
      </c>
      <c r="D279" s="5" t="s">
        <v>70</v>
      </c>
      <c r="E279" s="5" t="s">
        <v>37</v>
      </c>
      <c r="F279" s="5" t="s">
        <v>35</v>
      </c>
      <c r="G279" s="5" t="n">
        <v>20</v>
      </c>
      <c r="H279" s="5"/>
      <c r="I279" s="6" t="n">
        <v>12857.6</v>
      </c>
      <c r="J279" s="6" t="n">
        <v>26722.6</v>
      </c>
      <c r="K279" s="5" t="str">
        <f aca="false">IF(F279="","",TRIM(F279)&amp;"|"&amp;(SUMPRODUCT((TRIM($F$2:$F$309)=TRIM(F279))*($I$2:$I$309&gt;I279))+1))</f>
        <v>חיים|22</v>
      </c>
      <c r="L279" s="5" t="str">
        <f aca="false">IF(F279="","",TRIM(F279)&amp;"|"&amp;(SUMPRODUCT((TRIM($F$2:$F$309)=TRIM(F279))*($B$2:$B$309&lt;B279))+1))</f>
        <v>חיים|32</v>
      </c>
      <c r="M279" s="5" t="n">
        <f aca="false">IF(F279="","",SUMPRODUCT((TRIM($F$2:$F$309)=TRIM(F279))*($I$2:$I$309&gt;I279))+1)</f>
        <v>22</v>
      </c>
    </row>
    <row r="280" customFormat="false" ht="15" hidden="false" customHeight="false" outlineLevel="0" collapsed="false">
      <c r="A280" s="5" t="s">
        <v>426</v>
      </c>
      <c r="B280" s="5" t="n">
        <v>197</v>
      </c>
      <c r="C280" s="5" t="n">
        <v>154</v>
      </c>
      <c r="D280" s="5" t="s">
        <v>44</v>
      </c>
      <c r="E280" s="5" t="s">
        <v>45</v>
      </c>
      <c r="F280" s="5" t="s">
        <v>46</v>
      </c>
      <c r="G280" s="5"/>
      <c r="H280" s="5"/>
      <c r="I280" s="6" t="n">
        <v>7681.9</v>
      </c>
      <c r="J280" s="6" t="n">
        <v>21866.3</v>
      </c>
      <c r="K280" s="5" t="str">
        <f aca="false">IF(F280="","",TRIM(F280)&amp;"|"&amp;(SUMPRODUCT((TRIM($F$2:$F$309)=TRIM(F280))*($I$2:$I$309&gt;I280))+1))</f>
        <v>חדש|28</v>
      </c>
      <c r="L280" s="5" t="str">
        <f aca="false">IF(F280="","",TRIM(F280)&amp;"|"&amp;(SUMPRODUCT((TRIM($F$2:$F$309)=TRIM(F280))*($B$2:$B$309&lt;B280))+1))</f>
        <v>חדש|43</v>
      </c>
      <c r="M280" s="5" t="n">
        <f aca="false">IF(F280="","",SUMPRODUCT((TRIM($F$2:$F$309)=TRIM(F280))*($I$2:$I$309&gt;I280))+1)</f>
        <v>28</v>
      </c>
    </row>
    <row r="281" customFormat="false" ht="15" hidden="false" customHeight="false" outlineLevel="0" collapsed="false">
      <c r="A281" s="5" t="s">
        <v>427</v>
      </c>
      <c r="B281" s="5" t="n">
        <v>91</v>
      </c>
      <c r="C281" s="5" t="n">
        <v>95</v>
      </c>
      <c r="D281" s="5" t="s">
        <v>428</v>
      </c>
      <c r="E281" s="5" t="s">
        <v>49</v>
      </c>
      <c r="F281" s="5" t="s">
        <v>46</v>
      </c>
      <c r="G281" s="5" t="n">
        <v>13</v>
      </c>
      <c r="H281" s="5"/>
      <c r="I281" s="6" t="n">
        <v>12071.7</v>
      </c>
      <c r="J281" s="6" t="n">
        <v>32051.7</v>
      </c>
      <c r="K281" s="5" t="str">
        <f aca="false">IF(F281="","",TRIM(F281)&amp;"|"&amp;(SUMPRODUCT((TRIM($F$2:$F$309)=TRIM(F281))*($I$2:$I$309&gt;I281))+1))</f>
        <v>חדש|12</v>
      </c>
      <c r="L281" s="5" t="str">
        <f aca="false">IF(F281="","",TRIM(F281)&amp;"|"&amp;(SUMPRODUCT((TRIM($F$2:$F$309)=TRIM(F281))*($B$2:$B$309&lt;B281))+1))</f>
        <v>חדש|13</v>
      </c>
      <c r="M281" s="5" t="n">
        <f aca="false">IF(F281="","",SUMPRODUCT((TRIM($F$2:$F$309)=TRIM(F281))*($I$2:$I$309&gt;I281))+1)</f>
        <v>12</v>
      </c>
    </row>
    <row r="282" customFormat="false" ht="15" hidden="false" customHeight="false" outlineLevel="0" collapsed="false">
      <c r="A282" s="5" t="s">
        <v>429</v>
      </c>
      <c r="B282" s="5" t="n">
        <v>6</v>
      </c>
      <c r="C282" s="5" t="n">
        <v>1</v>
      </c>
      <c r="D282" s="5" t="s">
        <v>70</v>
      </c>
      <c r="E282" s="5" t="s">
        <v>37</v>
      </c>
      <c r="F282" s="5" t="s">
        <v>35</v>
      </c>
      <c r="G282" s="5" t="n">
        <v>1</v>
      </c>
      <c r="H282" s="5"/>
      <c r="I282" s="6" t="n">
        <v>24534.1</v>
      </c>
      <c r="J282" s="6" t="n">
        <v>59959.7</v>
      </c>
      <c r="K282" s="5" t="str">
        <f aca="false">IF(F282="","",TRIM(F282)&amp;"|"&amp;(SUMPRODUCT((TRIM($F$2:$F$309)=TRIM(F282))*($I$2:$I$309&gt;I282))+1))</f>
        <v>חיים|3</v>
      </c>
      <c r="L282" s="5" t="str">
        <f aca="false">IF(F282="","",TRIM(F282)&amp;"|"&amp;(SUMPRODUCT((TRIM($F$2:$F$309)=TRIM(F282))*($B$2:$B$309&lt;B282))+1))</f>
        <v>חיים|2</v>
      </c>
      <c r="M282" s="5" t="n">
        <f aca="false">IF(F282="","",SUMPRODUCT((TRIM($F$2:$F$309)=TRIM(F282))*($I$2:$I$309&gt;I282))+1)</f>
        <v>3</v>
      </c>
    </row>
    <row r="283" customFormat="false" ht="15" hidden="false" customHeight="false" outlineLevel="0" collapsed="false">
      <c r="A283" s="5" t="s">
        <v>430</v>
      </c>
      <c r="B283" s="5" t="n">
        <v>180</v>
      </c>
      <c r="C283" s="5" t="n">
        <v>150</v>
      </c>
      <c r="D283" s="5" t="s">
        <v>70</v>
      </c>
      <c r="E283" s="5" t="s">
        <v>37</v>
      </c>
      <c r="F283" s="5" t="s">
        <v>35</v>
      </c>
      <c r="G283" s="5"/>
      <c r="H283" s="5"/>
      <c r="I283" s="6" t="n">
        <v>7371.7</v>
      </c>
      <c r="J283" s="6" t="n">
        <v>19922</v>
      </c>
      <c r="K283" s="5" t="str">
        <f aca="false">IF(F283="","",TRIM(F283)&amp;"|"&amp;(SUMPRODUCT((TRIM($F$2:$F$309)=TRIM(F283))*($I$2:$I$309&gt;I283))+1))</f>
        <v>חיים|58</v>
      </c>
      <c r="L283" s="5" t="str">
        <f aca="false">IF(F283="","",TRIM(F283)&amp;"|"&amp;(SUMPRODUCT((TRIM($F$2:$F$309)=TRIM(F283))*($B$2:$B$309&lt;B283))+1))</f>
        <v>חיים|58</v>
      </c>
      <c r="M283" s="5" t="n">
        <f aca="false">IF(F283="","",SUMPRODUCT((TRIM($F$2:$F$309)=TRIM(F283))*($I$2:$I$309&gt;I283))+1)</f>
        <v>58</v>
      </c>
    </row>
    <row r="284" customFormat="false" ht="15" hidden="false" customHeight="false" outlineLevel="0" collapsed="false">
      <c r="A284" s="5" t="s">
        <v>431</v>
      </c>
      <c r="B284" s="5" t="n">
        <v>64</v>
      </c>
      <c r="C284" s="5" t="n">
        <v>118</v>
      </c>
      <c r="D284" s="5" t="s">
        <v>399</v>
      </c>
      <c r="E284" s="5" t="s">
        <v>54</v>
      </c>
      <c r="F284" s="5" t="s">
        <v>35</v>
      </c>
      <c r="G284" s="5"/>
      <c r="H284" s="5"/>
      <c r="I284" s="6" t="n">
        <v>17571</v>
      </c>
      <c r="J284" s="6" t="n">
        <v>29524.7</v>
      </c>
      <c r="K284" s="5" t="str">
        <f aca="false">IF(F284="","",TRIM(F284)&amp;"|"&amp;(SUMPRODUCT((TRIM($F$2:$F$309)=TRIM(F284))*($I$2:$I$309&gt;I284))+1))</f>
        <v>חיים|14</v>
      </c>
      <c r="L284" s="5" t="str">
        <f aca="false">IF(F284="","",TRIM(F284)&amp;"|"&amp;(SUMPRODUCT((TRIM($F$2:$F$309)=TRIM(F284))*($B$2:$B$309&lt;B284))+1))</f>
        <v>חיים|19</v>
      </c>
      <c r="M284" s="5" t="n">
        <f aca="false">IF(F284="","",SUMPRODUCT((TRIM($F$2:$F$309)=TRIM(F284))*($I$2:$I$309&gt;I284))+1)</f>
        <v>14</v>
      </c>
    </row>
    <row r="285" customFormat="false" ht="15" hidden="false" customHeight="false" outlineLevel="0" collapsed="false">
      <c r="A285" s="5" t="s">
        <v>432</v>
      </c>
      <c r="B285" s="5" t="n">
        <v>47</v>
      </c>
      <c r="C285" s="5" t="n">
        <v>28</v>
      </c>
      <c r="D285" s="5" t="s">
        <v>399</v>
      </c>
      <c r="E285" s="5" t="s">
        <v>54</v>
      </c>
      <c r="F285" s="5" t="s">
        <v>35</v>
      </c>
      <c r="G285" s="5" t="n">
        <v>11</v>
      </c>
      <c r="H285" s="5"/>
      <c r="I285" s="6" t="n">
        <v>14226.5</v>
      </c>
      <c r="J285" s="6" t="n">
        <v>36868.9</v>
      </c>
      <c r="K285" s="5" t="str">
        <f aca="false">IF(F285="","",TRIM(F285)&amp;"|"&amp;(SUMPRODUCT((TRIM($F$2:$F$309)=TRIM(F285))*($I$2:$I$309&gt;I285))+1))</f>
        <v>חיים|18</v>
      </c>
      <c r="L285" s="5" t="str">
        <f aca="false">IF(F285="","",TRIM(F285)&amp;"|"&amp;(SUMPRODUCT((TRIM($F$2:$F$309)=TRIM(F285))*($B$2:$B$309&lt;B285))+1))</f>
        <v>חיים|13</v>
      </c>
      <c r="M285" s="5" t="n">
        <f aca="false">IF(F285="","",SUMPRODUCT((TRIM($F$2:$F$309)=TRIM(F285))*($I$2:$I$309&gt;I285))+1)</f>
        <v>18</v>
      </c>
    </row>
    <row r="286" customFormat="false" ht="15" hidden="false" customHeight="false" outlineLevel="0" collapsed="false">
      <c r="A286" s="5" t="s">
        <v>433</v>
      </c>
      <c r="B286" s="5" t="n">
        <v>220</v>
      </c>
      <c r="C286" s="5" t="n">
        <v>240</v>
      </c>
      <c r="D286" s="5" t="s">
        <v>248</v>
      </c>
      <c r="E286" s="5" t="s">
        <v>40</v>
      </c>
      <c r="F286" s="5" t="s">
        <v>59</v>
      </c>
      <c r="G286" s="5"/>
      <c r="H286" s="5"/>
      <c r="I286" s="6" t="n">
        <v>6061.2</v>
      </c>
      <c r="J286" s="6" t="n">
        <v>17090.1</v>
      </c>
      <c r="K286" s="5" t="str">
        <f aca="false">IF(F286="","",TRIM(F286)&amp;"|"&amp;(SUMPRODUCT((TRIM($F$2:$F$309)=TRIM(F286))*($I$2:$I$309&gt;I286))+1))</f>
        <v>סטאס|44</v>
      </c>
      <c r="L286" s="5" t="str">
        <f aca="false">IF(F286="","",TRIM(F286)&amp;"|"&amp;(SUMPRODUCT((TRIM($F$2:$F$309)=TRIM(F286))*($B$2:$B$309&lt;B286))+1))</f>
        <v>סטאס|47</v>
      </c>
      <c r="M286" s="5" t="n">
        <f aca="false">IF(F286="","",SUMPRODUCT((TRIM($F$2:$F$309)=TRIM(F286))*($I$2:$I$309&gt;I286))+1)</f>
        <v>44</v>
      </c>
    </row>
    <row r="287" customFormat="false" ht="15" hidden="false" customHeight="false" outlineLevel="0" collapsed="false">
      <c r="A287" s="5" t="s">
        <v>434</v>
      </c>
      <c r="B287" s="5" t="n">
        <v>134</v>
      </c>
      <c r="C287" s="5" t="n">
        <v>170</v>
      </c>
      <c r="D287" s="5" t="s">
        <v>435</v>
      </c>
      <c r="E287" s="5" t="s">
        <v>54</v>
      </c>
      <c r="F287" s="5" t="s">
        <v>59</v>
      </c>
      <c r="G287" s="5"/>
      <c r="H287" s="5"/>
      <c r="I287" s="6" t="n">
        <v>14713</v>
      </c>
      <c r="J287" s="6" t="n">
        <v>16439.4</v>
      </c>
      <c r="K287" s="5" t="str">
        <f aca="false">IF(F287="","",TRIM(F287)&amp;"|"&amp;(SUMPRODUCT((TRIM($F$2:$F$309)=TRIM(F287))*($I$2:$I$309&gt;I287))+1))</f>
        <v>סטאס|9</v>
      </c>
      <c r="L287" s="5" t="str">
        <f aca="false">IF(F287="","",TRIM(F287)&amp;"|"&amp;(SUMPRODUCT((TRIM($F$2:$F$309)=TRIM(F287))*($B$2:$B$309&lt;B287))+1))</f>
        <v>סטאס|28</v>
      </c>
      <c r="M287" s="5" t="n">
        <f aca="false">IF(F287="","",SUMPRODUCT((TRIM($F$2:$F$309)=TRIM(F287))*($I$2:$I$309&gt;I287))+1)</f>
        <v>9</v>
      </c>
    </row>
    <row r="288" customFormat="false" ht="15" hidden="false" customHeight="false" outlineLevel="0" collapsed="false">
      <c r="A288" s="5" t="s">
        <v>436</v>
      </c>
      <c r="B288" s="5" t="n">
        <v>41</v>
      </c>
      <c r="C288" s="5" t="n">
        <v>17</v>
      </c>
      <c r="D288" s="5" t="s">
        <v>148</v>
      </c>
      <c r="E288" s="5" t="s">
        <v>54</v>
      </c>
      <c r="F288" s="5" t="s">
        <v>35</v>
      </c>
      <c r="G288" s="5" t="n">
        <v>4</v>
      </c>
      <c r="H288" s="5"/>
      <c r="I288" s="6" t="n">
        <v>20698.5</v>
      </c>
      <c r="J288" s="6" t="n">
        <v>35091.5</v>
      </c>
      <c r="K288" s="5" t="str">
        <f aca="false">IF(F288="","",TRIM(F288)&amp;"|"&amp;(SUMPRODUCT((TRIM($F$2:$F$309)=TRIM(F288))*($I$2:$I$309&gt;I288))+1))</f>
        <v>חיים|8</v>
      </c>
      <c r="L288" s="5" t="str">
        <f aca="false">IF(F288="","",TRIM(F288)&amp;"|"&amp;(SUMPRODUCT((TRIM($F$2:$F$309)=TRIM(F288))*($B$2:$B$309&lt;B288))+1))</f>
        <v>חיים|12</v>
      </c>
      <c r="M288" s="5" t="n">
        <f aca="false">IF(F288="","",SUMPRODUCT((TRIM($F$2:$F$309)=TRIM(F288))*($I$2:$I$309&gt;I288))+1)</f>
        <v>8</v>
      </c>
    </row>
    <row r="289" customFormat="false" ht="15" hidden="false" customHeight="false" outlineLevel="0" collapsed="false">
      <c r="A289" s="5" t="s">
        <v>437</v>
      </c>
      <c r="B289" s="5" t="n">
        <v>75</v>
      </c>
      <c r="C289" s="5" t="n">
        <v>108</v>
      </c>
      <c r="D289" s="5" t="s">
        <v>438</v>
      </c>
      <c r="E289" s="5" t="s">
        <v>40</v>
      </c>
      <c r="F289" s="5" t="s">
        <v>11</v>
      </c>
      <c r="G289" s="5"/>
      <c r="H289" s="5"/>
      <c r="I289" s="6" t="n">
        <v>9066.9</v>
      </c>
      <c r="J289" s="6" t="n">
        <v>29751.8</v>
      </c>
      <c r="K289" s="5" t="str">
        <f aca="false">IF(F289="","",TRIM(F289)&amp;"|"&amp;(SUMPRODUCT((TRIM($F$2:$F$309)=TRIM(F289))*($I$2:$I$309&gt;I289))+1))</f>
        <v>דודו|46</v>
      </c>
      <c r="L289" s="5" t="str">
        <f aca="false">IF(F289="","",TRIM(F289)&amp;"|"&amp;(SUMPRODUCT((TRIM($F$2:$F$309)=TRIM(F289))*($B$2:$B$309&lt;B289))+1))</f>
        <v>דודו|30</v>
      </c>
      <c r="M289" s="5" t="n">
        <f aca="false">IF(F289="","",SUMPRODUCT((TRIM($F$2:$F$309)=TRIM(F289))*($I$2:$I$309&gt;I289))+1)</f>
        <v>46</v>
      </c>
    </row>
    <row r="290" customFormat="false" ht="15" hidden="false" customHeight="false" outlineLevel="0" collapsed="false">
      <c r="A290" s="5" t="s">
        <v>439</v>
      </c>
      <c r="B290" s="5" t="n">
        <v>117</v>
      </c>
      <c r="C290" s="5" t="n">
        <v>49</v>
      </c>
      <c r="D290" s="5" t="s">
        <v>440</v>
      </c>
      <c r="E290" s="5" t="s">
        <v>54</v>
      </c>
      <c r="F290" s="5" t="s">
        <v>59</v>
      </c>
      <c r="G290" s="5" t="n">
        <v>11</v>
      </c>
      <c r="H290" s="5"/>
      <c r="I290" s="6" t="n">
        <v>9408.5</v>
      </c>
      <c r="J290" s="6" t="n">
        <v>21063.6</v>
      </c>
      <c r="K290" s="5" t="str">
        <f aca="false">IF(F290="","",TRIM(F290)&amp;"|"&amp;(SUMPRODUCT((TRIM($F$2:$F$309)=TRIM(F290))*($I$2:$I$309&gt;I290))+1))</f>
        <v>סטאס|27</v>
      </c>
      <c r="L290" s="5" t="str">
        <f aca="false">IF(F290="","",TRIM(F290)&amp;"|"&amp;(SUMPRODUCT((TRIM($F$2:$F$309)=TRIM(F290))*($B$2:$B$309&lt;B290))+1))</f>
        <v>סטאס|22</v>
      </c>
      <c r="M290" s="5" t="n">
        <f aca="false">IF(F290="","",SUMPRODUCT((TRIM($F$2:$F$309)=TRIM(F290))*($I$2:$I$309&gt;I290))+1)</f>
        <v>27</v>
      </c>
    </row>
    <row r="291" customFormat="false" ht="15" hidden="false" customHeight="false" outlineLevel="0" collapsed="false">
      <c r="A291" s="5" t="s">
        <v>441</v>
      </c>
      <c r="B291" s="5" t="n">
        <v>71</v>
      </c>
      <c r="C291" s="5" t="n">
        <v>48</v>
      </c>
      <c r="D291" s="5" t="s">
        <v>109</v>
      </c>
      <c r="E291" s="5" t="s">
        <v>109</v>
      </c>
      <c r="F291" s="5" t="s">
        <v>11</v>
      </c>
      <c r="G291" s="5" t="n">
        <v>16</v>
      </c>
      <c r="H291" s="5"/>
      <c r="I291" s="6" t="n">
        <v>10738.9</v>
      </c>
      <c r="J291" s="6" t="n">
        <v>27958.3</v>
      </c>
      <c r="K291" s="5" t="str">
        <f aca="false">IF(F291="","",TRIM(F291)&amp;"|"&amp;(SUMPRODUCT((TRIM($F$2:$F$309)=TRIM(F291))*($I$2:$I$309&gt;I291))+1))</f>
        <v>דודו|40</v>
      </c>
      <c r="L291" s="5" t="str">
        <f aca="false">IF(F291="","",TRIM(F291)&amp;"|"&amp;(SUMPRODUCT((TRIM($F$2:$F$309)=TRIM(F291))*($B$2:$B$309&lt;B291))+1))</f>
        <v>דודו|28</v>
      </c>
      <c r="M291" s="5" t="n">
        <f aca="false">IF(F291="","",SUMPRODUCT((TRIM($F$2:$F$309)=TRIM(F291))*($I$2:$I$309&gt;I291))+1)</f>
        <v>40</v>
      </c>
    </row>
    <row r="292" customFormat="false" ht="15" hidden="false" customHeight="false" outlineLevel="0" collapsed="false">
      <c r="A292" s="5" t="s">
        <v>442</v>
      </c>
      <c r="B292" s="5" t="n">
        <v>20</v>
      </c>
      <c r="C292" s="5" t="n">
        <v>11</v>
      </c>
      <c r="D292" s="5" t="s">
        <v>70</v>
      </c>
      <c r="E292" s="5" t="s">
        <v>37</v>
      </c>
      <c r="F292" s="5" t="s">
        <v>35</v>
      </c>
      <c r="G292" s="5" t="n">
        <v>3</v>
      </c>
      <c r="H292" s="5"/>
      <c r="I292" s="6" t="n">
        <v>22057.2</v>
      </c>
      <c r="J292" s="6" t="n">
        <v>41817.9</v>
      </c>
      <c r="K292" s="5" t="str">
        <f aca="false">IF(F292="","",TRIM(F292)&amp;"|"&amp;(SUMPRODUCT((TRIM($F$2:$F$309)=TRIM(F292))*($I$2:$I$309&gt;I292))+1))</f>
        <v>חיים|5</v>
      </c>
      <c r="L292" s="5" t="str">
        <f aca="false">IF(F292="","",TRIM(F292)&amp;"|"&amp;(SUMPRODUCT((TRIM($F$2:$F$309)=TRIM(F292))*($B$2:$B$309&lt;B292))+1))</f>
        <v>חיים|5</v>
      </c>
      <c r="M292" s="5" t="n">
        <f aca="false">IF(F292="","",SUMPRODUCT((TRIM($F$2:$F$309)=TRIM(F292))*($I$2:$I$309&gt;I292))+1)</f>
        <v>5</v>
      </c>
    </row>
    <row r="293" customFormat="false" ht="15" hidden="false" customHeight="false" outlineLevel="0" collapsed="false">
      <c r="A293" s="5" t="s">
        <v>443</v>
      </c>
      <c r="B293" s="5" t="n">
        <v>132</v>
      </c>
      <c r="C293" s="5" t="n">
        <v>86</v>
      </c>
      <c r="D293" s="5" t="s">
        <v>200</v>
      </c>
      <c r="E293" s="5" t="s">
        <v>54</v>
      </c>
      <c r="F293" s="5" t="s">
        <v>59</v>
      </c>
      <c r="G293" s="5"/>
      <c r="H293" s="5"/>
      <c r="I293" s="6" t="n">
        <v>8032.3</v>
      </c>
      <c r="J293" s="6" t="n">
        <v>18509.2</v>
      </c>
      <c r="K293" s="5" t="str">
        <f aca="false">IF(F293="","",TRIM(F293)&amp;"|"&amp;(SUMPRODUCT((TRIM($F$2:$F$309)=TRIM(F293))*($I$2:$I$309&gt;I293))+1))</f>
        <v>סטאס|34</v>
      </c>
      <c r="L293" s="5" t="str">
        <f aca="false">IF(F293="","",TRIM(F293)&amp;"|"&amp;(SUMPRODUCT((TRIM($F$2:$F$309)=TRIM(F293))*($B$2:$B$309&lt;B293))+1))</f>
        <v>סטאס|27</v>
      </c>
      <c r="M293" s="5" t="n">
        <f aca="false">IF(F293="","",SUMPRODUCT((TRIM($F$2:$F$309)=TRIM(F293))*($I$2:$I$309&gt;I293))+1)</f>
        <v>34</v>
      </c>
    </row>
    <row r="294" customFormat="false" ht="15" hidden="false" customHeight="false" outlineLevel="0" collapsed="false">
      <c r="A294" s="5" t="s">
        <v>444</v>
      </c>
      <c r="B294" s="5" t="n">
        <v>236</v>
      </c>
      <c r="C294" s="5" t="n">
        <v>206</v>
      </c>
      <c r="D294" s="5" t="s">
        <v>215</v>
      </c>
      <c r="E294" s="5" t="s">
        <v>49</v>
      </c>
      <c r="F294" s="5" t="s">
        <v>46</v>
      </c>
      <c r="G294" s="5"/>
      <c r="H294" s="5"/>
      <c r="I294" s="6" t="n">
        <v>5581</v>
      </c>
      <c r="J294" s="6" t="n">
        <v>10033.8</v>
      </c>
      <c r="K294" s="5" t="str">
        <f aca="false">IF(F294="","",TRIM(F294)&amp;"|"&amp;(SUMPRODUCT((TRIM($F$2:$F$309)=TRIM(F294))*($I$2:$I$309&gt;I294))+1))</f>
        <v>חדש|47</v>
      </c>
      <c r="L294" s="5" t="str">
        <f aca="false">IF(F294="","",TRIM(F294)&amp;"|"&amp;(SUMPRODUCT((TRIM($F$2:$F$309)=TRIM(F294))*($B$2:$B$309&lt;B294))+1))</f>
        <v>חדש|59</v>
      </c>
      <c r="M294" s="5" t="n">
        <f aca="false">IF(F294="","",SUMPRODUCT((TRIM($F$2:$F$309)=TRIM(F294))*($I$2:$I$309&gt;I294))+1)</f>
        <v>47</v>
      </c>
    </row>
    <row r="295" customFormat="false" ht="15" hidden="false" customHeight="false" outlineLevel="0" collapsed="false">
      <c r="A295" s="5" t="s">
        <v>445</v>
      </c>
      <c r="B295" s="5" t="n">
        <v>166</v>
      </c>
      <c r="C295" s="5" t="n">
        <v>139</v>
      </c>
      <c r="D295" s="5" t="s">
        <v>70</v>
      </c>
      <c r="E295" s="5" t="s">
        <v>37</v>
      </c>
      <c r="F295" s="5" t="s">
        <v>35</v>
      </c>
      <c r="G295" s="5"/>
      <c r="H295" s="5"/>
      <c r="I295" s="6" t="n">
        <v>10618.6</v>
      </c>
      <c r="J295" s="6" t="n">
        <v>19827.1</v>
      </c>
      <c r="K295" s="5" t="str">
        <f aca="false">IF(F295="","",TRIM(F295)&amp;"|"&amp;(SUMPRODUCT((TRIM($F$2:$F$309)=TRIM(F295))*($I$2:$I$309&gt;I295))+1))</f>
        <v>חיים|35</v>
      </c>
      <c r="L295" s="5" t="str">
        <f aca="false">IF(F295="","",TRIM(F295)&amp;"|"&amp;(SUMPRODUCT((TRIM($F$2:$F$309)=TRIM(F295))*($B$2:$B$309&lt;B295))+1))</f>
        <v>חיים|53</v>
      </c>
      <c r="M295" s="5" t="n">
        <f aca="false">IF(F295="","",SUMPRODUCT((TRIM($F$2:$F$309)=TRIM(F295))*($I$2:$I$309&gt;I295))+1)</f>
        <v>35</v>
      </c>
    </row>
    <row r="296" customFormat="false" ht="15" hidden="false" customHeight="false" outlineLevel="0" collapsed="false">
      <c r="A296" s="5" t="s">
        <v>446</v>
      </c>
      <c r="B296" s="5" t="n">
        <v>219</v>
      </c>
      <c r="C296" s="5" t="n">
        <v>187</v>
      </c>
      <c r="D296" s="5" t="s">
        <v>447</v>
      </c>
      <c r="E296" s="5" t="s">
        <v>54</v>
      </c>
      <c r="F296" s="5" t="s">
        <v>59</v>
      </c>
      <c r="G296" s="5"/>
      <c r="H296" s="5"/>
      <c r="I296" s="6" t="n">
        <v>5048.5</v>
      </c>
      <c r="J296" s="6" t="n">
        <v>15127.1</v>
      </c>
      <c r="K296" s="5" t="str">
        <f aca="false">IF(F296="","",TRIM(F296)&amp;"|"&amp;(SUMPRODUCT((TRIM($F$2:$F$309)=TRIM(F296))*($I$2:$I$309&gt;I296))+1))</f>
        <v>סטאס|49</v>
      </c>
      <c r="L296" s="5" t="str">
        <f aca="false">IF(F296="","",TRIM(F296)&amp;"|"&amp;(SUMPRODUCT((TRIM($F$2:$F$309)=TRIM(F296))*($B$2:$B$309&lt;B296))+1))</f>
        <v>סטאס|46</v>
      </c>
      <c r="M296" s="5" t="n">
        <f aca="false">IF(F296="","",SUMPRODUCT((TRIM($F$2:$F$309)=TRIM(F296))*($I$2:$I$309&gt;I296))+1)</f>
        <v>49</v>
      </c>
    </row>
    <row r="297" customFormat="false" ht="15" hidden="false" customHeight="false" outlineLevel="0" collapsed="false">
      <c r="A297" s="5" t="s">
        <v>448</v>
      </c>
      <c r="B297" s="5" t="n">
        <v>135</v>
      </c>
      <c r="C297" s="5" t="n">
        <v>137</v>
      </c>
      <c r="D297" s="5" t="s">
        <v>77</v>
      </c>
      <c r="E297" s="5" t="s">
        <v>54</v>
      </c>
      <c r="F297" s="5" t="s">
        <v>11</v>
      </c>
      <c r="G297" s="5"/>
      <c r="H297" s="5"/>
      <c r="I297" s="6" t="n">
        <v>9529.3</v>
      </c>
      <c r="J297" s="6" t="n">
        <v>19456</v>
      </c>
      <c r="K297" s="5" t="str">
        <f aca="false">IF(F297="","",TRIM(F297)&amp;"|"&amp;(SUMPRODUCT((TRIM($F$2:$F$309)=TRIM(F297))*($I$2:$I$309&gt;I297))+1))</f>
        <v>דודו|43</v>
      </c>
      <c r="L297" s="5" t="str">
        <f aca="false">IF(F297="","",TRIM(F297)&amp;"|"&amp;(SUMPRODUCT((TRIM($F$2:$F$309)=TRIM(F297))*($B$2:$B$309&lt;B297))+1))</f>
        <v>דודו|41</v>
      </c>
      <c r="M297" s="5" t="n">
        <f aca="false">IF(F297="","",SUMPRODUCT((TRIM($F$2:$F$309)=TRIM(F297))*($I$2:$I$309&gt;I297))+1)</f>
        <v>43</v>
      </c>
    </row>
    <row r="298" customFormat="false" ht="15" hidden="false" customHeight="false" outlineLevel="0" collapsed="false">
      <c r="A298" s="5" t="s">
        <v>449</v>
      </c>
      <c r="B298" s="5" t="n">
        <v>256</v>
      </c>
      <c r="C298" s="5" t="n">
        <v>273</v>
      </c>
      <c r="D298" s="5" t="s">
        <v>44</v>
      </c>
      <c r="E298" s="5" t="s">
        <v>45</v>
      </c>
      <c r="F298" s="5" t="s">
        <v>46</v>
      </c>
      <c r="G298" s="5"/>
      <c r="H298" s="5"/>
      <c r="I298" s="6" t="n">
        <v>4684.4</v>
      </c>
      <c r="J298" s="6" t="n">
        <v>10039.8</v>
      </c>
      <c r="K298" s="5" t="str">
        <f aca="false">IF(F298="","",TRIM(F298)&amp;"|"&amp;(SUMPRODUCT((TRIM($F$2:$F$309)=TRIM(F298))*($I$2:$I$309&gt;I298))+1))</f>
        <v>חדש|51</v>
      </c>
      <c r="L298" s="5" t="str">
        <f aca="false">IF(F298="","",TRIM(F298)&amp;"|"&amp;(SUMPRODUCT((TRIM($F$2:$F$309)=TRIM(F298))*($B$2:$B$309&lt;B298))+1))</f>
        <v>חדש|63</v>
      </c>
      <c r="M298" s="5" t="n">
        <f aca="false">IF(F298="","",SUMPRODUCT((TRIM($F$2:$F$309)=TRIM(F298))*($I$2:$I$309&gt;I298))+1)</f>
        <v>51</v>
      </c>
    </row>
    <row r="299" customFormat="false" ht="15" hidden="false" customHeight="false" outlineLevel="0" collapsed="false">
      <c r="A299" s="5" t="s">
        <v>450</v>
      </c>
      <c r="B299" s="5" t="n">
        <v>46</v>
      </c>
      <c r="C299" s="5" t="n">
        <v>75</v>
      </c>
      <c r="D299" s="5" t="s">
        <v>39</v>
      </c>
      <c r="E299" s="5" t="s">
        <v>40</v>
      </c>
      <c r="F299" s="5" t="s">
        <v>11</v>
      </c>
      <c r="G299" s="5"/>
      <c r="H299" s="5"/>
      <c r="I299" s="6" t="n">
        <v>19760.5</v>
      </c>
      <c r="J299" s="6" t="n">
        <v>37059</v>
      </c>
      <c r="K299" s="5" t="str">
        <f aca="false">IF(F299="","",TRIM(F299)&amp;"|"&amp;(SUMPRODUCT((TRIM($F$2:$F$309)=TRIM(F299))*($I$2:$I$309&gt;I299))+1))</f>
        <v>דודו|16</v>
      </c>
      <c r="L299" s="5" t="str">
        <f aca="false">IF(F299="","",TRIM(F299)&amp;"|"&amp;(SUMPRODUCT((TRIM($F$2:$F$309)=TRIM(F299))*($B$2:$B$309&lt;B299))+1))</f>
        <v>דודו|19</v>
      </c>
      <c r="M299" s="5" t="n">
        <f aca="false">IF(F299="","",SUMPRODUCT((TRIM($F$2:$F$309)=TRIM(F299))*($I$2:$I$309&gt;I299))+1)</f>
        <v>16</v>
      </c>
    </row>
    <row r="300" customFormat="false" ht="15" hidden="false" customHeight="false" outlineLevel="0" collapsed="false">
      <c r="A300" s="5" t="s">
        <v>451</v>
      </c>
      <c r="B300" s="5" t="n">
        <v>144</v>
      </c>
      <c r="C300" s="5" t="n">
        <v>123</v>
      </c>
      <c r="D300" s="5" t="s">
        <v>156</v>
      </c>
      <c r="E300" s="5" t="s">
        <v>54</v>
      </c>
      <c r="F300" s="5" t="s">
        <v>35</v>
      </c>
      <c r="G300" s="5"/>
      <c r="H300" s="5"/>
      <c r="I300" s="6" t="n">
        <v>8380.9</v>
      </c>
      <c r="J300" s="6" t="n">
        <v>19367</v>
      </c>
      <c r="K300" s="5" t="str">
        <f aca="false">IF(F300="","",TRIM(F300)&amp;"|"&amp;(SUMPRODUCT((TRIM($F$2:$F$309)=TRIM(F300))*($I$2:$I$309&gt;I300))+1))</f>
        <v>חיים|52</v>
      </c>
      <c r="L300" s="5" t="str">
        <f aca="false">IF(F300="","",TRIM(F300)&amp;"|"&amp;(SUMPRODUCT((TRIM($F$2:$F$309)=TRIM(F300))*($B$2:$B$309&lt;B300))+1))</f>
        <v>חיים|47</v>
      </c>
      <c r="M300" s="5" t="n">
        <f aca="false">IF(F300="","",SUMPRODUCT((TRIM($F$2:$F$309)=TRIM(F300))*($I$2:$I$309&gt;I300))+1)</f>
        <v>52</v>
      </c>
    </row>
    <row r="301" customFormat="false" ht="15" hidden="false" customHeight="false" outlineLevel="0" collapsed="false">
      <c r="A301" s="5" t="s">
        <v>452</v>
      </c>
      <c r="B301" s="5" t="n">
        <v>99</v>
      </c>
      <c r="C301" s="5" t="n">
        <v>131</v>
      </c>
      <c r="D301" s="5" t="s">
        <v>453</v>
      </c>
      <c r="E301" s="5" t="s">
        <v>54</v>
      </c>
      <c r="F301" s="5" t="s">
        <v>35</v>
      </c>
      <c r="G301" s="5"/>
      <c r="H301" s="5"/>
      <c r="I301" s="6" t="n">
        <v>11293.1</v>
      </c>
      <c r="J301" s="6" t="n">
        <v>23625.3</v>
      </c>
      <c r="K301" s="5" t="str">
        <f aca="false">IF(F301="","",TRIM(F301)&amp;"|"&amp;(SUMPRODUCT((TRIM($F$2:$F$309)=TRIM(F301))*($I$2:$I$309&gt;I301))+1))</f>
        <v>חיים|31</v>
      </c>
      <c r="L301" s="5" t="str">
        <f aca="false">IF(F301="","",TRIM(F301)&amp;"|"&amp;(SUMPRODUCT((TRIM($F$2:$F$309)=TRIM(F301))*($B$2:$B$309&lt;B301))+1))</f>
        <v>חיים|31</v>
      </c>
      <c r="M301" s="5" t="n">
        <f aca="false">IF(F301="","",SUMPRODUCT((TRIM($F$2:$F$309)=TRIM(F301))*($I$2:$I$309&gt;I301))+1)</f>
        <v>31</v>
      </c>
    </row>
    <row r="302" customFormat="false" ht="15" hidden="false" customHeight="false" outlineLevel="0" collapsed="false">
      <c r="A302" s="5" t="s">
        <v>454</v>
      </c>
      <c r="B302" s="5" t="n">
        <v>108</v>
      </c>
      <c r="C302" s="5" t="n">
        <v>65</v>
      </c>
      <c r="D302" s="5" t="s">
        <v>162</v>
      </c>
      <c r="E302" s="5" t="s">
        <v>54</v>
      </c>
      <c r="F302" s="5" t="s">
        <v>59</v>
      </c>
      <c r="G302" s="5" t="n">
        <v>15</v>
      </c>
      <c r="H302" s="5"/>
      <c r="I302" s="6" t="n">
        <v>9713.7</v>
      </c>
      <c r="J302" s="6" t="n">
        <v>25742.7</v>
      </c>
      <c r="K302" s="5" t="str">
        <f aca="false">IF(F302="","",TRIM(F302)&amp;"|"&amp;(SUMPRODUCT((TRIM($F$2:$F$309)=TRIM(F302))*($I$2:$I$309&gt;I302))+1))</f>
        <v>סטאס|25</v>
      </c>
      <c r="L302" s="5" t="str">
        <f aca="false">IF(F302="","",TRIM(F302)&amp;"|"&amp;(SUMPRODUCT((TRIM($F$2:$F$309)=TRIM(F302))*($B$2:$B$309&lt;B302))+1))</f>
        <v>סטאס|20</v>
      </c>
      <c r="M302" s="5" t="n">
        <f aca="false">IF(F302="","",SUMPRODUCT((TRIM($F$2:$F$309)=TRIM(F302))*($I$2:$I$309&gt;I302))+1)</f>
        <v>25</v>
      </c>
    </row>
    <row r="303" customFormat="false" ht="15" hidden="false" customHeight="false" outlineLevel="0" collapsed="false">
      <c r="A303" s="5" t="s">
        <v>455</v>
      </c>
      <c r="B303" s="5" t="n">
        <v>103</v>
      </c>
      <c r="C303" s="5" t="n">
        <v>114</v>
      </c>
      <c r="D303" s="5" t="s">
        <v>456</v>
      </c>
      <c r="E303" s="5" t="s">
        <v>49</v>
      </c>
      <c r="F303" s="5" t="s">
        <v>46</v>
      </c>
      <c r="G303" s="5" t="n">
        <v>17</v>
      </c>
      <c r="H303" s="5"/>
      <c r="I303" s="6" t="n">
        <v>10309.7</v>
      </c>
      <c r="J303" s="6" t="n">
        <v>24321.8</v>
      </c>
      <c r="K303" s="5" t="str">
        <f aca="false">IF(F303="","",TRIM(F303)&amp;"|"&amp;(SUMPRODUCT((TRIM($F$2:$F$309)=TRIM(F303))*($I$2:$I$309&gt;I303))+1))</f>
        <v>חדש|17</v>
      </c>
      <c r="L303" s="5" t="str">
        <f aca="false">IF(F303="","",TRIM(F303)&amp;"|"&amp;(SUMPRODUCT((TRIM($F$2:$F$309)=TRIM(F303))*($B$2:$B$309&lt;B303))+1))</f>
        <v>חדש|15</v>
      </c>
      <c r="M303" s="5" t="n">
        <f aca="false">IF(F303="","",SUMPRODUCT((TRIM($F$2:$F$309)=TRIM(F303))*($I$2:$I$309&gt;I303))+1)</f>
        <v>17</v>
      </c>
    </row>
    <row r="304" customFormat="false" ht="15" hidden="false" customHeight="false" outlineLevel="0" collapsed="false">
      <c r="A304" s="5" t="s">
        <v>457</v>
      </c>
      <c r="B304" s="5" t="n">
        <v>255</v>
      </c>
      <c r="C304" s="5" t="n">
        <v>276</v>
      </c>
      <c r="D304" s="5" t="s">
        <v>70</v>
      </c>
      <c r="E304" s="5" t="s">
        <v>37</v>
      </c>
      <c r="F304" s="5" t="s">
        <v>35</v>
      </c>
      <c r="G304" s="5"/>
      <c r="H304" s="5"/>
      <c r="I304" s="6" t="n">
        <v>5687.9</v>
      </c>
      <c r="J304" s="6" t="n">
        <v>12310.1</v>
      </c>
      <c r="K304" s="5" t="str">
        <f aca="false">IF(F304="","",TRIM(F304)&amp;"|"&amp;(SUMPRODUCT((TRIM($F$2:$F$309)=TRIM(F304))*($I$2:$I$309&gt;I304))+1))</f>
        <v>חיים|68</v>
      </c>
      <c r="L304" s="5" t="str">
        <f aca="false">IF(F304="","",TRIM(F304)&amp;"|"&amp;(SUMPRODUCT((TRIM($F$2:$F$309)=TRIM(F304))*($B$2:$B$309&lt;B304))+1))</f>
        <v>חיים|75</v>
      </c>
      <c r="M304" s="5" t="n">
        <f aca="false">IF(F304="","",SUMPRODUCT((TRIM($F$2:$F$309)=TRIM(F304))*($I$2:$I$309&gt;I304))+1)</f>
        <v>68</v>
      </c>
    </row>
    <row r="305" customFormat="false" ht="15" hidden="false" customHeight="false" outlineLevel="0" collapsed="false">
      <c r="A305" s="5" t="s">
        <v>458</v>
      </c>
      <c r="B305" s="5" t="n">
        <v>63</v>
      </c>
      <c r="C305" s="5" t="n">
        <v>122</v>
      </c>
      <c r="D305" s="5" t="s">
        <v>72</v>
      </c>
      <c r="E305" s="5" t="s">
        <v>72</v>
      </c>
      <c r="F305" s="5" t="s">
        <v>11</v>
      </c>
      <c r="G305" s="5"/>
      <c r="H305" s="5"/>
      <c r="I305" s="6" t="n">
        <v>15060.5</v>
      </c>
      <c r="J305" s="6" t="n">
        <v>29506.2</v>
      </c>
      <c r="K305" s="5" t="str">
        <f aca="false">IF(F305="","",TRIM(F305)&amp;"|"&amp;(SUMPRODUCT((TRIM($F$2:$F$309)=TRIM(F305))*($I$2:$I$309&gt;I305))+1))</f>
        <v>דודו|24</v>
      </c>
      <c r="L305" s="5" t="str">
        <f aca="false">IF(F305="","",TRIM(F305)&amp;"|"&amp;(SUMPRODUCT((TRIM($F$2:$F$309)=TRIM(F305))*($B$2:$B$309&lt;B305))+1))</f>
        <v>דודו|25</v>
      </c>
      <c r="M305" s="5" t="n">
        <f aca="false">IF(F305="","",SUMPRODUCT((TRIM($F$2:$F$309)=TRIM(F305))*($I$2:$I$309&gt;I305))+1)</f>
        <v>24</v>
      </c>
    </row>
    <row r="306" customFormat="false" ht="15" hidden="false" customHeight="false" outlineLevel="0" collapsed="false">
      <c r="A306" s="5" t="s">
        <v>459</v>
      </c>
      <c r="B306" s="5" t="n">
        <v>54</v>
      </c>
      <c r="C306" s="5" t="n">
        <v>151</v>
      </c>
      <c r="D306" s="5" t="s">
        <v>162</v>
      </c>
      <c r="E306" s="5" t="s">
        <v>54</v>
      </c>
      <c r="F306" s="5" t="s">
        <v>59</v>
      </c>
      <c r="G306" s="5"/>
      <c r="H306" s="5"/>
      <c r="I306" s="6" t="n">
        <v>12907.3</v>
      </c>
      <c r="J306" s="6" t="n">
        <v>26586.6</v>
      </c>
      <c r="K306" s="5" t="str">
        <f aca="false">IF(F306="","",TRIM(F306)&amp;"|"&amp;(SUMPRODUCT((TRIM($F$2:$F$309)=TRIM(F306))*($I$2:$I$309&gt;I306))+1))</f>
        <v>סטאס|14</v>
      </c>
      <c r="L306" s="5" t="str">
        <f aca="false">IF(F306="","",TRIM(F306)&amp;"|"&amp;(SUMPRODUCT((TRIM($F$2:$F$309)=TRIM(F306))*($B$2:$B$309&lt;B306))+1))</f>
        <v>סטאס|10</v>
      </c>
      <c r="M306" s="5" t="n">
        <f aca="false">IF(F306="","",SUMPRODUCT((TRIM($F$2:$F$309)=TRIM(F306))*($I$2:$I$309&gt;I306))+1)</f>
        <v>14</v>
      </c>
    </row>
    <row r="307" customFormat="false" ht="15" hidden="false" customHeight="false" outlineLevel="0" collapsed="false">
      <c r="A307" s="5" t="s">
        <v>460</v>
      </c>
      <c r="B307" s="5" t="n">
        <v>215</v>
      </c>
      <c r="C307" s="5" t="n">
        <v>163</v>
      </c>
      <c r="D307" s="5" t="s">
        <v>42</v>
      </c>
      <c r="E307" s="5" t="s">
        <v>34</v>
      </c>
      <c r="F307" s="5" t="s">
        <v>35</v>
      </c>
      <c r="G307" s="5"/>
      <c r="H307" s="5"/>
      <c r="I307" s="6" t="n">
        <v>7677.2</v>
      </c>
      <c r="J307" s="6" t="n">
        <v>14916.4</v>
      </c>
      <c r="K307" s="5" t="str">
        <f aca="false">IF(F307="","",TRIM(F307)&amp;"|"&amp;(SUMPRODUCT((TRIM($F$2:$F$309)=TRIM(F307))*($I$2:$I$309&gt;I307))+1))</f>
        <v>חיים|57</v>
      </c>
      <c r="L307" s="5" t="str">
        <f aca="false">IF(F307="","",TRIM(F307)&amp;"|"&amp;(SUMPRODUCT((TRIM($F$2:$F$309)=TRIM(F307))*($B$2:$B$309&lt;B307))+1))</f>
        <v>חיים|66</v>
      </c>
      <c r="M307" s="5" t="n">
        <f aca="false">IF(F307="","",SUMPRODUCT((TRIM($F$2:$F$309)=TRIM(F307))*($I$2:$I$309&gt;I307))+1)</f>
        <v>57</v>
      </c>
    </row>
    <row r="308" customFormat="false" ht="15" hidden="false" customHeight="false" outlineLevel="0" collapsed="false">
      <c r="A308" s="5" t="s">
        <v>461</v>
      </c>
      <c r="B308" s="5" t="n">
        <v>2</v>
      </c>
      <c r="C308" s="5" t="n">
        <v>83</v>
      </c>
      <c r="D308" s="5" t="s">
        <v>70</v>
      </c>
      <c r="E308" s="5" t="s">
        <v>37</v>
      </c>
      <c r="F308" s="5" t="s">
        <v>35</v>
      </c>
      <c r="G308" s="5"/>
      <c r="H308" s="5"/>
      <c r="I308" s="6" t="n">
        <v>52370.8</v>
      </c>
      <c r="J308" s="6" t="n">
        <v>76823.9</v>
      </c>
      <c r="K308" s="5" t="str">
        <f aca="false">IF(F308="","",TRIM(F308)&amp;"|"&amp;(SUMPRODUCT((TRIM($F$2:$F$309)=TRIM(F308))*($I$2:$I$309&gt;I308))+1))</f>
        <v>חיים|1</v>
      </c>
      <c r="L308" s="5" t="str">
        <f aca="false">IF(F308="","",TRIM(F308)&amp;"|"&amp;(SUMPRODUCT((TRIM($F$2:$F$309)=TRIM(F308))*($B$2:$B$309&lt;B308))+1))</f>
        <v>חיים|1</v>
      </c>
      <c r="M308" s="5" t="n">
        <f aca="false">IF(F308="","",SUMPRODUCT((TRIM($F$2:$F$309)=TRIM(F308))*($I$2:$I$309&gt;I308))+1)</f>
        <v>1</v>
      </c>
    </row>
    <row r="309" customFormat="false" ht="15" hidden="false" customHeight="false" outlineLevel="0" collapsed="false">
      <c r="A309" s="5" t="s">
        <v>462</v>
      </c>
      <c r="B309" s="5" t="n">
        <v>25</v>
      </c>
      <c r="C309" s="5" t="n">
        <v>64</v>
      </c>
      <c r="D309" s="5" t="s">
        <v>72</v>
      </c>
      <c r="E309" s="5" t="s">
        <v>72</v>
      </c>
      <c r="F309" s="5" t="s">
        <v>11</v>
      </c>
      <c r="G309" s="5" t="n">
        <v>20</v>
      </c>
      <c r="H309" s="5"/>
      <c r="I309" s="6" t="n">
        <v>22454.5</v>
      </c>
      <c r="J309" s="6" t="n">
        <v>46557.9</v>
      </c>
      <c r="K309" s="5" t="str">
        <f aca="false">IF(F309="","",TRIM(F309)&amp;"|"&amp;(SUMPRODUCT((TRIM($F$2:$F$309)=TRIM(F309))*($I$2:$I$309&gt;I309))+1))</f>
        <v>דודו|10</v>
      </c>
      <c r="L309" s="5" t="str">
        <f aca="false">IF(F309="","",TRIM(F309)&amp;"|"&amp;(SUMPRODUCT((TRIM($F$2:$F$309)=TRIM(F309))*($B$2:$B$309&lt;B309))+1))</f>
        <v>דודו|11</v>
      </c>
      <c r="M309" s="5" t="n">
        <f aca="false">IF(F309="","",SUMPRODUCT((TRIM($F$2:$F$309)=TRIM(F309))*($I$2:$I$309&gt;I309))+1)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2026-08-01T14:16:09Z</dcterms:created>
  <dc:creator>openpyxl</dc:creator>
  <dc:description/>
  <dc:language>en-US</dc:language>
  <cp:lastModifiedBy/>
  <dcterms:modified xsi:type="dcterms:W3CDTF">2026-08-01T14:16:09Z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